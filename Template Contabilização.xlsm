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29.xml" ContentType="application/vnd.ms-excel.controlproperties+xml"/>
  <Override PartName="/xl/ctrlProps/ctrlProp530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531.xml" ContentType="application/vnd.ms-excel.controlproperties+xml"/>
  <Override PartName="/xl/ctrlProps/ctrlProp532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33e9434b2fc5e27/Área de Trabalho/Galpão/"/>
    </mc:Choice>
  </mc:AlternateContent>
  <xr:revisionPtr revIDLastSave="71" documentId="13_ncr:1_{E4EBCD52-8404-460A-8B7F-F9FB1A2A11DB}" xr6:coauthVersionLast="47" xr6:coauthVersionMax="47" xr10:uidLastSave="{502387EC-E0E0-4D63-9915-2A95C2F7BDF2}"/>
  <bookViews>
    <workbookView xWindow="-120" yWindow="-120" windowWidth="20730" windowHeight="11760" firstSheet="1" activeTab="1" xr2:uid="{00000000-000D-0000-FFFF-FFFF00000000}"/>
  </bookViews>
  <sheets>
    <sheet name="Cadastro" sheetId="2" state="hidden" r:id="rId1"/>
    <sheet name="CadastroCB" sheetId="12" r:id="rId2"/>
    <sheet name="Resumo total" sheetId="6" r:id="rId3"/>
    <sheet name="Categorias" sheetId="1" r:id="rId4"/>
    <sheet name="Base de dados" sheetId="11" r:id="rId5"/>
  </sheets>
  <externalReferences>
    <externalReference r:id="rId6"/>
    <externalReference r:id="rId7"/>
  </externalReferences>
  <definedNames>
    <definedName name="Codigo_barras">CadastroCB!$D$5</definedName>
    <definedName name="Codigo_barras_unidade">CadastroCB!$D$8</definedName>
    <definedName name="extras">Categorias!$M$29</definedName>
    <definedName name="frase">CadastroCB!$D$10</definedName>
    <definedName name="lista">Categorias!$Q$4:$Q$697</definedName>
    <definedName name="mercado1">Categorias!$M$9</definedName>
    <definedName name="mercado10">Categorias!$M$18</definedName>
    <definedName name="mercado11">Categorias!$M$19</definedName>
    <definedName name="mercado12">Categorias!$M$20</definedName>
    <definedName name="mercado13">Categorias!$M$21</definedName>
    <definedName name="mercado14">Categorias!$M$22</definedName>
    <definedName name="mercado15">Categorias!$M$23</definedName>
    <definedName name="mercado16">Categorias!$M$24</definedName>
    <definedName name="mercado17">Categorias!$M$25</definedName>
    <definedName name="mercado18">Categorias!$M$26</definedName>
    <definedName name="mercado2">Categorias!$M$10</definedName>
    <definedName name="mercado3">Categorias!$M$11</definedName>
    <definedName name="mercado4">Categorias!$M$12</definedName>
    <definedName name="mercado5">Categorias!$M$13</definedName>
    <definedName name="mercado6">Categorias!$M$14</definedName>
    <definedName name="mercado7">Categorias!$M$15</definedName>
    <definedName name="mercado8">Categorias!$M$16</definedName>
    <definedName name="mercado9">Categorias!$M$17</definedName>
    <definedName name="nome_mercado">Cadastro!$A$7</definedName>
    <definedName name="nome_mercado_cb">CadastroCB!$A$7</definedName>
    <definedName name="PM">'Resumo total'!#REF!</definedName>
    <definedName name="PMA">'Resumo total'!$A$38</definedName>
    <definedName name="q">'[1]Resumo total'!$A$38</definedName>
    <definedName name="Slicer_Qtde__tot">#N/A</definedName>
    <definedName name="Slicer_Qtde__tot1">#N/A</definedName>
    <definedName name="t">'[2]Resumo total'!$A$38</definedName>
    <definedName name="topo_basedados">'Base de dados'!$C$3</definedName>
    <definedName name="topo_cb">CadastroCB!$C$3</definedName>
    <definedName name="topo1">Cadastro!$C$3</definedName>
    <definedName name="topo10">#REF!</definedName>
    <definedName name="topo11">#REF!</definedName>
    <definedName name="topo12">#REF!</definedName>
    <definedName name="topo13">#REF!</definedName>
    <definedName name="topo2">#REF!</definedName>
    <definedName name="topo3">#REF!</definedName>
    <definedName name="topo4">#REF!</definedName>
    <definedName name="topo5">#REF!</definedName>
    <definedName name="topo6">#REF!</definedName>
    <definedName name="topo7">#REF!</definedName>
    <definedName name="topo8">#REF!</definedName>
    <definedName name="topo9">#REF!</definedName>
    <definedName name="topocategorias">Categorias!$C$3</definedName>
    <definedName name="topoextras">#REF!</definedName>
    <definedName name="toporesumo">'Resumo total'!$H$3</definedName>
    <definedName name="total_kg">'Resumo total'!$A$44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6" l="1"/>
  <c r="Q697" i="1"/>
  <c r="Q696" i="1"/>
  <c r="Q695" i="1"/>
  <c r="Q694" i="1"/>
  <c r="Q693" i="1"/>
  <c r="Q692" i="1"/>
  <c r="Q691" i="1"/>
  <c r="Q690" i="1"/>
  <c r="Q689" i="1"/>
  <c r="Q688" i="1"/>
  <c r="Q687" i="1"/>
  <c r="Q686" i="1"/>
  <c r="Q685" i="1"/>
  <c r="Q684" i="1"/>
  <c r="Q683" i="1"/>
  <c r="Q682" i="1"/>
  <c r="Q681" i="1"/>
  <c r="Q680" i="1"/>
  <c r="Q679" i="1"/>
  <c r="Q678" i="1"/>
  <c r="Q677" i="1"/>
  <c r="Q676" i="1"/>
  <c r="Q675" i="1"/>
  <c r="Q674" i="1"/>
  <c r="Q673" i="1"/>
  <c r="Q672" i="1"/>
  <c r="Q671" i="1"/>
  <c r="Q670" i="1"/>
  <c r="Q669" i="1"/>
  <c r="Q668" i="1"/>
  <c r="Q667" i="1"/>
  <c r="Q666" i="1"/>
  <c r="Q665" i="1"/>
  <c r="Q664" i="1"/>
  <c r="Q663" i="1"/>
  <c r="Q662" i="1"/>
  <c r="Q661" i="1"/>
  <c r="Q660" i="1"/>
  <c r="Q659" i="1"/>
  <c r="Q658" i="1"/>
  <c r="Q657" i="1"/>
  <c r="Q656" i="1"/>
  <c r="Q655" i="1"/>
  <c r="Q654" i="1"/>
  <c r="Q653" i="1"/>
  <c r="Q652" i="1"/>
  <c r="Q651" i="1"/>
  <c r="Q650" i="1"/>
  <c r="Q649" i="1"/>
  <c r="Q648" i="1"/>
  <c r="Q647" i="1"/>
  <c r="Q646" i="1"/>
  <c r="Q645" i="1"/>
  <c r="Q644" i="1"/>
  <c r="Q643" i="1"/>
  <c r="Q642" i="1"/>
  <c r="Q641" i="1"/>
  <c r="Q640" i="1"/>
  <c r="Q639" i="1"/>
  <c r="Q638" i="1"/>
  <c r="Q637" i="1"/>
  <c r="Q636" i="1"/>
  <c r="Q635" i="1"/>
  <c r="Q634" i="1"/>
  <c r="Q633" i="1"/>
  <c r="Q632" i="1"/>
  <c r="Q631" i="1"/>
  <c r="Q630" i="1"/>
  <c r="Q629" i="1"/>
  <c r="Q628" i="1"/>
  <c r="Q627" i="1"/>
  <c r="Q626" i="1"/>
  <c r="Q625" i="1"/>
  <c r="Q624" i="1"/>
  <c r="Q623" i="1"/>
  <c r="Q622" i="1"/>
  <c r="Q621" i="1"/>
  <c r="Q620" i="1"/>
  <c r="Q619" i="1"/>
  <c r="Q618" i="1"/>
  <c r="Q617" i="1"/>
  <c r="Q616" i="1"/>
  <c r="Q615" i="1"/>
  <c r="Q614" i="1"/>
  <c r="Q613" i="1"/>
  <c r="Q612" i="1"/>
  <c r="Q611" i="1"/>
  <c r="Q610" i="1"/>
  <c r="Q609" i="1"/>
  <c r="Q608" i="1"/>
  <c r="Q607" i="1"/>
  <c r="Q606" i="1"/>
  <c r="Q605" i="1"/>
  <c r="Q604" i="1"/>
  <c r="Q603" i="1"/>
  <c r="Q602" i="1"/>
  <c r="Q601" i="1"/>
  <c r="Q600" i="1"/>
  <c r="Q599" i="1"/>
  <c r="Q598" i="1"/>
  <c r="Q597" i="1"/>
  <c r="Q596" i="1"/>
  <c r="Q595" i="1"/>
  <c r="Q594" i="1"/>
  <c r="Q593" i="1"/>
  <c r="Q592" i="1"/>
  <c r="Q591" i="1"/>
  <c r="Q590" i="1"/>
  <c r="Q589" i="1"/>
  <c r="Q588" i="1"/>
  <c r="Q587" i="1"/>
  <c r="Q586" i="1"/>
  <c r="Q585" i="1"/>
  <c r="Q584" i="1"/>
  <c r="Q583" i="1"/>
  <c r="Q582" i="1"/>
  <c r="Q581" i="1"/>
  <c r="Q580" i="1"/>
  <c r="Q579" i="1"/>
  <c r="Q578" i="1"/>
  <c r="Q577" i="1"/>
  <c r="Q576" i="1"/>
  <c r="Q575" i="1"/>
  <c r="Q574" i="1"/>
  <c r="Q573" i="1"/>
  <c r="Q572" i="1"/>
  <c r="Q571" i="1"/>
  <c r="Q570" i="1"/>
  <c r="Q569" i="1"/>
  <c r="Q568" i="1"/>
  <c r="Q567" i="1"/>
  <c r="Q566" i="1"/>
  <c r="Q565" i="1"/>
  <c r="Q564" i="1"/>
  <c r="Q563" i="1"/>
  <c r="Q562" i="1"/>
  <c r="Q561" i="1"/>
  <c r="Q560" i="1"/>
  <c r="Q559" i="1"/>
  <c r="Q558" i="1"/>
  <c r="Q557" i="1"/>
  <c r="Q556" i="1"/>
  <c r="Q555" i="1"/>
  <c r="Q554" i="1"/>
  <c r="Q553" i="1"/>
  <c r="Q552" i="1"/>
  <c r="Q551" i="1"/>
  <c r="Q550" i="1"/>
  <c r="Q549" i="1"/>
  <c r="Q548" i="1"/>
  <c r="Q547" i="1"/>
  <c r="Q546" i="1"/>
  <c r="Q545" i="1"/>
  <c r="Q544" i="1"/>
  <c r="Q543" i="1"/>
  <c r="Q542" i="1"/>
  <c r="Q541" i="1"/>
  <c r="Q540" i="1"/>
  <c r="Q539" i="1"/>
  <c r="Q538" i="1"/>
  <c r="Q537" i="1"/>
  <c r="Q536" i="1"/>
  <c r="Q535" i="1"/>
  <c r="Q534" i="1"/>
  <c r="Q533" i="1"/>
  <c r="Q532" i="1"/>
  <c r="Q531" i="1"/>
  <c r="Q530" i="1"/>
  <c r="Q529" i="1"/>
  <c r="Q528" i="1"/>
  <c r="Q527" i="1"/>
  <c r="Q526" i="1"/>
  <c r="Q525" i="1"/>
  <c r="Q524" i="1"/>
  <c r="Q523" i="1"/>
  <c r="Q522" i="1"/>
  <c r="Q521" i="1"/>
  <c r="Q520" i="1"/>
  <c r="Q519" i="1"/>
  <c r="Q518" i="1"/>
  <c r="Q517" i="1"/>
  <c r="Q516" i="1"/>
  <c r="Q515" i="1"/>
  <c r="Q514" i="1"/>
  <c r="Q513" i="1"/>
  <c r="Q512" i="1"/>
  <c r="Q511" i="1"/>
  <c r="Q510" i="1"/>
  <c r="Q509" i="1"/>
  <c r="Q508" i="1"/>
  <c r="Q507" i="1"/>
  <c r="Q506" i="1"/>
  <c r="Q505" i="1"/>
  <c r="Q504" i="1"/>
  <c r="Q503" i="1"/>
  <c r="Q502" i="1"/>
  <c r="Q501" i="1"/>
  <c r="Q500" i="1"/>
  <c r="Q499" i="1"/>
  <c r="Q498" i="1"/>
  <c r="Q497" i="1"/>
  <c r="Q496" i="1"/>
  <c r="Q495" i="1"/>
  <c r="Q494" i="1"/>
  <c r="Q493" i="1"/>
  <c r="Q492" i="1"/>
  <c r="Q491" i="1"/>
  <c r="Q490" i="1"/>
  <c r="Q489" i="1"/>
  <c r="Q488" i="1"/>
  <c r="Q487" i="1"/>
  <c r="Q486" i="1"/>
  <c r="Q485" i="1"/>
  <c r="Q484" i="1"/>
  <c r="Q483" i="1"/>
  <c r="Q482" i="1"/>
  <c r="Q481" i="1"/>
  <c r="Q480" i="1"/>
  <c r="Q479" i="1"/>
  <c r="Q478" i="1"/>
  <c r="Q477" i="1"/>
  <c r="Q476" i="1"/>
  <c r="Q475" i="1"/>
  <c r="Q474" i="1"/>
  <c r="Q473" i="1"/>
  <c r="Q472" i="1"/>
  <c r="Q471" i="1"/>
  <c r="Q470" i="1"/>
  <c r="Q469" i="1"/>
  <c r="Q468" i="1"/>
  <c r="Q467" i="1"/>
  <c r="Q466" i="1"/>
  <c r="Q465" i="1"/>
  <c r="Q464" i="1"/>
  <c r="Q463" i="1"/>
  <c r="Q462" i="1"/>
  <c r="Q461" i="1"/>
  <c r="Q460" i="1"/>
  <c r="Q459" i="1"/>
  <c r="Q458" i="1"/>
  <c r="Q457" i="1"/>
  <c r="Q456" i="1"/>
  <c r="Q455" i="1"/>
  <c r="Q454" i="1"/>
  <c r="Q453" i="1"/>
  <c r="Q452" i="1"/>
  <c r="Q451" i="1"/>
  <c r="Q450" i="1"/>
  <c r="Q449" i="1"/>
  <c r="Q448" i="1"/>
  <c r="Q447" i="1"/>
  <c r="Q446" i="1"/>
  <c r="Q445" i="1"/>
  <c r="Q444" i="1"/>
  <c r="Q443" i="1"/>
  <c r="Q442" i="1"/>
  <c r="Q441" i="1"/>
  <c r="Q440" i="1"/>
  <c r="Q439" i="1"/>
  <c r="Q438" i="1"/>
  <c r="Q437" i="1"/>
  <c r="Q436" i="1"/>
  <c r="Q435" i="1"/>
  <c r="Q434" i="1"/>
  <c r="Q433" i="1"/>
  <c r="Q432" i="1"/>
  <c r="Q431" i="1"/>
  <c r="Q430" i="1"/>
  <c r="Q429" i="1"/>
  <c r="Q428" i="1"/>
  <c r="Q427" i="1"/>
  <c r="Q426" i="1"/>
  <c r="Q425" i="1"/>
  <c r="Q424" i="1"/>
  <c r="Q423" i="1"/>
  <c r="Q422" i="1"/>
  <c r="Q421" i="1"/>
  <c r="Q420" i="1"/>
  <c r="Q419" i="1"/>
  <c r="Q418" i="1"/>
  <c r="Q417" i="1"/>
  <c r="Q416" i="1"/>
  <c r="Q415" i="1"/>
  <c r="Q414" i="1"/>
  <c r="Q413" i="1"/>
  <c r="Q412" i="1"/>
  <c r="Q411" i="1"/>
  <c r="Q410" i="1"/>
  <c r="Q409" i="1"/>
  <c r="Q408" i="1"/>
  <c r="Q407" i="1"/>
  <c r="Q406" i="1"/>
  <c r="Q405" i="1"/>
  <c r="Q404" i="1"/>
  <c r="Q403" i="1"/>
  <c r="Q402" i="1"/>
  <c r="Q401" i="1"/>
  <c r="Q400" i="1"/>
  <c r="Q399" i="1"/>
  <c r="Q398" i="1"/>
  <c r="Q397" i="1"/>
  <c r="Q396" i="1"/>
  <c r="Q395" i="1"/>
  <c r="Q394" i="1"/>
  <c r="Q393" i="1"/>
  <c r="Q392" i="1"/>
  <c r="Q391" i="1"/>
  <c r="Q390" i="1"/>
  <c r="Q389" i="1"/>
  <c r="Q388" i="1"/>
  <c r="Q387" i="1"/>
  <c r="Q386" i="1"/>
  <c r="Q385" i="1"/>
  <c r="Q384" i="1"/>
  <c r="Q383" i="1"/>
  <c r="Q382" i="1"/>
  <c r="Q381" i="1"/>
  <c r="Q380" i="1"/>
  <c r="Q379" i="1"/>
  <c r="Q378" i="1"/>
  <c r="Q377" i="1"/>
  <c r="Q376" i="1"/>
  <c r="Q375" i="1"/>
  <c r="Q374" i="1"/>
  <c r="Q373" i="1"/>
  <c r="Q372" i="1"/>
  <c r="Q371" i="1"/>
  <c r="Q370" i="1"/>
  <c r="Q369" i="1"/>
  <c r="Q368" i="1"/>
  <c r="Q367" i="1"/>
  <c r="Q366" i="1"/>
  <c r="Q365" i="1"/>
  <c r="Q364" i="1"/>
  <c r="Q363" i="1"/>
  <c r="Q362" i="1"/>
  <c r="Q361" i="1"/>
  <c r="Q360" i="1"/>
  <c r="Q359" i="1"/>
  <c r="Q358" i="1"/>
  <c r="Q357" i="1"/>
  <c r="Q356" i="1"/>
  <c r="Q355" i="1"/>
  <c r="Q354" i="1"/>
  <c r="Q353" i="1"/>
  <c r="Q352" i="1"/>
  <c r="Q351" i="1"/>
  <c r="Q350" i="1"/>
  <c r="Q349" i="1"/>
  <c r="Q348" i="1"/>
  <c r="Q347" i="1"/>
  <c r="Q346" i="1"/>
  <c r="Q345" i="1"/>
  <c r="Q344" i="1"/>
  <c r="Q343" i="1"/>
  <c r="Q342" i="1"/>
  <c r="Q341" i="1"/>
  <c r="Q340" i="1"/>
  <c r="Q339" i="1"/>
  <c r="Q338" i="1"/>
  <c r="Q337" i="1"/>
  <c r="Q336" i="1"/>
  <c r="Q335" i="1"/>
  <c r="Q334" i="1"/>
  <c r="Q333" i="1"/>
  <c r="Q332" i="1"/>
  <c r="Q331" i="1"/>
  <c r="Q330" i="1"/>
  <c r="Q329" i="1"/>
  <c r="Q328" i="1"/>
  <c r="Q327" i="1"/>
  <c r="Q326" i="1"/>
  <c r="Q325" i="1"/>
  <c r="Q324" i="1"/>
  <c r="Q323" i="1"/>
  <c r="Q322" i="1"/>
  <c r="Q321" i="1"/>
  <c r="Q320" i="1"/>
  <c r="Q319" i="1"/>
  <c r="Q318" i="1"/>
  <c r="Q317" i="1"/>
  <c r="Q316" i="1"/>
  <c r="Q315" i="1"/>
  <c r="Q314" i="1"/>
  <c r="Q313" i="1"/>
  <c r="Q312" i="1"/>
  <c r="Q311" i="1"/>
  <c r="Q310" i="1"/>
  <c r="Q309" i="1"/>
  <c r="Q308" i="1"/>
  <c r="Q307" i="1"/>
  <c r="Q306" i="1"/>
  <c r="Q305" i="1"/>
  <c r="Q304" i="1"/>
  <c r="Q303" i="1"/>
  <c r="Q302" i="1"/>
  <c r="Q301" i="1"/>
  <c r="Q300" i="1"/>
  <c r="Q299" i="1"/>
  <c r="Q298" i="1"/>
  <c r="Q297" i="1"/>
  <c r="Q296" i="1"/>
  <c r="Q295" i="1"/>
  <c r="Q294" i="1"/>
  <c r="Q293" i="1"/>
  <c r="Q292" i="1"/>
  <c r="Q291" i="1"/>
  <c r="Q290" i="1"/>
  <c r="Q289" i="1"/>
  <c r="Q288" i="1"/>
  <c r="Q287" i="1"/>
  <c r="Q286" i="1"/>
  <c r="Q285" i="1"/>
  <c r="Q284" i="1"/>
  <c r="Q283" i="1"/>
  <c r="Q282" i="1"/>
  <c r="Q281" i="1"/>
  <c r="Q280" i="1"/>
  <c r="Q279" i="1"/>
  <c r="Q278" i="1"/>
  <c r="Q277" i="1"/>
  <c r="Q276" i="1"/>
  <c r="Q275" i="1"/>
  <c r="Q274" i="1"/>
  <c r="Q273" i="1"/>
  <c r="Q272" i="1"/>
  <c r="Q271" i="1"/>
  <c r="Q270" i="1"/>
  <c r="Q269" i="1"/>
  <c r="Q268" i="1"/>
  <c r="Q267" i="1"/>
  <c r="Q266" i="1"/>
  <c r="Q265" i="1"/>
  <c r="Q264" i="1"/>
  <c r="Q263" i="1"/>
  <c r="Q262" i="1"/>
  <c r="Q261" i="1"/>
  <c r="Q260" i="1"/>
  <c r="Q259" i="1"/>
  <c r="Q258" i="1"/>
  <c r="Q257" i="1"/>
  <c r="Q256" i="1"/>
  <c r="Q255" i="1"/>
  <c r="Q254" i="1"/>
  <c r="Q253" i="1"/>
  <c r="Q252" i="1"/>
  <c r="Q251" i="1"/>
  <c r="Q250" i="1"/>
  <c r="Q249" i="1"/>
  <c r="Q248" i="1"/>
  <c r="Q247" i="1"/>
  <c r="Q246" i="1"/>
  <c r="Q245" i="1"/>
  <c r="Q244" i="1"/>
  <c r="Q243" i="1"/>
  <c r="Q242" i="1"/>
  <c r="Q241" i="1"/>
  <c r="Q240" i="1"/>
  <c r="Q239" i="1"/>
  <c r="Q238" i="1"/>
  <c r="Q237" i="1"/>
  <c r="Q236" i="1"/>
  <c r="Q235" i="1"/>
  <c r="Q234" i="1"/>
  <c r="Q233" i="1"/>
  <c r="Q232" i="1"/>
  <c r="Q231" i="1"/>
  <c r="Q230" i="1"/>
  <c r="Q229" i="1"/>
  <c r="Q228" i="1"/>
  <c r="Q227" i="1"/>
  <c r="Q226" i="1"/>
  <c r="Q225" i="1"/>
  <c r="Q224" i="1"/>
  <c r="Q223" i="1"/>
  <c r="Q222" i="1"/>
  <c r="Q221" i="1"/>
  <c r="Q220" i="1"/>
  <c r="Q219" i="1"/>
  <c r="Q218" i="1"/>
  <c r="Q217" i="1"/>
  <c r="Q216" i="1"/>
  <c r="Q215" i="1"/>
  <c r="Q214" i="1"/>
  <c r="Q213" i="1"/>
  <c r="Q212" i="1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AB510" i="6"/>
  <c r="Y510" i="6"/>
  <c r="Q510" i="6"/>
  <c r="N510" i="6"/>
  <c r="K510" i="6"/>
  <c r="J510" i="6"/>
  <c r="I510" i="6"/>
  <c r="Z510" i="6" s="1"/>
  <c r="AD509" i="6"/>
  <c r="AB509" i="6"/>
  <c r="AA509" i="6"/>
  <c r="Z509" i="6"/>
  <c r="X509" i="6"/>
  <c r="W509" i="6"/>
  <c r="V509" i="6"/>
  <c r="T509" i="6"/>
  <c r="S509" i="6"/>
  <c r="R509" i="6"/>
  <c r="P509" i="6"/>
  <c r="O509" i="6"/>
  <c r="N509" i="6"/>
  <c r="L509" i="6"/>
  <c r="K509" i="6"/>
  <c r="J509" i="6"/>
  <c r="I509" i="6"/>
  <c r="Y509" i="6" s="1"/>
  <c r="U508" i="6"/>
  <c r="K508" i="6"/>
  <c r="J508" i="6"/>
  <c r="I508" i="6"/>
  <c r="AB508" i="6" s="1"/>
  <c r="AD507" i="6"/>
  <c r="AB507" i="6"/>
  <c r="AA507" i="6"/>
  <c r="Z507" i="6"/>
  <c r="X507" i="6"/>
  <c r="W507" i="6"/>
  <c r="V507" i="6"/>
  <c r="T507" i="6"/>
  <c r="S507" i="6"/>
  <c r="R507" i="6"/>
  <c r="P507" i="6"/>
  <c r="O507" i="6"/>
  <c r="N507" i="6"/>
  <c r="M507" i="6"/>
  <c r="L507" i="6"/>
  <c r="K507" i="6"/>
  <c r="J507" i="6"/>
  <c r="I507" i="6"/>
  <c r="AC507" i="6" s="1"/>
  <c r="AD506" i="6"/>
  <c r="AB506" i="6"/>
  <c r="Z506" i="6"/>
  <c r="Y506" i="6"/>
  <c r="X506" i="6"/>
  <c r="V506" i="6"/>
  <c r="U506" i="6"/>
  <c r="T506" i="6"/>
  <c r="Q506" i="6"/>
  <c r="P506" i="6"/>
  <c r="N506" i="6"/>
  <c r="M506" i="6"/>
  <c r="L506" i="6"/>
  <c r="K506" i="6"/>
  <c r="J506" i="6"/>
  <c r="I506" i="6"/>
  <c r="AD505" i="6"/>
  <c r="AB505" i="6"/>
  <c r="AA505" i="6"/>
  <c r="Z505" i="6"/>
  <c r="X505" i="6"/>
  <c r="W505" i="6"/>
  <c r="V505" i="6"/>
  <c r="T505" i="6"/>
  <c r="S505" i="6"/>
  <c r="R505" i="6"/>
  <c r="P505" i="6"/>
  <c r="O505" i="6"/>
  <c r="N505" i="6"/>
  <c r="L505" i="6"/>
  <c r="K505" i="6"/>
  <c r="J505" i="6"/>
  <c r="I505" i="6"/>
  <c r="Y505" i="6" s="1"/>
  <c r="AD504" i="6"/>
  <c r="AB504" i="6"/>
  <c r="Y504" i="6"/>
  <c r="U504" i="6"/>
  <c r="T504" i="6"/>
  <c r="Q504" i="6"/>
  <c r="N504" i="6"/>
  <c r="K504" i="6"/>
  <c r="J504" i="6"/>
  <c r="I504" i="6"/>
  <c r="Z504" i="6" s="1"/>
  <c r="AD503" i="6"/>
  <c r="AC503" i="6"/>
  <c r="AB503" i="6"/>
  <c r="AA503" i="6"/>
  <c r="Z503" i="6"/>
  <c r="X503" i="6"/>
  <c r="W503" i="6"/>
  <c r="V503" i="6"/>
  <c r="U503" i="6"/>
  <c r="T503" i="6"/>
  <c r="S503" i="6"/>
  <c r="R503" i="6"/>
  <c r="P503" i="6"/>
  <c r="O503" i="6"/>
  <c r="N503" i="6"/>
  <c r="M503" i="6"/>
  <c r="L503" i="6"/>
  <c r="K503" i="6"/>
  <c r="J503" i="6"/>
  <c r="I503" i="6"/>
  <c r="Y503" i="6" s="1"/>
  <c r="AB502" i="6"/>
  <c r="V502" i="6"/>
  <c r="Q502" i="6"/>
  <c r="L502" i="6"/>
  <c r="K502" i="6"/>
  <c r="J502" i="6"/>
  <c r="I502" i="6"/>
  <c r="Z502" i="6" s="1"/>
  <c r="AD501" i="6"/>
  <c r="AB501" i="6"/>
  <c r="AA501" i="6"/>
  <c r="Z501" i="6"/>
  <c r="X501" i="6"/>
  <c r="W501" i="6"/>
  <c r="V501" i="6"/>
  <c r="T501" i="6"/>
  <c r="S501" i="6"/>
  <c r="R501" i="6"/>
  <c r="P501" i="6"/>
  <c r="O501" i="6"/>
  <c r="N501" i="6"/>
  <c r="L501" i="6"/>
  <c r="K501" i="6"/>
  <c r="J501" i="6"/>
  <c r="I501" i="6"/>
  <c r="Y501" i="6" s="1"/>
  <c r="Z500" i="6"/>
  <c r="V500" i="6"/>
  <c r="U500" i="6"/>
  <c r="P500" i="6"/>
  <c r="L500" i="6"/>
  <c r="K500" i="6"/>
  <c r="J500" i="6"/>
  <c r="I500" i="6"/>
  <c r="AB500" i="6" s="1"/>
  <c r="AD499" i="6"/>
  <c r="AC499" i="6"/>
  <c r="AB499" i="6"/>
  <c r="AA499" i="6"/>
  <c r="Z499" i="6"/>
  <c r="X499" i="6"/>
  <c r="W499" i="6"/>
  <c r="V499" i="6"/>
  <c r="U499" i="6"/>
  <c r="T499" i="6"/>
  <c r="S499" i="6"/>
  <c r="R499" i="6"/>
  <c r="P499" i="6"/>
  <c r="O499" i="6"/>
  <c r="N499" i="6"/>
  <c r="M499" i="6"/>
  <c r="L499" i="6"/>
  <c r="K499" i="6"/>
  <c r="J499" i="6"/>
  <c r="I499" i="6"/>
  <c r="Y499" i="6" s="1"/>
  <c r="AD498" i="6"/>
  <c r="AC498" i="6"/>
  <c r="Y498" i="6"/>
  <c r="U498" i="6"/>
  <c r="T498" i="6"/>
  <c r="P498" i="6"/>
  <c r="L498" i="6"/>
  <c r="K498" i="6"/>
  <c r="J498" i="6"/>
  <c r="I498" i="6"/>
  <c r="Z498" i="6" s="1"/>
  <c r="AB497" i="6"/>
  <c r="Y497" i="6"/>
  <c r="X497" i="6"/>
  <c r="V497" i="6"/>
  <c r="S497" i="6"/>
  <c r="P497" i="6"/>
  <c r="O497" i="6"/>
  <c r="L497" i="6"/>
  <c r="K497" i="6"/>
  <c r="J497" i="6"/>
  <c r="I497" i="6"/>
  <c r="Z497" i="6" s="1"/>
  <c r="AC496" i="6"/>
  <c r="AB496" i="6"/>
  <c r="Y496" i="6"/>
  <c r="W496" i="6"/>
  <c r="V496" i="6"/>
  <c r="T496" i="6"/>
  <c r="R496" i="6"/>
  <c r="P496" i="6"/>
  <c r="N496" i="6"/>
  <c r="M496" i="6"/>
  <c r="K496" i="6"/>
  <c r="J496" i="6"/>
  <c r="I496" i="6"/>
  <c r="X496" i="6" s="1"/>
  <c r="AD495" i="6"/>
  <c r="AC495" i="6"/>
  <c r="AB495" i="6"/>
  <c r="AA495" i="6"/>
  <c r="Z495" i="6"/>
  <c r="X495" i="6"/>
  <c r="W495" i="6"/>
  <c r="V495" i="6"/>
  <c r="U495" i="6"/>
  <c r="T495" i="6"/>
  <c r="S495" i="6"/>
  <c r="R495" i="6"/>
  <c r="P495" i="6"/>
  <c r="O495" i="6"/>
  <c r="N495" i="6"/>
  <c r="M495" i="6"/>
  <c r="L495" i="6"/>
  <c r="K495" i="6"/>
  <c r="J495" i="6"/>
  <c r="I495" i="6"/>
  <c r="Y495" i="6" s="1"/>
  <c r="AC494" i="6"/>
  <c r="AB494" i="6"/>
  <c r="Z494" i="6"/>
  <c r="X494" i="6"/>
  <c r="V494" i="6"/>
  <c r="T494" i="6"/>
  <c r="S494" i="6"/>
  <c r="Q494" i="6"/>
  <c r="N494" i="6"/>
  <c r="M494" i="6"/>
  <c r="K494" i="6"/>
  <c r="J494" i="6"/>
  <c r="I494" i="6"/>
  <c r="Y494" i="6" s="1"/>
  <c r="W493" i="6"/>
  <c r="N493" i="6"/>
  <c r="K493" i="6"/>
  <c r="J493" i="6"/>
  <c r="I493" i="6"/>
  <c r="Z493" i="6" s="1"/>
  <c r="Q492" i="6"/>
  <c r="K492" i="6"/>
  <c r="J492" i="6"/>
  <c r="I492" i="6"/>
  <c r="AD491" i="6"/>
  <c r="AC491" i="6"/>
  <c r="AB491" i="6"/>
  <c r="AA491" i="6"/>
  <c r="Z491" i="6"/>
  <c r="X491" i="6"/>
  <c r="W491" i="6"/>
  <c r="V491" i="6"/>
  <c r="U491" i="6"/>
  <c r="T491" i="6"/>
  <c r="S491" i="6"/>
  <c r="R491" i="6"/>
  <c r="P491" i="6"/>
  <c r="O491" i="6"/>
  <c r="N491" i="6"/>
  <c r="M491" i="6"/>
  <c r="L491" i="6"/>
  <c r="K491" i="6"/>
  <c r="J491" i="6"/>
  <c r="I491" i="6"/>
  <c r="Y491" i="6" s="1"/>
  <c r="AA490" i="6"/>
  <c r="R490" i="6"/>
  <c r="K490" i="6"/>
  <c r="J490" i="6"/>
  <c r="I490" i="6"/>
  <c r="AD489" i="6"/>
  <c r="AB489" i="6"/>
  <c r="Z489" i="6"/>
  <c r="Y489" i="6"/>
  <c r="W489" i="6"/>
  <c r="V489" i="6"/>
  <c r="T489" i="6"/>
  <c r="S489" i="6"/>
  <c r="Q489" i="6"/>
  <c r="P489" i="6"/>
  <c r="N489" i="6"/>
  <c r="L489" i="6"/>
  <c r="K489" i="6"/>
  <c r="J489" i="6"/>
  <c r="I489" i="6"/>
  <c r="X489" i="6" s="1"/>
  <c r="AD488" i="6"/>
  <c r="Y488" i="6"/>
  <c r="U488" i="6"/>
  <c r="P488" i="6"/>
  <c r="L488" i="6"/>
  <c r="K488" i="6"/>
  <c r="J488" i="6"/>
  <c r="I488" i="6"/>
  <c r="X488" i="6" s="1"/>
  <c r="AD487" i="6"/>
  <c r="AC487" i="6"/>
  <c r="AB487" i="6"/>
  <c r="AA487" i="6"/>
  <c r="Z487" i="6"/>
  <c r="X487" i="6"/>
  <c r="W487" i="6"/>
  <c r="V487" i="6"/>
  <c r="U487" i="6"/>
  <c r="T487" i="6"/>
  <c r="S487" i="6"/>
  <c r="R487" i="6"/>
  <c r="P487" i="6"/>
  <c r="O487" i="6"/>
  <c r="N487" i="6"/>
  <c r="M487" i="6"/>
  <c r="L487" i="6"/>
  <c r="K487" i="6"/>
  <c r="J487" i="6"/>
  <c r="I487" i="6"/>
  <c r="Y487" i="6" s="1"/>
  <c r="AD486" i="6"/>
  <c r="Z486" i="6"/>
  <c r="U486" i="6"/>
  <c r="R486" i="6"/>
  <c r="Q486" i="6"/>
  <c r="L486" i="6"/>
  <c r="K486" i="6"/>
  <c r="J486" i="6"/>
  <c r="I486" i="6"/>
  <c r="AD485" i="6"/>
  <c r="Y485" i="6"/>
  <c r="X485" i="6"/>
  <c r="V485" i="6"/>
  <c r="T485" i="6"/>
  <c r="P485" i="6"/>
  <c r="O485" i="6"/>
  <c r="L485" i="6"/>
  <c r="K485" i="6"/>
  <c r="J485" i="6"/>
  <c r="I485" i="6"/>
  <c r="Z485" i="6" s="1"/>
  <c r="AD484" i="6"/>
  <c r="AC484" i="6"/>
  <c r="AB484" i="6"/>
  <c r="Y484" i="6"/>
  <c r="X484" i="6"/>
  <c r="W484" i="6"/>
  <c r="V484" i="6"/>
  <c r="U484" i="6"/>
  <c r="T484" i="6"/>
  <c r="R484" i="6"/>
  <c r="P484" i="6"/>
  <c r="O484" i="6"/>
  <c r="N484" i="6"/>
  <c r="M484" i="6"/>
  <c r="L484" i="6"/>
  <c r="K484" i="6"/>
  <c r="J484" i="6"/>
  <c r="I484" i="6"/>
  <c r="AD483" i="6"/>
  <c r="AC483" i="6"/>
  <c r="AB483" i="6"/>
  <c r="AA483" i="6"/>
  <c r="Z483" i="6"/>
  <c r="X483" i="6"/>
  <c r="W483" i="6"/>
  <c r="V483" i="6"/>
  <c r="U483" i="6"/>
  <c r="T483" i="6"/>
  <c r="S483" i="6"/>
  <c r="R483" i="6"/>
  <c r="P483" i="6"/>
  <c r="O483" i="6"/>
  <c r="N483" i="6"/>
  <c r="M483" i="6"/>
  <c r="L483" i="6"/>
  <c r="K483" i="6"/>
  <c r="J483" i="6"/>
  <c r="I483" i="6"/>
  <c r="Y483" i="6" s="1"/>
  <c r="AD482" i="6"/>
  <c r="AC482" i="6"/>
  <c r="AB482" i="6"/>
  <c r="Z482" i="6"/>
  <c r="Y482" i="6"/>
  <c r="X482" i="6"/>
  <c r="V482" i="6"/>
  <c r="U482" i="6"/>
  <c r="T482" i="6"/>
  <c r="S482" i="6"/>
  <c r="Q482" i="6"/>
  <c r="P482" i="6"/>
  <c r="N482" i="6"/>
  <c r="M482" i="6"/>
  <c r="L482" i="6"/>
  <c r="K482" i="6"/>
  <c r="J482" i="6"/>
  <c r="I482" i="6"/>
  <c r="AD481" i="6"/>
  <c r="AB481" i="6"/>
  <c r="Z481" i="6"/>
  <c r="X481" i="6"/>
  <c r="W481" i="6"/>
  <c r="T481" i="6"/>
  <c r="S481" i="6"/>
  <c r="Q481" i="6"/>
  <c r="O481" i="6"/>
  <c r="N481" i="6"/>
  <c r="K481" i="6"/>
  <c r="J481" i="6"/>
  <c r="I481" i="6"/>
  <c r="Y481" i="6" s="1"/>
  <c r="O480" i="6"/>
  <c r="K480" i="6"/>
  <c r="J480" i="6"/>
  <c r="I480" i="6"/>
  <c r="W480" i="6" s="1"/>
  <c r="AD479" i="6"/>
  <c r="AC479" i="6"/>
  <c r="AB479" i="6"/>
  <c r="AA479" i="6"/>
  <c r="Z479" i="6"/>
  <c r="X479" i="6"/>
  <c r="W479" i="6"/>
  <c r="V479" i="6"/>
  <c r="U479" i="6"/>
  <c r="T479" i="6"/>
  <c r="S479" i="6"/>
  <c r="R479" i="6"/>
  <c r="P479" i="6"/>
  <c r="O479" i="6"/>
  <c r="N479" i="6"/>
  <c r="M479" i="6"/>
  <c r="L479" i="6"/>
  <c r="K479" i="6"/>
  <c r="J479" i="6"/>
  <c r="I479" i="6"/>
  <c r="Y479" i="6" s="1"/>
  <c r="AA478" i="6"/>
  <c r="Y478" i="6"/>
  <c r="S478" i="6"/>
  <c r="R478" i="6"/>
  <c r="L478" i="6"/>
  <c r="K478" i="6"/>
  <c r="J478" i="6"/>
  <c r="I478" i="6"/>
  <c r="AD478" i="6" s="1"/>
  <c r="AB477" i="6"/>
  <c r="AA477" i="6"/>
  <c r="S477" i="6"/>
  <c r="N477" i="6"/>
  <c r="L477" i="6"/>
  <c r="K477" i="6"/>
  <c r="J477" i="6"/>
  <c r="I477" i="6"/>
  <c r="R477" i="6" s="1"/>
  <c r="K476" i="6"/>
  <c r="J476" i="6"/>
  <c r="I476" i="6"/>
  <c r="T476" i="6" s="1"/>
  <c r="AD475" i="6"/>
  <c r="AC475" i="6"/>
  <c r="AB475" i="6"/>
  <c r="AA475" i="6"/>
  <c r="Z475" i="6"/>
  <c r="X475" i="6"/>
  <c r="W475" i="6"/>
  <c r="V475" i="6"/>
  <c r="U475" i="6"/>
  <c r="T475" i="6"/>
  <c r="S475" i="6"/>
  <c r="R475" i="6"/>
  <c r="P475" i="6"/>
  <c r="O475" i="6"/>
  <c r="N475" i="6"/>
  <c r="M475" i="6"/>
  <c r="L475" i="6"/>
  <c r="K475" i="6"/>
  <c r="J475" i="6"/>
  <c r="I475" i="6"/>
  <c r="Y475" i="6" s="1"/>
  <c r="AC474" i="6"/>
  <c r="AA474" i="6"/>
  <c r="Z474" i="6"/>
  <c r="X474" i="6"/>
  <c r="T474" i="6"/>
  <c r="R474" i="6"/>
  <c r="Q474" i="6"/>
  <c r="N474" i="6"/>
  <c r="M474" i="6"/>
  <c r="K474" i="6"/>
  <c r="J474" i="6"/>
  <c r="I474" i="6"/>
  <c r="Z473" i="6"/>
  <c r="R473" i="6"/>
  <c r="L473" i="6"/>
  <c r="K473" i="6"/>
  <c r="J473" i="6"/>
  <c r="I473" i="6"/>
  <c r="Q473" i="6" s="1"/>
  <c r="AD472" i="6"/>
  <c r="AC472" i="6"/>
  <c r="AB472" i="6"/>
  <c r="AA472" i="6"/>
  <c r="Z472" i="6"/>
  <c r="X472" i="6"/>
  <c r="W472" i="6"/>
  <c r="V472" i="6"/>
  <c r="U472" i="6"/>
  <c r="T472" i="6"/>
  <c r="S472" i="6"/>
  <c r="R472" i="6"/>
  <c r="P472" i="6"/>
  <c r="O472" i="6"/>
  <c r="N472" i="6"/>
  <c r="M472" i="6"/>
  <c r="L472" i="6"/>
  <c r="K472" i="6"/>
  <c r="J472" i="6"/>
  <c r="I472" i="6"/>
  <c r="Y472" i="6" s="1"/>
  <c r="AD471" i="6"/>
  <c r="AA471" i="6"/>
  <c r="Y471" i="6"/>
  <c r="X471" i="6"/>
  <c r="S471" i="6"/>
  <c r="Q471" i="6"/>
  <c r="N471" i="6"/>
  <c r="M471" i="6"/>
  <c r="K471" i="6"/>
  <c r="J471" i="6"/>
  <c r="I471" i="6"/>
  <c r="AC471" i="6" s="1"/>
  <c r="AD470" i="6"/>
  <c r="AB470" i="6"/>
  <c r="AA470" i="6"/>
  <c r="Y470" i="6"/>
  <c r="W470" i="6"/>
  <c r="V470" i="6"/>
  <c r="S470" i="6"/>
  <c r="Q470" i="6"/>
  <c r="O470" i="6"/>
  <c r="N470" i="6"/>
  <c r="L470" i="6"/>
  <c r="K470" i="6"/>
  <c r="J470" i="6"/>
  <c r="I470" i="6"/>
  <c r="Z469" i="6"/>
  <c r="M469" i="6"/>
  <c r="K469" i="6"/>
  <c r="J469" i="6"/>
  <c r="I469" i="6"/>
  <c r="R469" i="6" s="1"/>
  <c r="AD468" i="6"/>
  <c r="AC468" i="6"/>
  <c r="AB468" i="6"/>
  <c r="AA468" i="6"/>
  <c r="Z468" i="6"/>
  <c r="X468" i="6"/>
  <c r="W468" i="6"/>
  <c r="V468" i="6"/>
  <c r="U468" i="6"/>
  <c r="T468" i="6"/>
  <c r="S468" i="6"/>
  <c r="R468" i="6"/>
  <c r="P468" i="6"/>
  <c r="O468" i="6"/>
  <c r="N468" i="6"/>
  <c r="M468" i="6"/>
  <c r="L468" i="6"/>
  <c r="K468" i="6"/>
  <c r="J468" i="6"/>
  <c r="I468" i="6"/>
  <c r="Y468" i="6" s="1"/>
  <c r="AB467" i="6"/>
  <c r="AA467" i="6"/>
  <c r="V467" i="6"/>
  <c r="U467" i="6"/>
  <c r="Q467" i="6"/>
  <c r="P467" i="6"/>
  <c r="L467" i="6"/>
  <c r="K467" i="6"/>
  <c r="J467" i="6"/>
  <c r="I467" i="6"/>
  <c r="Y467" i="6" s="1"/>
  <c r="AD466" i="6"/>
  <c r="AB466" i="6"/>
  <c r="Z466" i="6"/>
  <c r="Y466" i="6"/>
  <c r="X466" i="6"/>
  <c r="W466" i="6"/>
  <c r="V466" i="6"/>
  <c r="T466" i="6"/>
  <c r="S466" i="6"/>
  <c r="Q466" i="6"/>
  <c r="P466" i="6"/>
  <c r="O466" i="6"/>
  <c r="N466" i="6"/>
  <c r="L466" i="6"/>
  <c r="K466" i="6"/>
  <c r="J466" i="6"/>
  <c r="I466" i="6"/>
  <c r="AD465" i="6"/>
  <c r="AC465" i="6"/>
  <c r="AB465" i="6"/>
  <c r="Y465" i="6"/>
  <c r="X465" i="6"/>
  <c r="W465" i="6"/>
  <c r="U465" i="6"/>
  <c r="T465" i="6"/>
  <c r="R465" i="6"/>
  <c r="P465" i="6"/>
  <c r="O465" i="6"/>
  <c r="N465" i="6"/>
  <c r="L465" i="6"/>
  <c r="K465" i="6"/>
  <c r="J465" i="6"/>
  <c r="I465" i="6"/>
  <c r="AD464" i="6"/>
  <c r="AC464" i="6"/>
  <c r="AB464" i="6"/>
  <c r="AA464" i="6"/>
  <c r="Z464" i="6"/>
  <c r="X464" i="6"/>
  <c r="W464" i="6"/>
  <c r="V464" i="6"/>
  <c r="U464" i="6"/>
  <c r="T464" i="6"/>
  <c r="S464" i="6"/>
  <c r="R464" i="6"/>
  <c r="P464" i="6"/>
  <c r="O464" i="6"/>
  <c r="N464" i="6"/>
  <c r="M464" i="6"/>
  <c r="L464" i="6"/>
  <c r="K464" i="6"/>
  <c r="J464" i="6"/>
  <c r="I464" i="6"/>
  <c r="Y464" i="6" s="1"/>
  <c r="AD463" i="6"/>
  <c r="AC463" i="6"/>
  <c r="AB463" i="6"/>
  <c r="Z463" i="6"/>
  <c r="Y463" i="6"/>
  <c r="X463" i="6"/>
  <c r="U463" i="6"/>
  <c r="T463" i="6"/>
  <c r="S463" i="6"/>
  <c r="Q463" i="6"/>
  <c r="P463" i="6"/>
  <c r="N463" i="6"/>
  <c r="L463" i="6"/>
  <c r="K463" i="6"/>
  <c r="J463" i="6"/>
  <c r="I463" i="6"/>
  <c r="W462" i="6"/>
  <c r="N462" i="6"/>
  <c r="K462" i="6"/>
  <c r="J462" i="6"/>
  <c r="I462" i="6"/>
  <c r="Z462" i="6" s="1"/>
  <c r="K461" i="6"/>
  <c r="J461" i="6"/>
  <c r="I461" i="6"/>
  <c r="Z461" i="6" s="1"/>
  <c r="AD460" i="6"/>
  <c r="AC460" i="6"/>
  <c r="AB460" i="6"/>
  <c r="AA460" i="6"/>
  <c r="Z460" i="6"/>
  <c r="X460" i="6"/>
  <c r="W460" i="6"/>
  <c r="V460" i="6"/>
  <c r="U460" i="6"/>
  <c r="T460" i="6"/>
  <c r="S460" i="6"/>
  <c r="R460" i="6"/>
  <c r="P460" i="6"/>
  <c r="O460" i="6"/>
  <c r="N460" i="6"/>
  <c r="M460" i="6"/>
  <c r="L460" i="6"/>
  <c r="K460" i="6"/>
  <c r="J460" i="6"/>
  <c r="I460" i="6"/>
  <c r="Y460" i="6" s="1"/>
  <c r="AA459" i="6"/>
  <c r="V459" i="6"/>
  <c r="M459" i="6"/>
  <c r="K459" i="6"/>
  <c r="J459" i="6"/>
  <c r="I459" i="6"/>
  <c r="R459" i="6" s="1"/>
  <c r="Z458" i="6"/>
  <c r="W458" i="6"/>
  <c r="V458" i="6"/>
  <c r="Q458" i="6"/>
  <c r="N458" i="6"/>
  <c r="L458" i="6"/>
  <c r="K458" i="6"/>
  <c r="J458" i="6"/>
  <c r="I458" i="6"/>
  <c r="Y458" i="6" s="1"/>
  <c r="AD457" i="6"/>
  <c r="Y457" i="6"/>
  <c r="U457" i="6"/>
  <c r="P457" i="6"/>
  <c r="L457" i="6"/>
  <c r="K457" i="6"/>
  <c r="J457" i="6"/>
  <c r="I457" i="6"/>
  <c r="X457" i="6" s="1"/>
  <c r="AD456" i="6"/>
  <c r="AC456" i="6"/>
  <c r="AB456" i="6"/>
  <c r="AA456" i="6"/>
  <c r="Z456" i="6"/>
  <c r="X456" i="6"/>
  <c r="W456" i="6"/>
  <c r="V456" i="6"/>
  <c r="U456" i="6"/>
  <c r="T456" i="6"/>
  <c r="S456" i="6"/>
  <c r="R456" i="6"/>
  <c r="P456" i="6"/>
  <c r="O456" i="6"/>
  <c r="N456" i="6"/>
  <c r="M456" i="6"/>
  <c r="L456" i="6"/>
  <c r="K456" i="6"/>
  <c r="J456" i="6"/>
  <c r="I456" i="6"/>
  <c r="Y456" i="6" s="1"/>
  <c r="AD455" i="6"/>
  <c r="U455" i="6"/>
  <c r="M455" i="6"/>
  <c r="L455" i="6"/>
  <c r="K455" i="6"/>
  <c r="J455" i="6"/>
  <c r="I455" i="6"/>
  <c r="R455" i="6" s="1"/>
  <c r="AD454" i="6"/>
  <c r="Z454" i="6"/>
  <c r="Y454" i="6"/>
  <c r="V454" i="6"/>
  <c r="T454" i="6"/>
  <c r="Q454" i="6"/>
  <c r="P454" i="6"/>
  <c r="L454" i="6"/>
  <c r="K454" i="6"/>
  <c r="J454" i="6"/>
  <c r="I454" i="6"/>
  <c r="X454" i="6" s="1"/>
  <c r="AD453" i="6"/>
  <c r="AC453" i="6"/>
  <c r="Y453" i="6"/>
  <c r="X453" i="6"/>
  <c r="V453" i="6"/>
  <c r="U453" i="6"/>
  <c r="T453" i="6"/>
  <c r="P453" i="6"/>
  <c r="O453" i="6"/>
  <c r="M453" i="6"/>
  <c r="L453" i="6"/>
  <c r="K453" i="6"/>
  <c r="J453" i="6"/>
  <c r="I453" i="6"/>
  <c r="W453" i="6" s="1"/>
  <c r="AD452" i="6"/>
  <c r="AC452" i="6"/>
  <c r="AB452" i="6"/>
  <c r="AA452" i="6"/>
  <c r="Z452" i="6"/>
  <c r="X452" i="6"/>
  <c r="W452" i="6"/>
  <c r="V452" i="6"/>
  <c r="U452" i="6"/>
  <c r="T452" i="6"/>
  <c r="S452" i="6"/>
  <c r="R452" i="6"/>
  <c r="P452" i="6"/>
  <c r="O452" i="6"/>
  <c r="N452" i="6"/>
  <c r="M452" i="6"/>
  <c r="L452" i="6"/>
  <c r="K452" i="6"/>
  <c r="J452" i="6"/>
  <c r="I452" i="6"/>
  <c r="Y452" i="6" s="1"/>
  <c r="AD451" i="6"/>
  <c r="AC451" i="6"/>
  <c r="Z451" i="6"/>
  <c r="Y451" i="6"/>
  <c r="V451" i="6"/>
  <c r="U451" i="6"/>
  <c r="T451" i="6"/>
  <c r="Q451" i="6"/>
  <c r="P451" i="6"/>
  <c r="M451" i="6"/>
  <c r="L451" i="6"/>
  <c r="K451" i="6"/>
  <c r="J451" i="6"/>
  <c r="I451" i="6"/>
  <c r="X451" i="6" s="1"/>
  <c r="AD450" i="6"/>
  <c r="AB450" i="6"/>
  <c r="Z450" i="6"/>
  <c r="Y450" i="6"/>
  <c r="X450" i="6"/>
  <c r="V450" i="6"/>
  <c r="T450" i="6"/>
  <c r="S450" i="6"/>
  <c r="Q450" i="6"/>
  <c r="P450" i="6"/>
  <c r="O450" i="6"/>
  <c r="L450" i="6"/>
  <c r="K450" i="6"/>
  <c r="J450" i="6"/>
  <c r="I450" i="6"/>
  <c r="AD449" i="6"/>
  <c r="AC449" i="6"/>
  <c r="AB449" i="6"/>
  <c r="Y449" i="6"/>
  <c r="X449" i="6"/>
  <c r="W449" i="6"/>
  <c r="V449" i="6"/>
  <c r="U449" i="6"/>
  <c r="T449" i="6"/>
  <c r="R449" i="6"/>
  <c r="P449" i="6"/>
  <c r="O449" i="6"/>
  <c r="N449" i="6"/>
  <c r="M449" i="6"/>
  <c r="L449" i="6"/>
  <c r="K449" i="6"/>
  <c r="J449" i="6"/>
  <c r="I449" i="6"/>
  <c r="AD448" i="6"/>
  <c r="AC448" i="6"/>
  <c r="AB448" i="6"/>
  <c r="AA448" i="6"/>
  <c r="Z448" i="6"/>
  <c r="X448" i="6"/>
  <c r="W448" i="6"/>
  <c r="V448" i="6"/>
  <c r="U448" i="6"/>
  <c r="T448" i="6"/>
  <c r="S448" i="6"/>
  <c r="R448" i="6"/>
  <c r="P448" i="6"/>
  <c r="O448" i="6"/>
  <c r="N448" i="6"/>
  <c r="M448" i="6"/>
  <c r="L448" i="6"/>
  <c r="K448" i="6"/>
  <c r="J448" i="6"/>
  <c r="I448" i="6"/>
  <c r="Y448" i="6" s="1"/>
  <c r="AD447" i="6"/>
  <c r="AC447" i="6"/>
  <c r="AB447" i="6"/>
  <c r="Z447" i="6"/>
  <c r="Y447" i="6"/>
  <c r="X447" i="6"/>
  <c r="V447" i="6"/>
  <c r="U447" i="6"/>
  <c r="T447" i="6"/>
  <c r="S447" i="6"/>
  <c r="Q447" i="6"/>
  <c r="P447" i="6"/>
  <c r="N447" i="6"/>
  <c r="M447" i="6"/>
  <c r="L447" i="6"/>
  <c r="K447" i="6"/>
  <c r="J447" i="6"/>
  <c r="I447" i="6"/>
  <c r="AB446" i="6"/>
  <c r="AA446" i="6"/>
  <c r="P446" i="6"/>
  <c r="O446" i="6"/>
  <c r="K446" i="6"/>
  <c r="J446" i="6"/>
  <c r="I446" i="6"/>
  <c r="S446" i="6" s="1"/>
  <c r="AC445" i="6"/>
  <c r="Z445" i="6"/>
  <c r="X445" i="6"/>
  <c r="W445" i="6"/>
  <c r="R445" i="6"/>
  <c r="Q445" i="6"/>
  <c r="N445" i="6"/>
  <c r="M445" i="6"/>
  <c r="K445" i="6"/>
  <c r="J445" i="6"/>
  <c r="I445" i="6"/>
  <c r="AB445" i="6" s="1"/>
  <c r="AD444" i="6"/>
  <c r="AC444" i="6"/>
  <c r="AB444" i="6"/>
  <c r="AA444" i="6"/>
  <c r="Z444" i="6"/>
  <c r="X444" i="6"/>
  <c r="W444" i="6"/>
  <c r="V444" i="6"/>
  <c r="U444" i="6"/>
  <c r="T444" i="6"/>
  <c r="S444" i="6"/>
  <c r="R444" i="6"/>
  <c r="P444" i="6"/>
  <c r="O444" i="6"/>
  <c r="N444" i="6"/>
  <c r="M444" i="6"/>
  <c r="L444" i="6"/>
  <c r="K444" i="6"/>
  <c r="J444" i="6"/>
  <c r="I444" i="6"/>
  <c r="Y444" i="6" s="1"/>
  <c r="AC443" i="6"/>
  <c r="AB443" i="6"/>
  <c r="Y443" i="6"/>
  <c r="X443" i="6"/>
  <c r="V443" i="6"/>
  <c r="S443" i="6"/>
  <c r="R443" i="6"/>
  <c r="P443" i="6"/>
  <c r="M443" i="6"/>
  <c r="K443" i="6"/>
  <c r="J443" i="6"/>
  <c r="I443" i="6"/>
  <c r="AB442" i="6"/>
  <c r="AA442" i="6"/>
  <c r="Q442" i="6"/>
  <c r="O442" i="6"/>
  <c r="K442" i="6"/>
  <c r="J442" i="6"/>
  <c r="I442" i="6"/>
  <c r="R442" i="6" s="1"/>
  <c r="AB441" i="6"/>
  <c r="Z441" i="6"/>
  <c r="P441" i="6"/>
  <c r="N441" i="6"/>
  <c r="K441" i="6"/>
  <c r="J441" i="6"/>
  <c r="I441" i="6"/>
  <c r="AD441" i="6" s="1"/>
  <c r="AD440" i="6"/>
  <c r="AC440" i="6"/>
  <c r="AB440" i="6"/>
  <c r="AA440" i="6"/>
  <c r="Z440" i="6"/>
  <c r="X440" i="6"/>
  <c r="W440" i="6"/>
  <c r="V440" i="6"/>
  <c r="U440" i="6"/>
  <c r="T440" i="6"/>
  <c r="S440" i="6"/>
  <c r="R440" i="6"/>
  <c r="P440" i="6"/>
  <c r="O440" i="6"/>
  <c r="N440" i="6"/>
  <c r="M440" i="6"/>
  <c r="L440" i="6"/>
  <c r="K440" i="6"/>
  <c r="J440" i="6"/>
  <c r="I440" i="6"/>
  <c r="Y440" i="6" s="1"/>
  <c r="V439" i="6"/>
  <c r="U439" i="6"/>
  <c r="K439" i="6"/>
  <c r="J439" i="6"/>
  <c r="I439" i="6"/>
  <c r="AD439" i="6" s="1"/>
  <c r="T438" i="6"/>
  <c r="K438" i="6"/>
  <c r="J438" i="6"/>
  <c r="I438" i="6"/>
  <c r="K437" i="6"/>
  <c r="J437" i="6"/>
  <c r="I437" i="6"/>
  <c r="U437" i="6" s="1"/>
  <c r="AD436" i="6"/>
  <c r="AC436" i="6"/>
  <c r="AB436" i="6"/>
  <c r="AA436" i="6"/>
  <c r="Z436" i="6"/>
  <c r="X436" i="6"/>
  <c r="W436" i="6"/>
  <c r="V436" i="6"/>
  <c r="U436" i="6"/>
  <c r="T436" i="6"/>
  <c r="S436" i="6"/>
  <c r="R436" i="6"/>
  <c r="P436" i="6"/>
  <c r="O436" i="6"/>
  <c r="N436" i="6"/>
  <c r="M436" i="6"/>
  <c r="L436" i="6"/>
  <c r="K436" i="6"/>
  <c r="J436" i="6"/>
  <c r="I436" i="6"/>
  <c r="Y436" i="6" s="1"/>
  <c r="AD435" i="6"/>
  <c r="AA435" i="6"/>
  <c r="Z435" i="6"/>
  <c r="Y435" i="6"/>
  <c r="R435" i="6"/>
  <c r="P435" i="6"/>
  <c r="M435" i="6"/>
  <c r="L435" i="6"/>
  <c r="K435" i="6"/>
  <c r="J435" i="6"/>
  <c r="I435" i="6"/>
  <c r="AC435" i="6" s="1"/>
  <c r="AD434" i="6"/>
  <c r="AB434" i="6"/>
  <c r="Z434" i="6"/>
  <c r="Y434" i="6"/>
  <c r="X434" i="6"/>
  <c r="W434" i="6"/>
  <c r="V434" i="6"/>
  <c r="T434" i="6"/>
  <c r="S434" i="6"/>
  <c r="Q434" i="6"/>
  <c r="P434" i="6"/>
  <c r="O434" i="6"/>
  <c r="N434" i="6"/>
  <c r="L434" i="6"/>
  <c r="K434" i="6"/>
  <c r="J434" i="6"/>
  <c r="I434" i="6"/>
  <c r="AC433" i="6"/>
  <c r="Z433" i="6"/>
  <c r="U433" i="6"/>
  <c r="R433" i="6"/>
  <c r="P433" i="6"/>
  <c r="K433" i="6"/>
  <c r="J433" i="6"/>
  <c r="I433" i="6"/>
  <c r="Q433" i="6" s="1"/>
  <c r="AD432" i="6"/>
  <c r="AC432" i="6"/>
  <c r="AB432" i="6"/>
  <c r="AA432" i="6"/>
  <c r="Z432" i="6"/>
  <c r="X432" i="6"/>
  <c r="W432" i="6"/>
  <c r="V432" i="6"/>
  <c r="U432" i="6"/>
  <c r="T432" i="6"/>
  <c r="S432" i="6"/>
  <c r="R432" i="6"/>
  <c r="P432" i="6"/>
  <c r="O432" i="6"/>
  <c r="N432" i="6"/>
  <c r="M432" i="6"/>
  <c r="L432" i="6"/>
  <c r="K432" i="6"/>
  <c r="J432" i="6"/>
  <c r="I432" i="6"/>
  <c r="Y432" i="6" s="1"/>
  <c r="AC431" i="6"/>
  <c r="AA431" i="6"/>
  <c r="S431" i="6"/>
  <c r="Q431" i="6"/>
  <c r="P431" i="6"/>
  <c r="K431" i="6"/>
  <c r="J431" i="6"/>
  <c r="I431" i="6"/>
  <c r="Y431" i="6" s="1"/>
  <c r="AB430" i="6"/>
  <c r="AA430" i="6"/>
  <c r="Y430" i="6"/>
  <c r="V430" i="6"/>
  <c r="T430" i="6"/>
  <c r="R430" i="6"/>
  <c r="P430" i="6"/>
  <c r="O430" i="6"/>
  <c r="K430" i="6"/>
  <c r="J430" i="6"/>
  <c r="I430" i="6"/>
  <c r="Q429" i="6"/>
  <c r="K429" i="6"/>
  <c r="J429" i="6"/>
  <c r="I429" i="6"/>
  <c r="V429" i="6" s="1"/>
  <c r="AD428" i="6"/>
  <c r="AC428" i="6"/>
  <c r="AB428" i="6"/>
  <c r="AA428" i="6"/>
  <c r="Z428" i="6"/>
  <c r="X428" i="6"/>
  <c r="W428" i="6"/>
  <c r="V428" i="6"/>
  <c r="U428" i="6"/>
  <c r="T428" i="6"/>
  <c r="S428" i="6"/>
  <c r="R428" i="6"/>
  <c r="P428" i="6"/>
  <c r="O428" i="6"/>
  <c r="N428" i="6"/>
  <c r="M428" i="6"/>
  <c r="L428" i="6"/>
  <c r="K428" i="6"/>
  <c r="J428" i="6"/>
  <c r="I428" i="6"/>
  <c r="Y428" i="6" s="1"/>
  <c r="Z427" i="6"/>
  <c r="Y427" i="6"/>
  <c r="R427" i="6"/>
  <c r="P427" i="6"/>
  <c r="K427" i="6"/>
  <c r="J427" i="6"/>
  <c r="I427" i="6"/>
  <c r="S427" i="6" s="1"/>
  <c r="AA426" i="6"/>
  <c r="Z426" i="6"/>
  <c r="S426" i="6"/>
  <c r="Q426" i="6"/>
  <c r="O426" i="6"/>
  <c r="K426" i="6"/>
  <c r="J426" i="6"/>
  <c r="I426" i="6"/>
  <c r="T426" i="6" s="1"/>
  <c r="Z425" i="6"/>
  <c r="Y425" i="6"/>
  <c r="Q425" i="6"/>
  <c r="P425" i="6"/>
  <c r="K425" i="6"/>
  <c r="J425" i="6"/>
  <c r="I425" i="6"/>
  <c r="U425" i="6" s="1"/>
  <c r="AD424" i="6"/>
  <c r="AC424" i="6"/>
  <c r="AB424" i="6"/>
  <c r="AA424" i="6"/>
  <c r="Z424" i="6"/>
  <c r="X424" i="6"/>
  <c r="W424" i="6"/>
  <c r="V424" i="6"/>
  <c r="U424" i="6"/>
  <c r="T424" i="6"/>
  <c r="S424" i="6"/>
  <c r="R424" i="6"/>
  <c r="P424" i="6"/>
  <c r="O424" i="6"/>
  <c r="N424" i="6"/>
  <c r="M424" i="6"/>
  <c r="L424" i="6"/>
  <c r="K424" i="6"/>
  <c r="J424" i="6"/>
  <c r="I424" i="6"/>
  <c r="Y424" i="6" s="1"/>
  <c r="AD423" i="6"/>
  <c r="AB423" i="6"/>
  <c r="Z423" i="6"/>
  <c r="Y423" i="6"/>
  <c r="X423" i="6"/>
  <c r="U423" i="6"/>
  <c r="T423" i="6"/>
  <c r="S423" i="6"/>
  <c r="Q423" i="6"/>
  <c r="P423" i="6"/>
  <c r="N423" i="6"/>
  <c r="L423" i="6"/>
  <c r="K423" i="6"/>
  <c r="J423" i="6"/>
  <c r="I423" i="6"/>
  <c r="AA422" i="6"/>
  <c r="X422" i="6"/>
  <c r="S422" i="6"/>
  <c r="R422" i="6"/>
  <c r="K422" i="6"/>
  <c r="J422" i="6"/>
  <c r="I422" i="6"/>
  <c r="T422" i="6" s="1"/>
  <c r="AA421" i="6"/>
  <c r="Y421" i="6"/>
  <c r="S421" i="6"/>
  <c r="O421" i="6"/>
  <c r="L421" i="6"/>
  <c r="K421" i="6"/>
  <c r="J421" i="6"/>
  <c r="I421" i="6"/>
  <c r="Q421" i="6" s="1"/>
  <c r="AD420" i="6"/>
  <c r="AC420" i="6"/>
  <c r="Z420" i="6"/>
  <c r="Y420" i="6"/>
  <c r="W420" i="6"/>
  <c r="V420" i="6"/>
  <c r="R420" i="6"/>
  <c r="Q420" i="6"/>
  <c r="O420" i="6"/>
  <c r="N420" i="6"/>
  <c r="M420" i="6"/>
  <c r="K420" i="6"/>
  <c r="J420" i="6"/>
  <c r="I420" i="6"/>
  <c r="AC419" i="6"/>
  <c r="AB419" i="6"/>
  <c r="AA419" i="6"/>
  <c r="X419" i="6"/>
  <c r="W419" i="6"/>
  <c r="U419" i="6"/>
  <c r="T419" i="6"/>
  <c r="S419" i="6"/>
  <c r="P419" i="6"/>
  <c r="O419" i="6"/>
  <c r="M419" i="6"/>
  <c r="L419" i="6"/>
  <c r="K419" i="6"/>
  <c r="J419" i="6"/>
  <c r="I419" i="6"/>
  <c r="Z419" i="6" s="1"/>
  <c r="AA418" i="6"/>
  <c r="V418" i="6"/>
  <c r="N418" i="6"/>
  <c r="K418" i="6"/>
  <c r="J418" i="6"/>
  <c r="I418" i="6"/>
  <c r="S418" i="6" s="1"/>
  <c r="Y417" i="6"/>
  <c r="X417" i="6"/>
  <c r="W417" i="6"/>
  <c r="S417" i="6"/>
  <c r="Q417" i="6"/>
  <c r="L417" i="6"/>
  <c r="K417" i="6"/>
  <c r="J417" i="6"/>
  <c r="I417" i="6"/>
  <c r="AB417" i="6" s="1"/>
  <c r="AD416" i="6"/>
  <c r="AC416" i="6"/>
  <c r="W416" i="6"/>
  <c r="V416" i="6"/>
  <c r="Q416" i="6"/>
  <c r="O416" i="6"/>
  <c r="K416" i="6"/>
  <c r="J416" i="6"/>
  <c r="I416" i="6"/>
  <c r="R416" i="6" s="1"/>
  <c r="AC415" i="6"/>
  <c r="AB415" i="6"/>
  <c r="AA415" i="6"/>
  <c r="X415" i="6"/>
  <c r="W415" i="6"/>
  <c r="U415" i="6"/>
  <c r="T415" i="6"/>
  <c r="S415" i="6"/>
  <c r="P415" i="6"/>
  <c r="O415" i="6"/>
  <c r="M415" i="6"/>
  <c r="L415" i="6"/>
  <c r="K415" i="6"/>
  <c r="J415" i="6"/>
  <c r="I415" i="6"/>
  <c r="Z415" i="6" s="1"/>
  <c r="AA414" i="6"/>
  <c r="Z414" i="6"/>
  <c r="V414" i="6"/>
  <c r="U414" i="6"/>
  <c r="Q414" i="6"/>
  <c r="O414" i="6"/>
  <c r="K414" i="6"/>
  <c r="J414" i="6"/>
  <c r="I414" i="6"/>
  <c r="AC414" i="6" s="1"/>
  <c r="AB413" i="6"/>
  <c r="AA413" i="6"/>
  <c r="W413" i="6"/>
  <c r="U413" i="6"/>
  <c r="T413" i="6"/>
  <c r="Q413" i="6"/>
  <c r="P413" i="6"/>
  <c r="L413" i="6"/>
  <c r="K413" i="6"/>
  <c r="J413" i="6"/>
  <c r="I413" i="6"/>
  <c r="Y413" i="6" s="1"/>
  <c r="W412" i="6"/>
  <c r="S412" i="6"/>
  <c r="N412" i="6"/>
  <c r="M412" i="6"/>
  <c r="K412" i="6"/>
  <c r="J412" i="6"/>
  <c r="I412" i="6"/>
  <c r="R412" i="6" s="1"/>
  <c r="T411" i="6"/>
  <c r="S411" i="6"/>
  <c r="K411" i="6"/>
  <c r="J411" i="6"/>
  <c r="I411" i="6"/>
  <c r="X411" i="6" s="1"/>
  <c r="AA410" i="6"/>
  <c r="Z410" i="6"/>
  <c r="Y410" i="6"/>
  <c r="W410" i="6"/>
  <c r="V410" i="6"/>
  <c r="U410" i="6"/>
  <c r="Q410" i="6"/>
  <c r="O410" i="6"/>
  <c r="N410" i="6"/>
  <c r="M410" i="6"/>
  <c r="K410" i="6"/>
  <c r="J410" i="6"/>
  <c r="I410" i="6"/>
  <c r="AC410" i="6" s="1"/>
  <c r="AB409" i="6"/>
  <c r="AA409" i="6"/>
  <c r="Y409" i="6"/>
  <c r="X409" i="6"/>
  <c r="W409" i="6"/>
  <c r="U409" i="6"/>
  <c r="T409" i="6"/>
  <c r="Q409" i="6"/>
  <c r="P409" i="6"/>
  <c r="O409" i="6"/>
  <c r="M409" i="6"/>
  <c r="L409" i="6"/>
  <c r="K409" i="6"/>
  <c r="J409" i="6"/>
  <c r="I409" i="6"/>
  <c r="AC408" i="6"/>
  <c r="AA408" i="6"/>
  <c r="Y408" i="6"/>
  <c r="S408" i="6"/>
  <c r="R408" i="6"/>
  <c r="Q408" i="6"/>
  <c r="M408" i="6"/>
  <c r="K408" i="6"/>
  <c r="J408" i="6"/>
  <c r="I408" i="6"/>
  <c r="AD408" i="6" s="1"/>
  <c r="AC407" i="6"/>
  <c r="AB407" i="6"/>
  <c r="Y407" i="6"/>
  <c r="T407" i="6"/>
  <c r="S407" i="6"/>
  <c r="Q407" i="6"/>
  <c r="O407" i="6"/>
  <c r="M407" i="6"/>
  <c r="K407" i="6"/>
  <c r="J407" i="6"/>
  <c r="I407" i="6"/>
  <c r="AA406" i="6"/>
  <c r="U406" i="6"/>
  <c r="S406" i="6"/>
  <c r="K406" i="6"/>
  <c r="J406" i="6"/>
  <c r="I406" i="6"/>
  <c r="V406" i="6" s="1"/>
  <c r="AB405" i="6"/>
  <c r="AA405" i="6"/>
  <c r="W405" i="6"/>
  <c r="U405" i="6"/>
  <c r="T405" i="6"/>
  <c r="Q405" i="6"/>
  <c r="P405" i="6"/>
  <c r="L405" i="6"/>
  <c r="K405" i="6"/>
  <c r="J405" i="6"/>
  <c r="I405" i="6"/>
  <c r="Y405" i="6" s="1"/>
  <c r="R404" i="6"/>
  <c r="N404" i="6"/>
  <c r="K404" i="6"/>
  <c r="J404" i="6"/>
  <c r="I404" i="6"/>
  <c r="V404" i="6" s="1"/>
  <c r="K403" i="6"/>
  <c r="J403" i="6"/>
  <c r="I403" i="6"/>
  <c r="T403" i="6" s="1"/>
  <c r="AA402" i="6"/>
  <c r="Z402" i="6"/>
  <c r="Y402" i="6"/>
  <c r="W402" i="6"/>
  <c r="V402" i="6"/>
  <c r="U402" i="6"/>
  <c r="Q402" i="6"/>
  <c r="O402" i="6"/>
  <c r="N402" i="6"/>
  <c r="M402" i="6"/>
  <c r="K402" i="6"/>
  <c r="J402" i="6"/>
  <c r="I402" i="6"/>
  <c r="AC402" i="6" s="1"/>
  <c r="AB401" i="6"/>
  <c r="AA401" i="6"/>
  <c r="Y401" i="6"/>
  <c r="X401" i="6"/>
  <c r="W401" i="6"/>
  <c r="U401" i="6"/>
  <c r="T401" i="6"/>
  <c r="Q401" i="6"/>
  <c r="P401" i="6"/>
  <c r="O401" i="6"/>
  <c r="M401" i="6"/>
  <c r="L401" i="6"/>
  <c r="K401" i="6"/>
  <c r="J401" i="6"/>
  <c r="I401" i="6"/>
  <c r="AD400" i="6"/>
  <c r="AA400" i="6"/>
  <c r="Y400" i="6"/>
  <c r="R400" i="6"/>
  <c r="Q400" i="6"/>
  <c r="N400" i="6"/>
  <c r="K400" i="6"/>
  <c r="J400" i="6"/>
  <c r="I400" i="6"/>
  <c r="S400" i="6" s="1"/>
  <c r="S399" i="6"/>
  <c r="Q399" i="6"/>
  <c r="K399" i="6"/>
  <c r="J399" i="6"/>
  <c r="I399" i="6"/>
  <c r="T399" i="6" s="1"/>
  <c r="K398" i="6"/>
  <c r="J398" i="6"/>
  <c r="I398" i="6"/>
  <c r="V398" i="6" s="1"/>
  <c r="AB397" i="6"/>
  <c r="AA397" i="6"/>
  <c r="W397" i="6"/>
  <c r="U397" i="6"/>
  <c r="T397" i="6"/>
  <c r="Q397" i="6"/>
  <c r="P397" i="6"/>
  <c r="L397" i="6"/>
  <c r="K397" i="6"/>
  <c r="J397" i="6"/>
  <c r="I397" i="6"/>
  <c r="Y397" i="6" s="1"/>
  <c r="V396" i="6"/>
  <c r="K396" i="6"/>
  <c r="J396" i="6"/>
  <c r="I396" i="6"/>
  <c r="S396" i="6" s="1"/>
  <c r="AC395" i="6"/>
  <c r="S395" i="6"/>
  <c r="M395" i="6"/>
  <c r="L395" i="6"/>
  <c r="K395" i="6"/>
  <c r="J395" i="6"/>
  <c r="I395" i="6"/>
  <c r="T395" i="6" s="1"/>
  <c r="AA394" i="6"/>
  <c r="Z394" i="6"/>
  <c r="Y394" i="6"/>
  <c r="W394" i="6"/>
  <c r="V394" i="6"/>
  <c r="U394" i="6"/>
  <c r="Q394" i="6"/>
  <c r="O394" i="6"/>
  <c r="N394" i="6"/>
  <c r="M394" i="6"/>
  <c r="K394" i="6"/>
  <c r="J394" i="6"/>
  <c r="I394" i="6"/>
  <c r="AC394" i="6" s="1"/>
  <c r="AB393" i="6"/>
  <c r="AA393" i="6"/>
  <c r="Y393" i="6"/>
  <c r="X393" i="6"/>
  <c r="W393" i="6"/>
  <c r="U393" i="6"/>
  <c r="T393" i="6"/>
  <c r="Q393" i="6"/>
  <c r="P393" i="6"/>
  <c r="O393" i="6"/>
  <c r="M393" i="6"/>
  <c r="L393" i="6"/>
  <c r="K393" i="6"/>
  <c r="J393" i="6"/>
  <c r="I393" i="6"/>
  <c r="AD392" i="6"/>
  <c r="AC392" i="6"/>
  <c r="Z392" i="6"/>
  <c r="Y392" i="6"/>
  <c r="W392" i="6"/>
  <c r="R392" i="6"/>
  <c r="Q392" i="6"/>
  <c r="O392" i="6"/>
  <c r="M392" i="6"/>
  <c r="K392" i="6"/>
  <c r="J392" i="6"/>
  <c r="I392" i="6"/>
  <c r="AA392" i="6" s="1"/>
  <c r="AC391" i="6"/>
  <c r="AB391" i="6"/>
  <c r="X391" i="6"/>
  <c r="S391" i="6"/>
  <c r="P391" i="6"/>
  <c r="O391" i="6"/>
  <c r="K391" i="6"/>
  <c r="J391" i="6"/>
  <c r="I391" i="6"/>
  <c r="Q391" i="6" s="1"/>
  <c r="AD390" i="6"/>
  <c r="AA390" i="6"/>
  <c r="Z390" i="6"/>
  <c r="S390" i="6"/>
  <c r="R390" i="6"/>
  <c r="Q390" i="6"/>
  <c r="K390" i="6"/>
  <c r="J390" i="6"/>
  <c r="I390" i="6"/>
  <c r="U390" i="6" s="1"/>
  <c r="AB389" i="6"/>
  <c r="AA389" i="6"/>
  <c r="W389" i="6"/>
  <c r="T389" i="6"/>
  <c r="S389" i="6"/>
  <c r="Q389" i="6"/>
  <c r="L389" i="6"/>
  <c r="K389" i="6"/>
  <c r="J389" i="6"/>
  <c r="I389" i="6"/>
  <c r="AC389" i="6" s="1"/>
  <c r="AD388" i="6"/>
  <c r="AC388" i="6"/>
  <c r="S388" i="6"/>
  <c r="N388" i="6"/>
  <c r="M388" i="6"/>
  <c r="K388" i="6"/>
  <c r="J388" i="6"/>
  <c r="I388" i="6"/>
  <c r="U388" i="6" s="1"/>
  <c r="K387" i="6"/>
  <c r="J387" i="6"/>
  <c r="I387" i="6"/>
  <c r="T387" i="6" s="1"/>
  <c r="AA386" i="6"/>
  <c r="Z386" i="6"/>
  <c r="Y386" i="6"/>
  <c r="W386" i="6"/>
  <c r="V386" i="6"/>
  <c r="U386" i="6"/>
  <c r="Q386" i="6"/>
  <c r="O386" i="6"/>
  <c r="N386" i="6"/>
  <c r="M386" i="6"/>
  <c r="K386" i="6"/>
  <c r="J386" i="6"/>
  <c r="I386" i="6"/>
  <c r="AC386" i="6" s="1"/>
  <c r="AB385" i="6"/>
  <c r="AA385" i="6"/>
  <c r="Y385" i="6"/>
  <c r="X385" i="6"/>
  <c r="W385" i="6"/>
  <c r="U385" i="6"/>
  <c r="T385" i="6"/>
  <c r="Q385" i="6"/>
  <c r="P385" i="6"/>
  <c r="O385" i="6"/>
  <c r="M385" i="6"/>
  <c r="L385" i="6"/>
  <c r="K385" i="6"/>
  <c r="J385" i="6"/>
  <c r="I385" i="6"/>
  <c r="AD384" i="6"/>
  <c r="AA384" i="6"/>
  <c r="Z384" i="6"/>
  <c r="Q384" i="6"/>
  <c r="N384" i="6"/>
  <c r="M384" i="6"/>
  <c r="K384" i="6"/>
  <c r="J384" i="6"/>
  <c r="I384" i="6"/>
  <c r="R384" i="6" s="1"/>
  <c r="AC383" i="6"/>
  <c r="AB383" i="6"/>
  <c r="Y383" i="6"/>
  <c r="X383" i="6"/>
  <c r="Q383" i="6"/>
  <c r="P383" i="6"/>
  <c r="O383" i="6"/>
  <c r="K383" i="6"/>
  <c r="J383" i="6"/>
  <c r="I383" i="6"/>
  <c r="S383" i="6" s="1"/>
  <c r="AC382" i="6"/>
  <c r="AA382" i="6"/>
  <c r="Z382" i="6"/>
  <c r="U382" i="6"/>
  <c r="S382" i="6"/>
  <c r="R382" i="6"/>
  <c r="O382" i="6"/>
  <c r="K382" i="6"/>
  <c r="J382" i="6"/>
  <c r="I382" i="6"/>
  <c r="AD382" i="6" s="1"/>
  <c r="AC381" i="6"/>
  <c r="AB381" i="6"/>
  <c r="S381" i="6"/>
  <c r="P381" i="6"/>
  <c r="L381" i="6"/>
  <c r="K381" i="6"/>
  <c r="J381" i="6"/>
  <c r="I381" i="6"/>
  <c r="T381" i="6" s="1"/>
  <c r="K380" i="6"/>
  <c r="J380" i="6"/>
  <c r="I380" i="6"/>
  <c r="U380" i="6" s="1"/>
  <c r="S379" i="6"/>
  <c r="O379" i="6"/>
  <c r="K379" i="6"/>
  <c r="J379" i="6"/>
  <c r="I379" i="6"/>
  <c r="T379" i="6" s="1"/>
  <c r="AA378" i="6"/>
  <c r="Z378" i="6"/>
  <c r="Y378" i="6"/>
  <c r="W378" i="6"/>
  <c r="V378" i="6"/>
  <c r="U378" i="6"/>
  <c r="Q378" i="6"/>
  <c r="O378" i="6"/>
  <c r="N378" i="6"/>
  <c r="M378" i="6"/>
  <c r="K378" i="6"/>
  <c r="J378" i="6"/>
  <c r="I378" i="6"/>
  <c r="AC378" i="6" s="1"/>
  <c r="AB377" i="6"/>
  <c r="AA377" i="6"/>
  <c r="Z377" i="6"/>
  <c r="X377" i="6"/>
  <c r="W377" i="6"/>
  <c r="Q377" i="6"/>
  <c r="P377" i="6"/>
  <c r="O377" i="6"/>
  <c r="K377" i="6"/>
  <c r="J377" i="6"/>
  <c r="I377" i="6"/>
  <c r="R377" i="6" s="1"/>
  <c r="K376" i="6"/>
  <c r="J376" i="6"/>
  <c r="I376" i="6"/>
  <c r="U376" i="6" s="1"/>
  <c r="K375" i="6"/>
  <c r="J375" i="6"/>
  <c r="I375" i="6"/>
  <c r="AD374" i="6"/>
  <c r="AB374" i="6"/>
  <c r="AA374" i="6"/>
  <c r="Z374" i="6"/>
  <c r="Y374" i="6"/>
  <c r="V374" i="6"/>
  <c r="U374" i="6"/>
  <c r="T374" i="6"/>
  <c r="R374" i="6"/>
  <c r="Q374" i="6"/>
  <c r="O374" i="6"/>
  <c r="M374" i="6"/>
  <c r="L374" i="6"/>
  <c r="K374" i="6"/>
  <c r="J374" i="6"/>
  <c r="I374" i="6"/>
  <c r="AC373" i="6"/>
  <c r="AB373" i="6"/>
  <c r="Z373" i="6"/>
  <c r="Y373" i="6"/>
  <c r="X373" i="6"/>
  <c r="W373" i="6"/>
  <c r="U373" i="6"/>
  <c r="T373" i="6"/>
  <c r="S373" i="6"/>
  <c r="Q373" i="6"/>
  <c r="P373" i="6"/>
  <c r="O373" i="6"/>
  <c r="M373" i="6"/>
  <c r="L373" i="6"/>
  <c r="K373" i="6"/>
  <c r="J373" i="6"/>
  <c r="I373" i="6"/>
  <c r="AC372" i="6"/>
  <c r="Z372" i="6"/>
  <c r="Y372" i="6"/>
  <c r="U372" i="6"/>
  <c r="R372" i="6"/>
  <c r="P372" i="6"/>
  <c r="O372" i="6"/>
  <c r="K372" i="6"/>
  <c r="J372" i="6"/>
  <c r="I372" i="6"/>
  <c r="AA372" i="6" s="1"/>
  <c r="AD371" i="6"/>
  <c r="AB371" i="6"/>
  <c r="AA371" i="6"/>
  <c r="X371" i="6"/>
  <c r="V371" i="6"/>
  <c r="U371" i="6"/>
  <c r="T371" i="6"/>
  <c r="Q371" i="6"/>
  <c r="O371" i="6"/>
  <c r="N371" i="6"/>
  <c r="L371" i="6"/>
  <c r="K371" i="6"/>
  <c r="J371" i="6"/>
  <c r="I371" i="6"/>
  <c r="W371" i="6" s="1"/>
  <c r="K370" i="6"/>
  <c r="J370" i="6"/>
  <c r="I370" i="6"/>
  <c r="K369" i="6"/>
  <c r="J369" i="6"/>
  <c r="I369" i="6"/>
  <c r="AC369" i="6" s="1"/>
  <c r="Z368" i="6"/>
  <c r="Y368" i="6"/>
  <c r="X368" i="6"/>
  <c r="V368" i="6"/>
  <c r="U368" i="6"/>
  <c r="P368" i="6"/>
  <c r="O368" i="6"/>
  <c r="N368" i="6"/>
  <c r="K368" i="6"/>
  <c r="J368" i="6"/>
  <c r="I368" i="6"/>
  <c r="AA368" i="6" s="1"/>
  <c r="AC367" i="6"/>
  <c r="AA367" i="6"/>
  <c r="X367" i="6"/>
  <c r="V367" i="6"/>
  <c r="S367" i="6"/>
  <c r="Q367" i="6"/>
  <c r="N367" i="6"/>
  <c r="M367" i="6"/>
  <c r="K367" i="6"/>
  <c r="J367" i="6"/>
  <c r="I367" i="6"/>
  <c r="Y367" i="6" s="1"/>
  <c r="AA366" i="6"/>
  <c r="Z366" i="6"/>
  <c r="T366" i="6"/>
  <c r="R366" i="6"/>
  <c r="Q366" i="6"/>
  <c r="K366" i="6"/>
  <c r="J366" i="6"/>
  <c r="I366" i="6"/>
  <c r="AD365" i="6"/>
  <c r="X365" i="6"/>
  <c r="V365" i="6"/>
  <c r="U365" i="6"/>
  <c r="O365" i="6"/>
  <c r="M365" i="6"/>
  <c r="L365" i="6"/>
  <c r="K365" i="6"/>
  <c r="J365" i="6"/>
  <c r="I365" i="6"/>
  <c r="Y365" i="6" s="1"/>
  <c r="AD364" i="6"/>
  <c r="AC364" i="6"/>
  <c r="AB364" i="6"/>
  <c r="AA364" i="6"/>
  <c r="Z364" i="6"/>
  <c r="X364" i="6"/>
  <c r="W364" i="6"/>
  <c r="V364" i="6"/>
  <c r="U364" i="6"/>
  <c r="T364" i="6"/>
  <c r="S364" i="6"/>
  <c r="R364" i="6"/>
  <c r="P364" i="6"/>
  <c r="O364" i="6"/>
  <c r="N364" i="6"/>
  <c r="M364" i="6"/>
  <c r="L364" i="6"/>
  <c r="K364" i="6"/>
  <c r="J364" i="6"/>
  <c r="I364" i="6"/>
  <c r="Y364" i="6" s="1"/>
  <c r="AD363" i="6"/>
  <c r="Y363" i="6"/>
  <c r="V363" i="6"/>
  <c r="U363" i="6"/>
  <c r="P363" i="6"/>
  <c r="M363" i="6"/>
  <c r="L363" i="6"/>
  <c r="K363" i="6"/>
  <c r="J363" i="6"/>
  <c r="I363" i="6"/>
  <c r="Z363" i="6" s="1"/>
  <c r="AD362" i="6"/>
  <c r="AB362" i="6"/>
  <c r="Z362" i="6"/>
  <c r="Y362" i="6"/>
  <c r="X362" i="6"/>
  <c r="V362" i="6"/>
  <c r="T362" i="6"/>
  <c r="S362" i="6"/>
  <c r="Q362" i="6"/>
  <c r="P362" i="6"/>
  <c r="O362" i="6"/>
  <c r="L362" i="6"/>
  <c r="K362" i="6"/>
  <c r="J362" i="6"/>
  <c r="I362" i="6"/>
  <c r="W362" i="6" s="1"/>
  <c r="AD361" i="6"/>
  <c r="AC361" i="6"/>
  <c r="AB361" i="6"/>
  <c r="Y361" i="6"/>
  <c r="X361" i="6"/>
  <c r="W361" i="6"/>
  <c r="V361" i="6"/>
  <c r="U361" i="6"/>
  <c r="T361" i="6"/>
  <c r="R361" i="6"/>
  <c r="P361" i="6"/>
  <c r="O361" i="6"/>
  <c r="N361" i="6"/>
  <c r="M361" i="6"/>
  <c r="L361" i="6"/>
  <c r="K361" i="6"/>
  <c r="J361" i="6"/>
  <c r="I361" i="6"/>
  <c r="AD360" i="6"/>
  <c r="AC360" i="6"/>
  <c r="AB360" i="6"/>
  <c r="AA360" i="6"/>
  <c r="Z360" i="6"/>
  <c r="X360" i="6"/>
  <c r="W360" i="6"/>
  <c r="V360" i="6"/>
  <c r="U360" i="6"/>
  <c r="T360" i="6"/>
  <c r="S360" i="6"/>
  <c r="R360" i="6"/>
  <c r="P360" i="6"/>
  <c r="O360" i="6"/>
  <c r="N360" i="6"/>
  <c r="M360" i="6"/>
  <c r="L360" i="6"/>
  <c r="K360" i="6"/>
  <c r="J360" i="6"/>
  <c r="I360" i="6"/>
  <c r="Y360" i="6" s="1"/>
  <c r="AD359" i="6"/>
  <c r="AC359" i="6"/>
  <c r="AB359" i="6"/>
  <c r="Z359" i="6"/>
  <c r="Y359" i="6"/>
  <c r="X359" i="6"/>
  <c r="V359" i="6"/>
  <c r="U359" i="6"/>
  <c r="T359" i="6"/>
  <c r="S359" i="6"/>
  <c r="Q359" i="6"/>
  <c r="P359" i="6"/>
  <c r="N359" i="6"/>
  <c r="M359" i="6"/>
  <c r="L359" i="6"/>
  <c r="K359" i="6"/>
  <c r="J359" i="6"/>
  <c r="I359" i="6"/>
  <c r="X358" i="6"/>
  <c r="O358" i="6"/>
  <c r="K358" i="6"/>
  <c r="J358" i="6"/>
  <c r="I358" i="6"/>
  <c r="T358" i="6" s="1"/>
  <c r="AC357" i="6"/>
  <c r="X357" i="6"/>
  <c r="V357" i="6"/>
  <c r="T357" i="6"/>
  <c r="O357" i="6"/>
  <c r="M357" i="6"/>
  <c r="K357" i="6"/>
  <c r="I357" i="6"/>
  <c r="W356" i="6"/>
  <c r="Q356" i="6"/>
  <c r="N356" i="6"/>
  <c r="J356" i="6"/>
  <c r="I356" i="6"/>
  <c r="V356" i="6" s="1"/>
  <c r="AD355" i="6"/>
  <c r="AB355" i="6"/>
  <c r="Z355" i="6"/>
  <c r="Y355" i="6"/>
  <c r="X355" i="6"/>
  <c r="V355" i="6"/>
  <c r="T355" i="6"/>
  <c r="S355" i="6"/>
  <c r="Q355" i="6"/>
  <c r="P355" i="6"/>
  <c r="O355" i="6"/>
  <c r="L355" i="6"/>
  <c r="K355" i="6"/>
  <c r="J355" i="6"/>
  <c r="I355" i="6"/>
  <c r="W355" i="6" s="1"/>
  <c r="AD354" i="6"/>
  <c r="AC354" i="6"/>
  <c r="AB354" i="6"/>
  <c r="Y354" i="6"/>
  <c r="X354" i="6"/>
  <c r="W354" i="6"/>
  <c r="V354" i="6"/>
  <c r="U354" i="6"/>
  <c r="T354" i="6"/>
  <c r="R354" i="6"/>
  <c r="P354" i="6"/>
  <c r="O354" i="6"/>
  <c r="N354" i="6"/>
  <c r="M354" i="6"/>
  <c r="L354" i="6"/>
  <c r="K354" i="6"/>
  <c r="J354" i="6"/>
  <c r="I354" i="6"/>
  <c r="AD353" i="6"/>
  <c r="AC353" i="6"/>
  <c r="AB353" i="6"/>
  <c r="AA353" i="6"/>
  <c r="Z353" i="6"/>
  <c r="X353" i="6"/>
  <c r="W353" i="6"/>
  <c r="V353" i="6"/>
  <c r="U353" i="6"/>
  <c r="T353" i="6"/>
  <c r="S353" i="6"/>
  <c r="R353" i="6"/>
  <c r="P353" i="6"/>
  <c r="O353" i="6"/>
  <c r="N353" i="6"/>
  <c r="M353" i="6"/>
  <c r="L353" i="6"/>
  <c r="K353" i="6"/>
  <c r="J353" i="6"/>
  <c r="I353" i="6"/>
  <c r="Y353" i="6" s="1"/>
  <c r="AD352" i="6"/>
  <c r="AC352" i="6"/>
  <c r="AB352" i="6"/>
  <c r="Z352" i="6"/>
  <c r="Y352" i="6"/>
  <c r="X352" i="6"/>
  <c r="V352" i="6"/>
  <c r="U352" i="6"/>
  <c r="T352" i="6"/>
  <c r="S352" i="6"/>
  <c r="Q352" i="6"/>
  <c r="P352" i="6"/>
  <c r="N352" i="6"/>
  <c r="M352" i="6"/>
  <c r="L352" i="6"/>
  <c r="K352" i="6"/>
  <c r="J352" i="6"/>
  <c r="I352" i="6"/>
  <c r="AD351" i="6"/>
  <c r="AB351" i="6"/>
  <c r="Y351" i="6"/>
  <c r="X351" i="6"/>
  <c r="W351" i="6"/>
  <c r="S351" i="6"/>
  <c r="R351" i="6"/>
  <c r="P351" i="6"/>
  <c r="N351" i="6"/>
  <c r="K351" i="6"/>
  <c r="J351" i="6"/>
  <c r="I351" i="6"/>
  <c r="AC350" i="6"/>
  <c r="Z350" i="6"/>
  <c r="W350" i="6"/>
  <c r="V350" i="6"/>
  <c r="Q350" i="6"/>
  <c r="N350" i="6"/>
  <c r="K350" i="6"/>
  <c r="J350" i="6"/>
  <c r="I350" i="6"/>
  <c r="R350" i="6" s="1"/>
  <c r="AD349" i="6"/>
  <c r="AC349" i="6"/>
  <c r="AB349" i="6"/>
  <c r="AA349" i="6"/>
  <c r="Z349" i="6"/>
  <c r="X349" i="6"/>
  <c r="W349" i="6"/>
  <c r="V349" i="6"/>
  <c r="U349" i="6"/>
  <c r="T349" i="6"/>
  <c r="S349" i="6"/>
  <c r="R349" i="6"/>
  <c r="P349" i="6"/>
  <c r="O349" i="6"/>
  <c r="N349" i="6"/>
  <c r="M349" i="6"/>
  <c r="L349" i="6"/>
  <c r="K349" i="6"/>
  <c r="J349" i="6"/>
  <c r="I349" i="6"/>
  <c r="Y349" i="6" s="1"/>
  <c r="AB348" i="6"/>
  <c r="AA348" i="6"/>
  <c r="Y348" i="6"/>
  <c r="V348" i="6"/>
  <c r="S348" i="6"/>
  <c r="P348" i="6"/>
  <c r="N348" i="6"/>
  <c r="M348" i="6"/>
  <c r="K348" i="6"/>
  <c r="J348" i="6"/>
  <c r="I348" i="6"/>
  <c r="AC348" i="6" s="1"/>
  <c r="AB347" i="6"/>
  <c r="Z347" i="6"/>
  <c r="X347" i="6"/>
  <c r="Q347" i="6"/>
  <c r="N347" i="6"/>
  <c r="L347" i="6"/>
  <c r="K347" i="6"/>
  <c r="J347" i="6"/>
  <c r="I347" i="6"/>
  <c r="R347" i="6" s="1"/>
  <c r="AB346" i="6"/>
  <c r="Y346" i="6"/>
  <c r="W346" i="6"/>
  <c r="P346" i="6"/>
  <c r="M346" i="6"/>
  <c r="L346" i="6"/>
  <c r="K346" i="6"/>
  <c r="J346" i="6"/>
  <c r="I346" i="6"/>
  <c r="AD346" i="6" s="1"/>
  <c r="AD345" i="6"/>
  <c r="AC345" i="6"/>
  <c r="AB345" i="6"/>
  <c r="AA345" i="6"/>
  <c r="Z345" i="6"/>
  <c r="X345" i="6"/>
  <c r="W345" i="6"/>
  <c r="V345" i="6"/>
  <c r="U345" i="6"/>
  <c r="T345" i="6"/>
  <c r="S345" i="6"/>
  <c r="R345" i="6"/>
  <c r="P345" i="6"/>
  <c r="O345" i="6"/>
  <c r="N345" i="6"/>
  <c r="M345" i="6"/>
  <c r="L345" i="6"/>
  <c r="K345" i="6"/>
  <c r="J345" i="6"/>
  <c r="I345" i="6"/>
  <c r="Y345" i="6" s="1"/>
  <c r="AD344" i="6"/>
  <c r="V344" i="6"/>
  <c r="R344" i="6"/>
  <c r="K344" i="6"/>
  <c r="J344" i="6"/>
  <c r="I344" i="6"/>
  <c r="AB344" i="6" s="1"/>
  <c r="AD343" i="6"/>
  <c r="AA343" i="6"/>
  <c r="Z343" i="6"/>
  <c r="Y343" i="6"/>
  <c r="W343" i="6"/>
  <c r="V343" i="6"/>
  <c r="R343" i="6"/>
  <c r="Q343" i="6"/>
  <c r="P343" i="6"/>
  <c r="N343" i="6"/>
  <c r="L343" i="6"/>
  <c r="K343" i="6"/>
  <c r="J343" i="6"/>
  <c r="I343" i="6"/>
  <c r="AD342" i="6"/>
  <c r="AC342" i="6"/>
  <c r="Z342" i="6"/>
  <c r="Y342" i="6"/>
  <c r="X342" i="6"/>
  <c r="V342" i="6"/>
  <c r="U342" i="6"/>
  <c r="Q342" i="6"/>
  <c r="P342" i="6"/>
  <c r="O342" i="6"/>
  <c r="M342" i="6"/>
  <c r="L342" i="6"/>
  <c r="K342" i="6"/>
  <c r="J342" i="6"/>
  <c r="I342" i="6"/>
  <c r="AD341" i="6"/>
  <c r="AC341" i="6"/>
  <c r="AB341" i="6"/>
  <c r="AA341" i="6"/>
  <c r="Z341" i="6"/>
  <c r="X341" i="6"/>
  <c r="W341" i="6"/>
  <c r="V341" i="6"/>
  <c r="U341" i="6"/>
  <c r="T341" i="6"/>
  <c r="S341" i="6"/>
  <c r="R341" i="6"/>
  <c r="P341" i="6"/>
  <c r="O341" i="6"/>
  <c r="N341" i="6"/>
  <c r="M341" i="6"/>
  <c r="L341" i="6"/>
  <c r="K341" i="6"/>
  <c r="J341" i="6"/>
  <c r="I341" i="6"/>
  <c r="Y341" i="6" s="1"/>
  <c r="AD340" i="6"/>
  <c r="AC340" i="6"/>
  <c r="AA340" i="6"/>
  <c r="Y340" i="6"/>
  <c r="V340" i="6"/>
  <c r="U340" i="6"/>
  <c r="R340" i="6"/>
  <c r="Q340" i="6"/>
  <c r="P340" i="6"/>
  <c r="L340" i="6"/>
  <c r="K340" i="6"/>
  <c r="J340" i="6"/>
  <c r="I340" i="6"/>
  <c r="AD339" i="6"/>
  <c r="AB339" i="6"/>
  <c r="Z339" i="6"/>
  <c r="Y339" i="6"/>
  <c r="X339" i="6"/>
  <c r="W339" i="6"/>
  <c r="V339" i="6"/>
  <c r="T339" i="6"/>
  <c r="S339" i="6"/>
  <c r="Q339" i="6"/>
  <c r="P339" i="6"/>
  <c r="O339" i="6"/>
  <c r="N339" i="6"/>
  <c r="L339" i="6"/>
  <c r="K339" i="6"/>
  <c r="J339" i="6"/>
  <c r="I339" i="6"/>
  <c r="AD338" i="6"/>
  <c r="AC338" i="6"/>
  <c r="AB338" i="6"/>
  <c r="Y338" i="6"/>
  <c r="X338" i="6"/>
  <c r="W338" i="6"/>
  <c r="U338" i="6"/>
  <c r="T338" i="6"/>
  <c r="R338" i="6"/>
  <c r="P338" i="6"/>
  <c r="O338" i="6"/>
  <c r="N338" i="6"/>
  <c r="L338" i="6"/>
  <c r="K338" i="6"/>
  <c r="J338" i="6"/>
  <c r="I338" i="6"/>
  <c r="V338" i="6" s="1"/>
  <c r="AD337" i="6"/>
  <c r="AC337" i="6"/>
  <c r="AB337" i="6"/>
  <c r="AA337" i="6"/>
  <c r="Z337" i="6"/>
  <c r="X337" i="6"/>
  <c r="W337" i="6"/>
  <c r="V337" i="6"/>
  <c r="U337" i="6"/>
  <c r="T337" i="6"/>
  <c r="S337" i="6"/>
  <c r="R337" i="6"/>
  <c r="P337" i="6"/>
  <c r="O337" i="6"/>
  <c r="N337" i="6"/>
  <c r="M337" i="6"/>
  <c r="L337" i="6"/>
  <c r="K337" i="6"/>
  <c r="J337" i="6"/>
  <c r="I337" i="6"/>
  <c r="Y337" i="6" s="1"/>
  <c r="AD336" i="6"/>
  <c r="AC336" i="6"/>
  <c r="AB336" i="6"/>
  <c r="Z336" i="6"/>
  <c r="Y336" i="6"/>
  <c r="X336" i="6"/>
  <c r="U336" i="6"/>
  <c r="T336" i="6"/>
  <c r="S336" i="6"/>
  <c r="Q336" i="6"/>
  <c r="P336" i="6"/>
  <c r="N336" i="6"/>
  <c r="L336" i="6"/>
  <c r="K336" i="6"/>
  <c r="J336" i="6"/>
  <c r="I336" i="6"/>
  <c r="V336" i="6" s="1"/>
  <c r="AD335" i="6"/>
  <c r="AB335" i="6"/>
  <c r="AA335" i="6"/>
  <c r="Y335" i="6"/>
  <c r="X335" i="6"/>
  <c r="W335" i="6"/>
  <c r="S335" i="6"/>
  <c r="R335" i="6"/>
  <c r="P335" i="6"/>
  <c r="O335" i="6"/>
  <c r="N335" i="6"/>
  <c r="K335" i="6"/>
  <c r="J335" i="6"/>
  <c r="I335" i="6"/>
  <c r="AB334" i="6"/>
  <c r="O334" i="6"/>
  <c r="K334" i="6"/>
  <c r="J334" i="6"/>
  <c r="I334" i="6"/>
  <c r="R334" i="6" s="1"/>
  <c r="AD333" i="6"/>
  <c r="AC333" i="6"/>
  <c r="AB333" i="6"/>
  <c r="AA333" i="6"/>
  <c r="Z333" i="6"/>
  <c r="X333" i="6"/>
  <c r="W333" i="6"/>
  <c r="V333" i="6"/>
  <c r="U333" i="6"/>
  <c r="T333" i="6"/>
  <c r="S333" i="6"/>
  <c r="R333" i="6"/>
  <c r="P333" i="6"/>
  <c r="O333" i="6"/>
  <c r="N333" i="6"/>
  <c r="M333" i="6"/>
  <c r="L333" i="6"/>
  <c r="K333" i="6"/>
  <c r="J333" i="6"/>
  <c r="I333" i="6"/>
  <c r="Y333" i="6" s="1"/>
  <c r="M332" i="6"/>
  <c r="K332" i="6"/>
  <c r="J332" i="6"/>
  <c r="I332" i="6"/>
  <c r="Y332" i="6" s="1"/>
  <c r="W331" i="6"/>
  <c r="R331" i="6"/>
  <c r="K331" i="6"/>
  <c r="J331" i="6"/>
  <c r="I331" i="6"/>
  <c r="AB331" i="6" s="1"/>
  <c r="AD330" i="6"/>
  <c r="V330" i="6"/>
  <c r="Q330" i="6"/>
  <c r="K330" i="6"/>
  <c r="J330" i="6"/>
  <c r="I330" i="6"/>
  <c r="AB330" i="6" s="1"/>
  <c r="AD329" i="6"/>
  <c r="AC329" i="6"/>
  <c r="AB329" i="6"/>
  <c r="AA329" i="6"/>
  <c r="Z329" i="6"/>
  <c r="X329" i="6"/>
  <c r="W329" i="6"/>
  <c r="V329" i="6"/>
  <c r="U329" i="6"/>
  <c r="T329" i="6"/>
  <c r="S329" i="6"/>
  <c r="R329" i="6"/>
  <c r="P329" i="6"/>
  <c r="O329" i="6"/>
  <c r="N329" i="6"/>
  <c r="M329" i="6"/>
  <c r="L329" i="6"/>
  <c r="K329" i="6"/>
  <c r="J329" i="6"/>
  <c r="I329" i="6"/>
  <c r="Y329" i="6" s="1"/>
  <c r="AB328" i="6"/>
  <c r="Z328" i="6"/>
  <c r="X328" i="6"/>
  <c r="Q328" i="6"/>
  <c r="M328" i="6"/>
  <c r="L328" i="6"/>
  <c r="K328" i="6"/>
  <c r="J328" i="6"/>
  <c r="I328" i="6"/>
  <c r="AD328" i="6" s="1"/>
  <c r="AD327" i="6"/>
  <c r="AA327" i="6"/>
  <c r="Y327" i="6"/>
  <c r="W327" i="6"/>
  <c r="V327" i="6"/>
  <c r="R327" i="6"/>
  <c r="Q327" i="6"/>
  <c r="P327" i="6"/>
  <c r="L327" i="6"/>
  <c r="K327" i="6"/>
  <c r="J327" i="6"/>
  <c r="I327" i="6"/>
  <c r="AD326" i="6"/>
  <c r="AC326" i="6"/>
  <c r="Z326" i="6"/>
  <c r="X326" i="6"/>
  <c r="V326" i="6"/>
  <c r="U326" i="6"/>
  <c r="Q326" i="6"/>
  <c r="P326" i="6"/>
  <c r="O326" i="6"/>
  <c r="L326" i="6"/>
  <c r="K326" i="6"/>
  <c r="J326" i="6"/>
  <c r="I326" i="6"/>
  <c r="AD325" i="6"/>
  <c r="AC325" i="6"/>
  <c r="AB325" i="6"/>
  <c r="AA325" i="6"/>
  <c r="Z325" i="6"/>
  <c r="X325" i="6"/>
  <c r="W325" i="6"/>
  <c r="V325" i="6"/>
  <c r="U325" i="6"/>
  <c r="T325" i="6"/>
  <c r="S325" i="6"/>
  <c r="R325" i="6"/>
  <c r="P325" i="6"/>
  <c r="O325" i="6"/>
  <c r="N325" i="6"/>
  <c r="M325" i="6"/>
  <c r="L325" i="6"/>
  <c r="K325" i="6"/>
  <c r="J325" i="6"/>
  <c r="I325" i="6"/>
  <c r="Y325" i="6" s="1"/>
  <c r="AD324" i="6"/>
  <c r="AC324" i="6"/>
  <c r="AA324" i="6"/>
  <c r="Z324" i="6"/>
  <c r="Y324" i="6"/>
  <c r="V324" i="6"/>
  <c r="U324" i="6"/>
  <c r="R324" i="6"/>
  <c r="Q324" i="6"/>
  <c r="P324" i="6"/>
  <c r="M324" i="6"/>
  <c r="L324" i="6"/>
  <c r="K324" i="6"/>
  <c r="J324" i="6"/>
  <c r="I324" i="6"/>
  <c r="AD323" i="6"/>
  <c r="AB323" i="6"/>
  <c r="Z323" i="6"/>
  <c r="Y323" i="6"/>
  <c r="X323" i="6"/>
  <c r="V323" i="6"/>
  <c r="T323" i="6"/>
  <c r="S323" i="6"/>
  <c r="Q323" i="6"/>
  <c r="P323" i="6"/>
  <c r="O323" i="6"/>
  <c r="L323" i="6"/>
  <c r="K323" i="6"/>
  <c r="J323" i="6"/>
  <c r="I323" i="6"/>
  <c r="W323" i="6" s="1"/>
  <c r="AD322" i="6"/>
  <c r="AC322" i="6"/>
  <c r="AB322" i="6"/>
  <c r="Y322" i="6"/>
  <c r="X322" i="6"/>
  <c r="W322" i="6"/>
  <c r="V322" i="6"/>
  <c r="U322" i="6"/>
  <c r="T322" i="6"/>
  <c r="R322" i="6"/>
  <c r="P322" i="6"/>
  <c r="O322" i="6"/>
  <c r="N322" i="6"/>
  <c r="M322" i="6"/>
  <c r="L322" i="6"/>
  <c r="K322" i="6"/>
  <c r="J322" i="6"/>
  <c r="I322" i="6"/>
  <c r="AD321" i="6"/>
  <c r="AC321" i="6"/>
  <c r="AB321" i="6"/>
  <c r="AA321" i="6"/>
  <c r="Z321" i="6"/>
  <c r="X321" i="6"/>
  <c r="W321" i="6"/>
  <c r="V321" i="6"/>
  <c r="U321" i="6"/>
  <c r="T321" i="6"/>
  <c r="S321" i="6"/>
  <c r="R321" i="6"/>
  <c r="P321" i="6"/>
  <c r="O321" i="6"/>
  <c r="N321" i="6"/>
  <c r="M321" i="6"/>
  <c r="L321" i="6"/>
  <c r="K321" i="6"/>
  <c r="J321" i="6"/>
  <c r="I321" i="6"/>
  <c r="Y321" i="6" s="1"/>
  <c r="AD320" i="6"/>
  <c r="AC320" i="6"/>
  <c r="AB320" i="6"/>
  <c r="Z320" i="6"/>
  <c r="Y320" i="6"/>
  <c r="X320" i="6"/>
  <c r="V320" i="6"/>
  <c r="U320" i="6"/>
  <c r="T320" i="6"/>
  <c r="S320" i="6"/>
  <c r="Q320" i="6"/>
  <c r="P320" i="6"/>
  <c r="N320" i="6"/>
  <c r="M320" i="6"/>
  <c r="L320" i="6"/>
  <c r="K320" i="6"/>
  <c r="J320" i="6"/>
  <c r="I320" i="6"/>
  <c r="AB319" i="6"/>
  <c r="AA319" i="6"/>
  <c r="Z319" i="6"/>
  <c r="Y319" i="6"/>
  <c r="X319" i="6"/>
  <c r="W319" i="6"/>
  <c r="T319" i="6"/>
  <c r="R319" i="6"/>
  <c r="Q319" i="6"/>
  <c r="P319" i="6"/>
  <c r="O319" i="6"/>
  <c r="N319" i="6"/>
  <c r="K319" i="6"/>
  <c r="J319" i="6"/>
  <c r="I319" i="6"/>
  <c r="AD318" i="6"/>
  <c r="AB318" i="6"/>
  <c r="Q318" i="6"/>
  <c r="M318" i="6"/>
  <c r="K318" i="6"/>
  <c r="J318" i="6"/>
  <c r="I318" i="6"/>
  <c r="R318" i="6" s="1"/>
  <c r="AD317" i="6"/>
  <c r="AC317" i="6"/>
  <c r="AB317" i="6"/>
  <c r="AA317" i="6"/>
  <c r="Z317" i="6"/>
  <c r="X317" i="6"/>
  <c r="W317" i="6"/>
  <c r="V317" i="6"/>
  <c r="U317" i="6"/>
  <c r="T317" i="6"/>
  <c r="S317" i="6"/>
  <c r="R317" i="6"/>
  <c r="P317" i="6"/>
  <c r="O317" i="6"/>
  <c r="N317" i="6"/>
  <c r="M317" i="6"/>
  <c r="L317" i="6"/>
  <c r="K317" i="6"/>
  <c r="J317" i="6"/>
  <c r="I317" i="6"/>
  <c r="Y317" i="6" s="1"/>
  <c r="AD316" i="6"/>
  <c r="AB316" i="6"/>
  <c r="AA316" i="6"/>
  <c r="Y316" i="6"/>
  <c r="X316" i="6"/>
  <c r="V316" i="6"/>
  <c r="U316" i="6"/>
  <c r="T316" i="6"/>
  <c r="R316" i="6"/>
  <c r="P316" i="6"/>
  <c r="N316" i="6"/>
  <c r="M316" i="6"/>
  <c r="L316" i="6"/>
  <c r="K316" i="6"/>
  <c r="J316" i="6"/>
  <c r="I316" i="6"/>
  <c r="AP315" i="6"/>
  <c r="AJ315" i="6"/>
  <c r="AI315" i="6"/>
  <c r="AH315" i="6"/>
  <c r="AQ315" i="6" s="1"/>
  <c r="AC315" i="6"/>
  <c r="R315" i="6"/>
  <c r="N315" i="6"/>
  <c r="K315" i="6"/>
  <c r="J315" i="6"/>
  <c r="I315" i="6"/>
  <c r="T315" i="6" s="1"/>
  <c r="BC314" i="6"/>
  <c r="BB314" i="6"/>
  <c r="BA314" i="6"/>
  <c r="AZ314" i="6"/>
  <c r="AY314" i="6"/>
  <c r="AW314" i="6"/>
  <c r="AV314" i="6"/>
  <c r="AU314" i="6"/>
  <c r="AT314" i="6"/>
  <c r="AS314" i="6"/>
  <c r="AR314" i="6"/>
  <c r="AQ314" i="6"/>
  <c r="AO314" i="6"/>
  <c r="AN314" i="6"/>
  <c r="AM314" i="6"/>
  <c r="AL314" i="6"/>
  <c r="AK314" i="6"/>
  <c r="AJ314" i="6"/>
  <c r="AI314" i="6"/>
  <c r="AH314" i="6"/>
  <c r="AX314" i="6" s="1"/>
  <c r="R314" i="6"/>
  <c r="K314" i="6"/>
  <c r="J314" i="6"/>
  <c r="I314" i="6"/>
  <c r="S314" i="6" s="1"/>
  <c r="AZ313" i="6"/>
  <c r="AM313" i="6"/>
  <c r="AJ313" i="6"/>
  <c r="AI313" i="6"/>
  <c r="AH313" i="6"/>
  <c r="AQ313" i="6" s="1"/>
  <c r="AD313" i="6"/>
  <c r="AB313" i="6"/>
  <c r="Z313" i="6"/>
  <c r="Y313" i="6"/>
  <c r="V313" i="6"/>
  <c r="U313" i="6"/>
  <c r="T313" i="6"/>
  <c r="Q313" i="6"/>
  <c r="P313" i="6"/>
  <c r="O313" i="6"/>
  <c r="L313" i="6"/>
  <c r="K313" i="6"/>
  <c r="J313" i="6"/>
  <c r="I313" i="6"/>
  <c r="BB312" i="6"/>
  <c r="AW312" i="6"/>
  <c r="AV312" i="6"/>
  <c r="AU312" i="6"/>
  <c r="AM312" i="6"/>
  <c r="AK312" i="6"/>
  <c r="AJ312" i="6"/>
  <c r="AI312" i="6"/>
  <c r="AH312" i="6"/>
  <c r="AA312" i="6"/>
  <c r="W312" i="6"/>
  <c r="V312" i="6"/>
  <c r="U312" i="6"/>
  <c r="N312" i="6"/>
  <c r="L312" i="6"/>
  <c r="K312" i="6"/>
  <c r="J312" i="6"/>
  <c r="I312" i="6"/>
  <c r="AJ311" i="6"/>
  <c r="AI311" i="6"/>
  <c r="AH311" i="6"/>
  <c r="AQ311" i="6" s="1"/>
  <c r="AD311" i="6"/>
  <c r="AC311" i="6"/>
  <c r="Z311" i="6"/>
  <c r="Y311" i="6"/>
  <c r="X311" i="6"/>
  <c r="W311" i="6"/>
  <c r="V311" i="6"/>
  <c r="U311" i="6"/>
  <c r="S311" i="6"/>
  <c r="Q311" i="6"/>
  <c r="P311" i="6"/>
  <c r="O311" i="6"/>
  <c r="N311" i="6"/>
  <c r="M311" i="6"/>
  <c r="K311" i="6"/>
  <c r="J311" i="6"/>
  <c r="I311" i="6"/>
  <c r="BC310" i="6"/>
  <c r="BB310" i="6"/>
  <c r="BA310" i="6"/>
  <c r="AX310" i="6"/>
  <c r="AW310" i="6"/>
  <c r="AV310" i="6"/>
  <c r="AT310" i="6"/>
  <c r="AS310" i="6"/>
  <c r="AR310" i="6"/>
  <c r="AO310" i="6"/>
  <c r="AN310" i="6"/>
  <c r="AM310" i="6"/>
  <c r="AK310" i="6"/>
  <c r="AJ310" i="6"/>
  <c r="AI310" i="6"/>
  <c r="AH310" i="6"/>
  <c r="AD310" i="6"/>
  <c r="AC310" i="6"/>
  <c r="AB310" i="6"/>
  <c r="Z310" i="6"/>
  <c r="Y310" i="6"/>
  <c r="W310" i="6"/>
  <c r="V310" i="6"/>
  <c r="U310" i="6"/>
  <c r="T310" i="6"/>
  <c r="S310" i="6"/>
  <c r="Q310" i="6"/>
  <c r="O310" i="6"/>
  <c r="N310" i="6"/>
  <c r="M310" i="6"/>
  <c r="L310" i="6"/>
  <c r="K310" i="6"/>
  <c r="J310" i="6"/>
  <c r="I310" i="6"/>
  <c r="BB309" i="6"/>
  <c r="AZ309" i="6"/>
  <c r="AX309" i="6"/>
  <c r="AW309" i="6"/>
  <c r="AR309" i="6"/>
  <c r="AQ309" i="6"/>
  <c r="AN309" i="6"/>
  <c r="AL309" i="6"/>
  <c r="AJ309" i="6"/>
  <c r="AI309" i="6"/>
  <c r="AH309" i="6"/>
  <c r="BA309" i="6" s="1"/>
  <c r="AC309" i="6"/>
  <c r="AA309" i="6"/>
  <c r="X309" i="6"/>
  <c r="W309" i="6"/>
  <c r="V309" i="6"/>
  <c r="R309" i="6"/>
  <c r="Q309" i="6"/>
  <c r="O309" i="6"/>
  <c r="M309" i="6"/>
  <c r="K309" i="6"/>
  <c r="J309" i="6"/>
  <c r="I309" i="6"/>
  <c r="BC308" i="6"/>
  <c r="BA308" i="6"/>
  <c r="AZ308" i="6"/>
  <c r="AV308" i="6"/>
  <c r="AU308" i="6"/>
  <c r="AT308" i="6"/>
  <c r="AP308" i="6"/>
  <c r="AO308" i="6"/>
  <c r="AM308" i="6"/>
  <c r="AK308" i="6"/>
  <c r="AJ308" i="6"/>
  <c r="AI308" i="6"/>
  <c r="AH308" i="6"/>
  <c r="AD308" i="6"/>
  <c r="AB308" i="6"/>
  <c r="AA308" i="6"/>
  <c r="W308" i="6"/>
  <c r="V308" i="6"/>
  <c r="U308" i="6"/>
  <c r="R308" i="6"/>
  <c r="Q308" i="6"/>
  <c r="N308" i="6"/>
  <c r="L308" i="6"/>
  <c r="K308" i="6"/>
  <c r="J308" i="6"/>
  <c r="I308" i="6"/>
  <c r="AJ307" i="6"/>
  <c r="AI307" i="6"/>
  <c r="AH307" i="6"/>
  <c r="AQ307" i="6" s="1"/>
  <c r="AD307" i="6"/>
  <c r="AC307" i="6"/>
  <c r="Z307" i="6"/>
  <c r="Y307" i="6"/>
  <c r="X307" i="6"/>
  <c r="V307" i="6"/>
  <c r="U307" i="6"/>
  <c r="S307" i="6"/>
  <c r="Q307" i="6"/>
  <c r="P307" i="6"/>
  <c r="O307" i="6"/>
  <c r="M307" i="6"/>
  <c r="K307" i="6"/>
  <c r="J307" i="6"/>
  <c r="I307" i="6"/>
  <c r="BC306" i="6"/>
  <c r="BB306" i="6"/>
  <c r="BA306" i="6"/>
  <c r="AX306" i="6"/>
  <c r="AW306" i="6"/>
  <c r="AV306" i="6"/>
  <c r="AU306" i="6"/>
  <c r="AT306" i="6"/>
  <c r="AS306" i="6"/>
  <c r="AR306" i="6"/>
  <c r="AO306" i="6"/>
  <c r="AN306" i="6"/>
  <c r="AM306" i="6"/>
  <c r="AL306" i="6"/>
  <c r="AK306" i="6"/>
  <c r="AJ306" i="6"/>
  <c r="AI306" i="6"/>
  <c r="AH306" i="6"/>
  <c r="AD306" i="6"/>
  <c r="AC306" i="6"/>
  <c r="AB306" i="6"/>
  <c r="Z306" i="6"/>
  <c r="Y306" i="6"/>
  <c r="W306" i="6"/>
  <c r="U306" i="6"/>
  <c r="T306" i="6"/>
  <c r="S306" i="6"/>
  <c r="Q306" i="6"/>
  <c r="O306" i="6"/>
  <c r="N306" i="6"/>
  <c r="L306" i="6"/>
  <c r="K306" i="6"/>
  <c r="J306" i="6"/>
  <c r="I306" i="6"/>
  <c r="AJ305" i="6"/>
  <c r="AI305" i="6"/>
  <c r="AH305" i="6"/>
  <c r="AR305" i="6" s="1"/>
  <c r="AA305" i="6"/>
  <c r="Z305" i="6"/>
  <c r="X305" i="6"/>
  <c r="V305" i="6"/>
  <c r="R305" i="6"/>
  <c r="O305" i="6"/>
  <c r="N305" i="6"/>
  <c r="M305" i="6"/>
  <c r="K305" i="6"/>
  <c r="J305" i="6"/>
  <c r="I305" i="6"/>
  <c r="AC305" i="6" s="1"/>
  <c r="BC304" i="6"/>
  <c r="AZ304" i="6"/>
  <c r="AX304" i="6"/>
  <c r="AV304" i="6"/>
  <c r="AT304" i="6"/>
  <c r="AP304" i="6"/>
  <c r="AM304" i="6"/>
  <c r="AL304" i="6"/>
  <c r="AK304" i="6"/>
  <c r="AJ304" i="6"/>
  <c r="AI304" i="6"/>
  <c r="AH304" i="6"/>
  <c r="BA304" i="6" s="1"/>
  <c r="AD304" i="6"/>
  <c r="AA304" i="6"/>
  <c r="Z304" i="6"/>
  <c r="W304" i="6"/>
  <c r="U304" i="6"/>
  <c r="R304" i="6"/>
  <c r="N304" i="6"/>
  <c r="M304" i="6"/>
  <c r="L304" i="6"/>
  <c r="K304" i="6"/>
  <c r="J304" i="6"/>
  <c r="I304" i="6"/>
  <c r="AB304" i="6" s="1"/>
  <c r="BB303" i="6"/>
  <c r="AV303" i="6"/>
  <c r="AP303" i="6"/>
  <c r="AJ303" i="6"/>
  <c r="AI303" i="6"/>
  <c r="AH303" i="6"/>
  <c r="AQ303" i="6" s="1"/>
  <c r="AD303" i="6"/>
  <c r="AC303" i="6"/>
  <c r="Z303" i="6"/>
  <c r="Y303" i="6"/>
  <c r="X303" i="6"/>
  <c r="W303" i="6"/>
  <c r="V303" i="6"/>
  <c r="U303" i="6"/>
  <c r="S303" i="6"/>
  <c r="Q303" i="6"/>
  <c r="P303" i="6"/>
  <c r="O303" i="6"/>
  <c r="N303" i="6"/>
  <c r="M303" i="6"/>
  <c r="K303" i="6"/>
  <c r="J303" i="6"/>
  <c r="I303" i="6"/>
  <c r="BC302" i="6"/>
  <c r="BA302" i="6"/>
  <c r="AZ302" i="6"/>
  <c r="AX302" i="6"/>
  <c r="AV302" i="6"/>
  <c r="AT302" i="6"/>
  <c r="AS302" i="6"/>
  <c r="AP302" i="6"/>
  <c r="AO302" i="6"/>
  <c r="AN302" i="6"/>
  <c r="AK302" i="6"/>
  <c r="AJ302" i="6"/>
  <c r="AI302" i="6"/>
  <c r="AH302" i="6"/>
  <c r="AD302" i="6"/>
  <c r="AC302" i="6"/>
  <c r="AB302" i="6"/>
  <c r="Z302" i="6"/>
  <c r="Y302" i="6"/>
  <c r="W302" i="6"/>
  <c r="V302" i="6"/>
  <c r="U302" i="6"/>
  <c r="T302" i="6"/>
  <c r="S302" i="6"/>
  <c r="Q302" i="6"/>
  <c r="O302" i="6"/>
  <c r="N302" i="6"/>
  <c r="M302" i="6"/>
  <c r="L302" i="6"/>
  <c r="K302" i="6"/>
  <c r="J302" i="6"/>
  <c r="I302" i="6"/>
  <c r="AX301" i="6"/>
  <c r="AN301" i="6"/>
  <c r="AJ301" i="6"/>
  <c r="AI301" i="6"/>
  <c r="AH301" i="6"/>
  <c r="BA301" i="6" s="1"/>
  <c r="AC301" i="6"/>
  <c r="AA301" i="6"/>
  <c r="Z301" i="6"/>
  <c r="X301" i="6"/>
  <c r="W301" i="6"/>
  <c r="V301" i="6"/>
  <c r="U301" i="6"/>
  <c r="R301" i="6"/>
  <c r="Q301" i="6"/>
  <c r="O301" i="6"/>
  <c r="N301" i="6"/>
  <c r="M301" i="6"/>
  <c r="K301" i="6"/>
  <c r="J301" i="6"/>
  <c r="I301" i="6"/>
  <c r="BC300" i="6"/>
  <c r="AZ300" i="6"/>
  <c r="AW300" i="6"/>
  <c r="AV300" i="6"/>
  <c r="AU300" i="6"/>
  <c r="AR300" i="6"/>
  <c r="AO300" i="6"/>
  <c r="AM300" i="6"/>
  <c r="AL300" i="6"/>
  <c r="AK300" i="6"/>
  <c r="AJ300" i="6"/>
  <c r="AI300" i="6"/>
  <c r="AH300" i="6"/>
  <c r="AX300" i="6" s="1"/>
  <c r="AD300" i="6"/>
  <c r="AB300" i="6"/>
  <c r="AA300" i="6"/>
  <c r="Z300" i="6"/>
  <c r="V300" i="6"/>
  <c r="U300" i="6"/>
  <c r="T300" i="6"/>
  <c r="R300" i="6"/>
  <c r="Q300" i="6"/>
  <c r="N300" i="6"/>
  <c r="L300" i="6"/>
  <c r="K300" i="6"/>
  <c r="J300" i="6"/>
  <c r="I300" i="6"/>
  <c r="AZ299" i="6"/>
  <c r="AY299" i="6"/>
  <c r="AW299" i="6"/>
  <c r="AT299" i="6"/>
  <c r="AP299" i="6"/>
  <c r="AO299" i="6"/>
  <c r="AL299" i="6"/>
  <c r="AJ299" i="6"/>
  <c r="AI299" i="6"/>
  <c r="AH299" i="6"/>
  <c r="AX299" i="6" s="1"/>
  <c r="AC299" i="6"/>
  <c r="Z299" i="6"/>
  <c r="X299" i="6"/>
  <c r="R299" i="6"/>
  <c r="P299" i="6"/>
  <c r="M299" i="6"/>
  <c r="K299" i="6"/>
  <c r="J299" i="6"/>
  <c r="I299" i="6"/>
  <c r="AA299" i="6" s="1"/>
  <c r="BC298" i="6"/>
  <c r="BB298" i="6"/>
  <c r="BA298" i="6"/>
  <c r="AX298" i="6"/>
  <c r="AW298" i="6"/>
  <c r="AV298" i="6"/>
  <c r="AU298" i="6"/>
  <c r="AT298" i="6"/>
  <c r="AS298" i="6"/>
  <c r="AR298" i="6"/>
  <c r="AO298" i="6"/>
  <c r="AN298" i="6"/>
  <c r="AM298" i="6"/>
  <c r="AL298" i="6"/>
  <c r="AK298" i="6"/>
  <c r="AJ298" i="6"/>
  <c r="AI298" i="6"/>
  <c r="AH298" i="6"/>
  <c r="AD298" i="6"/>
  <c r="AB298" i="6"/>
  <c r="Z298" i="6"/>
  <c r="Y298" i="6"/>
  <c r="W298" i="6"/>
  <c r="T298" i="6"/>
  <c r="R298" i="6"/>
  <c r="O298" i="6"/>
  <c r="N298" i="6"/>
  <c r="L298" i="6"/>
  <c r="K298" i="6"/>
  <c r="J298" i="6"/>
  <c r="I298" i="6"/>
  <c r="AA298" i="6" s="1"/>
  <c r="AJ297" i="6"/>
  <c r="AI297" i="6"/>
  <c r="AH297" i="6"/>
  <c r="BA297" i="6" s="1"/>
  <c r="AA297" i="6"/>
  <c r="Z297" i="6"/>
  <c r="Y297" i="6"/>
  <c r="W297" i="6"/>
  <c r="V297" i="6"/>
  <c r="S297" i="6"/>
  <c r="Q297" i="6"/>
  <c r="P297" i="6"/>
  <c r="O297" i="6"/>
  <c r="M297" i="6"/>
  <c r="K297" i="6"/>
  <c r="J297" i="6"/>
  <c r="I297" i="6"/>
  <c r="BA296" i="6"/>
  <c r="AX296" i="6"/>
  <c r="AU296" i="6"/>
  <c r="AP296" i="6"/>
  <c r="AM296" i="6"/>
  <c r="AK296" i="6"/>
  <c r="AJ296" i="6"/>
  <c r="AI296" i="6"/>
  <c r="AH296" i="6"/>
  <c r="AZ296" i="6" s="1"/>
  <c r="AD296" i="6"/>
  <c r="AA296" i="6"/>
  <c r="Z296" i="6"/>
  <c r="Y296" i="6"/>
  <c r="W296" i="6"/>
  <c r="V296" i="6"/>
  <c r="U296" i="6"/>
  <c r="S296" i="6"/>
  <c r="Q296" i="6"/>
  <c r="O296" i="6"/>
  <c r="N296" i="6"/>
  <c r="M296" i="6"/>
  <c r="L296" i="6"/>
  <c r="K296" i="6"/>
  <c r="J296" i="6"/>
  <c r="I296" i="6"/>
  <c r="AZ295" i="6"/>
  <c r="AT295" i="6"/>
  <c r="AP295" i="6"/>
  <c r="AJ295" i="6"/>
  <c r="AI295" i="6"/>
  <c r="AH295" i="6"/>
  <c r="BA295" i="6" s="1"/>
  <c r="AD295" i="6"/>
  <c r="AC295" i="6"/>
  <c r="Z295" i="6"/>
  <c r="Y295" i="6"/>
  <c r="X295" i="6"/>
  <c r="W295" i="6"/>
  <c r="V295" i="6"/>
  <c r="U295" i="6"/>
  <c r="S295" i="6"/>
  <c r="Q295" i="6"/>
  <c r="P295" i="6"/>
  <c r="O295" i="6"/>
  <c r="N295" i="6"/>
  <c r="M295" i="6"/>
  <c r="K295" i="6"/>
  <c r="J295" i="6"/>
  <c r="I295" i="6"/>
  <c r="BC294" i="6"/>
  <c r="BA294" i="6"/>
  <c r="AZ294" i="6"/>
  <c r="AX294" i="6"/>
  <c r="AV294" i="6"/>
  <c r="AT294" i="6"/>
  <c r="AS294" i="6"/>
  <c r="AP294" i="6"/>
  <c r="AO294" i="6"/>
  <c r="AN294" i="6"/>
  <c r="AK294" i="6"/>
  <c r="AJ294" i="6"/>
  <c r="AI294" i="6"/>
  <c r="AH294" i="6"/>
  <c r="AD294" i="6"/>
  <c r="AC294" i="6"/>
  <c r="AB294" i="6"/>
  <c r="Z294" i="6"/>
  <c r="Y294" i="6"/>
  <c r="W294" i="6"/>
  <c r="V294" i="6"/>
  <c r="U294" i="6"/>
  <c r="T294" i="6"/>
  <c r="S294" i="6"/>
  <c r="Q294" i="6"/>
  <c r="O294" i="6"/>
  <c r="N294" i="6"/>
  <c r="M294" i="6"/>
  <c r="L294" i="6"/>
  <c r="K294" i="6"/>
  <c r="J294" i="6"/>
  <c r="I294" i="6"/>
  <c r="AX293" i="6"/>
  <c r="AN293" i="6"/>
  <c r="AJ293" i="6"/>
  <c r="AI293" i="6"/>
  <c r="AH293" i="6"/>
  <c r="BA293" i="6" s="1"/>
  <c r="AC293" i="6"/>
  <c r="AA293" i="6"/>
  <c r="Z293" i="6"/>
  <c r="X293" i="6"/>
  <c r="W293" i="6"/>
  <c r="V293" i="6"/>
  <c r="U293" i="6"/>
  <c r="R293" i="6"/>
  <c r="Q293" i="6"/>
  <c r="O293" i="6"/>
  <c r="N293" i="6"/>
  <c r="M293" i="6"/>
  <c r="K293" i="6"/>
  <c r="J293" i="6"/>
  <c r="I293" i="6"/>
  <c r="BC292" i="6"/>
  <c r="AZ292" i="6"/>
  <c r="AW292" i="6"/>
  <c r="AV292" i="6"/>
  <c r="AU292" i="6"/>
  <c r="AR292" i="6"/>
  <c r="AO292" i="6"/>
  <c r="AM292" i="6"/>
  <c r="AL292" i="6"/>
  <c r="AK292" i="6"/>
  <c r="AJ292" i="6"/>
  <c r="AI292" i="6"/>
  <c r="AH292" i="6"/>
  <c r="AX292" i="6" s="1"/>
  <c r="AD292" i="6"/>
  <c r="AB292" i="6"/>
  <c r="AA292" i="6"/>
  <c r="Z292" i="6"/>
  <c r="V292" i="6"/>
  <c r="U292" i="6"/>
  <c r="T292" i="6"/>
  <c r="R292" i="6"/>
  <c r="Q292" i="6"/>
  <c r="N292" i="6"/>
  <c r="L292" i="6"/>
  <c r="K292" i="6"/>
  <c r="J292" i="6"/>
  <c r="I292" i="6"/>
  <c r="AY291" i="6"/>
  <c r="AW291" i="6"/>
  <c r="AT291" i="6"/>
  <c r="AO291" i="6"/>
  <c r="AL291" i="6"/>
  <c r="AJ291" i="6"/>
  <c r="AI291" i="6"/>
  <c r="AH291" i="6"/>
  <c r="AZ291" i="6" s="1"/>
  <c r="AC291" i="6"/>
  <c r="Z291" i="6"/>
  <c r="X291" i="6"/>
  <c r="U291" i="6"/>
  <c r="R291" i="6"/>
  <c r="P291" i="6"/>
  <c r="M291" i="6"/>
  <c r="K291" i="6"/>
  <c r="J291" i="6"/>
  <c r="I291" i="6"/>
  <c r="AA291" i="6" s="1"/>
  <c r="BC290" i="6"/>
  <c r="BB290" i="6"/>
  <c r="BA290" i="6"/>
  <c r="AX290" i="6"/>
  <c r="AW290" i="6"/>
  <c r="AV290" i="6"/>
  <c r="AU290" i="6"/>
  <c r="AT290" i="6"/>
  <c r="AS290" i="6"/>
  <c r="AR290" i="6"/>
  <c r="AO290" i="6"/>
  <c r="AN290" i="6"/>
  <c r="AM290" i="6"/>
  <c r="AL290" i="6"/>
  <c r="AK290" i="6"/>
  <c r="AJ290" i="6"/>
  <c r="AI290" i="6"/>
  <c r="AH290" i="6"/>
  <c r="AD290" i="6"/>
  <c r="AB290" i="6"/>
  <c r="Z290" i="6"/>
  <c r="Y290" i="6"/>
  <c r="W290" i="6"/>
  <c r="T290" i="6"/>
  <c r="R290" i="6"/>
  <c r="O290" i="6"/>
  <c r="N290" i="6"/>
  <c r="L290" i="6"/>
  <c r="K290" i="6"/>
  <c r="J290" i="6"/>
  <c r="I290" i="6"/>
  <c r="AA290" i="6" s="1"/>
  <c r="BB289" i="6"/>
  <c r="AR289" i="6"/>
  <c r="AJ289" i="6"/>
  <c r="AI289" i="6"/>
  <c r="AH289" i="6"/>
  <c r="AA289" i="6"/>
  <c r="Z289" i="6"/>
  <c r="Y289" i="6"/>
  <c r="W289" i="6"/>
  <c r="V289" i="6"/>
  <c r="S289" i="6"/>
  <c r="Q289" i="6"/>
  <c r="P289" i="6"/>
  <c r="O289" i="6"/>
  <c r="M289" i="6"/>
  <c r="K289" i="6"/>
  <c r="J289" i="6"/>
  <c r="I289" i="6"/>
  <c r="BC288" i="6"/>
  <c r="BA288" i="6"/>
  <c r="AX288" i="6"/>
  <c r="AU288" i="6"/>
  <c r="AS288" i="6"/>
  <c r="AP288" i="6"/>
  <c r="AM288" i="6"/>
  <c r="AK288" i="6"/>
  <c r="AJ288" i="6"/>
  <c r="AI288" i="6"/>
  <c r="AH288" i="6"/>
  <c r="AZ288" i="6" s="1"/>
  <c r="AD288" i="6"/>
  <c r="AA288" i="6"/>
  <c r="Z288" i="6"/>
  <c r="Y288" i="6"/>
  <c r="W288" i="6"/>
  <c r="V288" i="6"/>
  <c r="U288" i="6"/>
  <c r="S288" i="6"/>
  <c r="Q288" i="6"/>
  <c r="O288" i="6"/>
  <c r="N288" i="6"/>
  <c r="M288" i="6"/>
  <c r="L288" i="6"/>
  <c r="K288" i="6"/>
  <c r="J288" i="6"/>
  <c r="I288" i="6"/>
  <c r="AZ287" i="6"/>
  <c r="AT287" i="6"/>
  <c r="AP287" i="6"/>
  <c r="AJ287" i="6"/>
  <c r="AI287" i="6"/>
  <c r="AH287" i="6"/>
  <c r="BA287" i="6" s="1"/>
  <c r="AD287" i="6"/>
  <c r="AC287" i="6"/>
  <c r="Z287" i="6"/>
  <c r="Y287" i="6"/>
  <c r="X287" i="6"/>
  <c r="W287" i="6"/>
  <c r="V287" i="6"/>
  <c r="U287" i="6"/>
  <c r="S287" i="6"/>
  <c r="Q287" i="6"/>
  <c r="P287" i="6"/>
  <c r="O287" i="6"/>
  <c r="N287" i="6"/>
  <c r="M287" i="6"/>
  <c r="K287" i="6"/>
  <c r="J287" i="6"/>
  <c r="I287" i="6"/>
  <c r="BC286" i="6"/>
  <c r="BA286" i="6"/>
  <c r="AZ286" i="6"/>
  <c r="AX286" i="6"/>
  <c r="AV286" i="6"/>
  <c r="AT286" i="6"/>
  <c r="AS286" i="6"/>
  <c r="AP286" i="6"/>
  <c r="AO286" i="6"/>
  <c r="AN286" i="6"/>
  <c r="AK286" i="6"/>
  <c r="AJ286" i="6"/>
  <c r="AI286" i="6"/>
  <c r="AH286" i="6"/>
  <c r="AD286" i="6"/>
  <c r="AC286" i="6"/>
  <c r="AB286" i="6"/>
  <c r="Z286" i="6"/>
  <c r="Y286" i="6"/>
  <c r="W286" i="6"/>
  <c r="V286" i="6"/>
  <c r="U286" i="6"/>
  <c r="T286" i="6"/>
  <c r="S286" i="6"/>
  <c r="Q286" i="6"/>
  <c r="O286" i="6"/>
  <c r="N286" i="6"/>
  <c r="M286" i="6"/>
  <c r="L286" i="6"/>
  <c r="K286" i="6"/>
  <c r="J286" i="6"/>
  <c r="I286" i="6"/>
  <c r="AR285" i="6"/>
  <c r="AP285" i="6"/>
  <c r="AJ285" i="6"/>
  <c r="AI285" i="6"/>
  <c r="AH285" i="6"/>
  <c r="AZ285" i="6" s="1"/>
  <c r="AC285" i="6"/>
  <c r="AA285" i="6"/>
  <c r="Z285" i="6"/>
  <c r="X285" i="6"/>
  <c r="W285" i="6"/>
  <c r="V285" i="6"/>
  <c r="U285" i="6"/>
  <c r="R285" i="6"/>
  <c r="Q285" i="6"/>
  <c r="O285" i="6"/>
  <c r="N285" i="6"/>
  <c r="M285" i="6"/>
  <c r="K285" i="6"/>
  <c r="J285" i="6"/>
  <c r="I285" i="6"/>
  <c r="BC284" i="6"/>
  <c r="AZ284" i="6"/>
  <c r="AW284" i="6"/>
  <c r="AV284" i="6"/>
  <c r="AU284" i="6"/>
  <c r="AR284" i="6"/>
  <c r="AO284" i="6"/>
  <c r="AM284" i="6"/>
  <c r="AL284" i="6"/>
  <c r="AK284" i="6"/>
  <c r="AJ284" i="6"/>
  <c r="AI284" i="6"/>
  <c r="AH284" i="6"/>
  <c r="AX284" i="6" s="1"/>
  <c r="AD284" i="6"/>
  <c r="AB284" i="6"/>
  <c r="AA284" i="6"/>
  <c r="Z284" i="6"/>
  <c r="V284" i="6"/>
  <c r="U284" i="6"/>
  <c r="T284" i="6"/>
  <c r="R284" i="6"/>
  <c r="Q284" i="6"/>
  <c r="N284" i="6"/>
  <c r="L284" i="6"/>
  <c r="K284" i="6"/>
  <c r="J284" i="6"/>
  <c r="I284" i="6"/>
  <c r="AY283" i="6"/>
  <c r="AW283" i="6"/>
  <c r="AT283" i="6"/>
  <c r="AO283" i="6"/>
  <c r="AL283" i="6"/>
  <c r="AJ283" i="6"/>
  <c r="AI283" i="6"/>
  <c r="AH283" i="6"/>
  <c r="AZ283" i="6" s="1"/>
  <c r="AC283" i="6"/>
  <c r="Z283" i="6"/>
  <c r="X283" i="6"/>
  <c r="U283" i="6"/>
  <c r="R283" i="6"/>
  <c r="P283" i="6"/>
  <c r="M283" i="6"/>
  <c r="K283" i="6"/>
  <c r="J283" i="6"/>
  <c r="I283" i="6"/>
  <c r="AA283" i="6" s="1"/>
  <c r="BC282" i="6"/>
  <c r="BB282" i="6"/>
  <c r="BA282" i="6"/>
  <c r="AX282" i="6"/>
  <c r="AW282" i="6"/>
  <c r="AV282" i="6"/>
  <c r="AU282" i="6"/>
  <c r="AT282" i="6"/>
  <c r="AS282" i="6"/>
  <c r="AR282" i="6"/>
  <c r="AO282" i="6"/>
  <c r="AN282" i="6"/>
  <c r="AM282" i="6"/>
  <c r="AL282" i="6"/>
  <c r="AK282" i="6"/>
  <c r="AJ282" i="6"/>
  <c r="AI282" i="6"/>
  <c r="AH282" i="6"/>
  <c r="AD282" i="6"/>
  <c r="AB282" i="6"/>
  <c r="Z282" i="6"/>
  <c r="Y282" i="6"/>
  <c r="W282" i="6"/>
  <c r="T282" i="6"/>
  <c r="R282" i="6"/>
  <c r="O282" i="6"/>
  <c r="N282" i="6"/>
  <c r="L282" i="6"/>
  <c r="K282" i="6"/>
  <c r="J282" i="6"/>
  <c r="I282" i="6"/>
  <c r="AA282" i="6" s="1"/>
  <c r="BB281" i="6"/>
  <c r="AR281" i="6"/>
  <c r="AO281" i="6"/>
  <c r="AJ281" i="6"/>
  <c r="AI281" i="6"/>
  <c r="AH281" i="6"/>
  <c r="AW281" i="6" s="1"/>
  <c r="AA281" i="6"/>
  <c r="Z281" i="6"/>
  <c r="Y281" i="6"/>
  <c r="W281" i="6"/>
  <c r="V281" i="6"/>
  <c r="S281" i="6"/>
  <c r="Q281" i="6"/>
  <c r="P281" i="6"/>
  <c r="O281" i="6"/>
  <c r="M281" i="6"/>
  <c r="K281" i="6"/>
  <c r="J281" i="6"/>
  <c r="I281" i="6"/>
  <c r="BC280" i="6"/>
  <c r="BA280" i="6"/>
  <c r="AX280" i="6"/>
  <c r="AU280" i="6"/>
  <c r="AS280" i="6"/>
  <c r="AP280" i="6"/>
  <c r="AM280" i="6"/>
  <c r="AK280" i="6"/>
  <c r="AJ280" i="6"/>
  <c r="AI280" i="6"/>
  <c r="AH280" i="6"/>
  <c r="AZ280" i="6" s="1"/>
  <c r="AD280" i="6"/>
  <c r="AA280" i="6"/>
  <c r="Z280" i="6"/>
  <c r="Y280" i="6"/>
  <c r="W280" i="6"/>
  <c r="V280" i="6"/>
  <c r="U280" i="6"/>
  <c r="S280" i="6"/>
  <c r="Q280" i="6"/>
  <c r="O280" i="6"/>
  <c r="N280" i="6"/>
  <c r="M280" i="6"/>
  <c r="L280" i="6"/>
  <c r="K280" i="6"/>
  <c r="J280" i="6"/>
  <c r="I280" i="6"/>
  <c r="AX279" i="6"/>
  <c r="AT279" i="6"/>
  <c r="AP279" i="6"/>
  <c r="AL279" i="6"/>
  <c r="AJ279" i="6"/>
  <c r="AI279" i="6"/>
  <c r="AH279" i="6"/>
  <c r="AR279" i="6" s="1"/>
  <c r="AD279" i="6"/>
  <c r="AC279" i="6"/>
  <c r="Z279" i="6"/>
  <c r="Y279" i="6"/>
  <c r="X279" i="6"/>
  <c r="W279" i="6"/>
  <c r="V279" i="6"/>
  <c r="U279" i="6"/>
  <c r="S279" i="6"/>
  <c r="Q279" i="6"/>
  <c r="P279" i="6"/>
  <c r="O279" i="6"/>
  <c r="N279" i="6"/>
  <c r="M279" i="6"/>
  <c r="K279" i="6"/>
  <c r="J279" i="6"/>
  <c r="I279" i="6"/>
  <c r="BC278" i="6"/>
  <c r="BA278" i="6"/>
  <c r="AZ278" i="6"/>
  <c r="AX278" i="6"/>
  <c r="AV278" i="6"/>
  <c r="AT278" i="6"/>
  <c r="AS278" i="6"/>
  <c r="AP278" i="6"/>
  <c r="AO278" i="6"/>
  <c r="AN278" i="6"/>
  <c r="AK278" i="6"/>
  <c r="AJ278" i="6"/>
  <c r="AI278" i="6"/>
  <c r="AH278" i="6"/>
  <c r="AD278" i="6"/>
  <c r="AC278" i="6"/>
  <c r="AB278" i="6"/>
  <c r="Z278" i="6"/>
  <c r="Y278" i="6"/>
  <c r="W278" i="6"/>
  <c r="V278" i="6"/>
  <c r="U278" i="6"/>
  <c r="T278" i="6"/>
  <c r="S278" i="6"/>
  <c r="Q278" i="6"/>
  <c r="O278" i="6"/>
  <c r="N278" i="6"/>
  <c r="M278" i="6"/>
  <c r="L278" i="6"/>
  <c r="K278" i="6"/>
  <c r="J278" i="6"/>
  <c r="I278" i="6"/>
  <c r="AJ277" i="6"/>
  <c r="AI277" i="6"/>
  <c r="AH277" i="6"/>
  <c r="AV277" i="6" s="1"/>
  <c r="AC277" i="6"/>
  <c r="AA277" i="6"/>
  <c r="Z277" i="6"/>
  <c r="X277" i="6"/>
  <c r="W277" i="6"/>
  <c r="V277" i="6"/>
  <c r="U277" i="6"/>
  <c r="R277" i="6"/>
  <c r="Q277" i="6"/>
  <c r="O277" i="6"/>
  <c r="N277" i="6"/>
  <c r="M277" i="6"/>
  <c r="K277" i="6"/>
  <c r="J277" i="6"/>
  <c r="I277" i="6"/>
  <c r="BC276" i="6"/>
  <c r="AZ276" i="6"/>
  <c r="AW276" i="6"/>
  <c r="AV276" i="6"/>
  <c r="AU276" i="6"/>
  <c r="AR276" i="6"/>
  <c r="AO276" i="6"/>
  <c r="AM276" i="6"/>
  <c r="AL276" i="6"/>
  <c r="AK276" i="6"/>
  <c r="AJ276" i="6"/>
  <c r="AI276" i="6"/>
  <c r="AH276" i="6"/>
  <c r="AX276" i="6" s="1"/>
  <c r="AD276" i="6"/>
  <c r="AB276" i="6"/>
  <c r="AA276" i="6"/>
  <c r="Z276" i="6"/>
  <c r="V276" i="6"/>
  <c r="U276" i="6"/>
  <c r="T276" i="6"/>
  <c r="R276" i="6"/>
  <c r="Q276" i="6"/>
  <c r="N276" i="6"/>
  <c r="L276" i="6"/>
  <c r="K276" i="6"/>
  <c r="J276" i="6"/>
  <c r="I276" i="6"/>
  <c r="AQ275" i="6"/>
  <c r="AJ275" i="6"/>
  <c r="AI275" i="6"/>
  <c r="AH275" i="6"/>
  <c r="AT275" i="6" s="1"/>
  <c r="AC275" i="6"/>
  <c r="Z275" i="6"/>
  <c r="S275" i="6"/>
  <c r="R275" i="6"/>
  <c r="P275" i="6"/>
  <c r="K275" i="6"/>
  <c r="J275" i="6"/>
  <c r="I275" i="6"/>
  <c r="U275" i="6" s="1"/>
  <c r="BC274" i="6"/>
  <c r="BB274" i="6"/>
  <c r="BA274" i="6"/>
  <c r="AX274" i="6"/>
  <c r="AW274" i="6"/>
  <c r="AV274" i="6"/>
  <c r="AU274" i="6"/>
  <c r="AT274" i="6"/>
  <c r="AS274" i="6"/>
  <c r="AR274" i="6"/>
  <c r="AO274" i="6"/>
  <c r="AN274" i="6"/>
  <c r="AM274" i="6"/>
  <c r="AL274" i="6"/>
  <c r="AK274" i="6"/>
  <c r="AJ274" i="6"/>
  <c r="AI274" i="6"/>
  <c r="AH274" i="6"/>
  <c r="AD274" i="6"/>
  <c r="AB274" i="6"/>
  <c r="Z274" i="6"/>
  <c r="Y274" i="6"/>
  <c r="W274" i="6"/>
  <c r="T274" i="6"/>
  <c r="R274" i="6"/>
  <c r="O274" i="6"/>
  <c r="N274" i="6"/>
  <c r="L274" i="6"/>
  <c r="K274" i="6"/>
  <c r="J274" i="6"/>
  <c r="I274" i="6"/>
  <c r="AA274" i="6" s="1"/>
  <c r="AT273" i="6"/>
  <c r="AO273" i="6"/>
  <c r="AJ273" i="6"/>
  <c r="AI273" i="6"/>
  <c r="AH273" i="6"/>
  <c r="AR273" i="6" s="1"/>
  <c r="AA273" i="6"/>
  <c r="Z273" i="6"/>
  <c r="Y273" i="6"/>
  <c r="W273" i="6"/>
  <c r="V273" i="6"/>
  <c r="S273" i="6"/>
  <c r="Q273" i="6"/>
  <c r="P273" i="6"/>
  <c r="O273" i="6"/>
  <c r="M273" i="6"/>
  <c r="K273" i="6"/>
  <c r="J273" i="6"/>
  <c r="I273" i="6"/>
  <c r="BC272" i="6"/>
  <c r="BB272" i="6"/>
  <c r="BA272" i="6"/>
  <c r="AZ272" i="6"/>
  <c r="AY272" i="6"/>
  <c r="AW272" i="6"/>
  <c r="AV272" i="6"/>
  <c r="AU272" i="6"/>
  <c r="AT272" i="6"/>
  <c r="AS272" i="6"/>
  <c r="AR272" i="6"/>
  <c r="AQ272" i="6"/>
  <c r="AO272" i="6"/>
  <c r="AN272" i="6"/>
  <c r="AM272" i="6"/>
  <c r="AL272" i="6"/>
  <c r="AK272" i="6"/>
  <c r="AJ272" i="6"/>
  <c r="AI272" i="6"/>
  <c r="AH272" i="6"/>
  <c r="AX272" i="6" s="1"/>
  <c r="AD272" i="6"/>
  <c r="AC272" i="6"/>
  <c r="AB272" i="6"/>
  <c r="Z272" i="6"/>
  <c r="Y272" i="6"/>
  <c r="X272" i="6"/>
  <c r="U272" i="6"/>
  <c r="T272" i="6"/>
  <c r="S272" i="6"/>
  <c r="Q272" i="6"/>
  <c r="P272" i="6"/>
  <c r="N272" i="6"/>
  <c r="L272" i="6"/>
  <c r="K272" i="6"/>
  <c r="J272" i="6"/>
  <c r="I272" i="6"/>
  <c r="BA271" i="6"/>
  <c r="AZ271" i="6"/>
  <c r="AX271" i="6"/>
  <c r="AS271" i="6"/>
  <c r="AR271" i="6"/>
  <c r="AQ271" i="6"/>
  <c r="AM271" i="6"/>
  <c r="AJ271" i="6"/>
  <c r="AI271" i="6"/>
  <c r="AH271" i="6"/>
  <c r="K271" i="6"/>
  <c r="J271" i="6"/>
  <c r="I271" i="6"/>
  <c r="T271" i="6" s="1"/>
  <c r="AV270" i="6"/>
  <c r="AJ270" i="6"/>
  <c r="AH270" i="6"/>
  <c r="AX270" i="6" s="1"/>
  <c r="AC270" i="6"/>
  <c r="AA270" i="6"/>
  <c r="X270" i="6"/>
  <c r="P270" i="6"/>
  <c r="N270" i="6"/>
  <c r="M270" i="6"/>
  <c r="K270" i="6"/>
  <c r="J270" i="6"/>
  <c r="I270" i="6"/>
  <c r="T270" i="6" s="1"/>
  <c r="AJ269" i="6"/>
  <c r="AH269" i="6"/>
  <c r="AR269" i="6" s="1"/>
  <c r="AD269" i="6"/>
  <c r="AA269" i="6"/>
  <c r="P269" i="6"/>
  <c r="M269" i="6"/>
  <c r="K269" i="6"/>
  <c r="J269" i="6"/>
  <c r="I269" i="6"/>
  <c r="Q269" i="6" s="1"/>
  <c r="BC268" i="6"/>
  <c r="BB268" i="6"/>
  <c r="AZ268" i="6"/>
  <c r="AQ268" i="6"/>
  <c r="AP268" i="6"/>
  <c r="AN268" i="6"/>
  <c r="AJ268" i="6"/>
  <c r="AH268" i="6"/>
  <c r="AX268" i="6" s="1"/>
  <c r="AD268" i="6"/>
  <c r="AB268" i="6"/>
  <c r="AA268" i="6"/>
  <c r="X268" i="6"/>
  <c r="W268" i="6"/>
  <c r="R268" i="6"/>
  <c r="P268" i="6"/>
  <c r="O268" i="6"/>
  <c r="K268" i="6"/>
  <c r="J268" i="6"/>
  <c r="I268" i="6"/>
  <c r="S268" i="6" s="1"/>
  <c r="AW267" i="6"/>
  <c r="AJ267" i="6"/>
  <c r="AH267" i="6"/>
  <c r="AS267" i="6" s="1"/>
  <c r="V267" i="6"/>
  <c r="K267" i="6"/>
  <c r="J267" i="6"/>
  <c r="I267" i="6"/>
  <c r="AD267" i="6" s="1"/>
  <c r="AJ266" i="6"/>
  <c r="AH266" i="6"/>
  <c r="AD266" i="6"/>
  <c r="AC266" i="6"/>
  <c r="AB266" i="6"/>
  <c r="Y266" i="6"/>
  <c r="X266" i="6"/>
  <c r="W266" i="6"/>
  <c r="U266" i="6"/>
  <c r="T266" i="6"/>
  <c r="R266" i="6"/>
  <c r="P266" i="6"/>
  <c r="O266" i="6"/>
  <c r="N266" i="6"/>
  <c r="L266" i="6"/>
  <c r="K266" i="6"/>
  <c r="J266" i="6"/>
  <c r="I266" i="6"/>
  <c r="BC265" i="6"/>
  <c r="BA265" i="6"/>
  <c r="AY265" i="6"/>
  <c r="AW265" i="6"/>
  <c r="AS265" i="6"/>
  <c r="AR265" i="6"/>
  <c r="AO265" i="6"/>
  <c r="AM265" i="6"/>
  <c r="AK265" i="6"/>
  <c r="AJ265" i="6"/>
  <c r="AH265" i="6"/>
  <c r="AV265" i="6" s="1"/>
  <c r="K265" i="6"/>
  <c r="J265" i="6"/>
  <c r="I265" i="6"/>
  <c r="R265" i="6" s="1"/>
  <c r="AT264" i="6"/>
  <c r="AQ264" i="6"/>
  <c r="AJ264" i="6"/>
  <c r="AH264" i="6"/>
  <c r="AZ264" i="6" s="1"/>
  <c r="AD264" i="6"/>
  <c r="AC264" i="6"/>
  <c r="AB264" i="6"/>
  <c r="AA264" i="6"/>
  <c r="Z264" i="6"/>
  <c r="X264" i="6"/>
  <c r="W264" i="6"/>
  <c r="V264" i="6"/>
  <c r="U264" i="6"/>
  <c r="T264" i="6"/>
  <c r="S264" i="6"/>
  <c r="R264" i="6"/>
  <c r="P264" i="6"/>
  <c r="O264" i="6"/>
  <c r="N264" i="6"/>
  <c r="M264" i="6"/>
  <c r="L264" i="6"/>
  <c r="K264" i="6"/>
  <c r="J264" i="6"/>
  <c r="I264" i="6"/>
  <c r="Y264" i="6" s="1"/>
  <c r="AX263" i="6"/>
  <c r="AJ263" i="6"/>
  <c r="AH263" i="6"/>
  <c r="AR263" i="6" s="1"/>
  <c r="K263" i="6"/>
  <c r="J263" i="6"/>
  <c r="I263" i="6"/>
  <c r="R263" i="6" s="1"/>
  <c r="AZ262" i="6"/>
  <c r="AX262" i="6"/>
  <c r="AP262" i="6"/>
  <c r="AO262" i="6"/>
  <c r="AJ262" i="6"/>
  <c r="AH262" i="6"/>
  <c r="AY262" i="6" s="1"/>
  <c r="Z262" i="6"/>
  <c r="Y262" i="6"/>
  <c r="U262" i="6"/>
  <c r="M262" i="6"/>
  <c r="L262" i="6"/>
  <c r="K262" i="6"/>
  <c r="J262" i="6"/>
  <c r="I262" i="6"/>
  <c r="AD262" i="6" s="1"/>
  <c r="BC261" i="6"/>
  <c r="BA261" i="6"/>
  <c r="AP261" i="6"/>
  <c r="AO261" i="6"/>
  <c r="AN261" i="6"/>
  <c r="AJ261" i="6"/>
  <c r="AH261" i="6"/>
  <c r="AX261" i="6" s="1"/>
  <c r="K261" i="6"/>
  <c r="J261" i="6"/>
  <c r="I261" i="6"/>
  <c r="S261" i="6" s="1"/>
  <c r="BA260" i="6"/>
  <c r="AZ260" i="6"/>
  <c r="AJ260" i="6"/>
  <c r="AH260" i="6"/>
  <c r="AD260" i="6"/>
  <c r="AA260" i="6"/>
  <c r="Y260" i="6"/>
  <c r="W260" i="6"/>
  <c r="V260" i="6"/>
  <c r="R260" i="6"/>
  <c r="Q260" i="6"/>
  <c r="P260" i="6"/>
  <c r="L260" i="6"/>
  <c r="K260" i="6"/>
  <c r="J260" i="6"/>
  <c r="I260" i="6"/>
  <c r="BB259" i="6"/>
  <c r="AY259" i="6"/>
  <c r="AX259" i="6"/>
  <c r="AO259" i="6"/>
  <c r="AN259" i="6"/>
  <c r="AL259" i="6"/>
  <c r="AJ259" i="6"/>
  <c r="AH259" i="6"/>
  <c r="AU259" i="6" s="1"/>
  <c r="AD259" i="6"/>
  <c r="AC259" i="6"/>
  <c r="AB259" i="6"/>
  <c r="Z259" i="6"/>
  <c r="Y259" i="6"/>
  <c r="W259" i="6"/>
  <c r="V259" i="6"/>
  <c r="U259" i="6"/>
  <c r="T259" i="6"/>
  <c r="S259" i="6"/>
  <c r="Q259" i="6"/>
  <c r="O259" i="6"/>
  <c r="N259" i="6"/>
  <c r="M259" i="6"/>
  <c r="L259" i="6"/>
  <c r="K259" i="6"/>
  <c r="J259" i="6"/>
  <c r="I259" i="6"/>
  <c r="BB258" i="6"/>
  <c r="BA258" i="6"/>
  <c r="AX258" i="6"/>
  <c r="AO258" i="6"/>
  <c r="AL258" i="6"/>
  <c r="AJ258" i="6"/>
  <c r="AH258" i="6"/>
  <c r="AS258" i="6" s="1"/>
  <c r="Z258" i="6"/>
  <c r="Y258" i="6"/>
  <c r="V258" i="6"/>
  <c r="N258" i="6"/>
  <c r="M258" i="6"/>
  <c r="K258" i="6"/>
  <c r="J258" i="6"/>
  <c r="I258" i="6"/>
  <c r="AD258" i="6" s="1"/>
  <c r="AZ257" i="6"/>
  <c r="AY257" i="6"/>
  <c r="AU257" i="6"/>
  <c r="AM257" i="6"/>
  <c r="AL257" i="6"/>
  <c r="AJ257" i="6"/>
  <c r="AH257" i="6"/>
  <c r="BC257" i="6" s="1"/>
  <c r="AC257" i="6"/>
  <c r="AB257" i="6"/>
  <c r="Z257" i="6"/>
  <c r="Y257" i="6"/>
  <c r="X257" i="6"/>
  <c r="U257" i="6"/>
  <c r="T257" i="6"/>
  <c r="S257" i="6"/>
  <c r="Q257" i="6"/>
  <c r="P257" i="6"/>
  <c r="O257" i="6"/>
  <c r="L257" i="6"/>
  <c r="K257" i="6"/>
  <c r="J257" i="6"/>
  <c r="I257" i="6"/>
  <c r="AJ256" i="6"/>
  <c r="AH256" i="6"/>
  <c r="AT256" i="6" s="1"/>
  <c r="AD256" i="6"/>
  <c r="AC256" i="6"/>
  <c r="AB256" i="6"/>
  <c r="AA256" i="6"/>
  <c r="Z256" i="6"/>
  <c r="X256" i="6"/>
  <c r="W256" i="6"/>
  <c r="V256" i="6"/>
  <c r="U256" i="6"/>
  <c r="T256" i="6"/>
  <c r="S256" i="6"/>
  <c r="R256" i="6"/>
  <c r="P256" i="6"/>
  <c r="O256" i="6"/>
  <c r="N256" i="6"/>
  <c r="M256" i="6"/>
  <c r="L256" i="6"/>
  <c r="K256" i="6"/>
  <c r="J256" i="6"/>
  <c r="I256" i="6"/>
  <c r="Y256" i="6" s="1"/>
  <c r="AZ255" i="6"/>
  <c r="AR255" i="6"/>
  <c r="AM255" i="6"/>
  <c r="AL255" i="6"/>
  <c r="AJ255" i="6"/>
  <c r="AH255" i="6"/>
  <c r="BC255" i="6" s="1"/>
  <c r="AD255" i="6"/>
  <c r="AC255" i="6"/>
  <c r="Z255" i="6"/>
  <c r="Y255" i="6"/>
  <c r="X255" i="6"/>
  <c r="W255" i="6"/>
  <c r="V255" i="6"/>
  <c r="U255" i="6"/>
  <c r="S255" i="6"/>
  <c r="Q255" i="6"/>
  <c r="P255" i="6"/>
  <c r="O255" i="6"/>
  <c r="N255" i="6"/>
  <c r="M255" i="6"/>
  <c r="K255" i="6"/>
  <c r="J255" i="6"/>
  <c r="I255" i="6"/>
  <c r="BA254" i="6"/>
  <c r="AZ254" i="6"/>
  <c r="AX254" i="6"/>
  <c r="AR254" i="6"/>
  <c r="AP254" i="6"/>
  <c r="AO254" i="6"/>
  <c r="AJ254" i="6"/>
  <c r="AH254" i="6"/>
  <c r="AC254" i="6"/>
  <c r="AA254" i="6"/>
  <c r="Y254" i="6"/>
  <c r="X254" i="6"/>
  <c r="S254" i="6"/>
  <c r="R254" i="6"/>
  <c r="N254" i="6"/>
  <c r="M254" i="6"/>
  <c r="K254" i="6"/>
  <c r="J254" i="6"/>
  <c r="I254" i="6"/>
  <c r="AB254" i="6" s="1"/>
  <c r="AJ253" i="6"/>
  <c r="AH253" i="6"/>
  <c r="AA253" i="6"/>
  <c r="Y253" i="6"/>
  <c r="O253" i="6"/>
  <c r="M253" i="6"/>
  <c r="K253" i="6"/>
  <c r="J253" i="6"/>
  <c r="I253" i="6"/>
  <c r="AD253" i="6" s="1"/>
  <c r="BC252" i="6"/>
  <c r="AT252" i="6"/>
  <c r="AQ252" i="6"/>
  <c r="AJ252" i="6"/>
  <c r="AH252" i="6"/>
  <c r="AB252" i="6"/>
  <c r="AA252" i="6"/>
  <c r="P252" i="6"/>
  <c r="O252" i="6"/>
  <c r="K252" i="6"/>
  <c r="J252" i="6"/>
  <c r="I252" i="6"/>
  <c r="S252" i="6" s="1"/>
  <c r="AY251" i="6"/>
  <c r="AW251" i="6"/>
  <c r="AM251" i="6"/>
  <c r="AL251" i="6"/>
  <c r="AJ251" i="6"/>
  <c r="AH251" i="6"/>
  <c r="AS251" i="6" s="1"/>
  <c r="AB251" i="6"/>
  <c r="W251" i="6"/>
  <c r="V251" i="6"/>
  <c r="Q251" i="6"/>
  <c r="L251" i="6"/>
  <c r="K251" i="6"/>
  <c r="J251" i="6"/>
  <c r="I251" i="6"/>
  <c r="AD251" i="6" s="1"/>
  <c r="BB250" i="6"/>
  <c r="AZ250" i="6"/>
  <c r="AY250" i="6"/>
  <c r="AP250" i="6"/>
  <c r="AO250" i="6"/>
  <c r="AL250" i="6"/>
  <c r="AJ250" i="6"/>
  <c r="AH250" i="6"/>
  <c r="AV250" i="6" s="1"/>
  <c r="AD250" i="6"/>
  <c r="AC250" i="6"/>
  <c r="AB250" i="6"/>
  <c r="Y250" i="6"/>
  <c r="X250" i="6"/>
  <c r="W250" i="6"/>
  <c r="V250" i="6"/>
  <c r="U250" i="6"/>
  <c r="T250" i="6"/>
  <c r="R250" i="6"/>
  <c r="P250" i="6"/>
  <c r="O250" i="6"/>
  <c r="N250" i="6"/>
  <c r="M250" i="6"/>
  <c r="L250" i="6"/>
  <c r="K250" i="6"/>
  <c r="J250" i="6"/>
  <c r="I250" i="6"/>
  <c r="BC249" i="6"/>
  <c r="BB249" i="6"/>
  <c r="BA249" i="6"/>
  <c r="AO249" i="6"/>
  <c r="AN249" i="6"/>
  <c r="AM249" i="6"/>
  <c r="AJ249" i="6"/>
  <c r="AH249" i="6"/>
  <c r="AW249" i="6" s="1"/>
  <c r="S249" i="6"/>
  <c r="K249" i="6"/>
  <c r="J249" i="6"/>
  <c r="I249" i="6"/>
  <c r="AJ248" i="6"/>
  <c r="AH248" i="6"/>
  <c r="AD248" i="6"/>
  <c r="AC248" i="6"/>
  <c r="AB248" i="6"/>
  <c r="AA248" i="6"/>
  <c r="Z248" i="6"/>
  <c r="X248" i="6"/>
  <c r="W248" i="6"/>
  <c r="V248" i="6"/>
  <c r="U248" i="6"/>
  <c r="T248" i="6"/>
  <c r="S248" i="6"/>
  <c r="R248" i="6"/>
  <c r="P248" i="6"/>
  <c r="O248" i="6"/>
  <c r="N248" i="6"/>
  <c r="M248" i="6"/>
  <c r="L248" i="6"/>
  <c r="K248" i="6"/>
  <c r="J248" i="6"/>
  <c r="I248" i="6"/>
  <c r="Y248" i="6" s="1"/>
  <c r="AW247" i="6"/>
  <c r="AS247" i="6"/>
  <c r="AO247" i="6"/>
  <c r="AJ247" i="6"/>
  <c r="AH247" i="6"/>
  <c r="BC247" i="6" s="1"/>
  <c r="AC247" i="6"/>
  <c r="X247" i="6"/>
  <c r="W247" i="6"/>
  <c r="Q247" i="6"/>
  <c r="M247" i="6"/>
  <c r="K247" i="6"/>
  <c r="J247" i="6"/>
  <c r="I247" i="6"/>
  <c r="R247" i="6" s="1"/>
  <c r="AO246" i="6"/>
  <c r="AL246" i="6"/>
  <c r="AJ246" i="6"/>
  <c r="AH246" i="6"/>
  <c r="AX246" i="6" s="1"/>
  <c r="AD246" i="6"/>
  <c r="AC246" i="6"/>
  <c r="AA246" i="6"/>
  <c r="Y246" i="6"/>
  <c r="V246" i="6"/>
  <c r="U246" i="6"/>
  <c r="R246" i="6"/>
  <c r="Q246" i="6"/>
  <c r="P246" i="6"/>
  <c r="L246" i="6"/>
  <c r="K246" i="6"/>
  <c r="J246" i="6"/>
  <c r="I246" i="6"/>
  <c r="AY245" i="6"/>
  <c r="AU245" i="6"/>
  <c r="AJ245" i="6"/>
  <c r="AH245" i="6"/>
  <c r="AC245" i="6"/>
  <c r="AA245" i="6"/>
  <c r="Y245" i="6"/>
  <c r="W245" i="6"/>
  <c r="V245" i="6"/>
  <c r="R245" i="6"/>
  <c r="Q245" i="6"/>
  <c r="N245" i="6"/>
  <c r="M245" i="6"/>
  <c r="K245" i="6"/>
  <c r="J245" i="6"/>
  <c r="I245" i="6"/>
  <c r="Z245" i="6" s="1"/>
  <c r="AV244" i="6"/>
  <c r="AS244" i="6"/>
  <c r="AR244" i="6"/>
  <c r="AM244" i="6"/>
  <c r="AJ244" i="6"/>
  <c r="AH244" i="6"/>
  <c r="AZ244" i="6" s="1"/>
  <c r="AD244" i="6"/>
  <c r="AB244" i="6"/>
  <c r="X244" i="6"/>
  <c r="V244" i="6"/>
  <c r="T244" i="6"/>
  <c r="Q244" i="6"/>
  <c r="M244" i="6"/>
  <c r="L244" i="6"/>
  <c r="K244" i="6"/>
  <c r="J244" i="6"/>
  <c r="I244" i="6"/>
  <c r="Z244" i="6" s="1"/>
  <c r="BC243" i="6"/>
  <c r="AR243" i="6"/>
  <c r="AJ243" i="6"/>
  <c r="AH243" i="6"/>
  <c r="Y243" i="6"/>
  <c r="X243" i="6"/>
  <c r="O243" i="6"/>
  <c r="M243" i="6"/>
  <c r="K243" i="6"/>
  <c r="J243" i="6"/>
  <c r="I243" i="6"/>
  <c r="AB243" i="6" s="1"/>
  <c r="AJ242" i="6"/>
  <c r="AH242" i="6"/>
  <c r="AZ242" i="6" s="1"/>
  <c r="AD242" i="6"/>
  <c r="AB242" i="6"/>
  <c r="AA242" i="6"/>
  <c r="Z242" i="6"/>
  <c r="X242" i="6"/>
  <c r="W242" i="6"/>
  <c r="V242" i="6"/>
  <c r="T242" i="6"/>
  <c r="S242" i="6"/>
  <c r="R242" i="6"/>
  <c r="P242" i="6"/>
  <c r="O242" i="6"/>
  <c r="N242" i="6"/>
  <c r="L242" i="6"/>
  <c r="K242" i="6"/>
  <c r="J242" i="6"/>
  <c r="I242" i="6"/>
  <c r="AC242" i="6" s="1"/>
  <c r="BB241" i="6"/>
  <c r="BA241" i="6"/>
  <c r="AU241" i="6"/>
  <c r="AQ241" i="6"/>
  <c r="AP241" i="6"/>
  <c r="AL241" i="6"/>
  <c r="AK241" i="6"/>
  <c r="AJ241" i="6"/>
  <c r="AH241" i="6"/>
  <c r="AY241" i="6" s="1"/>
  <c r="K241" i="6"/>
  <c r="J241" i="6"/>
  <c r="I241" i="6"/>
  <c r="AC241" i="6" s="1"/>
  <c r="AJ240" i="6"/>
  <c r="AH240" i="6"/>
  <c r="AZ240" i="6" s="1"/>
  <c r="AD240" i="6"/>
  <c r="AB240" i="6"/>
  <c r="Z240" i="6"/>
  <c r="Y240" i="6"/>
  <c r="X240" i="6"/>
  <c r="V240" i="6"/>
  <c r="U240" i="6"/>
  <c r="T240" i="6"/>
  <c r="Q240" i="6"/>
  <c r="P240" i="6"/>
  <c r="N240" i="6"/>
  <c r="M240" i="6"/>
  <c r="L240" i="6"/>
  <c r="K240" i="6"/>
  <c r="J240" i="6"/>
  <c r="I240" i="6"/>
  <c r="AJ239" i="6"/>
  <c r="AH239" i="6"/>
  <c r="AZ239" i="6" s="1"/>
  <c r="AC239" i="6"/>
  <c r="W239" i="6"/>
  <c r="U239" i="6"/>
  <c r="P239" i="6"/>
  <c r="L239" i="6"/>
  <c r="K239" i="6"/>
  <c r="J239" i="6"/>
  <c r="I239" i="6"/>
  <c r="S239" i="6" s="1"/>
  <c r="AX238" i="6"/>
  <c r="AM238" i="6"/>
  <c r="AL238" i="6"/>
  <c r="AJ238" i="6"/>
  <c r="AH238" i="6"/>
  <c r="AV238" i="6" s="1"/>
  <c r="AD238" i="6"/>
  <c r="AC238" i="6"/>
  <c r="AB238" i="6"/>
  <c r="AA238" i="6"/>
  <c r="Z238" i="6"/>
  <c r="X238" i="6"/>
  <c r="W238" i="6"/>
  <c r="V238" i="6"/>
  <c r="U238" i="6"/>
  <c r="T238" i="6"/>
  <c r="S238" i="6"/>
  <c r="R238" i="6"/>
  <c r="P238" i="6"/>
  <c r="O238" i="6"/>
  <c r="N238" i="6"/>
  <c r="M238" i="6"/>
  <c r="L238" i="6"/>
  <c r="K238" i="6"/>
  <c r="J238" i="6"/>
  <c r="I238" i="6"/>
  <c r="Y238" i="6" s="1"/>
  <c r="BC237" i="6"/>
  <c r="AX237" i="6"/>
  <c r="AU237" i="6"/>
  <c r="AS237" i="6"/>
  <c r="AQ237" i="6"/>
  <c r="AL237" i="6"/>
  <c r="AJ237" i="6"/>
  <c r="AH237" i="6"/>
  <c r="AD237" i="6"/>
  <c r="AC237" i="6"/>
  <c r="AA237" i="6"/>
  <c r="X237" i="6"/>
  <c r="U237" i="6"/>
  <c r="S237" i="6"/>
  <c r="R237" i="6"/>
  <c r="O237" i="6"/>
  <c r="N237" i="6"/>
  <c r="K237" i="6"/>
  <c r="J237" i="6"/>
  <c r="I237" i="6"/>
  <c r="BC236" i="6"/>
  <c r="BB236" i="6"/>
  <c r="AZ236" i="6"/>
  <c r="AX236" i="6"/>
  <c r="AW236" i="6"/>
  <c r="AV236" i="6"/>
  <c r="AU236" i="6"/>
  <c r="AT236" i="6"/>
  <c r="AS236" i="6"/>
  <c r="AP236" i="6"/>
  <c r="AO236" i="6"/>
  <c r="AN236" i="6"/>
  <c r="AM236" i="6"/>
  <c r="AL236" i="6"/>
  <c r="AK236" i="6"/>
  <c r="AJ236" i="6"/>
  <c r="AH236" i="6"/>
  <c r="AY236" i="6" s="1"/>
  <c r="AD236" i="6"/>
  <c r="R236" i="6"/>
  <c r="Q236" i="6"/>
  <c r="K236" i="6"/>
  <c r="J236" i="6"/>
  <c r="I236" i="6"/>
  <c r="BC235" i="6"/>
  <c r="AY235" i="6"/>
  <c r="AX235" i="6"/>
  <c r="AS235" i="6"/>
  <c r="AQ235" i="6"/>
  <c r="AP235" i="6"/>
  <c r="AM235" i="6"/>
  <c r="AK235" i="6"/>
  <c r="AJ235" i="6"/>
  <c r="AH235" i="6"/>
  <c r="AV235" i="6" s="1"/>
  <c r="AD235" i="6"/>
  <c r="AC235" i="6"/>
  <c r="AB235" i="6"/>
  <c r="Y235" i="6"/>
  <c r="X235" i="6"/>
  <c r="W235" i="6"/>
  <c r="V235" i="6"/>
  <c r="U235" i="6"/>
  <c r="T235" i="6"/>
  <c r="S235" i="6"/>
  <c r="P235" i="6"/>
  <c r="O235" i="6"/>
  <c r="N235" i="6"/>
  <c r="M235" i="6"/>
  <c r="L235" i="6"/>
  <c r="K235" i="6"/>
  <c r="J235" i="6"/>
  <c r="I235" i="6"/>
  <c r="BB234" i="6"/>
  <c r="AR234" i="6"/>
  <c r="AM234" i="6"/>
  <c r="AJ234" i="6"/>
  <c r="AH234" i="6"/>
  <c r="R234" i="6"/>
  <c r="K234" i="6"/>
  <c r="J234" i="6"/>
  <c r="I234" i="6"/>
  <c r="Q234" i="6" s="1"/>
  <c r="AY233" i="6"/>
  <c r="AX233" i="6"/>
  <c r="AQ233" i="6"/>
  <c r="AL233" i="6"/>
  <c r="AJ233" i="6"/>
  <c r="AH233" i="6"/>
  <c r="AD233" i="6"/>
  <c r="AC233" i="6"/>
  <c r="Z233" i="6"/>
  <c r="Y233" i="6"/>
  <c r="V233" i="6"/>
  <c r="U233" i="6"/>
  <c r="T233" i="6"/>
  <c r="Q233" i="6"/>
  <c r="O233" i="6"/>
  <c r="M233" i="6"/>
  <c r="L233" i="6"/>
  <c r="K233" i="6"/>
  <c r="J233" i="6"/>
  <c r="I233" i="6"/>
  <c r="W233" i="6" s="1"/>
  <c r="AS232" i="6"/>
  <c r="AP232" i="6"/>
  <c r="AJ232" i="6"/>
  <c r="AH232" i="6"/>
  <c r="AC232" i="6"/>
  <c r="AB232" i="6"/>
  <c r="W232" i="6"/>
  <c r="R232" i="6"/>
  <c r="Q232" i="6"/>
  <c r="N232" i="6"/>
  <c r="M232" i="6"/>
  <c r="K232" i="6"/>
  <c r="J232" i="6"/>
  <c r="I232" i="6"/>
  <c r="T232" i="6" s="1"/>
  <c r="AJ231" i="6"/>
  <c r="AH231" i="6"/>
  <c r="AC231" i="6"/>
  <c r="AA231" i="6"/>
  <c r="Z231" i="6"/>
  <c r="Y231" i="6"/>
  <c r="T231" i="6"/>
  <c r="R231" i="6"/>
  <c r="Q231" i="6"/>
  <c r="P231" i="6"/>
  <c r="L231" i="6"/>
  <c r="K231" i="6"/>
  <c r="J231" i="6"/>
  <c r="I231" i="6"/>
  <c r="AJ230" i="6"/>
  <c r="AH230" i="6"/>
  <c r="AU230" i="6" s="1"/>
  <c r="AD230" i="6"/>
  <c r="AC230" i="6"/>
  <c r="AB230" i="6"/>
  <c r="AA230" i="6"/>
  <c r="Z230" i="6"/>
  <c r="X230" i="6"/>
  <c r="W230" i="6"/>
  <c r="V230" i="6"/>
  <c r="U230" i="6"/>
  <c r="T230" i="6"/>
  <c r="S230" i="6"/>
  <c r="R230" i="6"/>
  <c r="P230" i="6"/>
  <c r="O230" i="6"/>
  <c r="N230" i="6"/>
  <c r="M230" i="6"/>
  <c r="L230" i="6"/>
  <c r="K230" i="6"/>
  <c r="J230" i="6"/>
  <c r="I230" i="6"/>
  <c r="Y230" i="6" s="1"/>
  <c r="AJ229" i="6"/>
  <c r="AH229" i="6"/>
  <c r="AU229" i="6" s="1"/>
  <c r="R229" i="6"/>
  <c r="K229" i="6"/>
  <c r="J229" i="6"/>
  <c r="I229" i="6"/>
  <c r="AD229" i="6" s="1"/>
  <c r="BC228" i="6"/>
  <c r="AZ228" i="6"/>
  <c r="AV228" i="6"/>
  <c r="AR228" i="6"/>
  <c r="AP228" i="6"/>
  <c r="AM228" i="6"/>
  <c r="AK228" i="6"/>
  <c r="AJ228" i="6"/>
  <c r="AH228" i="6"/>
  <c r="AD228" i="6"/>
  <c r="AC228" i="6"/>
  <c r="AB228" i="6"/>
  <c r="Z228" i="6"/>
  <c r="Y228" i="6"/>
  <c r="X228" i="6"/>
  <c r="U228" i="6"/>
  <c r="T228" i="6"/>
  <c r="S228" i="6"/>
  <c r="Q228" i="6"/>
  <c r="P228" i="6"/>
  <c r="N228" i="6"/>
  <c r="L228" i="6"/>
  <c r="K228" i="6"/>
  <c r="J228" i="6"/>
  <c r="I228" i="6"/>
  <c r="AJ227" i="6"/>
  <c r="AH227" i="6"/>
  <c r="AV227" i="6" s="1"/>
  <c r="S227" i="6"/>
  <c r="K227" i="6"/>
  <c r="J227" i="6"/>
  <c r="I227" i="6"/>
  <c r="AJ226" i="6"/>
  <c r="AH226" i="6"/>
  <c r="AD226" i="6"/>
  <c r="AB226" i="6"/>
  <c r="Z226" i="6"/>
  <c r="Y226" i="6"/>
  <c r="X226" i="6"/>
  <c r="W226" i="6"/>
  <c r="V226" i="6"/>
  <c r="T226" i="6"/>
  <c r="S226" i="6"/>
  <c r="Q226" i="6"/>
  <c r="P226" i="6"/>
  <c r="O226" i="6"/>
  <c r="N226" i="6"/>
  <c r="L226" i="6"/>
  <c r="K226" i="6"/>
  <c r="J226" i="6"/>
  <c r="I226" i="6"/>
  <c r="AJ225" i="6"/>
  <c r="AH225" i="6"/>
  <c r="BC225" i="6" s="1"/>
  <c r="AC225" i="6"/>
  <c r="AA225" i="6"/>
  <c r="Y225" i="6"/>
  <c r="V225" i="6"/>
  <c r="S225" i="6"/>
  <c r="R225" i="6"/>
  <c r="N225" i="6"/>
  <c r="M225" i="6"/>
  <c r="K225" i="6"/>
  <c r="J225" i="6"/>
  <c r="I225" i="6"/>
  <c r="AB225" i="6" s="1"/>
  <c r="BA224" i="6"/>
  <c r="AZ224" i="6"/>
  <c r="AY224" i="6"/>
  <c r="AV224" i="6"/>
  <c r="AR224" i="6"/>
  <c r="AP224" i="6"/>
  <c r="AN224" i="6"/>
  <c r="AL224" i="6"/>
  <c r="AK224" i="6"/>
  <c r="AJ224" i="6"/>
  <c r="AH224" i="6"/>
  <c r="AQ224" i="6" s="1"/>
  <c r="AD224" i="6"/>
  <c r="AC224" i="6"/>
  <c r="Z224" i="6"/>
  <c r="Y224" i="6"/>
  <c r="X224" i="6"/>
  <c r="V224" i="6"/>
  <c r="U224" i="6"/>
  <c r="Q224" i="6"/>
  <c r="P224" i="6"/>
  <c r="O224" i="6"/>
  <c r="M224" i="6"/>
  <c r="L224" i="6"/>
  <c r="K224" i="6"/>
  <c r="J224" i="6"/>
  <c r="I224" i="6"/>
  <c r="AJ223" i="6"/>
  <c r="AH223" i="6"/>
  <c r="AC223" i="6"/>
  <c r="AB223" i="6"/>
  <c r="AA223" i="6"/>
  <c r="Y223" i="6"/>
  <c r="X223" i="6"/>
  <c r="W223" i="6"/>
  <c r="S223" i="6"/>
  <c r="R223" i="6"/>
  <c r="P223" i="6"/>
  <c r="O223" i="6"/>
  <c r="M223" i="6"/>
  <c r="K223" i="6"/>
  <c r="J223" i="6"/>
  <c r="I223" i="6"/>
  <c r="BB222" i="6"/>
  <c r="AY222" i="6"/>
  <c r="AW222" i="6"/>
  <c r="AM222" i="6"/>
  <c r="AJ222" i="6"/>
  <c r="AH222" i="6"/>
  <c r="AD222" i="6"/>
  <c r="AC222" i="6"/>
  <c r="AB222" i="6"/>
  <c r="AA222" i="6"/>
  <c r="Z222" i="6"/>
  <c r="X222" i="6"/>
  <c r="W222" i="6"/>
  <c r="V222" i="6"/>
  <c r="U222" i="6"/>
  <c r="T222" i="6"/>
  <c r="S222" i="6"/>
  <c r="R222" i="6"/>
  <c r="P222" i="6"/>
  <c r="O222" i="6"/>
  <c r="N222" i="6"/>
  <c r="M222" i="6"/>
  <c r="L222" i="6"/>
  <c r="K222" i="6"/>
  <c r="J222" i="6"/>
  <c r="I222" i="6"/>
  <c r="Y222" i="6" s="1"/>
  <c r="BC221" i="6"/>
  <c r="BB221" i="6"/>
  <c r="AZ221" i="6"/>
  <c r="AY221" i="6"/>
  <c r="AX221" i="6"/>
  <c r="AU221" i="6"/>
  <c r="AS221" i="6"/>
  <c r="AQ221" i="6"/>
  <c r="AP221" i="6"/>
  <c r="AO221" i="6"/>
  <c r="AL221" i="6"/>
  <c r="AK221" i="6"/>
  <c r="AJ221" i="6"/>
  <c r="AH221" i="6"/>
  <c r="AT221" i="6" s="1"/>
  <c r="AD221" i="6"/>
  <c r="AC221" i="6"/>
  <c r="AA221" i="6"/>
  <c r="Y221" i="6"/>
  <c r="X221" i="6"/>
  <c r="W221" i="6"/>
  <c r="S221" i="6"/>
  <c r="R221" i="6"/>
  <c r="P221" i="6"/>
  <c r="O221" i="6"/>
  <c r="N221" i="6"/>
  <c r="K221" i="6"/>
  <c r="J221" i="6"/>
  <c r="I221" i="6"/>
  <c r="BA220" i="6"/>
  <c r="AZ220" i="6"/>
  <c r="AW220" i="6"/>
  <c r="AU220" i="6"/>
  <c r="AP220" i="6"/>
  <c r="AO220" i="6"/>
  <c r="AM220" i="6"/>
  <c r="AK220" i="6"/>
  <c r="AJ220" i="6"/>
  <c r="AH220" i="6"/>
  <c r="AD220" i="6"/>
  <c r="S220" i="6"/>
  <c r="R220" i="6"/>
  <c r="K220" i="6"/>
  <c r="J220" i="6"/>
  <c r="I220" i="6"/>
  <c r="AX219" i="6"/>
  <c r="AM219" i="6"/>
  <c r="AK219" i="6"/>
  <c r="AJ219" i="6"/>
  <c r="AH219" i="6"/>
  <c r="AW219" i="6" s="1"/>
  <c r="AD219" i="6"/>
  <c r="AC219" i="6"/>
  <c r="AB219" i="6"/>
  <c r="Y219" i="6"/>
  <c r="X219" i="6"/>
  <c r="W219" i="6"/>
  <c r="U219" i="6"/>
  <c r="T219" i="6"/>
  <c r="S219" i="6"/>
  <c r="P219" i="6"/>
  <c r="O219" i="6"/>
  <c r="N219" i="6"/>
  <c r="L219" i="6"/>
  <c r="K219" i="6"/>
  <c r="J219" i="6"/>
  <c r="I219" i="6"/>
  <c r="AY218" i="6"/>
  <c r="AV218" i="6"/>
  <c r="AS218" i="6"/>
  <c r="AR218" i="6"/>
  <c r="AN218" i="6"/>
  <c r="AJ218" i="6"/>
  <c r="AH218" i="6"/>
  <c r="AB218" i="6"/>
  <c r="AA218" i="6"/>
  <c r="Q218" i="6"/>
  <c r="O218" i="6"/>
  <c r="K218" i="6"/>
  <c r="J218" i="6"/>
  <c r="I218" i="6"/>
  <c r="AV217" i="6"/>
  <c r="AU217" i="6"/>
  <c r="AJ217" i="6"/>
  <c r="AH217" i="6"/>
  <c r="AD217" i="6"/>
  <c r="AC217" i="6"/>
  <c r="AA217" i="6"/>
  <c r="Z217" i="6"/>
  <c r="Y217" i="6"/>
  <c r="V217" i="6"/>
  <c r="U217" i="6"/>
  <c r="R217" i="6"/>
  <c r="Q217" i="6"/>
  <c r="O217" i="6"/>
  <c r="M217" i="6"/>
  <c r="L217" i="6"/>
  <c r="K217" i="6"/>
  <c r="J217" i="6"/>
  <c r="I217" i="6"/>
  <c r="BB216" i="6"/>
  <c r="AY216" i="6"/>
  <c r="AN216" i="6"/>
  <c r="AJ216" i="6"/>
  <c r="AH216" i="6"/>
  <c r="AC216" i="6"/>
  <c r="Z216" i="6"/>
  <c r="X216" i="6"/>
  <c r="W216" i="6"/>
  <c r="V216" i="6"/>
  <c r="R216" i="6"/>
  <c r="Q216" i="6"/>
  <c r="N216" i="6"/>
  <c r="M216" i="6"/>
  <c r="K216" i="6"/>
  <c r="J216" i="6"/>
  <c r="I216" i="6"/>
  <c r="AB216" i="6" s="1"/>
  <c r="AU215" i="6"/>
  <c r="AJ215" i="6"/>
  <c r="AH215" i="6"/>
  <c r="AS215" i="6" s="1"/>
  <c r="AC215" i="6"/>
  <c r="Z215" i="6"/>
  <c r="Y215" i="6"/>
  <c r="U215" i="6"/>
  <c r="R215" i="6"/>
  <c r="Q215" i="6"/>
  <c r="M215" i="6"/>
  <c r="L215" i="6"/>
  <c r="K215" i="6"/>
  <c r="J215" i="6"/>
  <c r="I215" i="6"/>
  <c r="AA215" i="6" s="1"/>
  <c r="BB214" i="6"/>
  <c r="AR214" i="6"/>
  <c r="AO214" i="6"/>
  <c r="AL214" i="6"/>
  <c r="AJ214" i="6"/>
  <c r="AH214" i="6"/>
  <c r="AP214" i="6" s="1"/>
  <c r="AD214" i="6"/>
  <c r="AC214" i="6"/>
  <c r="AB214" i="6"/>
  <c r="AA214" i="6"/>
  <c r="Z214" i="6"/>
  <c r="X214" i="6"/>
  <c r="W214" i="6"/>
  <c r="V214" i="6"/>
  <c r="U214" i="6"/>
  <c r="T214" i="6"/>
  <c r="S214" i="6"/>
  <c r="R214" i="6"/>
  <c r="P214" i="6"/>
  <c r="O214" i="6"/>
  <c r="N214" i="6"/>
  <c r="M214" i="6"/>
  <c r="L214" i="6"/>
  <c r="K214" i="6"/>
  <c r="J214" i="6"/>
  <c r="I214" i="6"/>
  <c r="Y214" i="6" s="1"/>
  <c r="AJ213" i="6"/>
  <c r="AH213" i="6"/>
  <c r="AZ213" i="6" s="1"/>
  <c r="AD213" i="6"/>
  <c r="AA213" i="6"/>
  <c r="Q213" i="6"/>
  <c r="P213" i="6"/>
  <c r="K213" i="6"/>
  <c r="J213" i="6"/>
  <c r="I213" i="6"/>
  <c r="BC212" i="6"/>
  <c r="BA212" i="6"/>
  <c r="AT212" i="6"/>
  <c r="AP212" i="6"/>
  <c r="AJ212" i="6"/>
  <c r="AH212" i="6"/>
  <c r="AD212" i="6"/>
  <c r="AC212" i="6"/>
  <c r="AB212" i="6"/>
  <c r="Z212" i="6"/>
  <c r="Y212" i="6"/>
  <c r="X212" i="6"/>
  <c r="V212" i="6"/>
  <c r="U212" i="6"/>
  <c r="T212" i="6"/>
  <c r="S212" i="6"/>
  <c r="Q212" i="6"/>
  <c r="P212" i="6"/>
  <c r="N212" i="6"/>
  <c r="M212" i="6"/>
  <c r="L212" i="6"/>
  <c r="K212" i="6"/>
  <c r="J212" i="6"/>
  <c r="I212" i="6"/>
  <c r="AZ211" i="6"/>
  <c r="AW211" i="6"/>
  <c r="AP211" i="6"/>
  <c r="AN211" i="6"/>
  <c r="AM211" i="6"/>
  <c r="AJ211" i="6"/>
  <c r="AH211" i="6"/>
  <c r="AD211" i="6"/>
  <c r="AB211" i="6"/>
  <c r="AA211" i="6"/>
  <c r="Y211" i="6"/>
  <c r="W211" i="6"/>
  <c r="V211" i="6"/>
  <c r="U211" i="6"/>
  <c r="T211" i="6"/>
  <c r="Q211" i="6"/>
  <c r="P211" i="6"/>
  <c r="N211" i="6"/>
  <c r="M211" i="6"/>
  <c r="L211" i="6"/>
  <c r="K211" i="6"/>
  <c r="J211" i="6"/>
  <c r="I211" i="6"/>
  <c r="AZ210" i="6"/>
  <c r="AJ210" i="6"/>
  <c r="AH210" i="6"/>
  <c r="AB210" i="6"/>
  <c r="AA210" i="6"/>
  <c r="Y210" i="6"/>
  <c r="X210" i="6"/>
  <c r="T210" i="6"/>
  <c r="R210" i="6"/>
  <c r="Q210" i="6"/>
  <c r="O210" i="6"/>
  <c r="L210" i="6"/>
  <c r="K210" i="6"/>
  <c r="J210" i="6"/>
  <c r="I210" i="6"/>
  <c r="Z210" i="6" s="1"/>
  <c r="AU209" i="6"/>
  <c r="AJ209" i="6"/>
  <c r="AH209" i="6"/>
  <c r="AC209" i="6"/>
  <c r="S209" i="6"/>
  <c r="Q209" i="6"/>
  <c r="O209" i="6"/>
  <c r="M209" i="6"/>
  <c r="K209" i="6"/>
  <c r="J209" i="6"/>
  <c r="I209" i="6"/>
  <c r="T209" i="6" s="1"/>
  <c r="AJ208" i="6"/>
  <c r="AH208" i="6"/>
  <c r="AC208" i="6"/>
  <c r="Z208" i="6"/>
  <c r="X208" i="6"/>
  <c r="Q208" i="6"/>
  <c r="N208" i="6"/>
  <c r="L208" i="6"/>
  <c r="K208" i="6"/>
  <c r="J208" i="6"/>
  <c r="I208" i="6"/>
  <c r="U208" i="6" s="1"/>
  <c r="AN207" i="6"/>
  <c r="AJ207" i="6"/>
  <c r="AH207" i="6"/>
  <c r="BC207" i="6" s="1"/>
  <c r="AB207" i="6"/>
  <c r="AA207" i="6"/>
  <c r="Y207" i="6"/>
  <c r="X207" i="6"/>
  <c r="W207" i="6"/>
  <c r="U207" i="6"/>
  <c r="T207" i="6"/>
  <c r="R207" i="6"/>
  <c r="P207" i="6"/>
  <c r="O207" i="6"/>
  <c r="M207" i="6"/>
  <c r="L207" i="6"/>
  <c r="K207" i="6"/>
  <c r="J207" i="6"/>
  <c r="I207" i="6"/>
  <c r="BB206" i="6"/>
  <c r="AZ206" i="6"/>
  <c r="AY206" i="6"/>
  <c r="AX206" i="6"/>
  <c r="AW206" i="6"/>
  <c r="AV206" i="6"/>
  <c r="AQ206" i="6"/>
  <c r="AP206" i="6"/>
  <c r="AO206" i="6"/>
  <c r="AN206" i="6"/>
  <c r="AM206" i="6"/>
  <c r="AL206" i="6"/>
  <c r="AJ206" i="6"/>
  <c r="AH206" i="6"/>
  <c r="AU206" i="6" s="1"/>
  <c r="AD206" i="6"/>
  <c r="AC206" i="6"/>
  <c r="AB206" i="6"/>
  <c r="AA206" i="6"/>
  <c r="Z206" i="6"/>
  <c r="X206" i="6"/>
  <c r="W206" i="6"/>
  <c r="V206" i="6"/>
  <c r="U206" i="6"/>
  <c r="T206" i="6"/>
  <c r="S206" i="6"/>
  <c r="R206" i="6"/>
  <c r="P206" i="6"/>
  <c r="O206" i="6"/>
  <c r="N206" i="6"/>
  <c r="M206" i="6"/>
  <c r="L206" i="6"/>
  <c r="K206" i="6"/>
  <c r="J206" i="6"/>
  <c r="I206" i="6"/>
  <c r="Y206" i="6" s="1"/>
  <c r="AX205" i="6"/>
  <c r="AW205" i="6"/>
  <c r="AT205" i="6"/>
  <c r="AQ205" i="6"/>
  <c r="AL205" i="6"/>
  <c r="AK205" i="6"/>
  <c r="AJ205" i="6"/>
  <c r="AH205" i="6"/>
  <c r="AD205" i="6"/>
  <c r="P205" i="6"/>
  <c r="K205" i="6"/>
  <c r="J205" i="6"/>
  <c r="I205" i="6"/>
  <c r="S205" i="6" s="1"/>
  <c r="AM204" i="6"/>
  <c r="AJ204" i="6"/>
  <c r="AH204" i="6"/>
  <c r="BA204" i="6" s="1"/>
  <c r="X204" i="6"/>
  <c r="S204" i="6"/>
  <c r="R204" i="6"/>
  <c r="K204" i="6"/>
  <c r="J204" i="6"/>
  <c r="I204" i="6"/>
  <c r="BC203" i="6"/>
  <c r="AZ203" i="6"/>
  <c r="AU203" i="6"/>
  <c r="AJ203" i="6"/>
  <c r="AH203" i="6"/>
  <c r="AD203" i="6"/>
  <c r="AC203" i="6"/>
  <c r="AB203" i="6"/>
  <c r="Y203" i="6"/>
  <c r="X203" i="6"/>
  <c r="W203" i="6"/>
  <c r="V203" i="6"/>
  <c r="U203" i="6"/>
  <c r="T203" i="6"/>
  <c r="S203" i="6"/>
  <c r="P203" i="6"/>
  <c r="O203" i="6"/>
  <c r="N203" i="6"/>
  <c r="M203" i="6"/>
  <c r="L203" i="6"/>
  <c r="K203" i="6"/>
  <c r="J203" i="6"/>
  <c r="I203" i="6"/>
  <c r="BB202" i="6"/>
  <c r="AY202" i="6"/>
  <c r="AX202" i="6"/>
  <c r="AS202" i="6"/>
  <c r="AP202" i="6"/>
  <c r="AN202" i="6"/>
  <c r="AJ202" i="6"/>
  <c r="AH202" i="6"/>
  <c r="Z202" i="6"/>
  <c r="T202" i="6"/>
  <c r="K202" i="6"/>
  <c r="J202" i="6"/>
  <c r="I202" i="6"/>
  <c r="AY201" i="6"/>
  <c r="AW201" i="6"/>
  <c r="AT201" i="6"/>
  <c r="AO201" i="6"/>
  <c r="AM201" i="6"/>
  <c r="AK201" i="6"/>
  <c r="AJ201" i="6"/>
  <c r="AH201" i="6"/>
  <c r="AP201" i="6" s="1"/>
  <c r="AD201" i="6"/>
  <c r="V201" i="6"/>
  <c r="S201" i="6"/>
  <c r="R201" i="6"/>
  <c r="K201" i="6"/>
  <c r="J201" i="6"/>
  <c r="I201" i="6"/>
  <c r="BB200" i="6"/>
  <c r="AX200" i="6"/>
  <c r="AT200" i="6"/>
  <c r="AR200" i="6"/>
  <c r="AP200" i="6"/>
  <c r="AN200" i="6"/>
  <c r="AL200" i="6"/>
  <c r="AJ200" i="6"/>
  <c r="AH200" i="6"/>
  <c r="AS200" i="6" s="1"/>
  <c r="Y200" i="6"/>
  <c r="T200" i="6"/>
  <c r="K200" i="6"/>
  <c r="J200" i="6"/>
  <c r="I200" i="6"/>
  <c r="R200" i="6" s="1"/>
  <c r="BC199" i="6"/>
  <c r="AT199" i="6"/>
  <c r="AS199" i="6"/>
  <c r="AN199" i="6"/>
  <c r="AK199" i="6"/>
  <c r="AJ199" i="6"/>
  <c r="AH199" i="6"/>
  <c r="AZ199" i="6" s="1"/>
  <c r="AA199" i="6"/>
  <c r="Z199" i="6"/>
  <c r="X199" i="6"/>
  <c r="W199" i="6"/>
  <c r="U199" i="6"/>
  <c r="T199" i="6"/>
  <c r="Q199" i="6"/>
  <c r="P199" i="6"/>
  <c r="M199" i="6"/>
  <c r="L199" i="6"/>
  <c r="K199" i="6"/>
  <c r="J199" i="6"/>
  <c r="I199" i="6"/>
  <c r="Y199" i="6" s="1"/>
  <c r="AX198" i="6"/>
  <c r="AW198" i="6"/>
  <c r="AR198" i="6"/>
  <c r="AJ198" i="6"/>
  <c r="AH198" i="6"/>
  <c r="BC198" i="6" s="1"/>
  <c r="AD198" i="6"/>
  <c r="AC198" i="6"/>
  <c r="AB198" i="6"/>
  <c r="AA198" i="6"/>
  <c r="Z198" i="6"/>
  <c r="X198" i="6"/>
  <c r="W198" i="6"/>
  <c r="V198" i="6"/>
  <c r="U198" i="6"/>
  <c r="T198" i="6"/>
  <c r="S198" i="6"/>
  <c r="R198" i="6"/>
  <c r="P198" i="6"/>
  <c r="O198" i="6"/>
  <c r="N198" i="6"/>
  <c r="M198" i="6"/>
  <c r="L198" i="6"/>
  <c r="K198" i="6"/>
  <c r="J198" i="6"/>
  <c r="I198" i="6"/>
  <c r="Y198" i="6" s="1"/>
  <c r="AY197" i="6"/>
  <c r="AX197" i="6"/>
  <c r="AM197" i="6"/>
  <c r="AJ197" i="6"/>
  <c r="AH197" i="6"/>
  <c r="AC197" i="6"/>
  <c r="Z197" i="6"/>
  <c r="Y197" i="6"/>
  <c r="W197" i="6"/>
  <c r="U197" i="6"/>
  <c r="Q197" i="6"/>
  <c r="N197" i="6"/>
  <c r="M197" i="6"/>
  <c r="K197" i="6"/>
  <c r="J197" i="6"/>
  <c r="I197" i="6"/>
  <c r="AD197" i="6" s="1"/>
  <c r="BB196" i="6"/>
  <c r="AZ196" i="6"/>
  <c r="AX196" i="6"/>
  <c r="AW196" i="6"/>
  <c r="AU196" i="6"/>
  <c r="AS196" i="6"/>
  <c r="AP196" i="6"/>
  <c r="AO196" i="6"/>
  <c r="AN196" i="6"/>
  <c r="AL196" i="6"/>
  <c r="AJ196" i="6"/>
  <c r="AH196" i="6"/>
  <c r="AY196" i="6" s="1"/>
  <c r="AD196" i="6"/>
  <c r="AC196" i="6"/>
  <c r="AA196" i="6"/>
  <c r="Z196" i="6"/>
  <c r="Y196" i="6"/>
  <c r="X196" i="6"/>
  <c r="U196" i="6"/>
  <c r="S196" i="6"/>
  <c r="Q196" i="6"/>
  <c r="P196" i="6"/>
  <c r="N196" i="6"/>
  <c r="L196" i="6"/>
  <c r="K196" i="6"/>
  <c r="J196" i="6"/>
  <c r="I196" i="6"/>
  <c r="AW195" i="6"/>
  <c r="AS195" i="6"/>
  <c r="AN195" i="6"/>
  <c r="AK195" i="6"/>
  <c r="AJ195" i="6"/>
  <c r="AH195" i="6"/>
  <c r="AZ195" i="6" s="1"/>
  <c r="AB195" i="6"/>
  <c r="Y195" i="6"/>
  <c r="X195" i="6"/>
  <c r="W195" i="6"/>
  <c r="V195" i="6"/>
  <c r="U195" i="6"/>
  <c r="P195" i="6"/>
  <c r="N195" i="6"/>
  <c r="M195" i="6"/>
  <c r="L195" i="6"/>
  <c r="K195" i="6"/>
  <c r="J195" i="6"/>
  <c r="I195" i="6"/>
  <c r="AA195" i="6" s="1"/>
  <c r="BC194" i="6"/>
  <c r="AL194" i="6"/>
  <c r="AJ194" i="6"/>
  <c r="AH194" i="6"/>
  <c r="AD194" i="6"/>
  <c r="AB194" i="6"/>
  <c r="Z194" i="6"/>
  <c r="Y194" i="6"/>
  <c r="X194" i="6"/>
  <c r="W194" i="6"/>
  <c r="V194" i="6"/>
  <c r="T194" i="6"/>
  <c r="S194" i="6"/>
  <c r="Q194" i="6"/>
  <c r="P194" i="6"/>
  <c r="O194" i="6"/>
  <c r="N194" i="6"/>
  <c r="L194" i="6"/>
  <c r="K194" i="6"/>
  <c r="J194" i="6"/>
  <c r="I194" i="6"/>
  <c r="AO193" i="6"/>
  <c r="AJ193" i="6"/>
  <c r="AH193" i="6"/>
  <c r="AK193" i="6" s="1"/>
  <c r="AC193" i="6"/>
  <c r="Y193" i="6"/>
  <c r="W193" i="6"/>
  <c r="V193" i="6"/>
  <c r="U193" i="6"/>
  <c r="R193" i="6"/>
  <c r="M193" i="6"/>
  <c r="L193" i="6"/>
  <c r="K193" i="6"/>
  <c r="J193" i="6"/>
  <c r="I193" i="6"/>
  <c r="AD193" i="6" s="1"/>
  <c r="AJ192" i="6"/>
  <c r="AH192" i="6"/>
  <c r="AD192" i="6"/>
  <c r="AB192" i="6"/>
  <c r="Z192" i="6"/>
  <c r="Y192" i="6"/>
  <c r="X192" i="6"/>
  <c r="V192" i="6"/>
  <c r="U192" i="6"/>
  <c r="T192" i="6"/>
  <c r="Q192" i="6"/>
  <c r="P192" i="6"/>
  <c r="O192" i="6"/>
  <c r="M192" i="6"/>
  <c r="L192" i="6"/>
  <c r="K192" i="6"/>
  <c r="J192" i="6"/>
  <c r="I192" i="6"/>
  <c r="BB191" i="6"/>
  <c r="AT191" i="6"/>
  <c r="AS191" i="6"/>
  <c r="AQ191" i="6"/>
  <c r="AN191" i="6"/>
  <c r="AJ191" i="6"/>
  <c r="AH191" i="6"/>
  <c r="AV191" i="6" s="1"/>
  <c r="P191" i="6"/>
  <c r="K191" i="6"/>
  <c r="J191" i="6"/>
  <c r="I191" i="6"/>
  <c r="X191" i="6" s="1"/>
  <c r="AT190" i="6"/>
  <c r="AJ190" i="6"/>
  <c r="AH190" i="6"/>
  <c r="AD190" i="6"/>
  <c r="AC190" i="6"/>
  <c r="AB190" i="6"/>
  <c r="AA190" i="6"/>
  <c r="Z190" i="6"/>
  <c r="X190" i="6"/>
  <c r="W190" i="6"/>
  <c r="V190" i="6"/>
  <c r="U190" i="6"/>
  <c r="T190" i="6"/>
  <c r="S190" i="6"/>
  <c r="R190" i="6"/>
  <c r="P190" i="6"/>
  <c r="O190" i="6"/>
  <c r="N190" i="6"/>
  <c r="M190" i="6"/>
  <c r="L190" i="6"/>
  <c r="K190" i="6"/>
  <c r="J190" i="6"/>
  <c r="I190" i="6"/>
  <c r="Y190" i="6" s="1"/>
  <c r="BC189" i="6"/>
  <c r="AJ189" i="6"/>
  <c r="AH189" i="6"/>
  <c r="AC189" i="6"/>
  <c r="AA189" i="6"/>
  <c r="Y189" i="6"/>
  <c r="X189" i="6"/>
  <c r="W189" i="6"/>
  <c r="V189" i="6"/>
  <c r="U189" i="6"/>
  <c r="R189" i="6"/>
  <c r="P189" i="6"/>
  <c r="O189" i="6"/>
  <c r="N189" i="6"/>
  <c r="M189" i="6"/>
  <c r="K189" i="6"/>
  <c r="J189" i="6"/>
  <c r="I189" i="6"/>
  <c r="BC188" i="6"/>
  <c r="BB188" i="6"/>
  <c r="BA188" i="6"/>
  <c r="AR188" i="6"/>
  <c r="AO188" i="6"/>
  <c r="AM188" i="6"/>
  <c r="AK188" i="6"/>
  <c r="AJ188" i="6"/>
  <c r="AH188" i="6"/>
  <c r="AT188" i="6" s="1"/>
  <c r="AB188" i="6"/>
  <c r="AA188" i="6"/>
  <c r="T188" i="6"/>
  <c r="R188" i="6"/>
  <c r="Q188" i="6"/>
  <c r="M188" i="6"/>
  <c r="K188" i="6"/>
  <c r="J188" i="6"/>
  <c r="I188" i="6"/>
  <c r="BC187" i="6"/>
  <c r="AZ187" i="6"/>
  <c r="AY187" i="6"/>
  <c r="AX187" i="6"/>
  <c r="AW187" i="6"/>
  <c r="AV187" i="6"/>
  <c r="AU187" i="6"/>
  <c r="AQ187" i="6"/>
  <c r="AP187" i="6"/>
  <c r="AO187" i="6"/>
  <c r="AN187" i="6"/>
  <c r="AM187" i="6"/>
  <c r="AK187" i="6"/>
  <c r="AJ187" i="6"/>
  <c r="AH187" i="6"/>
  <c r="AS187" i="6" s="1"/>
  <c r="AC187" i="6"/>
  <c r="Y187" i="6"/>
  <c r="O187" i="6"/>
  <c r="L187" i="6"/>
  <c r="K187" i="6"/>
  <c r="J187" i="6"/>
  <c r="I187" i="6"/>
  <c r="T187" i="6" s="1"/>
  <c r="BA186" i="6"/>
  <c r="AT186" i="6"/>
  <c r="AR186" i="6"/>
  <c r="AN186" i="6"/>
  <c r="AL186" i="6"/>
  <c r="AJ186" i="6"/>
  <c r="AH186" i="6"/>
  <c r="AU186" i="6" s="1"/>
  <c r="AB186" i="6"/>
  <c r="Z186" i="6"/>
  <c r="Y186" i="6"/>
  <c r="X186" i="6"/>
  <c r="W186" i="6"/>
  <c r="Q186" i="6"/>
  <c r="O186" i="6"/>
  <c r="N186" i="6"/>
  <c r="L186" i="6"/>
  <c r="K186" i="6"/>
  <c r="J186" i="6"/>
  <c r="I186" i="6"/>
  <c r="AA186" i="6" s="1"/>
  <c r="BC185" i="6"/>
  <c r="AY185" i="6"/>
  <c r="AX185" i="6"/>
  <c r="AV185" i="6"/>
  <c r="AQ185" i="6"/>
  <c r="AM185" i="6"/>
  <c r="AL185" i="6"/>
  <c r="AJ185" i="6"/>
  <c r="AH185" i="6"/>
  <c r="AD185" i="6"/>
  <c r="AC185" i="6"/>
  <c r="Z185" i="6"/>
  <c r="Y185" i="6"/>
  <c r="V185" i="6"/>
  <c r="U185" i="6"/>
  <c r="R185" i="6"/>
  <c r="Q185" i="6"/>
  <c r="N185" i="6"/>
  <c r="L185" i="6"/>
  <c r="K185" i="6"/>
  <c r="J185" i="6"/>
  <c r="I185" i="6"/>
  <c r="AA185" i="6" s="1"/>
  <c r="AK184" i="6"/>
  <c r="AJ184" i="6"/>
  <c r="AH184" i="6"/>
  <c r="AX184" i="6" s="1"/>
  <c r="R184" i="6"/>
  <c r="K184" i="6"/>
  <c r="J184" i="6"/>
  <c r="I184" i="6"/>
  <c r="V184" i="6" s="1"/>
  <c r="AS183" i="6"/>
  <c r="AO183" i="6"/>
  <c r="AJ183" i="6"/>
  <c r="AH183" i="6"/>
  <c r="AW183" i="6" s="1"/>
  <c r="AC183" i="6"/>
  <c r="AA183" i="6"/>
  <c r="Z183" i="6"/>
  <c r="Y183" i="6"/>
  <c r="W183" i="6"/>
  <c r="U183" i="6"/>
  <c r="S183" i="6"/>
  <c r="Q183" i="6"/>
  <c r="P183" i="6"/>
  <c r="M183" i="6"/>
  <c r="L183" i="6"/>
  <c r="K183" i="6"/>
  <c r="J183" i="6"/>
  <c r="I183" i="6"/>
  <c r="BB182" i="6"/>
  <c r="AX182" i="6"/>
  <c r="AM182" i="6"/>
  <c r="AL182" i="6"/>
  <c r="AJ182" i="6"/>
  <c r="AH182" i="6"/>
  <c r="AD182" i="6"/>
  <c r="AC182" i="6"/>
  <c r="AB182" i="6"/>
  <c r="AA182" i="6"/>
  <c r="Z182" i="6"/>
  <c r="X182" i="6"/>
  <c r="W182" i="6"/>
  <c r="V182" i="6"/>
  <c r="U182" i="6"/>
  <c r="T182" i="6"/>
  <c r="S182" i="6"/>
  <c r="R182" i="6"/>
  <c r="P182" i="6"/>
  <c r="O182" i="6"/>
  <c r="N182" i="6"/>
  <c r="M182" i="6"/>
  <c r="L182" i="6"/>
  <c r="K182" i="6"/>
  <c r="J182" i="6"/>
  <c r="I182" i="6"/>
  <c r="Y182" i="6" s="1"/>
  <c r="AR181" i="6"/>
  <c r="AK181" i="6"/>
  <c r="AJ181" i="6"/>
  <c r="AH181" i="6"/>
  <c r="AW181" i="6" s="1"/>
  <c r="AD181" i="6"/>
  <c r="AA181" i="6"/>
  <c r="Z181" i="6"/>
  <c r="X181" i="6"/>
  <c r="W181" i="6"/>
  <c r="V181" i="6"/>
  <c r="R181" i="6"/>
  <c r="Q181" i="6"/>
  <c r="P181" i="6"/>
  <c r="N181" i="6"/>
  <c r="M181" i="6"/>
  <c r="K181" i="6"/>
  <c r="J181" i="6"/>
  <c r="I181" i="6"/>
  <c r="BC180" i="6"/>
  <c r="BB180" i="6"/>
  <c r="AZ180" i="6"/>
  <c r="AX180" i="6"/>
  <c r="AW180" i="6"/>
  <c r="AV180" i="6"/>
  <c r="AU180" i="6"/>
  <c r="AT180" i="6"/>
  <c r="AS180" i="6"/>
  <c r="AP180" i="6"/>
  <c r="AO180" i="6"/>
  <c r="AN180" i="6"/>
  <c r="AM180" i="6"/>
  <c r="AL180" i="6"/>
  <c r="AK180" i="6"/>
  <c r="AJ180" i="6"/>
  <c r="AH180" i="6"/>
  <c r="AY180" i="6" s="1"/>
  <c r="AD180" i="6"/>
  <c r="AC180" i="6"/>
  <c r="AB180" i="6"/>
  <c r="Z180" i="6"/>
  <c r="Y180" i="6"/>
  <c r="X180" i="6"/>
  <c r="V180" i="6"/>
  <c r="U180" i="6"/>
  <c r="T180" i="6"/>
  <c r="S180" i="6"/>
  <c r="Q180" i="6"/>
  <c r="P180" i="6"/>
  <c r="N180" i="6"/>
  <c r="M180" i="6"/>
  <c r="L180" i="6"/>
  <c r="K180" i="6"/>
  <c r="J180" i="6"/>
  <c r="I180" i="6"/>
  <c r="BC179" i="6"/>
  <c r="AY179" i="6"/>
  <c r="AV179" i="6"/>
  <c r="AP179" i="6"/>
  <c r="AJ179" i="6"/>
  <c r="AH179" i="6"/>
  <c r="AS179" i="6" s="1"/>
  <c r="AD179" i="6"/>
  <c r="W179" i="6"/>
  <c r="U179" i="6"/>
  <c r="S179" i="6"/>
  <c r="L179" i="6"/>
  <c r="K179" i="6"/>
  <c r="J179" i="6"/>
  <c r="I179" i="6"/>
  <c r="AC179" i="6" s="1"/>
  <c r="BC178" i="6"/>
  <c r="AK178" i="6"/>
  <c r="AJ178" i="6"/>
  <c r="AH178" i="6"/>
  <c r="AD178" i="6"/>
  <c r="AA178" i="6"/>
  <c r="Z178" i="6"/>
  <c r="X178" i="6"/>
  <c r="V178" i="6"/>
  <c r="S178" i="6"/>
  <c r="Q178" i="6"/>
  <c r="P178" i="6"/>
  <c r="O178" i="6"/>
  <c r="K178" i="6"/>
  <c r="J178" i="6"/>
  <c r="I178" i="6"/>
  <c r="BA177" i="6"/>
  <c r="AV177" i="6"/>
  <c r="AT177" i="6"/>
  <c r="AO177" i="6"/>
  <c r="AN177" i="6"/>
  <c r="AL177" i="6"/>
  <c r="AJ177" i="6"/>
  <c r="AH177" i="6"/>
  <c r="K177" i="6"/>
  <c r="J177" i="6"/>
  <c r="I177" i="6"/>
  <c r="Z177" i="6" s="1"/>
  <c r="AZ176" i="6"/>
  <c r="AY176" i="6"/>
  <c r="AR176" i="6"/>
  <c r="AN176" i="6"/>
  <c r="AL176" i="6"/>
  <c r="AK176" i="6"/>
  <c r="AJ176" i="6"/>
  <c r="AH176" i="6"/>
  <c r="AD176" i="6"/>
  <c r="Z176" i="6"/>
  <c r="Y176" i="6"/>
  <c r="X176" i="6"/>
  <c r="W176" i="6"/>
  <c r="Q176" i="6"/>
  <c r="O176" i="6"/>
  <c r="N176" i="6"/>
  <c r="M176" i="6"/>
  <c r="K176" i="6"/>
  <c r="J176" i="6"/>
  <c r="I176" i="6"/>
  <c r="AC176" i="6" s="1"/>
  <c r="AK175" i="6"/>
  <c r="AJ175" i="6"/>
  <c r="AH175" i="6"/>
  <c r="BC175" i="6" s="1"/>
  <c r="AB175" i="6"/>
  <c r="X175" i="6"/>
  <c r="W175" i="6"/>
  <c r="U175" i="6"/>
  <c r="P175" i="6"/>
  <c r="L175" i="6"/>
  <c r="K175" i="6"/>
  <c r="J175" i="6"/>
  <c r="I175" i="6"/>
  <c r="S175" i="6" s="1"/>
  <c r="AJ174" i="6"/>
  <c r="AH174" i="6"/>
  <c r="AD174" i="6"/>
  <c r="AC174" i="6"/>
  <c r="AB174" i="6"/>
  <c r="AA174" i="6"/>
  <c r="Z174" i="6"/>
  <c r="X174" i="6"/>
  <c r="W174" i="6"/>
  <c r="V174" i="6"/>
  <c r="U174" i="6"/>
  <c r="T174" i="6"/>
  <c r="S174" i="6"/>
  <c r="R174" i="6"/>
  <c r="P174" i="6"/>
  <c r="O174" i="6"/>
  <c r="N174" i="6"/>
  <c r="M174" i="6"/>
  <c r="L174" i="6"/>
  <c r="K174" i="6"/>
  <c r="J174" i="6"/>
  <c r="I174" i="6"/>
  <c r="Y174" i="6" s="1"/>
  <c r="BC173" i="6"/>
  <c r="AJ173" i="6"/>
  <c r="AH173" i="6"/>
  <c r="AC173" i="6"/>
  <c r="AA173" i="6"/>
  <c r="Y173" i="6"/>
  <c r="X173" i="6"/>
  <c r="V173" i="6"/>
  <c r="U173" i="6"/>
  <c r="R173" i="6"/>
  <c r="P173" i="6"/>
  <c r="O173" i="6"/>
  <c r="N173" i="6"/>
  <c r="K173" i="6"/>
  <c r="J173" i="6"/>
  <c r="I173" i="6"/>
  <c r="BA172" i="6"/>
  <c r="AV172" i="6"/>
  <c r="AR172" i="6"/>
  <c r="AO172" i="6"/>
  <c r="AN172" i="6"/>
  <c r="AJ172" i="6"/>
  <c r="AH172" i="6"/>
  <c r="AD172" i="6"/>
  <c r="AB172" i="6"/>
  <c r="AA172" i="6"/>
  <c r="Z172" i="6"/>
  <c r="X172" i="6"/>
  <c r="V172" i="6"/>
  <c r="U172" i="6"/>
  <c r="T172" i="6"/>
  <c r="R172" i="6"/>
  <c r="Q172" i="6"/>
  <c r="N172" i="6"/>
  <c r="M172" i="6"/>
  <c r="L172" i="6"/>
  <c r="K172" i="6"/>
  <c r="J172" i="6"/>
  <c r="I172" i="6"/>
  <c r="AZ171" i="6"/>
  <c r="AY171" i="6"/>
  <c r="AX171" i="6"/>
  <c r="AW171" i="6"/>
  <c r="AS171" i="6"/>
  <c r="AP171" i="6"/>
  <c r="AO171" i="6"/>
  <c r="AN171" i="6"/>
  <c r="AM171" i="6"/>
  <c r="AK171" i="6"/>
  <c r="AJ171" i="6"/>
  <c r="AH171" i="6"/>
  <c r="K171" i="6"/>
  <c r="J171" i="6"/>
  <c r="I171" i="6"/>
  <c r="X171" i="6" s="1"/>
  <c r="BA170" i="6"/>
  <c r="AJ170" i="6"/>
  <c r="AH170" i="6"/>
  <c r="Z170" i="6"/>
  <c r="V170" i="6"/>
  <c r="R170" i="6"/>
  <c r="K170" i="6"/>
  <c r="J170" i="6"/>
  <c r="I170" i="6"/>
  <c r="Q170" i="6" s="1"/>
  <c r="BB169" i="6"/>
  <c r="AT169" i="6"/>
  <c r="AS169" i="6"/>
  <c r="AP169" i="6"/>
  <c r="AL169" i="6"/>
  <c r="AJ169" i="6"/>
  <c r="AH169" i="6"/>
  <c r="T169" i="6"/>
  <c r="K169" i="6"/>
  <c r="J169" i="6"/>
  <c r="I169" i="6"/>
  <c r="U169" i="6" s="1"/>
  <c r="AJ168" i="6"/>
  <c r="AH168" i="6"/>
  <c r="AW168" i="6" s="1"/>
  <c r="AB168" i="6"/>
  <c r="X168" i="6"/>
  <c r="W168" i="6"/>
  <c r="V168" i="6"/>
  <c r="U168" i="6"/>
  <c r="Q168" i="6"/>
  <c r="N168" i="6"/>
  <c r="M168" i="6"/>
  <c r="L168" i="6"/>
  <c r="K168" i="6"/>
  <c r="J168" i="6"/>
  <c r="I168" i="6"/>
  <c r="Z168" i="6" s="1"/>
  <c r="BB167" i="6"/>
  <c r="AY167" i="6"/>
  <c r="AW167" i="6"/>
  <c r="AR167" i="6"/>
  <c r="AN167" i="6"/>
  <c r="AM167" i="6"/>
  <c r="AL167" i="6"/>
  <c r="AJ167" i="6"/>
  <c r="AH167" i="6"/>
  <c r="AC167" i="6"/>
  <c r="S167" i="6"/>
  <c r="P167" i="6"/>
  <c r="M167" i="6"/>
  <c r="K167" i="6"/>
  <c r="J167" i="6"/>
  <c r="I167" i="6"/>
  <c r="Q167" i="6" s="1"/>
  <c r="AJ166" i="6"/>
  <c r="AH166" i="6"/>
  <c r="AD166" i="6"/>
  <c r="AC166" i="6"/>
  <c r="AB166" i="6"/>
  <c r="AA166" i="6"/>
  <c r="Z166" i="6"/>
  <c r="X166" i="6"/>
  <c r="W166" i="6"/>
  <c r="V166" i="6"/>
  <c r="U166" i="6"/>
  <c r="T166" i="6"/>
  <c r="S166" i="6"/>
  <c r="R166" i="6"/>
  <c r="P166" i="6"/>
  <c r="O166" i="6"/>
  <c r="N166" i="6"/>
  <c r="M166" i="6"/>
  <c r="L166" i="6"/>
  <c r="K166" i="6"/>
  <c r="J166" i="6"/>
  <c r="I166" i="6"/>
  <c r="Y166" i="6" s="1"/>
  <c r="BC165" i="6"/>
  <c r="AW165" i="6"/>
  <c r="AS165" i="6"/>
  <c r="AQ165" i="6"/>
  <c r="AO165" i="6"/>
  <c r="AL165" i="6"/>
  <c r="AK165" i="6"/>
  <c r="AJ165" i="6"/>
  <c r="AH165" i="6"/>
  <c r="AA165" i="6"/>
  <c r="Z165" i="6"/>
  <c r="Y165" i="6"/>
  <c r="X165" i="6"/>
  <c r="W165" i="6"/>
  <c r="V165" i="6"/>
  <c r="U165" i="6"/>
  <c r="Q165" i="6"/>
  <c r="P165" i="6"/>
  <c r="O165" i="6"/>
  <c r="N165" i="6"/>
  <c r="M165" i="6"/>
  <c r="K165" i="6"/>
  <c r="J165" i="6"/>
  <c r="I165" i="6"/>
  <c r="AX164" i="6"/>
  <c r="AK164" i="6"/>
  <c r="AJ164" i="6"/>
  <c r="AH164" i="6"/>
  <c r="AT164" i="6" s="1"/>
  <c r="AD164" i="6"/>
  <c r="AC164" i="6"/>
  <c r="AB164" i="6"/>
  <c r="Z164" i="6"/>
  <c r="Y164" i="6"/>
  <c r="X164" i="6"/>
  <c r="V164" i="6"/>
  <c r="U164" i="6"/>
  <c r="T164" i="6"/>
  <c r="S164" i="6"/>
  <c r="Q164" i="6"/>
  <c r="P164" i="6"/>
  <c r="N164" i="6"/>
  <c r="M164" i="6"/>
  <c r="L164" i="6"/>
  <c r="K164" i="6"/>
  <c r="J164" i="6"/>
  <c r="I164" i="6"/>
  <c r="BC163" i="6"/>
  <c r="BA163" i="6"/>
  <c r="AV163" i="6"/>
  <c r="AS163" i="6"/>
  <c r="AR163" i="6"/>
  <c r="AQ163" i="6"/>
  <c r="AO163" i="6"/>
  <c r="AN163" i="6"/>
  <c r="AJ163" i="6"/>
  <c r="AH163" i="6"/>
  <c r="AY163" i="6" s="1"/>
  <c r="K163" i="6"/>
  <c r="J163" i="6"/>
  <c r="I163" i="6"/>
  <c r="T163" i="6" s="1"/>
  <c r="BA162" i="6"/>
  <c r="AZ162" i="6"/>
  <c r="AY162" i="6"/>
  <c r="AX162" i="6"/>
  <c r="AU162" i="6"/>
  <c r="AQ162" i="6"/>
  <c r="AP162" i="6"/>
  <c r="AN162" i="6"/>
  <c r="AM162" i="6"/>
  <c r="AL162" i="6"/>
  <c r="AJ162" i="6"/>
  <c r="AH162" i="6"/>
  <c r="AV162" i="6" s="1"/>
  <c r="AD162" i="6"/>
  <c r="S162" i="6"/>
  <c r="P162" i="6"/>
  <c r="K162" i="6"/>
  <c r="J162" i="6"/>
  <c r="I162" i="6"/>
  <c r="R162" i="6" s="1"/>
  <c r="AX161" i="6"/>
  <c r="AW161" i="6"/>
  <c r="AT161" i="6"/>
  <c r="AS161" i="6"/>
  <c r="AO161" i="6"/>
  <c r="AM161" i="6"/>
  <c r="AJ161" i="6"/>
  <c r="AH161" i="6"/>
  <c r="AB161" i="6"/>
  <c r="AA161" i="6"/>
  <c r="Z161" i="6"/>
  <c r="Y161" i="6"/>
  <c r="V161" i="6"/>
  <c r="T161" i="6"/>
  <c r="R161" i="6"/>
  <c r="Q161" i="6"/>
  <c r="O161" i="6"/>
  <c r="N161" i="6"/>
  <c r="K161" i="6"/>
  <c r="J161" i="6"/>
  <c r="I161" i="6"/>
  <c r="AZ160" i="6"/>
  <c r="AV160" i="6"/>
  <c r="AN160" i="6"/>
  <c r="AJ160" i="6"/>
  <c r="AH160" i="6"/>
  <c r="AT160" i="6" s="1"/>
  <c r="AD160" i="6"/>
  <c r="AC160" i="6"/>
  <c r="Z160" i="6"/>
  <c r="Y160" i="6"/>
  <c r="W160" i="6"/>
  <c r="P160" i="6"/>
  <c r="O160" i="6"/>
  <c r="M160" i="6"/>
  <c r="L160" i="6"/>
  <c r="K160" i="6"/>
  <c r="J160" i="6"/>
  <c r="I160" i="6"/>
  <c r="Q160" i="6" s="1"/>
  <c r="BC159" i="6"/>
  <c r="BB159" i="6"/>
  <c r="AZ159" i="6"/>
  <c r="AY159" i="6"/>
  <c r="AW159" i="6"/>
  <c r="AS159" i="6"/>
  <c r="AR159" i="6"/>
  <c r="AO159" i="6"/>
  <c r="AN159" i="6"/>
  <c r="AL159" i="6"/>
  <c r="AK159" i="6"/>
  <c r="AJ159" i="6"/>
  <c r="AH159" i="6"/>
  <c r="AU159" i="6" s="1"/>
  <c r="Y159" i="6"/>
  <c r="X159" i="6"/>
  <c r="W159" i="6"/>
  <c r="U159" i="6"/>
  <c r="M159" i="6"/>
  <c r="L159" i="6"/>
  <c r="K159" i="6"/>
  <c r="J159" i="6"/>
  <c r="I159" i="6"/>
  <c r="S159" i="6" s="1"/>
  <c r="BI158" i="6"/>
  <c r="BJ158" i="6" s="1"/>
  <c r="BK158" i="6" s="1"/>
  <c r="AV158" i="6"/>
  <c r="AJ158" i="6"/>
  <c r="AH158" i="6"/>
  <c r="BA158" i="6" s="1"/>
  <c r="AD158" i="6"/>
  <c r="AB158" i="6"/>
  <c r="Z158" i="6"/>
  <c r="Y158" i="6"/>
  <c r="X158" i="6"/>
  <c r="W158" i="6"/>
  <c r="V158" i="6"/>
  <c r="T158" i="6"/>
  <c r="S158" i="6"/>
  <c r="Q158" i="6"/>
  <c r="P158" i="6"/>
  <c r="O158" i="6"/>
  <c r="N158" i="6"/>
  <c r="L158" i="6"/>
  <c r="K158" i="6"/>
  <c r="J158" i="6"/>
  <c r="I158" i="6"/>
  <c r="AX157" i="6"/>
  <c r="AS157" i="6"/>
  <c r="AK157" i="6"/>
  <c r="AJ157" i="6"/>
  <c r="AH157" i="6"/>
  <c r="AR157" i="6" s="1"/>
  <c r="AD157" i="6"/>
  <c r="AB157" i="6"/>
  <c r="AA157" i="6"/>
  <c r="Z157" i="6"/>
  <c r="Y157" i="6"/>
  <c r="V157" i="6"/>
  <c r="U157" i="6"/>
  <c r="T157" i="6"/>
  <c r="R157" i="6"/>
  <c r="Q157" i="6"/>
  <c r="P157" i="6"/>
  <c r="M157" i="6"/>
  <c r="L157" i="6"/>
  <c r="K157" i="6"/>
  <c r="J157" i="6"/>
  <c r="I157" i="6"/>
  <c r="AZ156" i="6"/>
  <c r="AR156" i="6"/>
  <c r="AO156" i="6"/>
  <c r="AJ156" i="6"/>
  <c r="AH156" i="6"/>
  <c r="Q156" i="6"/>
  <c r="K156" i="6"/>
  <c r="J156" i="6"/>
  <c r="I156" i="6"/>
  <c r="AB156" i="6" s="1"/>
  <c r="BI155" i="6"/>
  <c r="BJ155" i="6" s="1"/>
  <c r="BK155" i="6" s="1"/>
  <c r="AN155" i="6"/>
  <c r="AJ155" i="6"/>
  <c r="AH155" i="6"/>
  <c r="AY155" i="6" s="1"/>
  <c r="AB155" i="6"/>
  <c r="AA155" i="6"/>
  <c r="Y155" i="6"/>
  <c r="X155" i="6"/>
  <c r="W155" i="6"/>
  <c r="V155" i="6"/>
  <c r="T155" i="6"/>
  <c r="R155" i="6"/>
  <c r="P155" i="6"/>
  <c r="O155" i="6"/>
  <c r="N155" i="6"/>
  <c r="L155" i="6"/>
  <c r="K155" i="6"/>
  <c r="J155" i="6"/>
  <c r="I155" i="6"/>
  <c r="BC154" i="6"/>
  <c r="AJ154" i="6"/>
  <c r="AH154" i="6"/>
  <c r="AZ154" i="6" s="1"/>
  <c r="AD154" i="6"/>
  <c r="Y154" i="6"/>
  <c r="X154" i="6"/>
  <c r="W154" i="6"/>
  <c r="V154" i="6"/>
  <c r="U154" i="6"/>
  <c r="P154" i="6"/>
  <c r="O154" i="6"/>
  <c r="N154" i="6"/>
  <c r="M154" i="6"/>
  <c r="K154" i="6"/>
  <c r="J154" i="6"/>
  <c r="I154" i="6"/>
  <c r="Z154" i="6" s="1"/>
  <c r="BB153" i="6"/>
  <c r="AV153" i="6"/>
  <c r="AS153" i="6"/>
  <c r="AN153" i="6"/>
  <c r="AL153" i="6"/>
  <c r="AK153" i="6"/>
  <c r="AJ153" i="6"/>
  <c r="AH153" i="6"/>
  <c r="Y153" i="6"/>
  <c r="W153" i="6"/>
  <c r="Q153" i="6"/>
  <c r="O153" i="6"/>
  <c r="K153" i="6"/>
  <c r="J153" i="6"/>
  <c r="I153" i="6"/>
  <c r="AK152" i="6"/>
  <c r="AJ152" i="6"/>
  <c r="AH152" i="6"/>
  <c r="BA152" i="6" s="1"/>
  <c r="AD152" i="6"/>
  <c r="X152" i="6"/>
  <c r="V152" i="6"/>
  <c r="P152" i="6"/>
  <c r="N152" i="6"/>
  <c r="K152" i="6"/>
  <c r="J152" i="6"/>
  <c r="I152" i="6"/>
  <c r="Y152" i="6" s="1"/>
  <c r="BJ151" i="6"/>
  <c r="BK151" i="6" s="1"/>
  <c r="BI151" i="6"/>
  <c r="AJ151" i="6"/>
  <c r="AH151" i="6"/>
  <c r="AW151" i="6" s="1"/>
  <c r="AD151" i="6"/>
  <c r="AC151" i="6"/>
  <c r="AB151" i="6"/>
  <c r="X151" i="6"/>
  <c r="W151" i="6"/>
  <c r="V151" i="6"/>
  <c r="U151" i="6"/>
  <c r="T151" i="6"/>
  <c r="P151" i="6"/>
  <c r="O151" i="6"/>
  <c r="N151" i="6"/>
  <c r="M151" i="6"/>
  <c r="L151" i="6"/>
  <c r="K151" i="6"/>
  <c r="J151" i="6"/>
  <c r="I151" i="6"/>
  <c r="AA151" i="6" s="1"/>
  <c r="BI150" i="6"/>
  <c r="BJ150" i="6" s="1"/>
  <c r="BK150" i="6" s="1"/>
  <c r="AJ150" i="6"/>
  <c r="AH150" i="6"/>
  <c r="AY150" i="6" s="1"/>
  <c r="AD150" i="6"/>
  <c r="AC150" i="6"/>
  <c r="AB150" i="6"/>
  <c r="AA150" i="6"/>
  <c r="W150" i="6"/>
  <c r="V150" i="6"/>
  <c r="U150" i="6"/>
  <c r="T150" i="6"/>
  <c r="S150" i="6"/>
  <c r="O150" i="6"/>
  <c r="N150" i="6"/>
  <c r="M150" i="6"/>
  <c r="L150" i="6"/>
  <c r="K150" i="6"/>
  <c r="J150" i="6"/>
  <c r="I150" i="6"/>
  <c r="Z150" i="6" s="1"/>
  <c r="BK149" i="6"/>
  <c r="BJ149" i="6"/>
  <c r="BI149" i="6"/>
  <c r="BC149" i="6"/>
  <c r="AX149" i="6"/>
  <c r="AV149" i="6"/>
  <c r="AU149" i="6"/>
  <c r="AM149" i="6"/>
  <c r="AJ149" i="6"/>
  <c r="AH149" i="6"/>
  <c r="AO149" i="6" s="1"/>
  <c r="AD149" i="6"/>
  <c r="AC149" i="6"/>
  <c r="AB149" i="6"/>
  <c r="AA149" i="6"/>
  <c r="Z149" i="6"/>
  <c r="X149" i="6"/>
  <c r="W149" i="6"/>
  <c r="V149" i="6"/>
  <c r="U149" i="6"/>
  <c r="T149" i="6"/>
  <c r="S149" i="6"/>
  <c r="R149" i="6"/>
  <c r="P149" i="6"/>
  <c r="O149" i="6"/>
  <c r="N149" i="6"/>
  <c r="M149" i="6"/>
  <c r="L149" i="6"/>
  <c r="K149" i="6"/>
  <c r="J149" i="6"/>
  <c r="I149" i="6"/>
  <c r="Y149" i="6" s="1"/>
  <c r="BJ148" i="6"/>
  <c r="BK148" i="6" s="1"/>
  <c r="BI148" i="6"/>
  <c r="BC148" i="6"/>
  <c r="AW148" i="6"/>
  <c r="AU148" i="6"/>
  <c r="AL148" i="6"/>
  <c r="AJ148" i="6"/>
  <c r="AH148" i="6"/>
  <c r="AC148" i="6"/>
  <c r="AB148" i="6"/>
  <c r="AA148" i="6"/>
  <c r="Z148" i="6"/>
  <c r="U148" i="6"/>
  <c r="T148" i="6"/>
  <c r="S148" i="6"/>
  <c r="R148" i="6"/>
  <c r="M148" i="6"/>
  <c r="L148" i="6"/>
  <c r="K148" i="6"/>
  <c r="J148" i="6"/>
  <c r="I148" i="6"/>
  <c r="Y148" i="6" s="1"/>
  <c r="BC147" i="6"/>
  <c r="BA147" i="6"/>
  <c r="AZ147" i="6"/>
  <c r="AX147" i="6"/>
  <c r="AW147" i="6"/>
  <c r="AU147" i="6"/>
  <c r="AT147" i="6"/>
  <c r="AS147" i="6"/>
  <c r="AP147" i="6"/>
  <c r="AO147" i="6"/>
  <c r="AN147" i="6"/>
  <c r="AM147" i="6"/>
  <c r="AL147" i="6"/>
  <c r="AK147" i="6"/>
  <c r="AJ147" i="6"/>
  <c r="AH147" i="6"/>
  <c r="K147" i="6"/>
  <c r="J147" i="6"/>
  <c r="I147" i="6"/>
  <c r="S147" i="6" s="1"/>
  <c r="AJ146" i="6"/>
  <c r="AH146" i="6"/>
  <c r="AS146" i="6" s="1"/>
  <c r="AA146" i="6"/>
  <c r="Z146" i="6"/>
  <c r="Y146" i="6"/>
  <c r="X146" i="6"/>
  <c r="S146" i="6"/>
  <c r="R146" i="6"/>
  <c r="Q146" i="6"/>
  <c r="P146" i="6"/>
  <c r="O146" i="6"/>
  <c r="K146" i="6"/>
  <c r="J146" i="6"/>
  <c r="I146" i="6"/>
  <c r="BB145" i="6"/>
  <c r="BA145" i="6"/>
  <c r="AX145" i="6"/>
  <c r="AS145" i="6"/>
  <c r="AQ145" i="6"/>
  <c r="AP145" i="6"/>
  <c r="AL145" i="6"/>
  <c r="AK145" i="6"/>
  <c r="AJ145" i="6"/>
  <c r="AH145" i="6"/>
  <c r="AR145" i="6" s="1"/>
  <c r="Y145" i="6"/>
  <c r="X145" i="6"/>
  <c r="N145" i="6"/>
  <c r="K145" i="6"/>
  <c r="J145" i="6"/>
  <c r="I145" i="6"/>
  <c r="R145" i="6" s="1"/>
  <c r="AJ144" i="6"/>
  <c r="AH144" i="6"/>
  <c r="AD144" i="6"/>
  <c r="Y144" i="6"/>
  <c r="X144" i="6"/>
  <c r="W144" i="6"/>
  <c r="V144" i="6"/>
  <c r="Q144" i="6"/>
  <c r="P144" i="6"/>
  <c r="N144" i="6"/>
  <c r="M144" i="6"/>
  <c r="K144" i="6"/>
  <c r="J144" i="6"/>
  <c r="I144" i="6"/>
  <c r="AC144" i="6" s="1"/>
  <c r="BI143" i="6"/>
  <c r="BJ143" i="6" s="1"/>
  <c r="BK143" i="6" s="1"/>
  <c r="AV143" i="6"/>
  <c r="AP143" i="6"/>
  <c r="AO143" i="6"/>
  <c r="AJ143" i="6"/>
  <c r="AH143" i="6"/>
  <c r="AX143" i="6" s="1"/>
  <c r="AD143" i="6"/>
  <c r="AC143" i="6"/>
  <c r="AB143" i="6"/>
  <c r="X143" i="6"/>
  <c r="W143" i="6"/>
  <c r="V143" i="6"/>
  <c r="U143" i="6"/>
  <c r="T143" i="6"/>
  <c r="P143" i="6"/>
  <c r="O143" i="6"/>
  <c r="N143" i="6"/>
  <c r="M143" i="6"/>
  <c r="L143" i="6"/>
  <c r="K143" i="6"/>
  <c r="J143" i="6"/>
  <c r="I143" i="6"/>
  <c r="AA143" i="6" s="1"/>
  <c r="BS142" i="6"/>
  <c r="BC142" i="6"/>
  <c r="AJ142" i="6"/>
  <c r="AH142" i="6"/>
  <c r="BB142" i="6" s="1"/>
  <c r="X142" i="6"/>
  <c r="K142" i="6"/>
  <c r="J142" i="6"/>
  <c r="I142" i="6"/>
  <c r="S142" i="6" s="1"/>
  <c r="BS141" i="6"/>
  <c r="BI141" i="6"/>
  <c r="BJ141" i="6" s="1"/>
  <c r="BK141" i="6" s="1"/>
  <c r="AZ141" i="6"/>
  <c r="AX141" i="6"/>
  <c r="AQ141" i="6"/>
  <c r="AJ141" i="6"/>
  <c r="AH141" i="6"/>
  <c r="AD141" i="6"/>
  <c r="AC141" i="6"/>
  <c r="AB141" i="6"/>
  <c r="X141" i="6"/>
  <c r="W141" i="6"/>
  <c r="V141" i="6"/>
  <c r="U141" i="6"/>
  <c r="T141" i="6"/>
  <c r="P141" i="6"/>
  <c r="O141" i="6"/>
  <c r="N141" i="6"/>
  <c r="M141" i="6"/>
  <c r="L141" i="6"/>
  <c r="K141" i="6"/>
  <c r="J141" i="6"/>
  <c r="I141" i="6"/>
  <c r="AA141" i="6" s="1"/>
  <c r="BS140" i="6"/>
  <c r="BC140" i="6"/>
  <c r="AV140" i="6"/>
  <c r="AS140" i="6"/>
  <c r="AR140" i="6"/>
  <c r="AK140" i="6"/>
  <c r="AJ140" i="6"/>
  <c r="AH140" i="6"/>
  <c r="BB140" i="6" s="1"/>
  <c r="Z140" i="6"/>
  <c r="Y140" i="6"/>
  <c r="L140" i="6"/>
  <c r="K140" i="6"/>
  <c r="J140" i="6"/>
  <c r="I140" i="6"/>
  <c r="S140" i="6" s="1"/>
  <c r="BS139" i="6"/>
  <c r="BK139" i="6"/>
  <c r="BJ139" i="6"/>
  <c r="BI139" i="6"/>
  <c r="AR139" i="6"/>
  <c r="AJ139" i="6"/>
  <c r="AH139" i="6"/>
  <c r="AZ139" i="6" s="1"/>
  <c r="AD139" i="6"/>
  <c r="AC139" i="6"/>
  <c r="AB139" i="6"/>
  <c r="X139" i="6"/>
  <c r="W139" i="6"/>
  <c r="V139" i="6"/>
  <c r="U139" i="6"/>
  <c r="T139" i="6"/>
  <c r="P139" i="6"/>
  <c r="O139" i="6"/>
  <c r="N139" i="6"/>
  <c r="M139" i="6"/>
  <c r="L139" i="6"/>
  <c r="K139" i="6"/>
  <c r="J139" i="6"/>
  <c r="I139" i="6"/>
  <c r="AA139" i="6" s="1"/>
  <c r="BS138" i="6"/>
  <c r="BP138" i="6"/>
  <c r="BQ138" i="6" s="1"/>
  <c r="BR138" i="6" s="1"/>
  <c r="BI138" i="6"/>
  <c r="BJ138" i="6" s="1"/>
  <c r="BK138" i="6" s="1"/>
  <c r="BA138" i="6"/>
  <c r="AZ138" i="6"/>
  <c r="AX138" i="6"/>
  <c r="AW138" i="6"/>
  <c r="AV138" i="6"/>
  <c r="AU138" i="6"/>
  <c r="AP138" i="6"/>
  <c r="AO138" i="6"/>
  <c r="AN138" i="6"/>
  <c r="AM138" i="6"/>
  <c r="AL138" i="6"/>
  <c r="AK138" i="6"/>
  <c r="AJ138" i="6"/>
  <c r="AH138" i="6"/>
  <c r="AB138" i="6"/>
  <c r="AA138" i="6"/>
  <c r="Z138" i="6"/>
  <c r="Y138" i="6"/>
  <c r="X138" i="6"/>
  <c r="S138" i="6"/>
  <c r="R138" i="6"/>
  <c r="Q138" i="6"/>
  <c r="P138" i="6"/>
  <c r="L138" i="6"/>
  <c r="K138" i="6"/>
  <c r="J138" i="6"/>
  <c r="I138" i="6"/>
  <c r="BS137" i="6"/>
  <c r="BJ137" i="6"/>
  <c r="BK137" i="6" s="1"/>
  <c r="BI137" i="6"/>
  <c r="AJ137" i="6"/>
  <c r="AH137" i="6"/>
  <c r="AV137" i="6" s="1"/>
  <c r="AD137" i="6"/>
  <c r="AC137" i="6"/>
  <c r="AB137" i="6"/>
  <c r="X137" i="6"/>
  <c r="W137" i="6"/>
  <c r="V137" i="6"/>
  <c r="U137" i="6"/>
  <c r="T137" i="6"/>
  <c r="P137" i="6"/>
  <c r="O137" i="6"/>
  <c r="N137" i="6"/>
  <c r="M137" i="6"/>
  <c r="L137" i="6"/>
  <c r="K137" i="6"/>
  <c r="J137" i="6"/>
  <c r="I137" i="6"/>
  <c r="AA137" i="6" s="1"/>
  <c r="BS136" i="6"/>
  <c r="BP136" i="6"/>
  <c r="BQ136" i="6" s="1"/>
  <c r="BR136" i="6" s="1"/>
  <c r="AJ136" i="6"/>
  <c r="AH136" i="6"/>
  <c r="AA136" i="6"/>
  <c r="X136" i="6"/>
  <c r="S136" i="6"/>
  <c r="R136" i="6"/>
  <c r="P136" i="6"/>
  <c r="K136" i="6"/>
  <c r="J136" i="6"/>
  <c r="I136" i="6"/>
  <c r="AB136" i="6" s="1"/>
  <c r="BS135" i="6"/>
  <c r="BI135" i="6"/>
  <c r="BJ135" i="6" s="1"/>
  <c r="BK135" i="6" s="1"/>
  <c r="AJ135" i="6"/>
  <c r="AH135" i="6"/>
  <c r="AD135" i="6"/>
  <c r="AC135" i="6"/>
  <c r="AB135" i="6"/>
  <c r="X135" i="6"/>
  <c r="W135" i="6"/>
  <c r="V135" i="6"/>
  <c r="U135" i="6"/>
  <c r="T135" i="6"/>
  <c r="P135" i="6"/>
  <c r="O135" i="6"/>
  <c r="N135" i="6"/>
  <c r="M135" i="6"/>
  <c r="L135" i="6"/>
  <c r="K135" i="6"/>
  <c r="J135" i="6"/>
  <c r="I135" i="6"/>
  <c r="AA135" i="6" s="1"/>
  <c r="BS134" i="6"/>
  <c r="BP134" i="6"/>
  <c r="BQ134" i="6" s="1"/>
  <c r="BR134" i="6" s="1"/>
  <c r="BI134" i="6"/>
  <c r="BJ134" i="6" s="1"/>
  <c r="BK134" i="6" s="1"/>
  <c r="BC134" i="6"/>
  <c r="AX134" i="6"/>
  <c r="AS134" i="6"/>
  <c r="AR134" i="6"/>
  <c r="AM134" i="6"/>
  <c r="AK134" i="6"/>
  <c r="AJ134" i="6"/>
  <c r="AH134" i="6"/>
  <c r="AU134" i="6" s="1"/>
  <c r="Z134" i="6"/>
  <c r="Y134" i="6"/>
  <c r="V134" i="6"/>
  <c r="Q134" i="6"/>
  <c r="P134" i="6"/>
  <c r="M134" i="6"/>
  <c r="K134" i="6"/>
  <c r="J134" i="6"/>
  <c r="I134" i="6"/>
  <c r="X134" i="6" s="1"/>
  <c r="BS133" i="6"/>
  <c r="BP133" i="6"/>
  <c r="BQ133" i="6" s="1"/>
  <c r="BR133" i="6" s="1"/>
  <c r="BI133" i="6"/>
  <c r="BJ133" i="6" s="1"/>
  <c r="BK133" i="6" s="1"/>
  <c r="BB133" i="6"/>
  <c r="AZ133" i="6"/>
  <c r="AY133" i="6"/>
  <c r="AW133" i="6"/>
  <c r="AV133" i="6"/>
  <c r="AS133" i="6"/>
  <c r="AQ133" i="6"/>
  <c r="AP133" i="6"/>
  <c r="AN133" i="6"/>
  <c r="AL133" i="6"/>
  <c r="AK133" i="6"/>
  <c r="AJ133" i="6"/>
  <c r="AH133" i="6"/>
  <c r="AX133" i="6" s="1"/>
  <c r="AD133" i="6"/>
  <c r="Y133" i="6"/>
  <c r="X133" i="6"/>
  <c r="W133" i="6"/>
  <c r="U133" i="6"/>
  <c r="P133" i="6"/>
  <c r="O133" i="6"/>
  <c r="N133" i="6"/>
  <c r="L133" i="6"/>
  <c r="K133" i="6"/>
  <c r="J133" i="6"/>
  <c r="I133" i="6"/>
  <c r="V133" i="6" s="1"/>
  <c r="BS132" i="6"/>
  <c r="BI132" i="6"/>
  <c r="BJ132" i="6" s="1"/>
  <c r="BK132" i="6" s="1"/>
  <c r="AX132" i="6"/>
  <c r="AS132" i="6"/>
  <c r="AR132" i="6"/>
  <c r="AN132" i="6"/>
  <c r="AL132" i="6"/>
  <c r="AJ132" i="6"/>
  <c r="AH132" i="6"/>
  <c r="AV132" i="6" s="1"/>
  <c r="AD132" i="6"/>
  <c r="AC132" i="6"/>
  <c r="AB132" i="6"/>
  <c r="Z132" i="6"/>
  <c r="Y132" i="6"/>
  <c r="X132" i="6"/>
  <c r="V132" i="6"/>
  <c r="U132" i="6"/>
  <c r="T132" i="6"/>
  <c r="S132" i="6"/>
  <c r="Q132" i="6"/>
  <c r="P132" i="6"/>
  <c r="N132" i="6"/>
  <c r="M132" i="6"/>
  <c r="L132" i="6"/>
  <c r="K132" i="6"/>
  <c r="J132" i="6"/>
  <c r="I132" i="6"/>
  <c r="BS131" i="6"/>
  <c r="BI131" i="6"/>
  <c r="BJ131" i="6" s="1"/>
  <c r="BK131" i="6" s="1"/>
  <c r="AJ131" i="6"/>
  <c r="AH131" i="6"/>
  <c r="AZ131" i="6" s="1"/>
  <c r="AD131" i="6"/>
  <c r="AB131" i="6"/>
  <c r="X131" i="6"/>
  <c r="W131" i="6"/>
  <c r="V131" i="6"/>
  <c r="U131" i="6"/>
  <c r="R131" i="6"/>
  <c r="O131" i="6"/>
  <c r="N131" i="6"/>
  <c r="M131" i="6"/>
  <c r="L131" i="6"/>
  <c r="K131" i="6"/>
  <c r="J131" i="6"/>
  <c r="I131" i="6"/>
  <c r="Y131" i="6" s="1"/>
  <c r="BS130" i="6"/>
  <c r="BC130" i="6"/>
  <c r="AV130" i="6"/>
  <c r="AP130" i="6"/>
  <c r="AO130" i="6"/>
  <c r="AK130" i="6"/>
  <c r="AJ130" i="6"/>
  <c r="AH130" i="6"/>
  <c r="AZ130" i="6" s="1"/>
  <c r="AD130" i="6"/>
  <c r="AC130" i="6"/>
  <c r="U130" i="6"/>
  <c r="T130" i="6"/>
  <c r="L130" i="6"/>
  <c r="K130" i="6"/>
  <c r="J130" i="6"/>
  <c r="I130" i="6"/>
  <c r="BI130" i="6" s="1"/>
  <c r="BJ130" i="6" s="1"/>
  <c r="BK130" i="6" s="1"/>
  <c r="BS129" i="6"/>
  <c r="BP129" i="6"/>
  <c r="BQ129" i="6" s="1"/>
  <c r="BR129" i="6" s="1"/>
  <c r="BJ129" i="6"/>
  <c r="BK129" i="6" s="1"/>
  <c r="BI129" i="6"/>
  <c r="AX129" i="6"/>
  <c r="AV129" i="6"/>
  <c r="AQ129" i="6"/>
  <c r="AP129" i="6"/>
  <c r="AO129" i="6"/>
  <c r="AL129" i="6"/>
  <c r="AJ129" i="6"/>
  <c r="AH129" i="6"/>
  <c r="AD129" i="6"/>
  <c r="AC129" i="6"/>
  <c r="AB129" i="6"/>
  <c r="Y129" i="6"/>
  <c r="X129" i="6"/>
  <c r="V129" i="6"/>
  <c r="U129" i="6"/>
  <c r="T129" i="6"/>
  <c r="R129" i="6"/>
  <c r="P129" i="6"/>
  <c r="O129" i="6"/>
  <c r="M129" i="6"/>
  <c r="L129" i="6"/>
  <c r="K129" i="6"/>
  <c r="J129" i="6"/>
  <c r="I129" i="6"/>
  <c r="W129" i="6" s="1"/>
  <c r="BS128" i="6"/>
  <c r="BC128" i="6"/>
  <c r="AN128" i="6"/>
  <c r="AJ128" i="6"/>
  <c r="AH128" i="6"/>
  <c r="AZ128" i="6" s="1"/>
  <c r="AB128" i="6"/>
  <c r="S128" i="6"/>
  <c r="K128" i="6"/>
  <c r="J128" i="6"/>
  <c r="I128" i="6"/>
  <c r="BI128" i="6" s="1"/>
  <c r="BJ128" i="6" s="1"/>
  <c r="BK128" i="6" s="1"/>
  <c r="BS127" i="6"/>
  <c r="AJ127" i="6"/>
  <c r="AH127" i="6"/>
  <c r="K127" i="6"/>
  <c r="J127" i="6"/>
  <c r="I127" i="6"/>
  <c r="Y127" i="6" s="1"/>
  <c r="BS126" i="6"/>
  <c r="BI126" i="6"/>
  <c r="BJ126" i="6" s="1"/>
  <c r="BK126" i="6" s="1"/>
  <c r="BB126" i="6"/>
  <c r="AJ126" i="6"/>
  <c r="AH126" i="6"/>
  <c r="Z126" i="6"/>
  <c r="Y126" i="6"/>
  <c r="V126" i="6"/>
  <c r="Q126" i="6"/>
  <c r="P126" i="6"/>
  <c r="M126" i="6"/>
  <c r="K126" i="6"/>
  <c r="J126" i="6"/>
  <c r="I126" i="6"/>
  <c r="X126" i="6" s="1"/>
  <c r="BS125" i="6"/>
  <c r="BI125" i="6"/>
  <c r="BJ125" i="6" s="1"/>
  <c r="BK125" i="6" s="1"/>
  <c r="AL125" i="6"/>
  <c r="AJ125" i="6"/>
  <c r="AH125" i="6"/>
  <c r="AZ125" i="6" s="1"/>
  <c r="AD125" i="6"/>
  <c r="Y125" i="6"/>
  <c r="X125" i="6"/>
  <c r="W125" i="6"/>
  <c r="U125" i="6"/>
  <c r="P125" i="6"/>
  <c r="O125" i="6"/>
  <c r="N125" i="6"/>
  <c r="L125" i="6"/>
  <c r="K125" i="6"/>
  <c r="J125" i="6"/>
  <c r="I125" i="6"/>
  <c r="V125" i="6" s="1"/>
  <c r="BS124" i="6"/>
  <c r="BP124" i="6"/>
  <c r="BQ124" i="6" s="1"/>
  <c r="BR124" i="6" s="1"/>
  <c r="BI124" i="6"/>
  <c r="BJ124" i="6" s="1"/>
  <c r="BK124" i="6" s="1"/>
  <c r="BC124" i="6"/>
  <c r="AZ124" i="6"/>
  <c r="AX124" i="6"/>
  <c r="AW124" i="6"/>
  <c r="AV124" i="6"/>
  <c r="AU124" i="6"/>
  <c r="AT124" i="6"/>
  <c r="AS124" i="6"/>
  <c r="AP124" i="6"/>
  <c r="AO124" i="6"/>
  <c r="AN124" i="6"/>
  <c r="AM124" i="6"/>
  <c r="AL124" i="6"/>
  <c r="AK124" i="6"/>
  <c r="AJ124" i="6"/>
  <c r="AH124" i="6"/>
  <c r="AD124" i="6"/>
  <c r="AC124" i="6"/>
  <c r="AB124" i="6"/>
  <c r="Z124" i="6"/>
  <c r="Y124" i="6"/>
  <c r="X124" i="6"/>
  <c r="V124" i="6"/>
  <c r="U124" i="6"/>
  <c r="T124" i="6"/>
  <c r="S124" i="6"/>
  <c r="Q124" i="6"/>
  <c r="P124" i="6"/>
  <c r="N124" i="6"/>
  <c r="M124" i="6"/>
  <c r="L124" i="6"/>
  <c r="K124" i="6"/>
  <c r="J124" i="6"/>
  <c r="I124" i="6"/>
  <c r="BS123" i="6"/>
  <c r="BI123" i="6"/>
  <c r="BJ123" i="6" s="1"/>
  <c r="BK123" i="6" s="1"/>
  <c r="AJ123" i="6"/>
  <c r="AH123" i="6"/>
  <c r="AZ123" i="6" s="1"/>
  <c r="AD123" i="6"/>
  <c r="AB123" i="6"/>
  <c r="X123" i="6"/>
  <c r="W123" i="6"/>
  <c r="V123" i="6"/>
  <c r="U123" i="6"/>
  <c r="R123" i="6"/>
  <c r="O123" i="6"/>
  <c r="N123" i="6"/>
  <c r="M123" i="6"/>
  <c r="L123" i="6"/>
  <c r="K123" i="6"/>
  <c r="J123" i="6"/>
  <c r="I123" i="6"/>
  <c r="Y123" i="6" s="1"/>
  <c r="BS122" i="6"/>
  <c r="BP122" i="6"/>
  <c r="BQ122" i="6" s="1"/>
  <c r="BR122" i="6" s="1"/>
  <c r="BA122" i="6"/>
  <c r="AX122" i="6"/>
  <c r="AW122" i="6"/>
  <c r="AR122" i="6"/>
  <c r="AN122" i="6"/>
  <c r="AM122" i="6"/>
  <c r="AL122" i="6"/>
  <c r="AJ122" i="6"/>
  <c r="AH122" i="6"/>
  <c r="AU122" i="6" s="1"/>
  <c r="AD122" i="6"/>
  <c r="AC122" i="6"/>
  <c r="U122" i="6"/>
  <c r="T122" i="6"/>
  <c r="L122" i="6"/>
  <c r="K122" i="6"/>
  <c r="J122" i="6"/>
  <c r="I122" i="6"/>
  <c r="BI122" i="6" s="1"/>
  <c r="BJ122" i="6" s="1"/>
  <c r="BK122" i="6" s="1"/>
  <c r="BS121" i="6"/>
  <c r="BP121" i="6"/>
  <c r="BQ121" i="6" s="1"/>
  <c r="BR121" i="6" s="1"/>
  <c r="BJ121" i="6"/>
  <c r="BK121" i="6" s="1"/>
  <c r="BI121" i="6"/>
  <c r="AZ121" i="6"/>
  <c r="AX121" i="6"/>
  <c r="AV121" i="6"/>
  <c r="AQ121" i="6"/>
  <c r="AP121" i="6"/>
  <c r="AO121" i="6"/>
  <c r="AL121" i="6"/>
  <c r="AJ121" i="6"/>
  <c r="AH121" i="6"/>
  <c r="AW121" i="6" s="1"/>
  <c r="AD121" i="6"/>
  <c r="AC121" i="6"/>
  <c r="AB121" i="6"/>
  <c r="Y121" i="6"/>
  <c r="X121" i="6"/>
  <c r="V121" i="6"/>
  <c r="U121" i="6"/>
  <c r="T121" i="6"/>
  <c r="R121" i="6"/>
  <c r="P121" i="6"/>
  <c r="O121" i="6"/>
  <c r="M121" i="6"/>
  <c r="L121" i="6"/>
  <c r="K121" i="6"/>
  <c r="J121" i="6"/>
  <c r="I121" i="6"/>
  <c r="W121" i="6" s="1"/>
  <c r="BS120" i="6"/>
  <c r="BP120" i="6"/>
  <c r="BQ120" i="6" s="1"/>
  <c r="BR120" i="6" s="1"/>
  <c r="BB120" i="6"/>
  <c r="BA120" i="6"/>
  <c r="AZ120" i="6"/>
  <c r="AU120" i="6"/>
  <c r="AS120" i="6"/>
  <c r="AR120" i="6"/>
  <c r="AP120" i="6"/>
  <c r="AO120" i="6"/>
  <c r="AL120" i="6"/>
  <c r="AJ120" i="6"/>
  <c r="AH120" i="6"/>
  <c r="K120" i="6"/>
  <c r="J120" i="6"/>
  <c r="I120" i="6"/>
  <c r="BS119" i="6"/>
  <c r="AY119" i="6"/>
  <c r="AX119" i="6"/>
  <c r="AV119" i="6"/>
  <c r="AO119" i="6"/>
  <c r="AL119" i="6"/>
  <c r="AJ119" i="6"/>
  <c r="AH119" i="6"/>
  <c r="AW119" i="6" s="1"/>
  <c r="Y119" i="6"/>
  <c r="K119" i="6"/>
  <c r="J119" i="6"/>
  <c r="I119" i="6"/>
  <c r="W119" i="6" s="1"/>
  <c r="BS118" i="6"/>
  <c r="BI118" i="6"/>
  <c r="BJ118" i="6" s="1"/>
  <c r="BK118" i="6" s="1"/>
  <c r="AW118" i="6"/>
  <c r="AU118" i="6"/>
  <c r="AJ118" i="6"/>
  <c r="AH118" i="6"/>
  <c r="AR118" i="6" s="1"/>
  <c r="Z118" i="6"/>
  <c r="Y118" i="6"/>
  <c r="V118" i="6"/>
  <c r="Q118" i="6"/>
  <c r="P118" i="6"/>
  <c r="M118" i="6"/>
  <c r="K118" i="6"/>
  <c r="J118" i="6"/>
  <c r="I118" i="6"/>
  <c r="X118" i="6" s="1"/>
  <c r="BS117" i="6"/>
  <c r="BI117" i="6"/>
  <c r="BJ117" i="6" s="1"/>
  <c r="BK117" i="6" s="1"/>
  <c r="AV117" i="6"/>
  <c r="AT117" i="6"/>
  <c r="AS117" i="6"/>
  <c r="AQ117" i="6"/>
  <c r="AJ117" i="6"/>
  <c r="AH117" i="6"/>
  <c r="AY117" i="6" s="1"/>
  <c r="AD117" i="6"/>
  <c r="Y117" i="6"/>
  <c r="X117" i="6"/>
  <c r="W117" i="6"/>
  <c r="U117" i="6"/>
  <c r="P117" i="6"/>
  <c r="O117" i="6"/>
  <c r="N117" i="6"/>
  <c r="L117" i="6"/>
  <c r="K117" i="6"/>
  <c r="J117" i="6"/>
  <c r="I117" i="6"/>
  <c r="V117" i="6" s="1"/>
  <c r="BS116" i="6"/>
  <c r="BP116" i="6"/>
  <c r="BQ116" i="6" s="1"/>
  <c r="BR116" i="6" s="1"/>
  <c r="BI116" i="6"/>
  <c r="BJ116" i="6" s="1"/>
  <c r="BK116" i="6" s="1"/>
  <c r="BC116" i="6"/>
  <c r="BB116" i="6"/>
  <c r="AZ116" i="6"/>
  <c r="AX116" i="6"/>
  <c r="AW116" i="6"/>
  <c r="AV116" i="6"/>
  <c r="AU116" i="6"/>
  <c r="AT116" i="6"/>
  <c r="AS116" i="6"/>
  <c r="AP116" i="6"/>
  <c r="AO116" i="6"/>
  <c r="AN116" i="6"/>
  <c r="AM116" i="6"/>
  <c r="AL116" i="6"/>
  <c r="AK116" i="6"/>
  <c r="AJ116" i="6"/>
  <c r="AH116" i="6"/>
  <c r="AY116" i="6" s="1"/>
  <c r="AD116" i="6"/>
  <c r="AC116" i="6"/>
  <c r="AB116" i="6"/>
  <c r="Z116" i="6"/>
  <c r="Y116" i="6"/>
  <c r="X116" i="6"/>
  <c r="V116" i="6"/>
  <c r="U116" i="6"/>
  <c r="T116" i="6"/>
  <c r="S116" i="6"/>
  <c r="Q116" i="6"/>
  <c r="P116" i="6"/>
  <c r="N116" i="6"/>
  <c r="M116" i="6"/>
  <c r="L116" i="6"/>
  <c r="K116" i="6"/>
  <c r="J116" i="6"/>
  <c r="I116" i="6"/>
  <c r="BS115" i="6"/>
  <c r="BI115" i="6"/>
  <c r="BJ115" i="6" s="1"/>
  <c r="BK115" i="6" s="1"/>
  <c r="BB115" i="6"/>
  <c r="AZ115" i="6"/>
  <c r="AR115" i="6"/>
  <c r="AJ115" i="6"/>
  <c r="AH115" i="6"/>
  <c r="AX115" i="6" s="1"/>
  <c r="AD115" i="6"/>
  <c r="AB115" i="6"/>
  <c r="X115" i="6"/>
  <c r="W115" i="6"/>
  <c r="V115" i="6"/>
  <c r="U115" i="6"/>
  <c r="R115" i="6"/>
  <c r="O115" i="6"/>
  <c r="N115" i="6"/>
  <c r="M115" i="6"/>
  <c r="L115" i="6"/>
  <c r="K115" i="6"/>
  <c r="J115" i="6"/>
  <c r="I115" i="6"/>
  <c r="Y115" i="6" s="1"/>
  <c r="BS114" i="6"/>
  <c r="BC114" i="6"/>
  <c r="BB114" i="6"/>
  <c r="BA114" i="6"/>
  <c r="AW114" i="6"/>
  <c r="AT114" i="6"/>
  <c r="AS114" i="6"/>
  <c r="AN114" i="6"/>
  <c r="AL114" i="6"/>
  <c r="AK114" i="6"/>
  <c r="AJ114" i="6"/>
  <c r="AH114" i="6"/>
  <c r="BP114" i="6" s="1"/>
  <c r="BQ114" i="6" s="1"/>
  <c r="BR114" i="6" s="1"/>
  <c r="AD114" i="6"/>
  <c r="AC114" i="6"/>
  <c r="AA114" i="6"/>
  <c r="T114" i="6"/>
  <c r="R114" i="6"/>
  <c r="M114" i="6"/>
  <c r="L114" i="6"/>
  <c r="K114" i="6"/>
  <c r="J114" i="6"/>
  <c r="I114" i="6"/>
  <c r="U114" i="6" s="1"/>
  <c r="BS113" i="6"/>
  <c r="BJ113" i="6"/>
  <c r="BK113" i="6" s="1"/>
  <c r="BI113" i="6"/>
  <c r="AZ113" i="6"/>
  <c r="AY113" i="6"/>
  <c r="AJ113" i="6"/>
  <c r="AH113" i="6"/>
  <c r="AD113" i="6"/>
  <c r="AC113" i="6"/>
  <c r="AB113" i="6"/>
  <c r="Y113" i="6"/>
  <c r="X113" i="6"/>
  <c r="V113" i="6"/>
  <c r="U113" i="6"/>
  <c r="T113" i="6"/>
  <c r="R113" i="6"/>
  <c r="P113" i="6"/>
  <c r="O113" i="6"/>
  <c r="M113" i="6"/>
  <c r="L113" i="6"/>
  <c r="K113" i="6"/>
  <c r="J113" i="6"/>
  <c r="I113" i="6"/>
  <c r="W113" i="6" s="1"/>
  <c r="BS112" i="6"/>
  <c r="BC112" i="6"/>
  <c r="BA112" i="6"/>
  <c r="AR112" i="6"/>
  <c r="AP112" i="6"/>
  <c r="AO112" i="6"/>
  <c r="AN112" i="6"/>
  <c r="AJ112" i="6"/>
  <c r="AH112" i="6"/>
  <c r="AT112" i="6" s="1"/>
  <c r="K112" i="6"/>
  <c r="J112" i="6"/>
  <c r="I112" i="6"/>
  <c r="BS111" i="6"/>
  <c r="BB111" i="6"/>
  <c r="AJ111" i="6"/>
  <c r="AH111" i="6"/>
  <c r="AC111" i="6"/>
  <c r="AB111" i="6"/>
  <c r="Z111" i="6"/>
  <c r="Y111" i="6"/>
  <c r="T111" i="6"/>
  <c r="R111" i="6"/>
  <c r="Q111" i="6"/>
  <c r="P111" i="6"/>
  <c r="N111" i="6"/>
  <c r="K111" i="6"/>
  <c r="J111" i="6"/>
  <c r="I111" i="6"/>
  <c r="BS110" i="6"/>
  <c r="BQ110" i="6"/>
  <c r="BR110" i="6" s="1"/>
  <c r="BP110" i="6"/>
  <c r="BC110" i="6"/>
  <c r="BB110" i="6"/>
  <c r="AZ110" i="6"/>
  <c r="AX110" i="6"/>
  <c r="AW110" i="6"/>
  <c r="AV110" i="6"/>
  <c r="AU110" i="6"/>
  <c r="AT110" i="6"/>
  <c r="AS110" i="6"/>
  <c r="AP110" i="6"/>
  <c r="AO110" i="6"/>
  <c r="AN110" i="6"/>
  <c r="AM110" i="6"/>
  <c r="AL110" i="6"/>
  <c r="AK110" i="6"/>
  <c r="AJ110" i="6"/>
  <c r="AH110" i="6"/>
  <c r="AY110" i="6" s="1"/>
  <c r="AB110" i="6"/>
  <c r="AA110" i="6"/>
  <c r="Z110" i="6"/>
  <c r="Y110" i="6"/>
  <c r="S110" i="6"/>
  <c r="R110" i="6"/>
  <c r="Q110" i="6"/>
  <c r="P110" i="6"/>
  <c r="M110" i="6"/>
  <c r="K110" i="6"/>
  <c r="J110" i="6"/>
  <c r="I110" i="6"/>
  <c r="BS109" i="6"/>
  <c r="AL109" i="6"/>
  <c r="AJ109" i="6"/>
  <c r="AH109" i="6"/>
  <c r="BP109" i="6" s="1"/>
  <c r="BQ109" i="6" s="1"/>
  <c r="BR109" i="6" s="1"/>
  <c r="W109" i="6"/>
  <c r="Q109" i="6"/>
  <c r="K109" i="6"/>
  <c r="J109" i="6"/>
  <c r="I109" i="6"/>
  <c r="P109" i="6" s="1"/>
  <c r="BS108" i="6"/>
  <c r="BP108" i="6"/>
  <c r="BQ108" i="6" s="1"/>
  <c r="BR108" i="6" s="1"/>
  <c r="BI108" i="6"/>
  <c r="BJ108" i="6" s="1"/>
  <c r="BK108" i="6" s="1"/>
  <c r="BC108" i="6"/>
  <c r="AZ108" i="6"/>
  <c r="AX108" i="6"/>
  <c r="AW108" i="6"/>
  <c r="AV108" i="6"/>
  <c r="AU108" i="6"/>
  <c r="AT108" i="6"/>
  <c r="AP108" i="6"/>
  <c r="AO108" i="6"/>
  <c r="AN108" i="6"/>
  <c r="AM108" i="6"/>
  <c r="AL108" i="6"/>
  <c r="AK108" i="6"/>
  <c r="AJ108" i="6"/>
  <c r="AH108" i="6"/>
  <c r="AY108" i="6" s="1"/>
  <c r="AD108" i="6"/>
  <c r="AC108" i="6"/>
  <c r="AB108" i="6"/>
  <c r="Z108" i="6"/>
  <c r="Y108" i="6"/>
  <c r="X108" i="6"/>
  <c r="V108" i="6"/>
  <c r="U108" i="6"/>
  <c r="T108" i="6"/>
  <c r="S108" i="6"/>
  <c r="Q108" i="6"/>
  <c r="P108" i="6"/>
  <c r="N108" i="6"/>
  <c r="M108" i="6"/>
  <c r="L108" i="6"/>
  <c r="K108" i="6"/>
  <c r="J108" i="6"/>
  <c r="I108" i="6"/>
  <c r="BS107" i="6"/>
  <c r="BI107" i="6"/>
  <c r="BJ107" i="6" s="1"/>
  <c r="BK107" i="6" s="1"/>
  <c r="BB107" i="6"/>
  <c r="BA107" i="6"/>
  <c r="AQ107" i="6"/>
  <c r="AO107" i="6"/>
  <c r="AJ107" i="6"/>
  <c r="AH107" i="6"/>
  <c r="AD107" i="6"/>
  <c r="AB107" i="6"/>
  <c r="X107" i="6"/>
  <c r="W107" i="6"/>
  <c r="V107" i="6"/>
  <c r="U107" i="6"/>
  <c r="R107" i="6"/>
  <c r="O107" i="6"/>
  <c r="N107" i="6"/>
  <c r="M107" i="6"/>
  <c r="L107" i="6"/>
  <c r="K107" i="6"/>
  <c r="J107" i="6"/>
  <c r="I107" i="6"/>
  <c r="Y107" i="6" s="1"/>
  <c r="BS106" i="6"/>
  <c r="BP106" i="6"/>
  <c r="BQ106" i="6" s="1"/>
  <c r="BR106" i="6" s="1"/>
  <c r="BC106" i="6"/>
  <c r="AZ106" i="6"/>
  <c r="AX106" i="6"/>
  <c r="AW106" i="6"/>
  <c r="AV106" i="6"/>
  <c r="AU106" i="6"/>
  <c r="AT106" i="6"/>
  <c r="AP106" i="6"/>
  <c r="AO106" i="6"/>
  <c r="AN106" i="6"/>
  <c r="AM106" i="6"/>
  <c r="AL106" i="6"/>
  <c r="AK106" i="6"/>
  <c r="AJ106" i="6"/>
  <c r="AH106" i="6"/>
  <c r="AY106" i="6" s="1"/>
  <c r="X106" i="6"/>
  <c r="V106" i="6"/>
  <c r="T106" i="6"/>
  <c r="K106" i="6"/>
  <c r="J106" i="6"/>
  <c r="I106" i="6"/>
  <c r="R106" i="6" s="1"/>
  <c r="BS105" i="6"/>
  <c r="BJ105" i="6"/>
  <c r="BK105" i="6" s="1"/>
  <c r="BI105" i="6"/>
  <c r="AZ105" i="6"/>
  <c r="AY105" i="6"/>
  <c r="AV105" i="6"/>
  <c r="AO105" i="6"/>
  <c r="AJ105" i="6"/>
  <c r="AH105" i="6"/>
  <c r="BA105" i="6" s="1"/>
  <c r="AD105" i="6"/>
  <c r="AC105" i="6"/>
  <c r="AB105" i="6"/>
  <c r="Y105" i="6"/>
  <c r="X105" i="6"/>
  <c r="V105" i="6"/>
  <c r="U105" i="6"/>
  <c r="T105" i="6"/>
  <c r="R105" i="6"/>
  <c r="P105" i="6"/>
  <c r="O105" i="6"/>
  <c r="M105" i="6"/>
  <c r="L105" i="6"/>
  <c r="K105" i="6"/>
  <c r="J105" i="6"/>
  <c r="I105" i="6"/>
  <c r="W105" i="6" s="1"/>
  <c r="BS104" i="6"/>
  <c r="BP104" i="6"/>
  <c r="BQ104" i="6" s="1"/>
  <c r="BR104" i="6" s="1"/>
  <c r="BA104" i="6"/>
  <c r="AZ104" i="6"/>
  <c r="AX104" i="6"/>
  <c r="AP104" i="6"/>
  <c r="AO104" i="6"/>
  <c r="AN104" i="6"/>
  <c r="AM104" i="6"/>
  <c r="AJ104" i="6"/>
  <c r="AH104" i="6"/>
  <c r="AR104" i="6" s="1"/>
  <c r="AC104" i="6"/>
  <c r="AB104" i="6"/>
  <c r="AA104" i="6"/>
  <c r="Y104" i="6"/>
  <c r="X104" i="6"/>
  <c r="U104" i="6"/>
  <c r="R104" i="6"/>
  <c r="P104" i="6"/>
  <c r="N104" i="6"/>
  <c r="L104" i="6"/>
  <c r="K104" i="6"/>
  <c r="J104" i="6"/>
  <c r="I104" i="6"/>
  <c r="AD104" i="6" s="1"/>
  <c r="BS103" i="6"/>
  <c r="AJ103" i="6"/>
  <c r="AH103" i="6"/>
  <c r="K103" i="6"/>
  <c r="J103" i="6"/>
  <c r="I103" i="6"/>
  <c r="T103" i="6" s="1"/>
  <c r="BS102" i="6"/>
  <c r="BI102" i="6"/>
  <c r="BJ102" i="6" s="1"/>
  <c r="BK102" i="6" s="1"/>
  <c r="BA102" i="6"/>
  <c r="AU102" i="6"/>
  <c r="AR102" i="6"/>
  <c r="AP102" i="6"/>
  <c r="AO102" i="6"/>
  <c r="AJ102" i="6"/>
  <c r="AH102" i="6"/>
  <c r="Z102" i="6"/>
  <c r="Y102" i="6"/>
  <c r="V102" i="6"/>
  <c r="U102" i="6"/>
  <c r="M102" i="6"/>
  <c r="L102" i="6"/>
  <c r="K102" i="6"/>
  <c r="J102" i="6"/>
  <c r="I102" i="6"/>
  <c r="AD102" i="6" s="1"/>
  <c r="BS101" i="6"/>
  <c r="BP101" i="6"/>
  <c r="BQ101" i="6" s="1"/>
  <c r="BR101" i="6" s="1"/>
  <c r="AV101" i="6"/>
  <c r="AS101" i="6"/>
  <c r="AQ101" i="6"/>
  <c r="AP101" i="6"/>
  <c r="AN101" i="6"/>
  <c r="AJ101" i="6"/>
  <c r="AH101" i="6"/>
  <c r="AT101" i="6" s="1"/>
  <c r="K101" i="6"/>
  <c r="J101" i="6"/>
  <c r="I101" i="6"/>
  <c r="BS100" i="6"/>
  <c r="BI100" i="6"/>
  <c r="BJ100" i="6" s="1"/>
  <c r="BK100" i="6" s="1"/>
  <c r="AZ100" i="6"/>
  <c r="AU100" i="6"/>
  <c r="AT100" i="6"/>
  <c r="AS100" i="6"/>
  <c r="AR100" i="6"/>
  <c r="AL100" i="6"/>
  <c r="AJ100" i="6"/>
  <c r="AH100" i="6"/>
  <c r="AD100" i="6"/>
  <c r="AC100" i="6"/>
  <c r="AB100" i="6"/>
  <c r="Z100" i="6"/>
  <c r="Y100" i="6"/>
  <c r="X100" i="6"/>
  <c r="V100" i="6"/>
  <c r="U100" i="6"/>
  <c r="T100" i="6"/>
  <c r="S100" i="6"/>
  <c r="Q100" i="6"/>
  <c r="P100" i="6"/>
  <c r="N100" i="6"/>
  <c r="M100" i="6"/>
  <c r="L100" i="6"/>
  <c r="K100" i="6"/>
  <c r="J100" i="6"/>
  <c r="I100" i="6"/>
  <c r="BS99" i="6"/>
  <c r="AJ99" i="6"/>
  <c r="AH99" i="6"/>
  <c r="K99" i="6"/>
  <c r="J99" i="6"/>
  <c r="I99" i="6"/>
  <c r="R99" i="6" s="1"/>
  <c r="BS98" i="6"/>
  <c r="AZ98" i="6"/>
  <c r="AW98" i="6"/>
  <c r="AV98" i="6"/>
  <c r="AS98" i="6"/>
  <c r="AJ98" i="6"/>
  <c r="AH98" i="6"/>
  <c r="V98" i="6"/>
  <c r="U98" i="6"/>
  <c r="K98" i="6"/>
  <c r="J98" i="6"/>
  <c r="I98" i="6"/>
  <c r="AD98" i="6" s="1"/>
  <c r="BS97" i="6"/>
  <c r="BJ97" i="6"/>
  <c r="BK97" i="6" s="1"/>
  <c r="BI97" i="6"/>
  <c r="AR97" i="6"/>
  <c r="AJ97" i="6"/>
  <c r="AH97" i="6"/>
  <c r="AD97" i="6"/>
  <c r="AC97" i="6"/>
  <c r="AB97" i="6"/>
  <c r="Y97" i="6"/>
  <c r="X97" i="6"/>
  <c r="V97" i="6"/>
  <c r="U97" i="6"/>
  <c r="T97" i="6"/>
  <c r="R97" i="6"/>
  <c r="P97" i="6"/>
  <c r="O97" i="6"/>
  <c r="M97" i="6"/>
  <c r="L97" i="6"/>
  <c r="K97" i="6"/>
  <c r="J97" i="6"/>
  <c r="I97" i="6"/>
  <c r="W97" i="6" s="1"/>
  <c r="BS96" i="6"/>
  <c r="BB96" i="6"/>
  <c r="AZ96" i="6"/>
  <c r="AX96" i="6"/>
  <c r="AW96" i="6"/>
  <c r="AV96" i="6"/>
  <c r="AR96" i="6"/>
  <c r="AO96" i="6"/>
  <c r="AN96" i="6"/>
  <c r="AM96" i="6"/>
  <c r="AK96" i="6"/>
  <c r="AJ96" i="6"/>
  <c r="AH96" i="6"/>
  <c r="BA96" i="6" s="1"/>
  <c r="T96" i="6"/>
  <c r="K96" i="6"/>
  <c r="J96" i="6"/>
  <c r="I96" i="6"/>
  <c r="BS95" i="6"/>
  <c r="BI95" i="6"/>
  <c r="BJ95" i="6" s="1"/>
  <c r="BK95" i="6" s="1"/>
  <c r="AJ95" i="6"/>
  <c r="AH95" i="6"/>
  <c r="AS95" i="6" s="1"/>
  <c r="V95" i="6"/>
  <c r="T95" i="6"/>
  <c r="K95" i="6"/>
  <c r="J95" i="6"/>
  <c r="I95" i="6"/>
  <c r="AB95" i="6" s="1"/>
  <c r="BS94" i="6"/>
  <c r="BJ94" i="6"/>
  <c r="BK94" i="6" s="1"/>
  <c r="BI94" i="6"/>
  <c r="AO94" i="6"/>
  <c r="AJ94" i="6"/>
  <c r="AH94" i="6"/>
  <c r="AV94" i="6" s="1"/>
  <c r="AA94" i="6"/>
  <c r="Z94" i="6"/>
  <c r="Y94" i="6"/>
  <c r="X94" i="6"/>
  <c r="V94" i="6"/>
  <c r="U94" i="6"/>
  <c r="Q94" i="6"/>
  <c r="P94" i="6"/>
  <c r="N94" i="6"/>
  <c r="M94" i="6"/>
  <c r="L94" i="6"/>
  <c r="K94" i="6"/>
  <c r="J94" i="6"/>
  <c r="I94" i="6"/>
  <c r="BS93" i="6"/>
  <c r="AZ93" i="6"/>
  <c r="AV93" i="6"/>
  <c r="AR93" i="6"/>
  <c r="AQ93" i="6"/>
  <c r="AP93" i="6"/>
  <c r="AK93" i="6"/>
  <c r="AJ93" i="6"/>
  <c r="AH93" i="6"/>
  <c r="AD93" i="6"/>
  <c r="AC93" i="6"/>
  <c r="U93" i="6"/>
  <c r="S93" i="6"/>
  <c r="K93" i="6"/>
  <c r="J93" i="6"/>
  <c r="I93" i="6"/>
  <c r="Z93" i="6" s="1"/>
  <c r="BS92" i="6"/>
  <c r="BC92" i="6"/>
  <c r="BB92" i="6"/>
  <c r="AW92" i="6"/>
  <c r="AU92" i="6"/>
  <c r="AT92" i="6"/>
  <c r="AM92" i="6"/>
  <c r="AL92" i="6"/>
  <c r="AK92" i="6"/>
  <c r="AJ92" i="6"/>
  <c r="AH92" i="6"/>
  <c r="AN92" i="6" s="1"/>
  <c r="AB92" i="6"/>
  <c r="AA92" i="6"/>
  <c r="Y92" i="6"/>
  <c r="S92" i="6"/>
  <c r="R92" i="6"/>
  <c r="Q92" i="6"/>
  <c r="O92" i="6"/>
  <c r="K92" i="6"/>
  <c r="J92" i="6"/>
  <c r="I92" i="6"/>
  <c r="BS91" i="6"/>
  <c r="AU91" i="6"/>
  <c r="AS91" i="6"/>
  <c r="AL91" i="6"/>
  <c r="AJ91" i="6"/>
  <c r="AH91" i="6"/>
  <c r="AT91" i="6" s="1"/>
  <c r="AD91" i="6"/>
  <c r="AC91" i="6"/>
  <c r="Z91" i="6"/>
  <c r="Y91" i="6"/>
  <c r="X91" i="6"/>
  <c r="W91" i="6"/>
  <c r="V91" i="6"/>
  <c r="U91" i="6"/>
  <c r="S91" i="6"/>
  <c r="Q91" i="6"/>
  <c r="P91" i="6"/>
  <c r="O91" i="6"/>
  <c r="N91" i="6"/>
  <c r="M91" i="6"/>
  <c r="K91" i="6"/>
  <c r="J91" i="6"/>
  <c r="I91" i="6"/>
  <c r="BS90" i="6"/>
  <c r="AJ90" i="6"/>
  <c r="AH90" i="6"/>
  <c r="AD90" i="6"/>
  <c r="AC90" i="6"/>
  <c r="AB90" i="6"/>
  <c r="W90" i="6"/>
  <c r="V90" i="6"/>
  <c r="U90" i="6"/>
  <c r="T90" i="6"/>
  <c r="S90" i="6"/>
  <c r="N90" i="6"/>
  <c r="M90" i="6"/>
  <c r="L90" i="6"/>
  <c r="K90" i="6"/>
  <c r="J90" i="6"/>
  <c r="I90" i="6"/>
  <c r="BI90" i="6" s="1"/>
  <c r="BJ90" i="6" s="1"/>
  <c r="BK90" i="6" s="1"/>
  <c r="BS89" i="6"/>
  <c r="BP89" i="6"/>
  <c r="BQ89" i="6" s="1"/>
  <c r="BR89" i="6" s="1"/>
  <c r="BC89" i="6"/>
  <c r="AZ89" i="6"/>
  <c r="AY89" i="6"/>
  <c r="AT89" i="6"/>
  <c r="AP89" i="6"/>
  <c r="AO89" i="6"/>
  <c r="AM89" i="6"/>
  <c r="AL89" i="6"/>
  <c r="AJ89" i="6"/>
  <c r="AH89" i="6"/>
  <c r="AQ89" i="6" s="1"/>
  <c r="AD89" i="6"/>
  <c r="AC89" i="6"/>
  <c r="AA89" i="6"/>
  <c r="Z89" i="6"/>
  <c r="U89" i="6"/>
  <c r="S89" i="6"/>
  <c r="R89" i="6"/>
  <c r="Q89" i="6"/>
  <c r="P89" i="6"/>
  <c r="K89" i="6"/>
  <c r="J89" i="6"/>
  <c r="I89" i="6"/>
  <c r="BS88" i="6"/>
  <c r="BB88" i="6"/>
  <c r="AU88" i="6"/>
  <c r="AS88" i="6"/>
  <c r="AN88" i="6"/>
  <c r="AL88" i="6"/>
  <c r="AK88" i="6"/>
  <c r="AJ88" i="6"/>
  <c r="AH88" i="6"/>
  <c r="AT88" i="6" s="1"/>
  <c r="AB88" i="6"/>
  <c r="Y88" i="6"/>
  <c r="R88" i="6"/>
  <c r="O88" i="6"/>
  <c r="K88" i="6"/>
  <c r="J88" i="6"/>
  <c r="I88" i="6"/>
  <c r="S88" i="6" s="1"/>
  <c r="BS87" i="6"/>
  <c r="BC87" i="6"/>
  <c r="BB87" i="6"/>
  <c r="BA87" i="6"/>
  <c r="AT87" i="6"/>
  <c r="AS87" i="6"/>
  <c r="AR87" i="6"/>
  <c r="AQ87" i="6"/>
  <c r="AL87" i="6"/>
  <c r="AK87" i="6"/>
  <c r="AJ87" i="6"/>
  <c r="AH87" i="6"/>
  <c r="AZ87" i="6" s="1"/>
  <c r="AD87" i="6"/>
  <c r="AC87" i="6"/>
  <c r="Z87" i="6"/>
  <c r="Y87" i="6"/>
  <c r="X87" i="6"/>
  <c r="W87" i="6"/>
  <c r="V87" i="6"/>
  <c r="U87" i="6"/>
  <c r="S87" i="6"/>
  <c r="Q87" i="6"/>
  <c r="P87" i="6"/>
  <c r="O87" i="6"/>
  <c r="N87" i="6"/>
  <c r="M87" i="6"/>
  <c r="K87" i="6"/>
  <c r="J87" i="6"/>
  <c r="I87" i="6"/>
  <c r="BS86" i="6"/>
  <c r="BK86" i="6"/>
  <c r="AO86" i="6"/>
  <c r="AJ86" i="6"/>
  <c r="AH86" i="6"/>
  <c r="AW86" i="6" s="1"/>
  <c r="AD86" i="6"/>
  <c r="AC86" i="6"/>
  <c r="AB86" i="6"/>
  <c r="W86" i="6"/>
  <c r="V86" i="6"/>
  <c r="U86" i="6"/>
  <c r="T86" i="6"/>
  <c r="S86" i="6"/>
  <c r="N86" i="6"/>
  <c r="M86" i="6"/>
  <c r="L86" i="6"/>
  <c r="K86" i="6"/>
  <c r="J86" i="6"/>
  <c r="I86" i="6"/>
  <c r="BI86" i="6" s="1"/>
  <c r="BJ86" i="6" s="1"/>
  <c r="BS85" i="6"/>
  <c r="AK85" i="6"/>
  <c r="AJ85" i="6"/>
  <c r="AH85" i="6"/>
  <c r="AY85" i="6" s="1"/>
  <c r="AD85" i="6"/>
  <c r="AC85" i="6"/>
  <c r="Z85" i="6"/>
  <c r="U85" i="6"/>
  <c r="S85" i="6"/>
  <c r="R85" i="6"/>
  <c r="Q85" i="6"/>
  <c r="P85" i="6"/>
  <c r="K85" i="6"/>
  <c r="J85" i="6"/>
  <c r="I85" i="6"/>
  <c r="BS84" i="6"/>
  <c r="BB84" i="6"/>
  <c r="AW84" i="6"/>
  <c r="AU84" i="6"/>
  <c r="AT84" i="6"/>
  <c r="AS84" i="6"/>
  <c r="AN84" i="6"/>
  <c r="AL84" i="6"/>
  <c r="AK84" i="6"/>
  <c r="AJ84" i="6"/>
  <c r="AH84" i="6"/>
  <c r="K84" i="6"/>
  <c r="J84" i="6"/>
  <c r="I84" i="6"/>
  <c r="S84" i="6" s="1"/>
  <c r="BS83" i="6"/>
  <c r="BB83" i="6"/>
  <c r="AZ83" i="6"/>
  <c r="AS83" i="6"/>
  <c r="AR83" i="6"/>
  <c r="AQ83" i="6"/>
  <c r="AJ83" i="6"/>
  <c r="AH83" i="6"/>
  <c r="AL83" i="6" s="1"/>
  <c r="AD83" i="6"/>
  <c r="AC83" i="6"/>
  <c r="Z83" i="6"/>
  <c r="Y83" i="6"/>
  <c r="X83" i="6"/>
  <c r="W83" i="6"/>
  <c r="V83" i="6"/>
  <c r="U83" i="6"/>
  <c r="S83" i="6"/>
  <c r="Q83" i="6"/>
  <c r="P83" i="6"/>
  <c r="O83" i="6"/>
  <c r="N83" i="6"/>
  <c r="M83" i="6"/>
  <c r="K83" i="6"/>
  <c r="J83" i="6"/>
  <c r="I83" i="6"/>
  <c r="BS82" i="6"/>
  <c r="AJ82" i="6"/>
  <c r="AH82" i="6"/>
  <c r="AW82" i="6" s="1"/>
  <c r="AC82" i="6"/>
  <c r="AA82" i="6"/>
  <c r="U82" i="6"/>
  <c r="R82" i="6"/>
  <c r="M82" i="6"/>
  <c r="K82" i="6"/>
  <c r="J82" i="6"/>
  <c r="I82" i="6"/>
  <c r="AD82" i="6" s="1"/>
  <c r="BS81" i="6"/>
  <c r="BP81" i="6"/>
  <c r="BQ81" i="6" s="1"/>
  <c r="BR81" i="6" s="1"/>
  <c r="AW81" i="6"/>
  <c r="AU81" i="6"/>
  <c r="AP81" i="6"/>
  <c r="AL81" i="6"/>
  <c r="AK81" i="6"/>
  <c r="AJ81" i="6"/>
  <c r="AH81" i="6"/>
  <c r="AX81" i="6" s="1"/>
  <c r="Y81" i="6"/>
  <c r="K81" i="6"/>
  <c r="J81" i="6"/>
  <c r="I81" i="6"/>
  <c r="S81" i="6" s="1"/>
  <c r="BS80" i="6"/>
  <c r="BI80" i="6"/>
  <c r="BJ80" i="6" s="1"/>
  <c r="BK80" i="6" s="1"/>
  <c r="BC80" i="6"/>
  <c r="BB80" i="6"/>
  <c r="BA80" i="6"/>
  <c r="AW80" i="6"/>
  <c r="AV80" i="6"/>
  <c r="AS80" i="6"/>
  <c r="AQ80" i="6"/>
  <c r="AN80" i="6"/>
  <c r="AM80" i="6"/>
  <c r="AL80" i="6"/>
  <c r="AK80" i="6"/>
  <c r="AJ80" i="6"/>
  <c r="AH80" i="6"/>
  <c r="AU80" i="6" s="1"/>
  <c r="AB80" i="6"/>
  <c r="Z80" i="6"/>
  <c r="V80" i="6"/>
  <c r="Q80" i="6"/>
  <c r="N80" i="6"/>
  <c r="K80" i="6"/>
  <c r="J80" i="6"/>
  <c r="I80" i="6"/>
  <c r="R80" i="6" s="1"/>
  <c r="BS79" i="6"/>
  <c r="AJ79" i="6"/>
  <c r="AH79" i="6"/>
  <c r="BP79" i="6" s="1"/>
  <c r="BQ79" i="6" s="1"/>
  <c r="BR79" i="6" s="1"/>
  <c r="AD79" i="6"/>
  <c r="AC79" i="6"/>
  <c r="Z79" i="6"/>
  <c r="Y79" i="6"/>
  <c r="X79" i="6"/>
  <c r="W79" i="6"/>
  <c r="V79" i="6"/>
  <c r="U79" i="6"/>
  <c r="S79" i="6"/>
  <c r="Q79" i="6"/>
  <c r="P79" i="6"/>
  <c r="O79" i="6"/>
  <c r="N79" i="6"/>
  <c r="M79" i="6"/>
  <c r="K79" i="6"/>
  <c r="J79" i="6"/>
  <c r="I79" i="6"/>
  <c r="BS78" i="6"/>
  <c r="AP78" i="6"/>
  <c r="AJ78" i="6"/>
  <c r="AH78" i="6"/>
  <c r="AX78" i="6" s="1"/>
  <c r="AD78" i="6"/>
  <c r="AC78" i="6"/>
  <c r="AB78" i="6"/>
  <c r="AA78" i="6"/>
  <c r="W78" i="6"/>
  <c r="V78" i="6"/>
  <c r="U78" i="6"/>
  <c r="S78" i="6"/>
  <c r="R78" i="6"/>
  <c r="N78" i="6"/>
  <c r="M78" i="6"/>
  <c r="L78" i="6"/>
  <c r="K78" i="6"/>
  <c r="J78" i="6"/>
  <c r="I78" i="6"/>
  <c r="BS77" i="6"/>
  <c r="BC77" i="6"/>
  <c r="AZ77" i="6"/>
  <c r="AY77" i="6"/>
  <c r="AX77" i="6"/>
  <c r="AT77" i="6"/>
  <c r="AQ77" i="6"/>
  <c r="AO77" i="6"/>
  <c r="AM77" i="6"/>
  <c r="AL77" i="6"/>
  <c r="AJ77" i="6"/>
  <c r="AH77" i="6"/>
  <c r="BP77" i="6" s="1"/>
  <c r="BQ77" i="6" s="1"/>
  <c r="BR77" i="6" s="1"/>
  <c r="AD77" i="6"/>
  <c r="AC77" i="6"/>
  <c r="Z77" i="6"/>
  <c r="X77" i="6"/>
  <c r="R77" i="6"/>
  <c r="Q77" i="6"/>
  <c r="O77" i="6"/>
  <c r="K77" i="6"/>
  <c r="J77" i="6"/>
  <c r="I77" i="6"/>
  <c r="S77" i="6" s="1"/>
  <c r="BS76" i="6"/>
  <c r="BJ76" i="6"/>
  <c r="BK76" i="6" s="1"/>
  <c r="BI76" i="6"/>
  <c r="AJ76" i="6"/>
  <c r="AH76" i="6"/>
  <c r="AB76" i="6"/>
  <c r="AA76" i="6"/>
  <c r="Z76" i="6"/>
  <c r="Y76" i="6"/>
  <c r="W76" i="6"/>
  <c r="V76" i="6"/>
  <c r="R76" i="6"/>
  <c r="Q76" i="6"/>
  <c r="O76" i="6"/>
  <c r="N76" i="6"/>
  <c r="M76" i="6"/>
  <c r="K76" i="6"/>
  <c r="J76" i="6"/>
  <c r="I76" i="6"/>
  <c r="BS75" i="6"/>
  <c r="AQ75" i="6"/>
  <c r="AJ75" i="6"/>
  <c r="AH75" i="6"/>
  <c r="BC75" i="6" s="1"/>
  <c r="AD75" i="6"/>
  <c r="AC75" i="6"/>
  <c r="Z75" i="6"/>
  <c r="Y75" i="6"/>
  <c r="X75" i="6"/>
  <c r="W75" i="6"/>
  <c r="V75" i="6"/>
  <c r="U75" i="6"/>
  <c r="S75" i="6"/>
  <c r="Q75" i="6"/>
  <c r="P75" i="6"/>
  <c r="O75" i="6"/>
  <c r="N75" i="6"/>
  <c r="M75" i="6"/>
  <c r="K75" i="6"/>
  <c r="J75" i="6"/>
  <c r="I75" i="6"/>
  <c r="BS74" i="6"/>
  <c r="BB74" i="6"/>
  <c r="AV74" i="6"/>
  <c r="AJ74" i="6"/>
  <c r="AH74" i="6"/>
  <c r="AX74" i="6" s="1"/>
  <c r="AB74" i="6"/>
  <c r="V74" i="6"/>
  <c r="T74" i="6"/>
  <c r="R74" i="6"/>
  <c r="N74" i="6"/>
  <c r="L74" i="6"/>
  <c r="K74" i="6"/>
  <c r="J74" i="6"/>
  <c r="I74" i="6"/>
  <c r="BS73" i="6"/>
  <c r="BC73" i="6"/>
  <c r="AW73" i="6"/>
  <c r="AU73" i="6"/>
  <c r="AT73" i="6"/>
  <c r="AQ73" i="6"/>
  <c r="AO73" i="6"/>
  <c r="AM73" i="6"/>
  <c r="AJ73" i="6"/>
  <c r="AH73" i="6"/>
  <c r="AD73" i="6"/>
  <c r="Z73" i="6"/>
  <c r="R73" i="6"/>
  <c r="P73" i="6"/>
  <c r="K73" i="6"/>
  <c r="J73" i="6"/>
  <c r="I73" i="6"/>
  <c r="U73" i="6" s="1"/>
  <c r="BS72" i="6"/>
  <c r="AT72" i="6"/>
  <c r="AJ72" i="6"/>
  <c r="AH72" i="6"/>
  <c r="BC72" i="6" s="1"/>
  <c r="AB72" i="6"/>
  <c r="AA72" i="6"/>
  <c r="Y72" i="6"/>
  <c r="O72" i="6"/>
  <c r="N72" i="6"/>
  <c r="K72" i="6"/>
  <c r="J72" i="6"/>
  <c r="I72" i="6"/>
  <c r="R72" i="6" s="1"/>
  <c r="BS71" i="6"/>
  <c r="BQ71" i="6"/>
  <c r="BR71" i="6" s="1"/>
  <c r="BP71" i="6"/>
  <c r="AZ71" i="6"/>
  <c r="AY71" i="6"/>
  <c r="AT71" i="6"/>
  <c r="AS71" i="6"/>
  <c r="AP71" i="6"/>
  <c r="AK71" i="6"/>
  <c r="AJ71" i="6"/>
  <c r="AH71" i="6"/>
  <c r="BC71" i="6" s="1"/>
  <c r="AD71" i="6"/>
  <c r="AC71" i="6"/>
  <c r="Z71" i="6"/>
  <c r="Y71" i="6"/>
  <c r="X71" i="6"/>
  <c r="W71" i="6"/>
  <c r="V71" i="6"/>
  <c r="U71" i="6"/>
  <c r="S71" i="6"/>
  <c r="Q71" i="6"/>
  <c r="P71" i="6"/>
  <c r="O71" i="6"/>
  <c r="N71" i="6"/>
  <c r="M71" i="6"/>
  <c r="K71" i="6"/>
  <c r="J71" i="6"/>
  <c r="I71" i="6"/>
  <c r="BS70" i="6"/>
  <c r="BB70" i="6"/>
  <c r="AX70" i="6"/>
  <c r="AV70" i="6"/>
  <c r="AJ70" i="6"/>
  <c r="AH70" i="6"/>
  <c r="AD70" i="6"/>
  <c r="AB70" i="6"/>
  <c r="AA70" i="6"/>
  <c r="Y70" i="6"/>
  <c r="W70" i="6"/>
  <c r="V70" i="6"/>
  <c r="U70" i="6"/>
  <c r="T70" i="6"/>
  <c r="R70" i="6"/>
  <c r="O70" i="6"/>
  <c r="N70" i="6"/>
  <c r="M70" i="6"/>
  <c r="L70" i="6"/>
  <c r="K70" i="6"/>
  <c r="J70" i="6"/>
  <c r="I70" i="6"/>
  <c r="BS69" i="6"/>
  <c r="BP69" i="6"/>
  <c r="BQ69" i="6" s="1"/>
  <c r="BR69" i="6" s="1"/>
  <c r="AZ69" i="6"/>
  <c r="AY69" i="6"/>
  <c r="AX69" i="6"/>
  <c r="AW69" i="6"/>
  <c r="AT69" i="6"/>
  <c r="AQ69" i="6"/>
  <c r="AO69" i="6"/>
  <c r="AM69" i="6"/>
  <c r="AL69" i="6"/>
  <c r="AK69" i="6"/>
  <c r="AJ69" i="6"/>
  <c r="AH69" i="6"/>
  <c r="AD69" i="6"/>
  <c r="AC69" i="6"/>
  <c r="AA69" i="6"/>
  <c r="Z69" i="6"/>
  <c r="Y69" i="6"/>
  <c r="V69" i="6"/>
  <c r="R69" i="6"/>
  <c r="Q69" i="6"/>
  <c r="P69" i="6"/>
  <c r="O69" i="6"/>
  <c r="M69" i="6"/>
  <c r="K69" i="6"/>
  <c r="J69" i="6"/>
  <c r="I69" i="6"/>
  <c r="BS68" i="6"/>
  <c r="BB68" i="6"/>
  <c r="AW68" i="6"/>
  <c r="AV68" i="6"/>
  <c r="AQ68" i="6"/>
  <c r="AO68" i="6"/>
  <c r="AJ68" i="6"/>
  <c r="AH68" i="6"/>
  <c r="AC68" i="6"/>
  <c r="AB68" i="6"/>
  <c r="AA68" i="6"/>
  <c r="Z68" i="6"/>
  <c r="Y68" i="6"/>
  <c r="W68" i="6"/>
  <c r="T68" i="6"/>
  <c r="R68" i="6"/>
  <c r="Q68" i="6"/>
  <c r="O68" i="6"/>
  <c r="N68" i="6"/>
  <c r="M68" i="6"/>
  <c r="K68" i="6"/>
  <c r="J68" i="6"/>
  <c r="I68" i="6"/>
  <c r="BS67" i="6"/>
  <c r="BP67" i="6"/>
  <c r="BQ67" i="6" s="1"/>
  <c r="BR67" i="6" s="1"/>
  <c r="BC67" i="6"/>
  <c r="AW67" i="6"/>
  <c r="AU67" i="6"/>
  <c r="AR67" i="6"/>
  <c r="AQ67" i="6"/>
  <c r="AM67" i="6"/>
  <c r="AK67" i="6"/>
  <c r="AJ67" i="6"/>
  <c r="AH67" i="6"/>
  <c r="BB67" i="6" s="1"/>
  <c r="AD67" i="6"/>
  <c r="AC67" i="6"/>
  <c r="Z67" i="6"/>
  <c r="Y67" i="6"/>
  <c r="X67" i="6"/>
  <c r="W67" i="6"/>
  <c r="V67" i="6"/>
  <c r="U67" i="6"/>
  <c r="S67" i="6"/>
  <c r="Q67" i="6"/>
  <c r="P67" i="6"/>
  <c r="O67" i="6"/>
  <c r="N67" i="6"/>
  <c r="M67" i="6"/>
  <c r="K67" i="6"/>
  <c r="J67" i="6"/>
  <c r="I67" i="6"/>
  <c r="BS66" i="6"/>
  <c r="BK66" i="6"/>
  <c r="BI66" i="6"/>
  <c r="BJ66" i="6" s="1"/>
  <c r="AJ66" i="6"/>
  <c r="AH66" i="6"/>
  <c r="BB66" i="6" s="1"/>
  <c r="AD66" i="6"/>
  <c r="AB66" i="6"/>
  <c r="Z66" i="6"/>
  <c r="Y66" i="6"/>
  <c r="X66" i="6"/>
  <c r="W66" i="6"/>
  <c r="V66" i="6"/>
  <c r="T66" i="6"/>
  <c r="S66" i="6"/>
  <c r="Q66" i="6"/>
  <c r="P66" i="6"/>
  <c r="O66" i="6"/>
  <c r="N66" i="6"/>
  <c r="L66" i="6"/>
  <c r="K66" i="6"/>
  <c r="J66" i="6"/>
  <c r="I66" i="6"/>
  <c r="BS65" i="6"/>
  <c r="BJ65" i="6"/>
  <c r="BK65" i="6" s="1"/>
  <c r="BI65" i="6"/>
  <c r="BB65" i="6"/>
  <c r="AV65" i="6"/>
  <c r="AQ65" i="6"/>
  <c r="AJ65" i="6"/>
  <c r="AH65" i="6"/>
  <c r="BC65" i="6" s="1"/>
  <c r="AD65" i="6"/>
  <c r="AC65" i="6"/>
  <c r="AB65" i="6"/>
  <c r="AA65" i="6"/>
  <c r="Z65" i="6"/>
  <c r="X65" i="6"/>
  <c r="W65" i="6"/>
  <c r="V65" i="6"/>
  <c r="U65" i="6"/>
  <c r="T65" i="6"/>
  <c r="S65" i="6"/>
  <c r="R65" i="6"/>
  <c r="P65" i="6"/>
  <c r="O65" i="6"/>
  <c r="N65" i="6"/>
  <c r="M65" i="6"/>
  <c r="L65" i="6"/>
  <c r="K65" i="6"/>
  <c r="J65" i="6"/>
  <c r="I65" i="6"/>
  <c r="Y65" i="6" s="1"/>
  <c r="BS64" i="6"/>
  <c r="BI64" i="6"/>
  <c r="BJ64" i="6" s="1"/>
  <c r="BK64" i="6" s="1"/>
  <c r="AZ64" i="6"/>
  <c r="AV64" i="6"/>
  <c r="AP64" i="6"/>
  <c r="AN64" i="6"/>
  <c r="AL64" i="6"/>
  <c r="AJ64" i="6"/>
  <c r="AH64" i="6"/>
  <c r="AB64" i="6"/>
  <c r="AA64" i="6"/>
  <c r="Y64" i="6"/>
  <c r="V64" i="6"/>
  <c r="T64" i="6"/>
  <c r="R64" i="6"/>
  <c r="Q64" i="6"/>
  <c r="O64" i="6"/>
  <c r="K64" i="6"/>
  <c r="J64" i="6"/>
  <c r="I64" i="6"/>
  <c r="BS63" i="6"/>
  <c r="BJ63" i="6"/>
  <c r="BK63" i="6" s="1"/>
  <c r="BI63" i="6"/>
  <c r="AM63" i="6"/>
  <c r="AJ63" i="6"/>
  <c r="AH63" i="6"/>
  <c r="BB63" i="6" s="1"/>
  <c r="AD63" i="6"/>
  <c r="AC63" i="6"/>
  <c r="AB63" i="6"/>
  <c r="AA63" i="6"/>
  <c r="Z63" i="6"/>
  <c r="X63" i="6"/>
  <c r="W63" i="6"/>
  <c r="V63" i="6"/>
  <c r="U63" i="6"/>
  <c r="T63" i="6"/>
  <c r="S63" i="6"/>
  <c r="R63" i="6"/>
  <c r="P63" i="6"/>
  <c r="O63" i="6"/>
  <c r="N63" i="6"/>
  <c r="M63" i="6"/>
  <c r="L63" i="6"/>
  <c r="K63" i="6"/>
  <c r="J63" i="6"/>
  <c r="I63" i="6"/>
  <c r="Y63" i="6" s="1"/>
  <c r="BS62" i="6"/>
  <c r="BK62" i="6"/>
  <c r="BI62" i="6"/>
  <c r="BJ62" i="6" s="1"/>
  <c r="AJ62" i="6"/>
  <c r="AH62" i="6"/>
  <c r="AY62" i="6" s="1"/>
  <c r="AD62" i="6"/>
  <c r="AB62" i="6"/>
  <c r="Z62" i="6"/>
  <c r="Y62" i="6"/>
  <c r="X62" i="6"/>
  <c r="W62" i="6"/>
  <c r="V62" i="6"/>
  <c r="T62" i="6"/>
  <c r="S62" i="6"/>
  <c r="Q62" i="6"/>
  <c r="P62" i="6"/>
  <c r="O62" i="6"/>
  <c r="N62" i="6"/>
  <c r="L62" i="6"/>
  <c r="K62" i="6"/>
  <c r="J62" i="6"/>
  <c r="I62" i="6"/>
  <c r="BS61" i="6"/>
  <c r="BK61" i="6"/>
  <c r="BJ61" i="6"/>
  <c r="BI61" i="6"/>
  <c r="AJ61" i="6"/>
  <c r="AH61" i="6"/>
  <c r="BC61" i="6" s="1"/>
  <c r="AD61" i="6"/>
  <c r="AC61" i="6"/>
  <c r="AB61" i="6"/>
  <c r="AA61" i="6"/>
  <c r="Z61" i="6"/>
  <c r="X61" i="6"/>
  <c r="W61" i="6"/>
  <c r="V61" i="6"/>
  <c r="U61" i="6"/>
  <c r="T61" i="6"/>
  <c r="S61" i="6"/>
  <c r="R61" i="6"/>
  <c r="P61" i="6"/>
  <c r="O61" i="6"/>
  <c r="N61" i="6"/>
  <c r="M61" i="6"/>
  <c r="L61" i="6"/>
  <c r="K61" i="6"/>
  <c r="J61" i="6"/>
  <c r="I61" i="6"/>
  <c r="Y61" i="6" s="1"/>
  <c r="BS60" i="6"/>
  <c r="BK60" i="6"/>
  <c r="BI60" i="6"/>
  <c r="BJ60" i="6" s="1"/>
  <c r="BC60" i="6"/>
  <c r="AY60" i="6"/>
  <c r="AS60" i="6"/>
  <c r="AP60" i="6"/>
  <c r="AM60" i="6"/>
  <c r="AJ60" i="6"/>
  <c r="AH60" i="6"/>
  <c r="AB60" i="6"/>
  <c r="Z60" i="6"/>
  <c r="Y60" i="6"/>
  <c r="X60" i="6"/>
  <c r="W60" i="6"/>
  <c r="V60" i="6"/>
  <c r="S60" i="6"/>
  <c r="Q60" i="6"/>
  <c r="P60" i="6"/>
  <c r="O60" i="6"/>
  <c r="N60" i="6"/>
  <c r="L60" i="6"/>
  <c r="K60" i="6"/>
  <c r="J60" i="6"/>
  <c r="I60" i="6"/>
  <c r="BS59" i="6"/>
  <c r="BJ59" i="6"/>
  <c r="BK59" i="6" s="1"/>
  <c r="BI59" i="6"/>
  <c r="AJ59" i="6"/>
  <c r="AH59" i="6"/>
  <c r="AP59" i="6" s="1"/>
  <c r="AD59" i="6"/>
  <c r="AC59" i="6"/>
  <c r="AB59" i="6"/>
  <c r="AA59" i="6"/>
  <c r="Z59" i="6"/>
  <c r="X59" i="6"/>
  <c r="W59" i="6"/>
  <c r="V59" i="6"/>
  <c r="U59" i="6"/>
  <c r="T59" i="6"/>
  <c r="S59" i="6"/>
  <c r="R59" i="6"/>
  <c r="P59" i="6"/>
  <c r="O59" i="6"/>
  <c r="N59" i="6"/>
  <c r="M59" i="6"/>
  <c r="L59" i="6"/>
  <c r="K59" i="6"/>
  <c r="J59" i="6"/>
  <c r="I59" i="6"/>
  <c r="Y59" i="6" s="1"/>
  <c r="BS58" i="6"/>
  <c r="AN58" i="6"/>
  <c r="AJ58" i="6"/>
  <c r="AH58" i="6"/>
  <c r="AX58" i="6" s="1"/>
  <c r="K58" i="6"/>
  <c r="J58" i="6"/>
  <c r="I58" i="6"/>
  <c r="AA58" i="6" s="1"/>
  <c r="BS57" i="6"/>
  <c r="BR57" i="6"/>
  <c r="BP57" i="6"/>
  <c r="BQ57" i="6" s="1"/>
  <c r="BI57" i="6"/>
  <c r="BJ57" i="6" s="1"/>
  <c r="BK57" i="6" s="1"/>
  <c r="BC57" i="6"/>
  <c r="AT57" i="6"/>
  <c r="AQ57" i="6"/>
  <c r="AP57" i="6"/>
  <c r="AM57" i="6"/>
  <c r="AJ57" i="6"/>
  <c r="AH57" i="6"/>
  <c r="AU57" i="6" s="1"/>
  <c r="AD57" i="6"/>
  <c r="AC57" i="6"/>
  <c r="AB57" i="6"/>
  <c r="AA57" i="6"/>
  <c r="Z57" i="6"/>
  <c r="X57" i="6"/>
  <c r="W57" i="6"/>
  <c r="V57" i="6"/>
  <c r="U57" i="6"/>
  <c r="T57" i="6"/>
  <c r="S57" i="6"/>
  <c r="R57" i="6"/>
  <c r="P57" i="6"/>
  <c r="O57" i="6"/>
  <c r="N57" i="6"/>
  <c r="M57" i="6"/>
  <c r="L57" i="6"/>
  <c r="K57" i="6"/>
  <c r="J57" i="6"/>
  <c r="I57" i="6"/>
  <c r="Y57" i="6" s="1"/>
  <c r="BS56" i="6"/>
  <c r="BK56" i="6"/>
  <c r="BI56" i="6"/>
  <c r="BJ56" i="6" s="1"/>
  <c r="BB56" i="6"/>
  <c r="AY56" i="6"/>
  <c r="AS56" i="6"/>
  <c r="AM56" i="6"/>
  <c r="AJ56" i="6"/>
  <c r="AH56" i="6"/>
  <c r="AB56" i="6"/>
  <c r="Z56" i="6"/>
  <c r="Y56" i="6"/>
  <c r="X56" i="6"/>
  <c r="W56" i="6"/>
  <c r="V56" i="6"/>
  <c r="S56" i="6"/>
  <c r="Q56" i="6"/>
  <c r="P56" i="6"/>
  <c r="O56" i="6"/>
  <c r="N56" i="6"/>
  <c r="L56" i="6"/>
  <c r="K56" i="6"/>
  <c r="J56" i="6"/>
  <c r="I56" i="6"/>
  <c r="BS55" i="6"/>
  <c r="BJ55" i="6"/>
  <c r="BK55" i="6" s="1"/>
  <c r="BI55" i="6"/>
  <c r="BC55" i="6"/>
  <c r="AX55" i="6"/>
  <c r="AV55" i="6"/>
  <c r="AT55" i="6"/>
  <c r="AJ55" i="6"/>
  <c r="AH55" i="6"/>
  <c r="AD55" i="6"/>
  <c r="AC55" i="6"/>
  <c r="AB55" i="6"/>
  <c r="AA55" i="6"/>
  <c r="Z55" i="6"/>
  <c r="X55" i="6"/>
  <c r="W55" i="6"/>
  <c r="V55" i="6"/>
  <c r="U55" i="6"/>
  <c r="T55" i="6"/>
  <c r="S55" i="6"/>
  <c r="R55" i="6"/>
  <c r="P55" i="6"/>
  <c r="O55" i="6"/>
  <c r="N55" i="6"/>
  <c r="M55" i="6"/>
  <c r="L55" i="6"/>
  <c r="K55" i="6"/>
  <c r="J55" i="6"/>
  <c r="I55" i="6"/>
  <c r="Y55" i="6" s="1"/>
  <c r="BS54" i="6"/>
  <c r="AV54" i="6"/>
  <c r="AT54" i="6"/>
  <c r="AN54" i="6"/>
  <c r="AM54" i="6"/>
  <c r="AK54" i="6"/>
  <c r="AJ54" i="6"/>
  <c r="AH54" i="6"/>
  <c r="BA54" i="6" s="1"/>
  <c r="AA54" i="6"/>
  <c r="Q54" i="6"/>
  <c r="O54" i="6"/>
  <c r="K54" i="6"/>
  <c r="J54" i="6"/>
  <c r="I54" i="6"/>
  <c r="V54" i="6" s="1"/>
  <c r="BS53" i="6"/>
  <c r="BI53" i="6"/>
  <c r="BJ53" i="6" s="1"/>
  <c r="BK53" i="6" s="1"/>
  <c r="AY53" i="6"/>
  <c r="AL53" i="6"/>
  <c r="AJ53" i="6"/>
  <c r="AH53" i="6"/>
  <c r="AU53" i="6" s="1"/>
  <c r="AD53" i="6"/>
  <c r="AC53" i="6"/>
  <c r="AB53" i="6"/>
  <c r="AA53" i="6"/>
  <c r="Z53" i="6"/>
  <c r="X53" i="6"/>
  <c r="W53" i="6"/>
  <c r="V53" i="6"/>
  <c r="U53" i="6"/>
  <c r="T53" i="6"/>
  <c r="S53" i="6"/>
  <c r="R53" i="6"/>
  <c r="P53" i="6"/>
  <c r="O53" i="6"/>
  <c r="N53" i="6"/>
  <c r="M53" i="6"/>
  <c r="L53" i="6"/>
  <c r="K53" i="6"/>
  <c r="J53" i="6"/>
  <c r="I53" i="6"/>
  <c r="Y53" i="6" s="1"/>
  <c r="BS52" i="6"/>
  <c r="BK52" i="6"/>
  <c r="BI52" i="6"/>
  <c r="BJ52" i="6" s="1"/>
  <c r="AV52" i="6"/>
  <c r="AS52" i="6"/>
  <c r="AP52" i="6"/>
  <c r="AM52" i="6"/>
  <c r="AJ52" i="6"/>
  <c r="AH52" i="6"/>
  <c r="AB52" i="6"/>
  <c r="Z52" i="6"/>
  <c r="Y52" i="6"/>
  <c r="X52" i="6"/>
  <c r="W52" i="6"/>
  <c r="V52" i="6"/>
  <c r="S52" i="6"/>
  <c r="Q52" i="6"/>
  <c r="P52" i="6"/>
  <c r="O52" i="6"/>
  <c r="N52" i="6"/>
  <c r="L52" i="6"/>
  <c r="K52" i="6"/>
  <c r="J52" i="6"/>
  <c r="I52" i="6"/>
  <c r="BS51" i="6"/>
  <c r="BP51" i="6"/>
  <c r="BQ51" i="6" s="1"/>
  <c r="BR51" i="6" s="1"/>
  <c r="BJ51" i="6"/>
  <c r="BK51" i="6" s="1"/>
  <c r="BI51" i="6"/>
  <c r="AM51" i="6"/>
  <c r="AJ51" i="6"/>
  <c r="AH51" i="6"/>
  <c r="BC51" i="6" s="1"/>
  <c r="AD51" i="6"/>
  <c r="AC51" i="6"/>
  <c r="AB51" i="6"/>
  <c r="AA51" i="6"/>
  <c r="Z51" i="6"/>
  <c r="X51" i="6"/>
  <c r="W51" i="6"/>
  <c r="V51" i="6"/>
  <c r="U51" i="6"/>
  <c r="T51" i="6"/>
  <c r="S51" i="6"/>
  <c r="R51" i="6"/>
  <c r="P51" i="6"/>
  <c r="O51" i="6"/>
  <c r="N51" i="6"/>
  <c r="M51" i="6"/>
  <c r="L51" i="6"/>
  <c r="K51" i="6"/>
  <c r="J51" i="6"/>
  <c r="I51" i="6"/>
  <c r="Y51" i="6" s="1"/>
  <c r="BS50" i="6"/>
  <c r="BA50" i="6"/>
  <c r="AJ50" i="6"/>
  <c r="AH50" i="6"/>
  <c r="AT50" i="6" s="1"/>
  <c r="K50" i="6"/>
  <c r="J50" i="6"/>
  <c r="I50" i="6"/>
  <c r="T50" i="6" s="1"/>
  <c r="BS49" i="6"/>
  <c r="BR49" i="6"/>
  <c r="BP49" i="6"/>
  <c r="BQ49" i="6" s="1"/>
  <c r="BI49" i="6"/>
  <c r="BJ49" i="6" s="1"/>
  <c r="BK49" i="6" s="1"/>
  <c r="BC49" i="6"/>
  <c r="AT49" i="6"/>
  <c r="AQ49" i="6"/>
  <c r="AP49" i="6"/>
  <c r="AM49" i="6"/>
  <c r="AJ49" i="6"/>
  <c r="AH49" i="6"/>
  <c r="AU49" i="6" s="1"/>
  <c r="AD49" i="6"/>
  <c r="AC49" i="6"/>
  <c r="AB49" i="6"/>
  <c r="AA49" i="6"/>
  <c r="Z49" i="6"/>
  <c r="X49" i="6"/>
  <c r="W49" i="6"/>
  <c r="V49" i="6"/>
  <c r="U49" i="6"/>
  <c r="T49" i="6"/>
  <c r="S49" i="6"/>
  <c r="R49" i="6"/>
  <c r="P49" i="6"/>
  <c r="O49" i="6"/>
  <c r="N49" i="6"/>
  <c r="M49" i="6"/>
  <c r="L49" i="6"/>
  <c r="K49" i="6"/>
  <c r="J49" i="6"/>
  <c r="I49" i="6"/>
  <c r="Y49" i="6" s="1"/>
  <c r="BS48" i="6"/>
  <c r="BK48" i="6"/>
  <c r="BI48" i="6"/>
  <c r="BJ48" i="6" s="1"/>
  <c r="AJ48" i="6"/>
  <c r="AH48" i="6"/>
  <c r="AS48" i="6" s="1"/>
  <c r="AB48" i="6"/>
  <c r="Z48" i="6"/>
  <c r="Y48" i="6"/>
  <c r="X48" i="6"/>
  <c r="W48" i="6"/>
  <c r="V48" i="6"/>
  <c r="S48" i="6"/>
  <c r="Q48" i="6"/>
  <c r="P48" i="6"/>
  <c r="O48" i="6"/>
  <c r="N48" i="6"/>
  <c r="L48" i="6"/>
  <c r="K48" i="6"/>
  <c r="J48" i="6"/>
  <c r="I48" i="6"/>
  <c r="BS47" i="6"/>
  <c r="BP47" i="6"/>
  <c r="BQ47" i="6" s="1"/>
  <c r="BR47" i="6" s="1"/>
  <c r="BJ47" i="6"/>
  <c r="BK47" i="6" s="1"/>
  <c r="BI47" i="6"/>
  <c r="BC47" i="6"/>
  <c r="BB47" i="6"/>
  <c r="AY47" i="6"/>
  <c r="AX47" i="6"/>
  <c r="AT47" i="6"/>
  <c r="AQ47" i="6"/>
  <c r="AO47" i="6"/>
  <c r="AM47" i="6"/>
  <c r="AJ47" i="6"/>
  <c r="AH47" i="6"/>
  <c r="AD47" i="6"/>
  <c r="AC47" i="6"/>
  <c r="AB47" i="6"/>
  <c r="AA47" i="6"/>
  <c r="Z47" i="6"/>
  <c r="X47" i="6"/>
  <c r="W47" i="6"/>
  <c r="V47" i="6"/>
  <c r="U47" i="6"/>
  <c r="T47" i="6"/>
  <c r="S47" i="6"/>
  <c r="R47" i="6"/>
  <c r="P47" i="6"/>
  <c r="O47" i="6"/>
  <c r="N47" i="6"/>
  <c r="M47" i="6"/>
  <c r="L47" i="6"/>
  <c r="K47" i="6"/>
  <c r="J47" i="6"/>
  <c r="I47" i="6"/>
  <c r="Y47" i="6" s="1"/>
  <c r="BS46" i="6"/>
  <c r="BP46" i="6"/>
  <c r="BQ46" i="6" s="1"/>
  <c r="BR46" i="6" s="1"/>
  <c r="BC46" i="6"/>
  <c r="BA46" i="6"/>
  <c r="AZ46" i="6"/>
  <c r="AV46" i="6"/>
  <c r="AR46" i="6"/>
  <c r="AQ46" i="6"/>
  <c r="AP46" i="6"/>
  <c r="AN46" i="6"/>
  <c r="AM46" i="6"/>
  <c r="AJ46" i="6"/>
  <c r="AH46" i="6"/>
  <c r="AX46" i="6" s="1"/>
  <c r="AD46" i="6"/>
  <c r="AB46" i="6"/>
  <c r="AA46" i="6"/>
  <c r="Z46" i="6"/>
  <c r="X46" i="6"/>
  <c r="R46" i="6"/>
  <c r="Q46" i="6"/>
  <c r="O46" i="6"/>
  <c r="L46" i="6"/>
  <c r="K46" i="6"/>
  <c r="J46" i="6"/>
  <c r="I46" i="6"/>
  <c r="BS45" i="6"/>
  <c r="BR45" i="6"/>
  <c r="BP45" i="6"/>
  <c r="BQ45" i="6" s="1"/>
  <c r="BI45" i="6"/>
  <c r="BJ45" i="6" s="1"/>
  <c r="BK45" i="6" s="1"/>
  <c r="BC45" i="6"/>
  <c r="AZ45" i="6"/>
  <c r="AY45" i="6"/>
  <c r="AX45" i="6"/>
  <c r="AW45" i="6"/>
  <c r="AV45" i="6"/>
  <c r="AU45" i="6"/>
  <c r="AQ45" i="6"/>
  <c r="AP45" i="6"/>
  <c r="AO45" i="6"/>
  <c r="AN45" i="6"/>
  <c r="AM45" i="6"/>
  <c r="AL45" i="6"/>
  <c r="AJ45" i="6"/>
  <c r="AH45" i="6"/>
  <c r="AT45" i="6" s="1"/>
  <c r="AD45" i="6"/>
  <c r="AC45" i="6"/>
  <c r="AB45" i="6"/>
  <c r="AA45" i="6"/>
  <c r="Z45" i="6"/>
  <c r="X45" i="6"/>
  <c r="W45" i="6"/>
  <c r="V45" i="6"/>
  <c r="U45" i="6"/>
  <c r="T45" i="6"/>
  <c r="S45" i="6"/>
  <c r="R45" i="6"/>
  <c r="P45" i="6"/>
  <c r="O45" i="6"/>
  <c r="N45" i="6"/>
  <c r="M45" i="6"/>
  <c r="L45" i="6"/>
  <c r="K45" i="6"/>
  <c r="J45" i="6"/>
  <c r="I45" i="6"/>
  <c r="Y45" i="6" s="1"/>
  <c r="BS44" i="6"/>
  <c r="BI44" i="6"/>
  <c r="BJ44" i="6" s="1"/>
  <c r="BK44" i="6" s="1"/>
  <c r="AY44" i="6"/>
  <c r="AS44" i="6"/>
  <c r="AR44" i="6"/>
  <c r="AM44" i="6"/>
  <c r="AL44" i="6"/>
  <c r="AJ44" i="6"/>
  <c r="AH44" i="6"/>
  <c r="BA44" i="6" s="1"/>
  <c r="AB44" i="6"/>
  <c r="Z44" i="6"/>
  <c r="Y44" i="6"/>
  <c r="X44" i="6"/>
  <c r="W44" i="6"/>
  <c r="V44" i="6"/>
  <c r="S44" i="6"/>
  <c r="Q44" i="6"/>
  <c r="P44" i="6"/>
  <c r="O44" i="6"/>
  <c r="N44" i="6"/>
  <c r="L44" i="6"/>
  <c r="K44" i="6"/>
  <c r="J44" i="6"/>
  <c r="I44" i="6"/>
  <c r="BS43" i="6"/>
  <c r="BJ43" i="6"/>
  <c r="BK43" i="6" s="1"/>
  <c r="BI43" i="6"/>
  <c r="AY43" i="6"/>
  <c r="AT43" i="6"/>
  <c r="AM43" i="6"/>
  <c r="AJ43" i="6"/>
  <c r="AH43" i="6"/>
  <c r="AR43" i="6" s="1"/>
  <c r="AD43" i="6"/>
  <c r="AC43" i="6"/>
  <c r="AB43" i="6"/>
  <c r="AA43" i="6"/>
  <c r="Z43" i="6"/>
  <c r="X43" i="6"/>
  <c r="W43" i="6"/>
  <c r="V43" i="6"/>
  <c r="U43" i="6"/>
  <c r="T43" i="6"/>
  <c r="S43" i="6"/>
  <c r="R43" i="6"/>
  <c r="P43" i="6"/>
  <c r="O43" i="6"/>
  <c r="N43" i="6"/>
  <c r="M43" i="6"/>
  <c r="L43" i="6"/>
  <c r="K43" i="6"/>
  <c r="J43" i="6"/>
  <c r="I43" i="6"/>
  <c r="Y43" i="6" s="1"/>
  <c r="BS42" i="6"/>
  <c r="AZ42" i="6"/>
  <c r="AN42" i="6"/>
  <c r="AJ42" i="6"/>
  <c r="AH42" i="6"/>
  <c r="AY42" i="6" s="1"/>
  <c r="AB42" i="6"/>
  <c r="AA42" i="6"/>
  <c r="Z42" i="6"/>
  <c r="X42" i="6"/>
  <c r="R42" i="6"/>
  <c r="Q42" i="6"/>
  <c r="O42" i="6"/>
  <c r="N42" i="6"/>
  <c r="K42" i="6"/>
  <c r="J42" i="6"/>
  <c r="I42" i="6"/>
  <c r="W42" i="6" s="1"/>
  <c r="BS41" i="6"/>
  <c r="BP41" i="6"/>
  <c r="BQ41" i="6" s="1"/>
  <c r="BR41" i="6" s="1"/>
  <c r="BI41" i="6"/>
  <c r="BJ41" i="6" s="1"/>
  <c r="BK41" i="6" s="1"/>
  <c r="BC41" i="6"/>
  <c r="AZ41" i="6"/>
  <c r="AY41" i="6"/>
  <c r="AX41" i="6"/>
  <c r="AW41" i="6"/>
  <c r="AV41" i="6"/>
  <c r="AU41" i="6"/>
  <c r="AQ41" i="6"/>
  <c r="AP41" i="6"/>
  <c r="AO41" i="6"/>
  <c r="AN41" i="6"/>
  <c r="AM41" i="6"/>
  <c r="AL41" i="6"/>
  <c r="AJ41" i="6"/>
  <c r="AH41" i="6"/>
  <c r="AT41" i="6" s="1"/>
  <c r="AD41" i="6"/>
  <c r="AC41" i="6"/>
  <c r="AB41" i="6"/>
  <c r="AA41" i="6"/>
  <c r="Z41" i="6"/>
  <c r="X41" i="6"/>
  <c r="W41" i="6"/>
  <c r="V41" i="6"/>
  <c r="U41" i="6"/>
  <c r="T41" i="6"/>
  <c r="S41" i="6"/>
  <c r="R41" i="6"/>
  <c r="P41" i="6"/>
  <c r="O41" i="6"/>
  <c r="N41" i="6"/>
  <c r="M41" i="6"/>
  <c r="L41" i="6"/>
  <c r="K41" i="6"/>
  <c r="J41" i="6"/>
  <c r="I41" i="6"/>
  <c r="Y41" i="6" s="1"/>
  <c r="BS40" i="6"/>
  <c r="BP40" i="6"/>
  <c r="BQ40" i="6" s="1"/>
  <c r="BR40" i="6" s="1"/>
  <c r="BC40" i="6"/>
  <c r="BA40" i="6"/>
  <c r="AY40" i="6"/>
  <c r="AX40" i="6"/>
  <c r="AV40" i="6"/>
  <c r="AU40" i="6"/>
  <c r="AT40" i="6"/>
  <c r="AS40" i="6"/>
  <c r="AP40" i="6"/>
  <c r="AO40" i="6"/>
  <c r="AN40" i="6"/>
  <c r="AM40" i="6"/>
  <c r="AL40" i="6"/>
  <c r="AK40" i="6"/>
  <c r="AJ40" i="6"/>
  <c r="AH40" i="6"/>
  <c r="AW40" i="6" s="1"/>
  <c r="N40" i="6"/>
  <c r="K40" i="6"/>
  <c r="J40" i="6"/>
  <c r="I40" i="6"/>
  <c r="Z40" i="6" s="1"/>
  <c r="BS39" i="6"/>
  <c r="BJ39" i="6"/>
  <c r="BK39" i="6" s="1"/>
  <c r="BI39" i="6"/>
  <c r="AJ39" i="6"/>
  <c r="AH39" i="6"/>
  <c r="AZ39" i="6" s="1"/>
  <c r="Y39" i="6"/>
  <c r="X39" i="6"/>
  <c r="W39" i="6"/>
  <c r="V39" i="6"/>
  <c r="P39" i="6"/>
  <c r="O39" i="6"/>
  <c r="N39" i="6"/>
  <c r="M39" i="6"/>
  <c r="K39" i="6"/>
  <c r="J39" i="6"/>
  <c r="I39" i="6"/>
  <c r="AD39" i="6" s="1"/>
  <c r="BS38" i="6"/>
  <c r="BI38" i="6"/>
  <c r="BJ38" i="6" s="1"/>
  <c r="BK38" i="6" s="1"/>
  <c r="BC38" i="6"/>
  <c r="BA38" i="6"/>
  <c r="AZ38" i="6"/>
  <c r="AX38" i="6"/>
  <c r="AW38" i="6"/>
  <c r="AV38" i="6"/>
  <c r="AP38" i="6"/>
  <c r="AO38" i="6"/>
  <c r="AN38" i="6"/>
  <c r="AM38" i="6"/>
  <c r="AK38" i="6"/>
  <c r="AJ38" i="6"/>
  <c r="AH38" i="6"/>
  <c r="AS38" i="6" s="1"/>
  <c r="AD38" i="6"/>
  <c r="Z38" i="6"/>
  <c r="Y38" i="6"/>
  <c r="X38" i="6"/>
  <c r="V38" i="6"/>
  <c r="U38" i="6"/>
  <c r="Q38" i="6"/>
  <c r="P38" i="6"/>
  <c r="N38" i="6"/>
  <c r="M38" i="6"/>
  <c r="L38" i="6"/>
  <c r="K38" i="6"/>
  <c r="J38" i="6"/>
  <c r="I38" i="6"/>
  <c r="AC38" i="6" s="1"/>
  <c r="BS37" i="6"/>
  <c r="AY37" i="6"/>
  <c r="AX37" i="6"/>
  <c r="AQ37" i="6"/>
  <c r="AP37" i="6"/>
  <c r="AO37" i="6"/>
  <c r="AN37" i="6"/>
  <c r="AJ37" i="6"/>
  <c r="AH37" i="6"/>
  <c r="K37" i="6"/>
  <c r="J37" i="6"/>
  <c r="I37" i="6"/>
  <c r="Y37" i="6" s="1"/>
  <c r="BS36" i="6"/>
  <c r="BP36" i="6"/>
  <c r="BQ36" i="6" s="1"/>
  <c r="BR36" i="6" s="1"/>
  <c r="BC36" i="6"/>
  <c r="AY36" i="6"/>
  <c r="AX36" i="6"/>
  <c r="AV36" i="6"/>
  <c r="AT36" i="6"/>
  <c r="AP36" i="6"/>
  <c r="AN36" i="6"/>
  <c r="AM36" i="6"/>
  <c r="AL36" i="6"/>
  <c r="AK36" i="6"/>
  <c r="AJ36" i="6"/>
  <c r="AH36" i="6"/>
  <c r="AU36" i="6" s="1"/>
  <c r="X36" i="6"/>
  <c r="O36" i="6"/>
  <c r="K36" i="6"/>
  <c r="J36" i="6"/>
  <c r="I36" i="6"/>
  <c r="Z36" i="6" s="1"/>
  <c r="BS35" i="6"/>
  <c r="BI35" i="6"/>
  <c r="BJ35" i="6" s="1"/>
  <c r="BK35" i="6" s="1"/>
  <c r="AP35" i="6"/>
  <c r="AJ35" i="6"/>
  <c r="AH35" i="6"/>
  <c r="AY35" i="6" s="1"/>
  <c r="AD35" i="6"/>
  <c r="Z35" i="6"/>
  <c r="Y35" i="6"/>
  <c r="W35" i="6"/>
  <c r="V35" i="6"/>
  <c r="U35" i="6"/>
  <c r="Q35" i="6"/>
  <c r="O35" i="6"/>
  <c r="N35" i="6"/>
  <c r="M35" i="6"/>
  <c r="L35" i="6"/>
  <c r="K35" i="6"/>
  <c r="J35" i="6"/>
  <c r="I35" i="6"/>
  <c r="AC35" i="6" s="1"/>
  <c r="BS34" i="6"/>
  <c r="BI34" i="6"/>
  <c r="BJ34" i="6" s="1"/>
  <c r="BK34" i="6" s="1"/>
  <c r="AJ34" i="6"/>
  <c r="AH34" i="6"/>
  <c r="AD34" i="6"/>
  <c r="AC34" i="6"/>
  <c r="AB34" i="6"/>
  <c r="Y34" i="6"/>
  <c r="X34" i="6"/>
  <c r="W34" i="6"/>
  <c r="V34" i="6"/>
  <c r="U34" i="6"/>
  <c r="T34" i="6"/>
  <c r="R34" i="6"/>
  <c r="P34" i="6"/>
  <c r="O34" i="6"/>
  <c r="N34" i="6"/>
  <c r="M34" i="6"/>
  <c r="L34" i="6"/>
  <c r="K34" i="6"/>
  <c r="J34" i="6"/>
  <c r="I34" i="6"/>
  <c r="BS33" i="6"/>
  <c r="BI33" i="6"/>
  <c r="BJ33" i="6" s="1"/>
  <c r="BK33" i="6" s="1"/>
  <c r="AN33" i="6"/>
  <c r="AJ33" i="6"/>
  <c r="AH33" i="6"/>
  <c r="AV33" i="6" s="1"/>
  <c r="AB33" i="6"/>
  <c r="Z33" i="6"/>
  <c r="Y33" i="6"/>
  <c r="S33" i="6"/>
  <c r="Q33" i="6"/>
  <c r="P33" i="6"/>
  <c r="K33" i="6"/>
  <c r="J33" i="6"/>
  <c r="I33" i="6"/>
  <c r="X33" i="6" s="1"/>
  <c r="BS32" i="6"/>
  <c r="BI32" i="6"/>
  <c r="BJ32" i="6" s="1"/>
  <c r="BK32" i="6" s="1"/>
  <c r="AQ32" i="6"/>
  <c r="AJ32" i="6"/>
  <c r="AH32" i="6"/>
  <c r="AZ32" i="6" s="1"/>
  <c r="AD32" i="6"/>
  <c r="AC32" i="6"/>
  <c r="AB32" i="6"/>
  <c r="AA32" i="6"/>
  <c r="Z32" i="6"/>
  <c r="X32" i="6"/>
  <c r="W32" i="6"/>
  <c r="V32" i="6"/>
  <c r="U32" i="6"/>
  <c r="T32" i="6"/>
  <c r="S32" i="6"/>
  <c r="R32" i="6"/>
  <c r="P32" i="6"/>
  <c r="O32" i="6"/>
  <c r="N32" i="6"/>
  <c r="M32" i="6"/>
  <c r="L32" i="6"/>
  <c r="K32" i="6"/>
  <c r="J32" i="6"/>
  <c r="I32" i="6"/>
  <c r="Y32" i="6" s="1"/>
  <c r="BS31" i="6"/>
  <c r="AJ31" i="6"/>
  <c r="AH31" i="6"/>
  <c r="AA31" i="6"/>
  <c r="K31" i="6"/>
  <c r="J31" i="6"/>
  <c r="I31" i="6"/>
  <c r="R31" i="6" s="1"/>
  <c r="BS30" i="6"/>
  <c r="BI30" i="6"/>
  <c r="BJ30" i="6" s="1"/>
  <c r="BK30" i="6" s="1"/>
  <c r="BC30" i="6"/>
  <c r="AX30" i="6"/>
  <c r="AW30" i="6"/>
  <c r="AT30" i="6"/>
  <c r="AP30" i="6"/>
  <c r="AO30" i="6"/>
  <c r="AN30" i="6"/>
  <c r="AM30" i="6"/>
  <c r="AL30" i="6"/>
  <c r="AJ30" i="6"/>
  <c r="AH30" i="6"/>
  <c r="AD30" i="6"/>
  <c r="AC30" i="6"/>
  <c r="AB30" i="6"/>
  <c r="AA30" i="6"/>
  <c r="Z30" i="6"/>
  <c r="X30" i="6"/>
  <c r="W30" i="6"/>
  <c r="V30" i="6"/>
  <c r="U30" i="6"/>
  <c r="T30" i="6"/>
  <c r="S30" i="6"/>
  <c r="R30" i="6"/>
  <c r="P30" i="6"/>
  <c r="O30" i="6"/>
  <c r="N30" i="6"/>
  <c r="M30" i="6"/>
  <c r="L30" i="6"/>
  <c r="K30" i="6"/>
  <c r="J30" i="6"/>
  <c r="I30" i="6"/>
  <c r="Y30" i="6" s="1"/>
  <c r="BS29" i="6"/>
  <c r="AP29" i="6"/>
  <c r="AJ29" i="6"/>
  <c r="AH29" i="6"/>
  <c r="BB29" i="6" s="1"/>
  <c r="AD29" i="6"/>
  <c r="AC29" i="6"/>
  <c r="X29" i="6"/>
  <c r="W29" i="6"/>
  <c r="V29" i="6"/>
  <c r="U29" i="6"/>
  <c r="P29" i="6"/>
  <c r="O29" i="6"/>
  <c r="N29" i="6"/>
  <c r="M29" i="6"/>
  <c r="K29" i="6"/>
  <c r="J29" i="6"/>
  <c r="I29" i="6"/>
  <c r="Z29" i="6" s="1"/>
  <c r="BS28" i="6"/>
  <c r="BP28" i="6"/>
  <c r="BQ28" i="6" s="1"/>
  <c r="BR28" i="6" s="1"/>
  <c r="BC28" i="6"/>
  <c r="BB28" i="6"/>
  <c r="AZ28" i="6"/>
  <c r="AX28" i="6"/>
  <c r="AW28" i="6"/>
  <c r="AV28" i="6"/>
  <c r="AU28" i="6"/>
  <c r="AT28" i="6"/>
  <c r="AS28" i="6"/>
  <c r="AP28" i="6"/>
  <c r="AO28" i="6"/>
  <c r="AN28" i="6"/>
  <c r="AM28" i="6"/>
  <c r="AL28" i="6"/>
  <c r="AK28" i="6"/>
  <c r="AJ28" i="6"/>
  <c r="AH28" i="6"/>
  <c r="AY28" i="6" s="1"/>
  <c r="AA28" i="6"/>
  <c r="X28" i="6"/>
  <c r="S28" i="6"/>
  <c r="P28" i="6"/>
  <c r="K28" i="6"/>
  <c r="J28" i="6"/>
  <c r="I28" i="6"/>
  <c r="AC28" i="6" s="1"/>
  <c r="BS27" i="6"/>
  <c r="BI27" i="6"/>
  <c r="BJ27" i="6" s="1"/>
  <c r="BK27" i="6" s="1"/>
  <c r="AJ27" i="6"/>
  <c r="AH27" i="6"/>
  <c r="AY27" i="6" s="1"/>
  <c r="AD27" i="6"/>
  <c r="AC27" i="6"/>
  <c r="AB27" i="6"/>
  <c r="X27" i="6"/>
  <c r="W27" i="6"/>
  <c r="V27" i="6"/>
  <c r="U27" i="6"/>
  <c r="T27" i="6"/>
  <c r="P27" i="6"/>
  <c r="O27" i="6"/>
  <c r="N27" i="6"/>
  <c r="M27" i="6"/>
  <c r="L27" i="6"/>
  <c r="K27" i="6"/>
  <c r="J27" i="6"/>
  <c r="I27" i="6"/>
  <c r="Y27" i="6" s="1"/>
  <c r="A27" i="6"/>
  <c r="BS26" i="6"/>
  <c r="AZ26" i="6"/>
  <c r="AX26" i="6"/>
  <c r="AW26" i="6"/>
  <c r="AV26" i="6"/>
  <c r="AP26" i="6"/>
  <c r="AO26" i="6"/>
  <c r="AN26" i="6"/>
  <c r="AM26" i="6"/>
  <c r="AJ26" i="6"/>
  <c r="AH26" i="6"/>
  <c r="AY26" i="6" s="1"/>
  <c r="AA26" i="6"/>
  <c r="S26" i="6"/>
  <c r="P26" i="6"/>
  <c r="K26" i="6"/>
  <c r="J26" i="6"/>
  <c r="I26" i="6"/>
  <c r="X26" i="6" s="1"/>
  <c r="A26" i="6"/>
  <c r="BS25" i="6"/>
  <c r="BJ25" i="6"/>
  <c r="BK25" i="6" s="1"/>
  <c r="BI25" i="6"/>
  <c r="AV25" i="6"/>
  <c r="AO25" i="6"/>
  <c r="AJ25" i="6"/>
  <c r="AH25" i="6"/>
  <c r="AW25" i="6" s="1"/>
  <c r="AD25" i="6"/>
  <c r="AC25" i="6"/>
  <c r="AB25" i="6"/>
  <c r="X25" i="6"/>
  <c r="W25" i="6"/>
  <c r="V25" i="6"/>
  <c r="U25" i="6"/>
  <c r="T25" i="6"/>
  <c r="P25" i="6"/>
  <c r="O25" i="6"/>
  <c r="N25" i="6"/>
  <c r="M25" i="6"/>
  <c r="L25" i="6"/>
  <c r="K25" i="6"/>
  <c r="J25" i="6"/>
  <c r="I25" i="6"/>
  <c r="Y25" i="6" s="1"/>
  <c r="A25" i="6"/>
  <c r="BS24" i="6"/>
  <c r="BP24" i="6"/>
  <c r="BQ24" i="6" s="1"/>
  <c r="BR24" i="6" s="1"/>
  <c r="BC24" i="6"/>
  <c r="BB24" i="6"/>
  <c r="AX24" i="6"/>
  <c r="AW24" i="6"/>
  <c r="AV24" i="6"/>
  <c r="AU24" i="6"/>
  <c r="AT24" i="6"/>
  <c r="AS24" i="6"/>
  <c r="AO24" i="6"/>
  <c r="AN24" i="6"/>
  <c r="AM24" i="6"/>
  <c r="AL24" i="6"/>
  <c r="AK24" i="6"/>
  <c r="AJ24" i="6"/>
  <c r="AH24" i="6"/>
  <c r="AY24" i="6" s="1"/>
  <c r="AA24" i="6"/>
  <c r="Z24" i="6"/>
  <c r="S24" i="6"/>
  <c r="R24" i="6"/>
  <c r="P24" i="6"/>
  <c r="K24" i="6"/>
  <c r="J24" i="6"/>
  <c r="I24" i="6"/>
  <c r="X24" i="6" s="1"/>
  <c r="A24" i="6"/>
  <c r="BS23" i="6"/>
  <c r="BJ23" i="6"/>
  <c r="BK23" i="6" s="1"/>
  <c r="BI23" i="6"/>
  <c r="AY23" i="6"/>
  <c r="AV23" i="6"/>
  <c r="AQ23" i="6"/>
  <c r="AJ23" i="6"/>
  <c r="AH23" i="6"/>
  <c r="AW23" i="6" s="1"/>
  <c r="AD23" i="6"/>
  <c r="AC23" i="6"/>
  <c r="AB23" i="6"/>
  <c r="X23" i="6"/>
  <c r="W23" i="6"/>
  <c r="V23" i="6"/>
  <c r="U23" i="6"/>
  <c r="T23" i="6"/>
  <c r="P23" i="6"/>
  <c r="O23" i="6"/>
  <c r="N23" i="6"/>
  <c r="M23" i="6"/>
  <c r="L23" i="6"/>
  <c r="K23" i="6"/>
  <c r="J23" i="6"/>
  <c r="I23" i="6"/>
  <c r="Y23" i="6" s="1"/>
  <c r="A23" i="6"/>
  <c r="BS22" i="6"/>
  <c r="BP22" i="6"/>
  <c r="BQ22" i="6" s="1"/>
  <c r="BR22" i="6" s="1"/>
  <c r="BC22" i="6"/>
  <c r="BB22" i="6"/>
  <c r="AZ22" i="6"/>
  <c r="AX22" i="6"/>
  <c r="AW22" i="6"/>
  <c r="AV22" i="6"/>
  <c r="AU22" i="6"/>
  <c r="AT22" i="6"/>
  <c r="AS22" i="6"/>
  <c r="AP22" i="6"/>
  <c r="AO22" i="6"/>
  <c r="AN22" i="6"/>
  <c r="AM22" i="6"/>
  <c r="AL22" i="6"/>
  <c r="AK22" i="6"/>
  <c r="AJ22" i="6"/>
  <c r="AH22" i="6"/>
  <c r="AY22" i="6" s="1"/>
  <c r="Z22" i="6"/>
  <c r="S22" i="6"/>
  <c r="Q22" i="6"/>
  <c r="K22" i="6"/>
  <c r="J22" i="6"/>
  <c r="I22" i="6"/>
  <c r="X22" i="6" s="1"/>
  <c r="A22" i="6"/>
  <c r="BS21" i="6"/>
  <c r="BK21" i="6"/>
  <c r="BJ21" i="6"/>
  <c r="BI21" i="6"/>
  <c r="AY21" i="6"/>
  <c r="AV21" i="6"/>
  <c r="AP21" i="6"/>
  <c r="AJ21" i="6"/>
  <c r="AH21" i="6"/>
  <c r="AW21" i="6" s="1"/>
  <c r="AD21" i="6"/>
  <c r="AC21" i="6"/>
  <c r="AB21" i="6"/>
  <c r="X21" i="6"/>
  <c r="W21" i="6"/>
  <c r="V21" i="6"/>
  <c r="U21" i="6"/>
  <c r="T21" i="6"/>
  <c r="P21" i="6"/>
  <c r="O21" i="6"/>
  <c r="N21" i="6"/>
  <c r="M21" i="6"/>
  <c r="L21" i="6"/>
  <c r="K21" i="6"/>
  <c r="J21" i="6"/>
  <c r="I21" i="6"/>
  <c r="Y21" i="6" s="1"/>
  <c r="A21" i="6"/>
  <c r="BS20" i="6"/>
  <c r="BA20" i="6"/>
  <c r="AX20" i="6"/>
  <c r="AO20" i="6"/>
  <c r="AN20" i="6"/>
  <c r="AJ20" i="6"/>
  <c r="AH20" i="6"/>
  <c r="BP20" i="6" s="1"/>
  <c r="BQ20" i="6" s="1"/>
  <c r="BR20" i="6" s="1"/>
  <c r="AB20" i="6"/>
  <c r="Z20" i="6"/>
  <c r="T20" i="6"/>
  <c r="Q20" i="6"/>
  <c r="L20" i="6"/>
  <c r="K20" i="6"/>
  <c r="J20" i="6"/>
  <c r="I20" i="6"/>
  <c r="A20" i="6"/>
  <c r="BS19" i="6"/>
  <c r="AZ19" i="6"/>
  <c r="AJ19" i="6"/>
  <c r="AH19" i="6"/>
  <c r="AX19" i="6" s="1"/>
  <c r="AD19" i="6"/>
  <c r="AC19" i="6"/>
  <c r="X19" i="6"/>
  <c r="W19" i="6"/>
  <c r="V19" i="6"/>
  <c r="U19" i="6"/>
  <c r="P19" i="6"/>
  <c r="O19" i="6"/>
  <c r="N19" i="6"/>
  <c r="M19" i="6"/>
  <c r="K19" i="6"/>
  <c r="J19" i="6"/>
  <c r="I19" i="6"/>
  <c r="Z19" i="6" s="1"/>
  <c r="A19" i="6"/>
  <c r="BS18" i="6"/>
  <c r="BQ18" i="6"/>
  <c r="BR18" i="6" s="1"/>
  <c r="BB18" i="6"/>
  <c r="BA18" i="6"/>
  <c r="AT18" i="6"/>
  <c r="AP18" i="6"/>
  <c r="AO18" i="6"/>
  <c r="AJ18" i="6"/>
  <c r="AH18" i="6"/>
  <c r="BP18" i="6" s="1"/>
  <c r="AB18" i="6"/>
  <c r="S18" i="6"/>
  <c r="L18" i="6"/>
  <c r="K18" i="6"/>
  <c r="J18" i="6"/>
  <c r="I18" i="6"/>
  <c r="T18" i="6" s="1"/>
  <c r="A18" i="6"/>
  <c r="BS17" i="6"/>
  <c r="AW17" i="6"/>
  <c r="AP17" i="6"/>
  <c r="AJ17" i="6"/>
  <c r="AH17" i="6"/>
  <c r="AX17" i="6" s="1"/>
  <c r="AD17" i="6"/>
  <c r="AC17" i="6"/>
  <c r="X17" i="6"/>
  <c r="W17" i="6"/>
  <c r="V17" i="6"/>
  <c r="U17" i="6"/>
  <c r="P17" i="6"/>
  <c r="O17" i="6"/>
  <c r="N17" i="6"/>
  <c r="M17" i="6"/>
  <c r="K17" i="6"/>
  <c r="J17" i="6"/>
  <c r="I17" i="6"/>
  <c r="Z17" i="6" s="1"/>
  <c r="A17" i="6"/>
  <c r="BS16" i="6"/>
  <c r="BJ16" i="6"/>
  <c r="BK16" i="6" s="1"/>
  <c r="BI16" i="6"/>
  <c r="BC16" i="6"/>
  <c r="BB16" i="6"/>
  <c r="AX16" i="6"/>
  <c r="AW16" i="6"/>
  <c r="AV16" i="6"/>
  <c r="AP16" i="6"/>
  <c r="AO16" i="6"/>
  <c r="AN16" i="6"/>
  <c r="AM16" i="6"/>
  <c r="AL16" i="6"/>
  <c r="AJ16" i="6"/>
  <c r="AH16" i="6"/>
  <c r="AY16" i="6" s="1"/>
  <c r="AD16" i="6"/>
  <c r="AC16" i="6"/>
  <c r="AB16" i="6"/>
  <c r="AA16" i="6"/>
  <c r="Z16" i="6"/>
  <c r="X16" i="6"/>
  <c r="W16" i="6"/>
  <c r="V16" i="6"/>
  <c r="U16" i="6"/>
  <c r="T16" i="6"/>
  <c r="S16" i="6"/>
  <c r="R16" i="6"/>
  <c r="P16" i="6"/>
  <c r="O16" i="6"/>
  <c r="N16" i="6"/>
  <c r="M16" i="6"/>
  <c r="L16" i="6"/>
  <c r="K16" i="6"/>
  <c r="J16" i="6"/>
  <c r="I16" i="6"/>
  <c r="Y16" i="6" s="1"/>
  <c r="A16" i="6"/>
  <c r="BS15" i="6"/>
  <c r="AZ15" i="6"/>
  <c r="AJ15" i="6"/>
  <c r="AH15" i="6"/>
  <c r="AX15" i="6" s="1"/>
  <c r="K15" i="6"/>
  <c r="J15" i="6"/>
  <c r="I15" i="6"/>
  <c r="A15" i="6"/>
  <c r="BS14" i="6"/>
  <c r="BJ14" i="6"/>
  <c r="BK14" i="6" s="1"/>
  <c r="BI14" i="6"/>
  <c r="BC14" i="6"/>
  <c r="BB14" i="6"/>
  <c r="AX14" i="6"/>
  <c r="AW14" i="6"/>
  <c r="AV14" i="6"/>
  <c r="AU14" i="6"/>
  <c r="AQ14" i="6"/>
  <c r="AP14" i="6"/>
  <c r="AO14" i="6"/>
  <c r="AN14" i="6"/>
  <c r="AM14" i="6"/>
  <c r="AL14" i="6"/>
  <c r="AJ14" i="6"/>
  <c r="AH14" i="6"/>
  <c r="AY14" i="6" s="1"/>
  <c r="AD14" i="6"/>
  <c r="AC14" i="6"/>
  <c r="AB14" i="6"/>
  <c r="AA14" i="6"/>
  <c r="Z14" i="6"/>
  <c r="X14" i="6"/>
  <c r="W14" i="6"/>
  <c r="V14" i="6"/>
  <c r="U14" i="6"/>
  <c r="T14" i="6"/>
  <c r="S14" i="6"/>
  <c r="R14" i="6"/>
  <c r="P14" i="6"/>
  <c r="O14" i="6"/>
  <c r="N14" i="6"/>
  <c r="M14" i="6"/>
  <c r="L14" i="6"/>
  <c r="K14" i="6"/>
  <c r="J14" i="6"/>
  <c r="I14" i="6"/>
  <c r="Y14" i="6" s="1"/>
  <c r="A14" i="6"/>
  <c r="BS13" i="6"/>
  <c r="AJ13" i="6"/>
  <c r="AH13" i="6"/>
  <c r="BP13" i="6" s="1"/>
  <c r="BQ13" i="6" s="1"/>
  <c r="BR13" i="6" s="1"/>
  <c r="AD13" i="6"/>
  <c r="Y13" i="6"/>
  <c r="X13" i="6"/>
  <c r="W13" i="6"/>
  <c r="Q13" i="6"/>
  <c r="P13" i="6"/>
  <c r="N13" i="6"/>
  <c r="K13" i="6"/>
  <c r="J13" i="6"/>
  <c r="I13" i="6"/>
  <c r="R13" i="6" s="1"/>
  <c r="A13" i="6"/>
  <c r="BS12" i="6"/>
  <c r="BJ12" i="6"/>
  <c r="BK12" i="6" s="1"/>
  <c r="BI12" i="6"/>
  <c r="AJ12" i="6"/>
  <c r="AH12" i="6"/>
  <c r="BA12" i="6" s="1"/>
  <c r="AD12" i="6"/>
  <c r="AC12" i="6"/>
  <c r="AB12" i="6"/>
  <c r="AA12" i="6"/>
  <c r="Z12" i="6"/>
  <c r="X12" i="6"/>
  <c r="W12" i="6"/>
  <c r="V12" i="6"/>
  <c r="U12" i="6"/>
  <c r="T12" i="6"/>
  <c r="S12" i="6"/>
  <c r="R12" i="6"/>
  <c r="P12" i="6"/>
  <c r="O12" i="6"/>
  <c r="N12" i="6"/>
  <c r="M12" i="6"/>
  <c r="L12" i="6"/>
  <c r="K12" i="6"/>
  <c r="J12" i="6"/>
  <c r="I12" i="6"/>
  <c r="Y12" i="6" s="1"/>
  <c r="A12" i="6"/>
  <c r="BS11" i="6"/>
  <c r="AR11" i="6"/>
  <c r="AJ11" i="6"/>
  <c r="AH11" i="6"/>
  <c r="AS11" i="6" s="1"/>
  <c r="Z11" i="6"/>
  <c r="W11" i="6"/>
  <c r="Q11" i="6"/>
  <c r="O11" i="6"/>
  <c r="K11" i="6"/>
  <c r="J11" i="6"/>
  <c r="I11" i="6"/>
  <c r="R11" i="6" s="1"/>
  <c r="A11" i="6"/>
  <c r="BS10" i="6"/>
  <c r="BK10" i="6"/>
  <c r="BJ10" i="6"/>
  <c r="BI10" i="6"/>
  <c r="BC10" i="6"/>
  <c r="BB10" i="6"/>
  <c r="AX10" i="6"/>
  <c r="AT10" i="6"/>
  <c r="AP10" i="6"/>
  <c r="AO10" i="6"/>
  <c r="AN10" i="6"/>
  <c r="AM10" i="6"/>
  <c r="AJ10" i="6"/>
  <c r="AH10" i="6"/>
  <c r="BA10" i="6" s="1"/>
  <c r="AD10" i="6"/>
  <c r="AC10" i="6"/>
  <c r="AB10" i="6"/>
  <c r="AA10" i="6"/>
  <c r="Z10" i="6"/>
  <c r="X10" i="6"/>
  <c r="W10" i="6"/>
  <c r="V10" i="6"/>
  <c r="U10" i="6"/>
  <c r="T10" i="6"/>
  <c r="S10" i="6"/>
  <c r="R10" i="6"/>
  <c r="P10" i="6"/>
  <c r="O10" i="6"/>
  <c r="N10" i="6"/>
  <c r="M10" i="6"/>
  <c r="L10" i="6"/>
  <c r="K10" i="6"/>
  <c r="J10" i="6"/>
  <c r="I10" i="6"/>
  <c r="Y10" i="6" s="1"/>
  <c r="A10" i="6"/>
  <c r="BS9" i="6"/>
  <c r="AY9" i="6"/>
  <c r="AX9" i="6"/>
  <c r="AR9" i="6"/>
  <c r="AQ9" i="6"/>
  <c r="AL9" i="6"/>
  <c r="AJ9" i="6"/>
  <c r="AH9" i="6"/>
  <c r="AS9" i="6" s="1"/>
  <c r="Z9" i="6"/>
  <c r="Y9" i="6"/>
  <c r="W9" i="6"/>
  <c r="R9" i="6"/>
  <c r="O9" i="6"/>
  <c r="N9" i="6"/>
  <c r="K9" i="6"/>
  <c r="J9" i="6"/>
  <c r="I9" i="6"/>
  <c r="A9" i="6"/>
  <c r="BS8" i="6"/>
  <c r="BI8" i="6"/>
  <c r="BJ8" i="6" s="1"/>
  <c r="BK8" i="6" s="1"/>
  <c r="AY8" i="6"/>
  <c r="AJ8" i="6"/>
  <c r="AH8" i="6"/>
  <c r="AQ8" i="6" s="1"/>
  <c r="AD8" i="6"/>
  <c r="AC8" i="6"/>
  <c r="AB8" i="6"/>
  <c r="AA8" i="6"/>
  <c r="X8" i="6"/>
  <c r="W8" i="6"/>
  <c r="V8" i="6"/>
  <c r="U8" i="6"/>
  <c r="T8" i="6"/>
  <c r="S8" i="6"/>
  <c r="P8" i="6"/>
  <c r="O8" i="6"/>
  <c r="N8" i="6"/>
  <c r="M8" i="6"/>
  <c r="L8" i="6"/>
  <c r="K8" i="6"/>
  <c r="J8" i="6"/>
  <c r="I8" i="6"/>
  <c r="Z8" i="6" s="1"/>
  <c r="BS7" i="6"/>
  <c r="BB7" i="6"/>
  <c r="AY7" i="6"/>
  <c r="AX7" i="6"/>
  <c r="AR7" i="6"/>
  <c r="AQ7" i="6"/>
  <c r="AL7" i="6"/>
  <c r="AK7" i="6"/>
  <c r="AJ7" i="6"/>
  <c r="AH7" i="6"/>
  <c r="AS7" i="6" s="1"/>
  <c r="Y7" i="6"/>
  <c r="R7" i="6"/>
  <c r="N7" i="6"/>
  <c r="K7" i="6"/>
  <c r="J7" i="6"/>
  <c r="I7" i="6"/>
  <c r="BS6" i="6"/>
  <c r="BB6" i="6"/>
  <c r="BA6" i="6"/>
  <c r="AX6" i="6"/>
  <c r="AW6" i="6"/>
  <c r="AV6" i="6"/>
  <c r="AU6" i="6"/>
  <c r="AT6" i="6"/>
  <c r="AP6" i="6"/>
  <c r="AO6" i="6"/>
  <c r="AN6" i="6"/>
  <c r="AM6" i="6"/>
  <c r="AL6" i="6"/>
  <c r="AK6" i="6"/>
  <c r="AJ6" i="6"/>
  <c r="AH6" i="6"/>
  <c r="BP6" i="6" s="1"/>
  <c r="BQ6" i="6" s="1"/>
  <c r="BR6" i="6" s="1"/>
  <c r="AA6" i="6"/>
  <c r="M6" i="6"/>
  <c r="K6" i="6"/>
  <c r="J6" i="6"/>
  <c r="I6" i="6"/>
  <c r="S6" i="6" s="1"/>
  <c r="BS5" i="6"/>
  <c r="BK5" i="6"/>
  <c r="BJ5" i="6"/>
  <c r="BI5" i="6"/>
  <c r="AY5" i="6"/>
  <c r="AV5" i="6"/>
  <c r="AR5" i="6"/>
  <c r="AN5" i="6"/>
  <c r="AJ5" i="6"/>
  <c r="AH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E1" i="1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F265" i="2"/>
  <c r="D265" i="2"/>
  <c r="F264" i="2"/>
  <c r="D264" i="2"/>
  <c r="F263" i="2"/>
  <c r="D263" i="2"/>
  <c r="F262" i="2"/>
  <c r="D262" i="2"/>
  <c r="F261" i="2"/>
  <c r="D261" i="2"/>
  <c r="F260" i="2"/>
  <c r="D260" i="2"/>
  <c r="F259" i="2"/>
  <c r="D259" i="2"/>
  <c r="F258" i="2"/>
  <c r="D258" i="2"/>
  <c r="F257" i="2"/>
  <c r="D257" i="2"/>
  <c r="F256" i="2"/>
  <c r="D256" i="2"/>
  <c r="F255" i="2"/>
  <c r="D255" i="2"/>
  <c r="F254" i="2"/>
  <c r="D254" i="2"/>
  <c r="F253" i="2"/>
  <c r="D253" i="2"/>
  <c r="F252" i="2"/>
  <c r="D252" i="2"/>
  <c r="F251" i="2"/>
  <c r="D251" i="2"/>
  <c r="F250" i="2"/>
  <c r="D250" i="2"/>
  <c r="F249" i="2"/>
  <c r="D249" i="2"/>
  <c r="F248" i="2"/>
  <c r="D248" i="2"/>
  <c r="F247" i="2"/>
  <c r="D247" i="2"/>
  <c r="F246" i="2"/>
  <c r="D246" i="2"/>
  <c r="F245" i="2"/>
  <c r="D245" i="2"/>
  <c r="F244" i="2"/>
  <c r="D244" i="2"/>
  <c r="F243" i="2"/>
  <c r="D243" i="2"/>
  <c r="F242" i="2"/>
  <c r="D242" i="2"/>
  <c r="F241" i="2"/>
  <c r="D241" i="2"/>
  <c r="F240" i="2"/>
  <c r="D240" i="2"/>
  <c r="F239" i="2"/>
  <c r="D239" i="2"/>
  <c r="F238" i="2"/>
  <c r="D238" i="2"/>
  <c r="F237" i="2"/>
  <c r="D237" i="2"/>
  <c r="F236" i="2"/>
  <c r="D236" i="2"/>
  <c r="F235" i="2"/>
  <c r="D235" i="2"/>
  <c r="F234" i="2"/>
  <c r="D234" i="2"/>
  <c r="F233" i="2"/>
  <c r="D233" i="2"/>
  <c r="F232" i="2"/>
  <c r="D232" i="2"/>
  <c r="F231" i="2"/>
  <c r="D231" i="2"/>
  <c r="F230" i="2"/>
  <c r="D230" i="2"/>
  <c r="F229" i="2"/>
  <c r="D229" i="2"/>
  <c r="F228" i="2"/>
  <c r="D228" i="2"/>
  <c r="F227" i="2"/>
  <c r="D227" i="2"/>
  <c r="F226" i="2"/>
  <c r="D226" i="2"/>
  <c r="F225" i="2"/>
  <c r="D225" i="2"/>
  <c r="F224" i="2"/>
  <c r="D224" i="2"/>
  <c r="F223" i="2"/>
  <c r="D223" i="2"/>
  <c r="F222" i="2"/>
  <c r="D222" i="2"/>
  <c r="F221" i="2"/>
  <c r="D221" i="2"/>
  <c r="F220" i="2"/>
  <c r="D220" i="2"/>
  <c r="F219" i="2"/>
  <c r="D219" i="2"/>
  <c r="F218" i="2"/>
  <c r="D218" i="2"/>
  <c r="F217" i="2"/>
  <c r="D217" i="2"/>
  <c r="F216" i="2"/>
  <c r="D216" i="2"/>
  <c r="F215" i="2"/>
  <c r="D215" i="2"/>
  <c r="F214" i="2"/>
  <c r="D214" i="2"/>
  <c r="F213" i="2"/>
  <c r="D213" i="2"/>
  <c r="F212" i="2"/>
  <c r="D212" i="2"/>
  <c r="F211" i="2"/>
  <c r="D211" i="2"/>
  <c r="F210" i="2"/>
  <c r="D210" i="2"/>
  <c r="F209" i="2"/>
  <c r="D209" i="2"/>
  <c r="F208" i="2"/>
  <c r="D208" i="2"/>
  <c r="F207" i="2"/>
  <c r="D207" i="2"/>
  <c r="F206" i="2"/>
  <c r="D206" i="2"/>
  <c r="F205" i="2"/>
  <c r="D205" i="2"/>
  <c r="F204" i="2"/>
  <c r="D204" i="2"/>
  <c r="F203" i="2"/>
  <c r="D203" i="2"/>
  <c r="F202" i="2"/>
  <c r="D202" i="2"/>
  <c r="F201" i="2"/>
  <c r="D201" i="2"/>
  <c r="F200" i="2"/>
  <c r="D200" i="2"/>
  <c r="F199" i="2"/>
  <c r="D199" i="2"/>
  <c r="F198" i="2"/>
  <c r="D198" i="2"/>
  <c r="F197" i="2"/>
  <c r="D197" i="2"/>
  <c r="F196" i="2"/>
  <c r="D196" i="2"/>
  <c r="F195" i="2"/>
  <c r="D195" i="2"/>
  <c r="F194" i="2"/>
  <c r="D194" i="2"/>
  <c r="F193" i="2"/>
  <c r="D193" i="2"/>
  <c r="F192" i="2"/>
  <c r="D192" i="2"/>
  <c r="F191" i="2"/>
  <c r="D191" i="2"/>
  <c r="F190" i="2"/>
  <c r="D190" i="2"/>
  <c r="F189" i="2"/>
  <c r="D189" i="2"/>
  <c r="F188" i="2"/>
  <c r="D188" i="2"/>
  <c r="F187" i="2"/>
  <c r="D187" i="2"/>
  <c r="F186" i="2"/>
  <c r="D186" i="2"/>
  <c r="F185" i="2"/>
  <c r="D185" i="2"/>
  <c r="F184" i="2"/>
  <c r="D184" i="2"/>
  <c r="F183" i="2"/>
  <c r="D183" i="2"/>
  <c r="F182" i="2"/>
  <c r="D182" i="2"/>
  <c r="F181" i="2"/>
  <c r="D181" i="2"/>
  <c r="F180" i="2"/>
  <c r="D180" i="2"/>
  <c r="F179" i="2"/>
  <c r="D179" i="2"/>
  <c r="F178" i="2"/>
  <c r="D178" i="2"/>
  <c r="F177" i="2"/>
  <c r="D177" i="2"/>
  <c r="F176" i="2"/>
  <c r="D176" i="2"/>
  <c r="F175" i="2"/>
  <c r="D175" i="2"/>
  <c r="F174" i="2"/>
  <c r="D174" i="2"/>
  <c r="F173" i="2"/>
  <c r="D173" i="2"/>
  <c r="F172" i="2"/>
  <c r="D172" i="2"/>
  <c r="F171" i="2"/>
  <c r="D171" i="2"/>
  <c r="F170" i="2"/>
  <c r="D170" i="2"/>
  <c r="F169" i="2"/>
  <c r="D169" i="2"/>
  <c r="F168" i="2"/>
  <c r="D168" i="2"/>
  <c r="F167" i="2"/>
  <c r="D167" i="2"/>
  <c r="F166" i="2"/>
  <c r="D166" i="2"/>
  <c r="F165" i="2"/>
  <c r="D165" i="2"/>
  <c r="F164" i="2"/>
  <c r="D164" i="2"/>
  <c r="F163" i="2"/>
  <c r="D163" i="2"/>
  <c r="F162" i="2"/>
  <c r="D162" i="2"/>
  <c r="F161" i="2"/>
  <c r="D161" i="2"/>
  <c r="F160" i="2"/>
  <c r="D160" i="2"/>
  <c r="F159" i="2"/>
  <c r="D159" i="2"/>
  <c r="F158" i="2"/>
  <c r="D158" i="2"/>
  <c r="F157" i="2"/>
  <c r="D157" i="2"/>
  <c r="F156" i="2"/>
  <c r="D156" i="2"/>
  <c r="F155" i="2"/>
  <c r="D155" i="2"/>
  <c r="F154" i="2"/>
  <c r="D154" i="2"/>
  <c r="F153" i="2"/>
  <c r="D153" i="2"/>
  <c r="F152" i="2"/>
  <c r="D152" i="2"/>
  <c r="F151" i="2"/>
  <c r="D151" i="2"/>
  <c r="F150" i="2"/>
  <c r="D150" i="2"/>
  <c r="F149" i="2"/>
  <c r="D149" i="2"/>
  <c r="F148" i="2"/>
  <c r="D148" i="2"/>
  <c r="F147" i="2"/>
  <c r="D147" i="2"/>
  <c r="F146" i="2"/>
  <c r="D146" i="2"/>
  <c r="F145" i="2"/>
  <c r="D145" i="2"/>
  <c r="F144" i="2"/>
  <c r="D144" i="2"/>
  <c r="F143" i="2"/>
  <c r="D143" i="2"/>
  <c r="F142" i="2"/>
  <c r="D142" i="2"/>
  <c r="F141" i="2"/>
  <c r="D141" i="2"/>
  <c r="F140" i="2"/>
  <c r="D140" i="2"/>
  <c r="F139" i="2"/>
  <c r="D139" i="2"/>
  <c r="F138" i="2"/>
  <c r="D138" i="2"/>
  <c r="F137" i="2"/>
  <c r="D137" i="2"/>
  <c r="F136" i="2"/>
  <c r="D136" i="2"/>
  <c r="F135" i="2"/>
  <c r="D135" i="2"/>
  <c r="F134" i="2"/>
  <c r="D134" i="2"/>
  <c r="F133" i="2"/>
  <c r="D133" i="2"/>
  <c r="F132" i="2"/>
  <c r="D132" i="2"/>
  <c r="F131" i="2"/>
  <c r="D131" i="2"/>
  <c r="F130" i="2"/>
  <c r="D130" i="2"/>
  <c r="F129" i="2"/>
  <c r="D129" i="2"/>
  <c r="F128" i="2"/>
  <c r="D128" i="2"/>
  <c r="F127" i="2"/>
  <c r="D127" i="2"/>
  <c r="F126" i="2"/>
  <c r="D126" i="2"/>
  <c r="F125" i="2"/>
  <c r="D125" i="2"/>
  <c r="F124" i="2"/>
  <c r="D124" i="2"/>
  <c r="F123" i="2"/>
  <c r="D123" i="2"/>
  <c r="F122" i="2"/>
  <c r="D122" i="2"/>
  <c r="F121" i="2"/>
  <c r="D121" i="2"/>
  <c r="F120" i="2"/>
  <c r="D120" i="2"/>
  <c r="F119" i="2"/>
  <c r="D119" i="2"/>
  <c r="F118" i="2"/>
  <c r="D118" i="2"/>
  <c r="F117" i="2"/>
  <c r="D117" i="2"/>
  <c r="F116" i="2"/>
  <c r="D116" i="2"/>
  <c r="F115" i="2"/>
  <c r="D115" i="2"/>
  <c r="F114" i="2"/>
  <c r="D114" i="2"/>
  <c r="F113" i="2"/>
  <c r="D113" i="2"/>
  <c r="F112" i="2"/>
  <c r="D112" i="2"/>
  <c r="F111" i="2"/>
  <c r="D111" i="2"/>
  <c r="F110" i="2"/>
  <c r="D110" i="2"/>
  <c r="F109" i="2"/>
  <c r="D109" i="2"/>
  <c r="F108" i="2"/>
  <c r="D108" i="2"/>
  <c r="F107" i="2"/>
  <c r="D107" i="2"/>
  <c r="F106" i="2"/>
  <c r="D106" i="2"/>
  <c r="F105" i="2"/>
  <c r="D105" i="2"/>
  <c r="F104" i="2"/>
  <c r="D104" i="2"/>
  <c r="F103" i="2"/>
  <c r="D103" i="2"/>
  <c r="F102" i="2"/>
  <c r="D102" i="2"/>
  <c r="F101" i="2"/>
  <c r="D101" i="2"/>
  <c r="F100" i="2"/>
  <c r="D100" i="2"/>
  <c r="F99" i="2"/>
  <c r="D99" i="2"/>
  <c r="F98" i="2"/>
  <c r="D98" i="2"/>
  <c r="F97" i="2"/>
  <c r="D97" i="2"/>
  <c r="F96" i="2"/>
  <c r="D96" i="2"/>
  <c r="F95" i="2"/>
  <c r="D95" i="2"/>
  <c r="F94" i="2"/>
  <c r="D94" i="2"/>
  <c r="F93" i="2"/>
  <c r="D93" i="2"/>
  <c r="F92" i="2"/>
  <c r="D92" i="2"/>
  <c r="F91" i="2"/>
  <c r="D91" i="2"/>
  <c r="F90" i="2"/>
  <c r="D90" i="2"/>
  <c r="F89" i="2"/>
  <c r="D89" i="2"/>
  <c r="F88" i="2"/>
  <c r="D88" i="2"/>
  <c r="F87" i="2"/>
  <c r="D87" i="2"/>
  <c r="F86" i="2"/>
  <c r="D86" i="2"/>
  <c r="F85" i="2"/>
  <c r="D85" i="2"/>
  <c r="F84" i="2"/>
  <c r="D84" i="2"/>
  <c r="F83" i="2"/>
  <c r="D83" i="2"/>
  <c r="F82" i="2"/>
  <c r="D82" i="2"/>
  <c r="F81" i="2"/>
  <c r="D81" i="2"/>
  <c r="F80" i="2"/>
  <c r="D80" i="2"/>
  <c r="F79" i="2"/>
  <c r="D79" i="2"/>
  <c r="F78" i="2"/>
  <c r="D78" i="2"/>
  <c r="F77" i="2"/>
  <c r="D77" i="2"/>
  <c r="F76" i="2"/>
  <c r="D76" i="2"/>
  <c r="F75" i="2"/>
  <c r="D75" i="2"/>
  <c r="F74" i="2"/>
  <c r="D74" i="2"/>
  <c r="F73" i="2"/>
  <c r="D73" i="2"/>
  <c r="F72" i="2"/>
  <c r="D72" i="2"/>
  <c r="F71" i="2"/>
  <c r="D71" i="2"/>
  <c r="F70" i="2"/>
  <c r="D70" i="2"/>
  <c r="F69" i="2"/>
  <c r="D69" i="2"/>
  <c r="F68" i="2"/>
  <c r="D68" i="2"/>
  <c r="F67" i="2"/>
  <c r="D67" i="2"/>
  <c r="F66" i="2"/>
  <c r="D66" i="2"/>
  <c r="F65" i="2"/>
  <c r="D65" i="2"/>
  <c r="F64" i="2"/>
  <c r="D64" i="2"/>
  <c r="F63" i="2"/>
  <c r="D63" i="2"/>
  <c r="F62" i="2"/>
  <c r="D62" i="2"/>
  <c r="F61" i="2"/>
  <c r="D61" i="2"/>
  <c r="F60" i="2"/>
  <c r="D60" i="2"/>
  <c r="F59" i="2"/>
  <c r="D59" i="2"/>
  <c r="F58" i="2"/>
  <c r="D58" i="2"/>
  <c r="F57" i="2"/>
  <c r="D57" i="2"/>
  <c r="F56" i="2"/>
  <c r="D56" i="2"/>
  <c r="F55" i="2"/>
  <c r="D55" i="2"/>
  <c r="F54" i="2"/>
  <c r="D54" i="2"/>
  <c r="F53" i="2"/>
  <c r="D53" i="2"/>
  <c r="F52" i="2"/>
  <c r="D52" i="2"/>
  <c r="F51" i="2"/>
  <c r="D51" i="2"/>
  <c r="F50" i="2"/>
  <c r="D50" i="2"/>
  <c r="F49" i="2"/>
  <c r="D49" i="2"/>
  <c r="F48" i="2"/>
  <c r="D48" i="2"/>
  <c r="F47" i="2"/>
  <c r="D47" i="2"/>
  <c r="F46" i="2"/>
  <c r="D46" i="2"/>
  <c r="F45" i="2"/>
  <c r="D45" i="2"/>
  <c r="F44" i="2"/>
  <c r="D44" i="2"/>
  <c r="F43" i="2"/>
  <c r="D43" i="2"/>
  <c r="F42" i="2"/>
  <c r="D42" i="2"/>
  <c r="F41" i="2"/>
  <c r="D41" i="2"/>
  <c r="F40" i="2"/>
  <c r="D40" i="2"/>
  <c r="F39" i="2"/>
  <c r="D39" i="2"/>
  <c r="F38" i="2"/>
  <c r="D38" i="2"/>
  <c r="F37" i="2"/>
  <c r="D37" i="2"/>
  <c r="F36" i="2"/>
  <c r="D36" i="2"/>
  <c r="F35" i="2"/>
  <c r="D35" i="2"/>
  <c r="F34" i="2"/>
  <c r="D34" i="2"/>
  <c r="F33" i="2"/>
  <c r="D33" i="2"/>
  <c r="F32" i="2"/>
  <c r="D32" i="2"/>
  <c r="F31" i="2"/>
  <c r="D31" i="2"/>
  <c r="F30" i="2"/>
  <c r="D30" i="2"/>
  <c r="F29" i="2"/>
  <c r="D29" i="2"/>
  <c r="F28" i="2"/>
  <c r="D28" i="2"/>
  <c r="F27" i="2"/>
  <c r="D27" i="2"/>
  <c r="F26" i="2"/>
  <c r="D26" i="2"/>
  <c r="F25" i="2"/>
  <c r="D25" i="2"/>
  <c r="F24" i="2"/>
  <c r="D24" i="2"/>
  <c r="F23" i="2"/>
  <c r="D23" i="2"/>
  <c r="F22" i="2"/>
  <c r="D22" i="2"/>
  <c r="F21" i="2"/>
  <c r="D21" i="2"/>
  <c r="F20" i="2"/>
  <c r="D20" i="2"/>
  <c r="F19" i="2"/>
  <c r="D19" i="2"/>
  <c r="F18" i="2"/>
  <c r="D18" i="2"/>
  <c r="F17" i="2"/>
  <c r="D17" i="2"/>
  <c r="F16" i="2"/>
  <c r="D16" i="2"/>
  <c r="F15" i="2"/>
  <c r="D15" i="2"/>
  <c r="F14" i="2"/>
  <c r="D14" i="2"/>
  <c r="F13" i="2"/>
  <c r="D13" i="2"/>
  <c r="F12" i="2"/>
  <c r="D12" i="2"/>
  <c r="F11" i="2"/>
  <c r="D11" i="2"/>
  <c r="F10" i="2"/>
  <c r="D10" i="2"/>
  <c r="F9" i="2"/>
  <c r="D9" i="2"/>
  <c r="F8" i="2"/>
  <c r="D8" i="2"/>
  <c r="F7" i="2"/>
  <c r="D7" i="2"/>
  <c r="F6" i="2"/>
  <c r="D6" i="2"/>
  <c r="F5" i="2"/>
  <c r="D5" i="2"/>
  <c r="E1" i="2"/>
  <c r="AS20" i="6" l="1"/>
  <c r="BC20" i="6"/>
  <c r="AN12" i="6"/>
  <c r="BB12" i="6"/>
  <c r="AK18" i="6"/>
  <c r="AU18" i="6"/>
  <c r="AT20" i="6"/>
  <c r="AR26" i="6"/>
  <c r="BA26" i="6"/>
  <c r="AV27" i="6"/>
  <c r="AR29" i="6"/>
  <c r="AO33" i="6"/>
  <c r="AT35" i="6"/>
  <c r="AQ42" i="6"/>
  <c r="AO51" i="6"/>
  <c r="AN53" i="6"/>
  <c r="AZ53" i="6"/>
  <c r="AZ55" i="6"/>
  <c r="AM55" i="6"/>
  <c r="AY55" i="6"/>
  <c r="AT58" i="6"/>
  <c r="AQ63" i="6"/>
  <c r="BA68" i="6"/>
  <c r="AM68" i="6"/>
  <c r="AU68" i="6"/>
  <c r="BC68" i="6"/>
  <c r="AN68" i="6"/>
  <c r="AX68" i="6"/>
  <c r="BA72" i="6"/>
  <c r="AU75" i="6"/>
  <c r="AQ78" i="6"/>
  <c r="AQ82" i="6"/>
  <c r="AP85" i="6"/>
  <c r="AP86" i="6"/>
  <c r="AP94" i="6"/>
  <c r="AY98" i="6"/>
  <c r="BP98" i="6"/>
  <c r="BQ98" i="6" s="1"/>
  <c r="BR98" i="6" s="1"/>
  <c r="AU98" i="6"/>
  <c r="AL98" i="6"/>
  <c r="BC98" i="6"/>
  <c r="AT98" i="6"/>
  <c r="AK98" i="6"/>
  <c r="BB98" i="6"/>
  <c r="AP98" i="6"/>
  <c r="BA98" i="6"/>
  <c r="AO98" i="6"/>
  <c r="AX98" i="6"/>
  <c r="AM98" i="6"/>
  <c r="AR103" i="6"/>
  <c r="BP103" i="6"/>
  <c r="BQ103" i="6" s="1"/>
  <c r="BR103" i="6" s="1"/>
  <c r="AX103" i="6"/>
  <c r="AW103" i="6"/>
  <c r="AS103" i="6"/>
  <c r="AW109" i="6"/>
  <c r="AR62" i="6"/>
  <c r="AZ62" i="6"/>
  <c r="AL62" i="6"/>
  <c r="AO90" i="6"/>
  <c r="AQ90" i="6"/>
  <c r="AP90" i="6"/>
  <c r="BB90" i="6"/>
  <c r="AL18" i="6"/>
  <c r="AQ33" i="6"/>
  <c r="AR42" i="6"/>
  <c r="AY49" i="6"/>
  <c r="AO49" i="6"/>
  <c r="AZ49" i="6"/>
  <c r="AN49" i="6"/>
  <c r="AV49" i="6"/>
  <c r="AP51" i="6"/>
  <c r="AO53" i="6"/>
  <c r="AY57" i="6"/>
  <c r="AO57" i="6"/>
  <c r="AZ57" i="6"/>
  <c r="AN57" i="6"/>
  <c r="AV57" i="6"/>
  <c r="AO59" i="6"/>
  <c r="BP59" i="6"/>
  <c r="BQ59" i="6" s="1"/>
  <c r="BR59" i="6" s="1"/>
  <c r="AK62" i="6"/>
  <c r="BA62" i="6"/>
  <c r="AU63" i="6"/>
  <c r="AS70" i="6"/>
  <c r="AO70" i="6"/>
  <c r="AM70" i="6"/>
  <c r="BC70" i="6"/>
  <c r="AZ75" i="6"/>
  <c r="AS78" i="6"/>
  <c r="AQ85" i="6"/>
  <c r="AN90" i="6"/>
  <c r="AR94" i="6"/>
  <c r="BP94" i="6"/>
  <c r="BQ94" i="6" s="1"/>
  <c r="BR94" i="6" s="1"/>
  <c r="AY109" i="6"/>
  <c r="AZ111" i="6"/>
  <c r="AP111" i="6"/>
  <c r="BP111" i="6"/>
  <c r="BQ111" i="6" s="1"/>
  <c r="BR111" i="6" s="1"/>
  <c r="AO111" i="6"/>
  <c r="AY111" i="6"/>
  <c r="AL111" i="6"/>
  <c r="AX111" i="6"/>
  <c r="AW111" i="6"/>
  <c r="AV111" i="6"/>
  <c r="AS111" i="6"/>
  <c r="AQ135" i="6"/>
  <c r="AV135" i="6"/>
  <c r="AR135" i="6"/>
  <c r="AN135" i="6"/>
  <c r="AY135" i="6"/>
  <c r="AZ135" i="6"/>
  <c r="AX135" i="6"/>
  <c r="AP135" i="6"/>
  <c r="AO135" i="6"/>
  <c r="AU12" i="6"/>
  <c r="AX12" i="6"/>
  <c r="AN8" i="6"/>
  <c r="AZ9" i="6"/>
  <c r="AU10" i="6"/>
  <c r="AO12" i="6"/>
  <c r="BC12" i="6"/>
  <c r="AV18" i="6"/>
  <c r="AP19" i="6"/>
  <c r="AK20" i="6"/>
  <c r="AU20" i="6"/>
  <c r="AS26" i="6"/>
  <c r="BB26" i="6"/>
  <c r="AW29" i="6"/>
  <c r="AS6" i="6"/>
  <c r="BC6" i="6"/>
  <c r="AZ7" i="6"/>
  <c r="AP8" i="6"/>
  <c r="BB9" i="6"/>
  <c r="AV10" i="6"/>
  <c r="AP12" i="6"/>
  <c r="AL13" i="6"/>
  <c r="AT14" i="6"/>
  <c r="AQ15" i="6"/>
  <c r="AT16" i="6"/>
  <c r="AM18" i="6"/>
  <c r="AW18" i="6"/>
  <c r="AQ19" i="6"/>
  <c r="AL20" i="6"/>
  <c r="AV20" i="6"/>
  <c r="AR22" i="6"/>
  <c r="BA22" i="6"/>
  <c r="AN23" i="6"/>
  <c r="AP24" i="6"/>
  <c r="AZ24" i="6"/>
  <c r="AK26" i="6"/>
  <c r="AT26" i="6"/>
  <c r="BC26" i="6"/>
  <c r="AR28" i="6"/>
  <c r="BA28" i="6"/>
  <c r="AX29" i="6"/>
  <c r="AY30" i="6"/>
  <c r="AV30" i="6"/>
  <c r="BP30" i="6"/>
  <c r="BQ30" i="6" s="1"/>
  <c r="BR30" i="6" s="1"/>
  <c r="AU30" i="6"/>
  <c r="AU33" i="6"/>
  <c r="AZ34" i="6"/>
  <c r="AO34" i="6"/>
  <c r="AX34" i="6"/>
  <c r="AV37" i="6"/>
  <c r="AW37" i="6"/>
  <c r="BP37" i="6"/>
  <c r="BQ37" i="6" s="1"/>
  <c r="BR37" i="6" s="1"/>
  <c r="AZ37" i="6"/>
  <c r="AX42" i="6"/>
  <c r="AR47" i="6"/>
  <c r="AP47" i="6"/>
  <c r="AZ47" i="6"/>
  <c r="AW49" i="6"/>
  <c r="AV51" i="6"/>
  <c r="AQ53" i="6"/>
  <c r="BP53" i="6"/>
  <c r="BQ53" i="6" s="1"/>
  <c r="BR53" i="6" s="1"/>
  <c r="AO55" i="6"/>
  <c r="BP55" i="6"/>
  <c r="BQ55" i="6" s="1"/>
  <c r="BR55" i="6" s="1"/>
  <c r="AW57" i="6"/>
  <c r="AM62" i="6"/>
  <c r="BB62" i="6"/>
  <c r="AZ63" i="6"/>
  <c r="BA64" i="6"/>
  <c r="AY64" i="6"/>
  <c r="AT64" i="6"/>
  <c r="AK68" i="6"/>
  <c r="AX73" i="6"/>
  <c r="AL73" i="6"/>
  <c r="BP73" i="6"/>
  <c r="BQ73" i="6" s="1"/>
  <c r="BR73" i="6" s="1"/>
  <c r="AP73" i="6"/>
  <c r="AY73" i="6"/>
  <c r="AK73" i="6"/>
  <c r="AZ73" i="6"/>
  <c r="AW76" i="6"/>
  <c r="AV76" i="6"/>
  <c r="AT85" i="6"/>
  <c r="AS90" i="6"/>
  <c r="AW93" i="6"/>
  <c r="BB93" i="6"/>
  <c r="AN93" i="6"/>
  <c r="BA93" i="6"/>
  <c r="AL93" i="6"/>
  <c r="AY93" i="6"/>
  <c r="BP93" i="6"/>
  <c r="BQ93" i="6" s="1"/>
  <c r="BR93" i="6" s="1"/>
  <c r="AT94" i="6"/>
  <c r="AN98" i="6"/>
  <c r="AY100" i="6"/>
  <c r="AW100" i="6"/>
  <c r="AN100" i="6"/>
  <c r="BP100" i="6"/>
  <c r="BQ100" i="6" s="1"/>
  <c r="BR100" i="6" s="1"/>
  <c r="AV100" i="6"/>
  <c r="AM100" i="6"/>
  <c r="BB100" i="6"/>
  <c r="AP100" i="6"/>
  <c r="BA100" i="6"/>
  <c r="AO100" i="6"/>
  <c r="AX100" i="6"/>
  <c r="AK100" i="6"/>
  <c r="BC100" i="6"/>
  <c r="AY102" i="6"/>
  <c r="BC102" i="6"/>
  <c r="AT102" i="6"/>
  <c r="AK102" i="6"/>
  <c r="BB102" i="6"/>
  <c r="AS102" i="6"/>
  <c r="AZ102" i="6"/>
  <c r="AN102" i="6"/>
  <c r="AX102" i="6"/>
  <c r="AM102" i="6"/>
  <c r="AW102" i="6"/>
  <c r="AL102" i="6"/>
  <c r="AV102" i="6"/>
  <c r="BP102" i="6"/>
  <c r="BQ102" i="6" s="1"/>
  <c r="BR102" i="6" s="1"/>
  <c r="AL103" i="6"/>
  <c r="AW113" i="6"/>
  <c r="AX113" i="6"/>
  <c r="AV113" i="6"/>
  <c r="BP113" i="6"/>
  <c r="BQ113" i="6" s="1"/>
  <c r="BR113" i="6" s="1"/>
  <c r="AP113" i="6"/>
  <c r="AQ113" i="6"/>
  <c r="AO113" i="6"/>
  <c r="AL113" i="6"/>
  <c r="AM12" i="6"/>
  <c r="AZ59" i="6"/>
  <c r="AM59" i="6"/>
  <c r="AT59" i="6"/>
  <c r="AV62" i="6"/>
  <c r="AU8" i="6"/>
  <c r="AK9" i="6"/>
  <c r="AL10" i="6"/>
  <c r="AW10" i="6"/>
  <c r="AT12" i="6"/>
  <c r="AZ13" i="6"/>
  <c r="AS15" i="6"/>
  <c r="AU16" i="6"/>
  <c r="AN18" i="6"/>
  <c r="AX18" i="6"/>
  <c r="AM20" i="6"/>
  <c r="AW20" i="6"/>
  <c r="AO23" i="6"/>
  <c r="AR24" i="6"/>
  <c r="BA24" i="6"/>
  <c r="AN25" i="6"/>
  <c r="AL26" i="6"/>
  <c r="AU26" i="6"/>
  <c r="BP26" i="6"/>
  <c r="BQ26" i="6" s="1"/>
  <c r="BR26" i="6" s="1"/>
  <c r="AZ29" i="6"/>
  <c r="AY38" i="6"/>
  <c r="AU38" i="6"/>
  <c r="AL38" i="6"/>
  <c r="BB38" i="6"/>
  <c r="AR38" i="6"/>
  <c r="AT38" i="6"/>
  <c r="BP38" i="6"/>
  <c r="BQ38" i="6" s="1"/>
  <c r="BR38" i="6" s="1"/>
  <c r="AV44" i="6"/>
  <c r="BB44" i="6"/>
  <c r="AP44" i="6"/>
  <c r="BC44" i="6"/>
  <c r="AL49" i="6"/>
  <c r="AX49" i="6"/>
  <c r="AY51" i="6"/>
  <c r="AT53" i="6"/>
  <c r="BC54" i="6"/>
  <c r="AR54" i="6"/>
  <c r="AP55" i="6"/>
  <c r="AZ56" i="6"/>
  <c r="AV56" i="6"/>
  <c r="AP56" i="6"/>
  <c r="BP56" i="6"/>
  <c r="BQ56" i="6" s="1"/>
  <c r="BR56" i="6" s="1"/>
  <c r="AL57" i="6"/>
  <c r="AX57" i="6"/>
  <c r="AV59" i="6"/>
  <c r="AP62" i="6"/>
  <c r="AL68" i="6"/>
  <c r="AQ70" i="6"/>
  <c r="AY81" i="6"/>
  <c r="AM81" i="6"/>
  <c r="AT81" i="6"/>
  <c r="AQ81" i="6"/>
  <c r="BC81" i="6"/>
  <c r="AO81" i="6"/>
  <c r="AZ81" i="6"/>
  <c r="AU85" i="6"/>
  <c r="AW90" i="6"/>
  <c r="AR98" i="6"/>
  <c r="AN111" i="6"/>
  <c r="AY126" i="6"/>
  <c r="BP126" i="6"/>
  <c r="BQ126" i="6" s="1"/>
  <c r="BR126" i="6" s="1"/>
  <c r="AV126" i="6"/>
  <c r="AM126" i="6"/>
  <c r="AT126" i="6"/>
  <c r="BA126" i="6"/>
  <c r="AP126" i="6"/>
  <c r="AZ126" i="6"/>
  <c r="AO126" i="6"/>
  <c r="AW126" i="6"/>
  <c r="AL126" i="6"/>
  <c r="AX126" i="6"/>
  <c r="AU126" i="6"/>
  <c r="AS126" i="6"/>
  <c r="AR126" i="6"/>
  <c r="AN126" i="6"/>
  <c r="AK126" i="6"/>
  <c r="BC126" i="6"/>
  <c r="AZ127" i="6"/>
  <c r="AX127" i="6"/>
  <c r="AY127" i="6"/>
  <c r="AS127" i="6"/>
  <c r="AP127" i="6"/>
  <c r="BP127" i="6"/>
  <c r="BQ127" i="6" s="1"/>
  <c r="BR127" i="6" s="1"/>
  <c r="AN127" i="6"/>
  <c r="BB127" i="6"/>
  <c r="AW127" i="6"/>
  <c r="AV127" i="6"/>
  <c r="AO127" i="6"/>
  <c r="AL127" i="6"/>
  <c r="BP29" i="6"/>
  <c r="BQ29" i="6" s="1"/>
  <c r="BR29" i="6" s="1"/>
  <c r="AZ31" i="6"/>
  <c r="AO31" i="6"/>
  <c r="BP32" i="6"/>
  <c r="BQ32" i="6" s="1"/>
  <c r="BR32" i="6" s="1"/>
  <c r="AU32" i="6"/>
  <c r="BC33" i="6"/>
  <c r="AZ33" i="6"/>
  <c r="AM33" i="6"/>
  <c r="AY33" i="6"/>
  <c r="AW33" i="6"/>
  <c r="AX35" i="6"/>
  <c r="BC35" i="6"/>
  <c r="AZ58" i="6"/>
  <c r="BC58" i="6"/>
  <c r="AX59" i="6"/>
  <c r="AQ62" i="6"/>
  <c r="AS72" i="6"/>
  <c r="AW72" i="6"/>
  <c r="AL72" i="6"/>
  <c r="AY78" i="6"/>
  <c r="AM78" i="6"/>
  <c r="BB78" i="6"/>
  <c r="AN78" i="6"/>
  <c r="BA78" i="6"/>
  <c r="AW78" i="6"/>
  <c r="AY90" i="6"/>
  <c r="AY94" i="6"/>
  <c r="BB94" i="6"/>
  <c r="AS94" i="6"/>
  <c r="AX94" i="6"/>
  <c r="AN94" i="6"/>
  <c r="AW94" i="6"/>
  <c r="AM94" i="6"/>
  <c r="AU94" i="6"/>
  <c r="AK94" i="6"/>
  <c r="AZ94" i="6"/>
  <c r="AX109" i="6"/>
  <c r="BB109" i="6"/>
  <c r="AP109" i="6"/>
  <c r="AZ109" i="6"/>
  <c r="AN109" i="6"/>
  <c r="AV109" i="6"/>
  <c r="AT109" i="6"/>
  <c r="AS109" i="6"/>
  <c r="AQ109" i="6"/>
  <c r="AV42" i="6"/>
  <c r="BA42" i="6"/>
  <c r="AM42" i="6"/>
  <c r="AP42" i="6"/>
  <c r="BB42" i="6"/>
  <c r="AZ51" i="6"/>
  <c r="AT51" i="6"/>
  <c r="AX51" i="6"/>
  <c r="AW53" i="6"/>
  <c r="AM53" i="6"/>
  <c r="BC53" i="6"/>
  <c r="AP53" i="6"/>
  <c r="AV53" i="6"/>
  <c r="AY59" i="6"/>
  <c r="AT62" i="6"/>
  <c r="BP62" i="6"/>
  <c r="BQ62" i="6" s="1"/>
  <c r="BR62" i="6" s="1"/>
  <c r="BC63" i="6"/>
  <c r="AW63" i="6"/>
  <c r="AO63" i="6"/>
  <c r="AS75" i="6"/>
  <c r="AL75" i="6"/>
  <c r="BB75" i="6"/>
  <c r="AR75" i="6"/>
  <c r="AX85" i="6"/>
  <c r="AL85" i="6"/>
  <c r="BC85" i="6"/>
  <c r="AO85" i="6"/>
  <c r="AZ85" i="6"/>
  <c r="AM85" i="6"/>
  <c r="AW85" i="6"/>
  <c r="BP85" i="6"/>
  <c r="BQ85" i="6" s="1"/>
  <c r="BR85" i="6" s="1"/>
  <c r="AQ86" i="6"/>
  <c r="BB86" i="6"/>
  <c r="AY86" i="6"/>
  <c r="AS86" i="6"/>
  <c r="BA90" i="6"/>
  <c r="BA94" i="6"/>
  <c r="AY136" i="6"/>
  <c r="BC136" i="6"/>
  <c r="AT136" i="6"/>
  <c r="AK136" i="6"/>
  <c r="AV136" i="6"/>
  <c r="AL136" i="6"/>
  <c r="BB136" i="6"/>
  <c r="AR136" i="6"/>
  <c r="BA136" i="6"/>
  <c r="AP136" i="6"/>
  <c r="AX136" i="6"/>
  <c r="AN136" i="6"/>
  <c r="AZ136" i="6"/>
  <c r="AW136" i="6"/>
  <c r="AU136" i="6"/>
  <c r="AS136" i="6"/>
  <c r="AO136" i="6"/>
  <c r="AM136" i="6"/>
  <c r="AV12" i="6"/>
  <c r="AL12" i="6"/>
  <c r="AW12" i="6"/>
  <c r="AS18" i="6"/>
  <c r="BC18" i="6"/>
  <c r="AP20" i="6"/>
  <c r="BB20" i="6"/>
  <c r="AO29" i="6"/>
  <c r="AX31" i="6"/>
  <c r="AL32" i="6"/>
  <c r="AL33" i="6"/>
  <c r="BP33" i="6"/>
  <c r="BQ33" i="6" s="1"/>
  <c r="BR33" i="6" s="1"/>
  <c r="AK35" i="6"/>
  <c r="BP42" i="6"/>
  <c r="BQ42" i="6" s="1"/>
  <c r="BR42" i="6" s="1"/>
  <c r="AM50" i="6"/>
  <c r="AX53" i="6"/>
  <c r="AK58" i="6"/>
  <c r="BC59" i="6"/>
  <c r="AU62" i="6"/>
  <c r="AN72" i="6"/>
  <c r="AO78" i="6"/>
  <c r="AS82" i="6"/>
  <c r="AO82" i="6"/>
  <c r="BA82" i="6"/>
  <c r="AL94" i="6"/>
  <c r="BC94" i="6"/>
  <c r="AK109" i="6"/>
  <c r="AZ60" i="6"/>
  <c r="AV60" i="6"/>
  <c r="AZ67" i="6"/>
  <c r="BA69" i="6"/>
  <c r="AP69" i="6"/>
  <c r="AU69" i="6"/>
  <c r="AP77" i="6"/>
  <c r="AT83" i="6"/>
  <c r="AY84" i="6"/>
  <c r="BC84" i="6"/>
  <c r="AM84" i="6"/>
  <c r="AV84" i="6"/>
  <c r="AP96" i="6"/>
  <c r="AR114" i="6"/>
  <c r="AL118" i="6"/>
  <c r="AX118" i="6"/>
  <c r="AY120" i="6"/>
  <c r="AW120" i="6"/>
  <c r="AN120" i="6"/>
  <c r="AV120" i="6"/>
  <c r="AM120" i="6"/>
  <c r="BC120" i="6"/>
  <c r="AT120" i="6"/>
  <c r="AK120" i="6"/>
  <c r="AX120" i="6"/>
  <c r="AO122" i="6"/>
  <c r="AP125" i="6"/>
  <c r="AP128" i="6"/>
  <c r="AS130" i="6"/>
  <c r="AK142" i="6"/>
  <c r="AY104" i="6"/>
  <c r="BC104" i="6"/>
  <c r="AT104" i="6"/>
  <c r="AK104" i="6"/>
  <c r="BB104" i="6"/>
  <c r="AS104" i="6"/>
  <c r="AU104" i="6"/>
  <c r="AR105" i="6"/>
  <c r="AQ105" i="6"/>
  <c r="BP105" i="6"/>
  <c r="BQ105" i="6" s="1"/>
  <c r="BR105" i="6" s="1"/>
  <c r="AP105" i="6"/>
  <c r="AT107" i="6"/>
  <c r="AS107" i="6"/>
  <c r="AR107" i="6"/>
  <c r="AY112" i="6"/>
  <c r="AV112" i="6"/>
  <c r="AM112" i="6"/>
  <c r="BP112" i="6"/>
  <c r="BQ112" i="6" s="1"/>
  <c r="BR112" i="6" s="1"/>
  <c r="AU112" i="6"/>
  <c r="AL112" i="6"/>
  <c r="BB112" i="6"/>
  <c r="AS112" i="6"/>
  <c r="AW112" i="6"/>
  <c r="AX117" i="6"/>
  <c r="BB117" i="6"/>
  <c r="AP117" i="6"/>
  <c r="AZ117" i="6"/>
  <c r="AN117" i="6"/>
  <c r="AW117" i="6"/>
  <c r="AK117" i="6"/>
  <c r="AM118" i="6"/>
  <c r="BA118" i="6"/>
  <c r="AV125" i="6"/>
  <c r="AS128" i="6"/>
  <c r="AR142" i="6"/>
  <c r="AY88" i="6"/>
  <c r="BC88" i="6"/>
  <c r="AM88" i="6"/>
  <c r="AV88" i="6"/>
  <c r="AW89" i="6"/>
  <c r="AK89" i="6"/>
  <c r="AU89" i="6"/>
  <c r="AY96" i="6"/>
  <c r="BP96" i="6"/>
  <c r="BQ96" i="6" s="1"/>
  <c r="BR96" i="6" s="1"/>
  <c r="AU96" i="6"/>
  <c r="AL96" i="6"/>
  <c r="BC96" i="6"/>
  <c r="AS96" i="6"/>
  <c r="AX101" i="6"/>
  <c r="AY101" i="6"/>
  <c r="AL101" i="6"/>
  <c r="AW101" i="6"/>
  <c r="AK101" i="6"/>
  <c r="AZ101" i="6"/>
  <c r="AV104" i="6"/>
  <c r="AX112" i="6"/>
  <c r="BP117" i="6"/>
  <c r="BQ117" i="6" s="1"/>
  <c r="BR117" i="6" s="1"/>
  <c r="AN118" i="6"/>
  <c r="AW125" i="6"/>
  <c r="AU128" i="6"/>
  <c r="AY132" i="6"/>
  <c r="BC132" i="6"/>
  <c r="AT132" i="6"/>
  <c r="AK132" i="6"/>
  <c r="BP132" i="6"/>
  <c r="BQ132" i="6" s="1"/>
  <c r="BR132" i="6" s="1"/>
  <c r="AU132" i="6"/>
  <c r="BA132" i="6"/>
  <c r="AP132" i="6"/>
  <c r="AZ132" i="6"/>
  <c r="AO132" i="6"/>
  <c r="AW132" i="6"/>
  <c r="AM132" i="6"/>
  <c r="BB132" i="6"/>
  <c r="AY134" i="6"/>
  <c r="AW134" i="6"/>
  <c r="AN134" i="6"/>
  <c r="AT134" i="6"/>
  <c r="BA134" i="6"/>
  <c r="AP134" i="6"/>
  <c r="AZ134" i="6"/>
  <c r="AO134" i="6"/>
  <c r="AV134" i="6"/>
  <c r="AL134" i="6"/>
  <c r="BB134" i="6"/>
  <c r="AY140" i="6"/>
  <c r="BP140" i="6"/>
  <c r="BQ140" i="6" s="1"/>
  <c r="BR140" i="6" s="1"/>
  <c r="AU140" i="6"/>
  <c r="AL140" i="6"/>
  <c r="AT140" i="6"/>
  <c r="BA140" i="6"/>
  <c r="AP140" i="6"/>
  <c r="AZ140" i="6"/>
  <c r="AO140" i="6"/>
  <c r="AX140" i="6"/>
  <c r="AN140" i="6"/>
  <c r="AW140" i="6"/>
  <c r="AM140" i="6"/>
  <c r="AS142" i="6"/>
  <c r="AS144" i="6"/>
  <c r="AK144" i="6"/>
  <c r="AZ144" i="6"/>
  <c r="AY144" i="6"/>
  <c r="AO144" i="6"/>
  <c r="AZ148" i="6"/>
  <c r="BA148" i="6"/>
  <c r="AM148" i="6"/>
  <c r="AV148" i="6"/>
  <c r="BB148" i="6"/>
  <c r="AK148" i="6"/>
  <c r="AT148" i="6"/>
  <c r="AS148" i="6"/>
  <c r="AO148" i="6"/>
  <c r="AN148" i="6"/>
  <c r="AV192" i="6"/>
  <c r="AR192" i="6"/>
  <c r="AW192" i="6"/>
  <c r="AT192" i="6"/>
  <c r="AK192" i="6"/>
  <c r="AW77" i="6"/>
  <c r="AK77" i="6"/>
  <c r="AU77" i="6"/>
  <c r="BC83" i="6"/>
  <c r="AW88" i="6"/>
  <c r="AX89" i="6"/>
  <c r="AY92" i="6"/>
  <c r="AS92" i="6"/>
  <c r="AV92" i="6"/>
  <c r="AT96" i="6"/>
  <c r="BB101" i="6"/>
  <c r="AL104" i="6"/>
  <c r="AW104" i="6"/>
  <c r="AL105" i="6"/>
  <c r="AK107" i="6"/>
  <c r="AK112" i="6"/>
  <c r="AZ112" i="6"/>
  <c r="AY114" i="6"/>
  <c r="AZ114" i="6"/>
  <c r="AP114" i="6"/>
  <c r="AX114" i="6"/>
  <c r="AO114" i="6"/>
  <c r="AV114" i="6"/>
  <c r="AM114" i="6"/>
  <c r="AU114" i="6"/>
  <c r="AL117" i="6"/>
  <c r="AO118" i="6"/>
  <c r="BP118" i="6"/>
  <c r="BQ118" i="6" s="1"/>
  <c r="BR118" i="6" s="1"/>
  <c r="AZ119" i="6"/>
  <c r="AS119" i="6"/>
  <c r="AP119" i="6"/>
  <c r="BB119" i="6"/>
  <c r="AN119" i="6"/>
  <c r="BP119" i="6"/>
  <c r="BQ119" i="6" s="1"/>
  <c r="BR119" i="6" s="1"/>
  <c r="AY122" i="6"/>
  <c r="BC122" i="6"/>
  <c r="AT122" i="6"/>
  <c r="AK122" i="6"/>
  <c r="BB122" i="6"/>
  <c r="AS122" i="6"/>
  <c r="AZ122" i="6"/>
  <c r="AP122" i="6"/>
  <c r="AV122" i="6"/>
  <c r="AY130" i="6"/>
  <c r="BP130" i="6"/>
  <c r="BQ130" i="6" s="1"/>
  <c r="BR130" i="6" s="1"/>
  <c r="AU130" i="6"/>
  <c r="AL130" i="6"/>
  <c r="BB130" i="6"/>
  <c r="AR130" i="6"/>
  <c r="AX130" i="6"/>
  <c r="AN130" i="6"/>
  <c r="AW130" i="6"/>
  <c r="AM130" i="6"/>
  <c r="AT130" i="6"/>
  <c r="BA130" i="6"/>
  <c r="AU142" i="6"/>
  <c r="AY128" i="6"/>
  <c r="AX128" i="6"/>
  <c r="AO128" i="6"/>
  <c r="BB128" i="6"/>
  <c r="AR128" i="6"/>
  <c r="AW128" i="6"/>
  <c r="AM128" i="6"/>
  <c r="AV128" i="6"/>
  <c r="AL128" i="6"/>
  <c r="BP128" i="6"/>
  <c r="BQ128" i="6" s="1"/>
  <c r="BR128" i="6" s="1"/>
  <c r="AT128" i="6"/>
  <c r="BA128" i="6"/>
  <c r="AX125" i="6"/>
  <c r="BP125" i="6"/>
  <c r="BQ125" i="6" s="1"/>
  <c r="BR125" i="6" s="1"/>
  <c r="AS125" i="6"/>
  <c r="AY125" i="6"/>
  <c r="AK125" i="6"/>
  <c r="AT125" i="6"/>
  <c r="AQ125" i="6"/>
  <c r="BB125" i="6"/>
  <c r="AN125" i="6"/>
  <c r="AX170" i="6"/>
  <c r="AT170" i="6"/>
  <c r="AR170" i="6"/>
  <c r="AY170" i="6"/>
  <c r="AU170" i="6"/>
  <c r="AP170" i="6"/>
  <c r="AN170" i="6"/>
  <c r="AM170" i="6"/>
  <c r="AK170" i="6"/>
  <c r="BB170" i="6"/>
  <c r="AY118" i="6"/>
  <c r="BC118" i="6"/>
  <c r="AT118" i="6"/>
  <c r="AK118" i="6"/>
  <c r="BB118" i="6"/>
  <c r="AS118" i="6"/>
  <c r="AZ118" i="6"/>
  <c r="AP118" i="6"/>
  <c r="AV118" i="6"/>
  <c r="AK128" i="6"/>
  <c r="AY142" i="6"/>
  <c r="AZ142" i="6"/>
  <c r="AP142" i="6"/>
  <c r="BP142" i="6"/>
  <c r="BQ142" i="6" s="1"/>
  <c r="BR142" i="6" s="1"/>
  <c r="AT142" i="6"/>
  <c r="BA142" i="6"/>
  <c r="AO142" i="6"/>
  <c r="AX142" i="6"/>
  <c r="AN142" i="6"/>
  <c r="AW142" i="6"/>
  <c r="AM142" i="6"/>
  <c r="AV142" i="6"/>
  <c r="AL142" i="6"/>
  <c r="AO139" i="6"/>
  <c r="AV141" i="6"/>
  <c r="AR141" i="6"/>
  <c r="AL149" i="6"/>
  <c r="BB149" i="6"/>
  <c r="AP152" i="6"/>
  <c r="AT155" i="6"/>
  <c r="AM157" i="6"/>
  <c r="BA157" i="6"/>
  <c r="AY158" i="6"/>
  <c r="AK160" i="6"/>
  <c r="AM164" i="6"/>
  <c r="AZ164" i="6"/>
  <c r="AY172" i="6"/>
  <c r="BB172" i="6"/>
  <c r="AS172" i="6"/>
  <c r="AZ172" i="6"/>
  <c r="AP172" i="6"/>
  <c r="AW172" i="6"/>
  <c r="AL172" i="6"/>
  <c r="AU172" i="6"/>
  <c r="AT172" i="6"/>
  <c r="AX172" i="6"/>
  <c r="BA173" i="6"/>
  <c r="AY173" i="6"/>
  <c r="AS175" i="6"/>
  <c r="AR231" i="6"/>
  <c r="AU231" i="6"/>
  <c r="AQ143" i="6"/>
  <c r="AZ143" i="6"/>
  <c r="AY143" i="6"/>
  <c r="AR152" i="6"/>
  <c r="AX155" i="6"/>
  <c r="AN157" i="6"/>
  <c r="BB157" i="6"/>
  <c r="AZ158" i="6"/>
  <c r="AN164" i="6"/>
  <c r="BA164" i="6"/>
  <c r="AQ174" i="6"/>
  <c r="AV174" i="6"/>
  <c r="AX174" i="6"/>
  <c r="AM174" i="6"/>
  <c r="AZ175" i="6"/>
  <c r="AS189" i="6"/>
  <c r="AQ189" i="6"/>
  <c r="AL189" i="6"/>
  <c r="AZ189" i="6"/>
  <c r="AX189" i="6"/>
  <c r="AU189" i="6"/>
  <c r="AO189" i="6"/>
  <c r="AK189" i="6"/>
  <c r="AR106" i="6"/>
  <c r="BA106" i="6"/>
  <c r="AR108" i="6"/>
  <c r="BA108" i="6"/>
  <c r="AO115" i="6"/>
  <c r="AW129" i="6"/>
  <c r="AZ129" i="6"/>
  <c r="AY129" i="6"/>
  <c r="AY138" i="6"/>
  <c r="BB138" i="6"/>
  <c r="AS138" i="6"/>
  <c r="AR138" i="6"/>
  <c r="BC138" i="6"/>
  <c r="AO141" i="6"/>
  <c r="AY145" i="6"/>
  <c r="AN149" i="6"/>
  <c r="AY151" i="6"/>
  <c r="AS152" i="6"/>
  <c r="AK154" i="6"/>
  <c r="AO157" i="6"/>
  <c r="BC157" i="6"/>
  <c r="AQ160" i="6"/>
  <c r="AO164" i="6"/>
  <c r="BC169" i="6"/>
  <c r="AV169" i="6"/>
  <c r="AQ169" i="6"/>
  <c r="AK172" i="6"/>
  <c r="BC172" i="6"/>
  <c r="AO173" i="6"/>
  <c r="BA175" i="6"/>
  <c r="AP182" i="6"/>
  <c r="AW182" i="6"/>
  <c r="AO182" i="6"/>
  <c r="AY182" i="6"/>
  <c r="AT182" i="6"/>
  <c r="AN182" i="6"/>
  <c r="AR40" i="6"/>
  <c r="BB40" i="6"/>
  <c r="AY46" i="6"/>
  <c r="AS106" i="6"/>
  <c r="BB106" i="6"/>
  <c r="AS108" i="6"/>
  <c r="BB108" i="6"/>
  <c r="AR110" i="6"/>
  <c r="BA110" i="6"/>
  <c r="AQ115" i="6"/>
  <c r="AR116" i="6"/>
  <c r="BA116" i="6"/>
  <c r="AY121" i="6"/>
  <c r="AY124" i="6"/>
  <c r="BB124" i="6"/>
  <c r="AR124" i="6"/>
  <c r="BA124" i="6"/>
  <c r="AT138" i="6"/>
  <c r="AP141" i="6"/>
  <c r="AN143" i="6"/>
  <c r="AZ145" i="6"/>
  <c r="AZ153" i="6"/>
  <c r="AT153" i="6"/>
  <c r="AW153" i="6"/>
  <c r="AT154" i="6"/>
  <c r="AR164" i="6"/>
  <c r="AM172" i="6"/>
  <c r="AQ173" i="6"/>
  <c r="AR174" i="6"/>
  <c r="AU177" i="6"/>
  <c r="AQ177" i="6"/>
  <c r="BB177" i="6"/>
  <c r="AM177" i="6"/>
  <c r="AX177" i="6"/>
  <c r="AK177" i="6"/>
  <c r="AW177" i="6"/>
  <c r="AY189" i="6"/>
  <c r="AS194" i="6"/>
  <c r="AY194" i="6"/>
  <c r="AR194" i="6"/>
  <c r="AM194" i="6"/>
  <c r="BA194" i="6"/>
  <c r="AZ194" i="6"/>
  <c r="AV194" i="6"/>
  <c r="AP194" i="6"/>
  <c r="BB155" i="6"/>
  <c r="AL155" i="6"/>
  <c r="AU155" i="6"/>
  <c r="AS158" i="6"/>
  <c r="AM158" i="6"/>
  <c r="AL158" i="6"/>
  <c r="AY152" i="6"/>
  <c r="AX152" i="6"/>
  <c r="AZ152" i="6"/>
  <c r="AY157" i="6"/>
  <c r="AZ157" i="6"/>
  <c r="AP157" i="6"/>
  <c r="AW157" i="6"/>
  <c r="AV157" i="6"/>
  <c r="AL157" i="6"/>
  <c r="AT157" i="6"/>
  <c r="AY164" i="6"/>
  <c r="AU164" i="6"/>
  <c r="AL164" i="6"/>
  <c r="BB164" i="6"/>
  <c r="AS164" i="6"/>
  <c r="BC164" i="6"/>
  <c r="AP164" i="6"/>
  <c r="AV164" i="6"/>
  <c r="BB175" i="6"/>
  <c r="AU175" i="6"/>
  <c r="AR175" i="6"/>
  <c r="AW175" i="6"/>
  <c r="AO175" i="6"/>
  <c r="AL175" i="6"/>
  <c r="AZ223" i="6"/>
  <c r="AO223" i="6"/>
  <c r="BC223" i="6"/>
  <c r="AQ223" i="6"/>
  <c r="AY223" i="6"/>
  <c r="AM223" i="6"/>
  <c r="AW223" i="6"/>
  <c r="AL223" i="6"/>
  <c r="AV223" i="6"/>
  <c r="AK223" i="6"/>
  <c r="AU223" i="6"/>
  <c r="BB223" i="6"/>
  <c r="AT223" i="6"/>
  <c r="AS223" i="6"/>
  <c r="AN223" i="6"/>
  <c r="AV139" i="6"/>
  <c r="AQ139" i="6"/>
  <c r="AR143" i="6"/>
  <c r="BA149" i="6"/>
  <c r="AT149" i="6"/>
  <c r="AP149" i="6"/>
  <c r="AW149" i="6"/>
  <c r="AK155" i="6"/>
  <c r="AU157" i="6"/>
  <c r="AP158" i="6"/>
  <c r="AR160" i="6"/>
  <c r="BB160" i="6"/>
  <c r="AP160" i="6"/>
  <c r="AY160" i="6"/>
  <c r="BA160" i="6"/>
  <c r="AW164" i="6"/>
  <c r="AU166" i="6"/>
  <c r="AX166" i="6"/>
  <c r="AS193" i="6"/>
  <c r="AM193" i="6"/>
  <c r="BA193" i="6"/>
  <c r="AW193" i="6"/>
  <c r="BC193" i="6"/>
  <c r="AY193" i="6"/>
  <c r="AV193" i="6"/>
  <c r="AQ193" i="6"/>
  <c r="AR178" i="6"/>
  <c r="AV178" i="6"/>
  <c r="AS188" i="6"/>
  <c r="AX195" i="6"/>
  <c r="AR197" i="6"/>
  <c r="AW197" i="6"/>
  <c r="AO197" i="6"/>
  <c r="BB197" i="6"/>
  <c r="AL197" i="6"/>
  <c r="AZ197" i="6"/>
  <c r="AP204" i="6"/>
  <c r="AQ207" i="6"/>
  <c r="AY212" i="6"/>
  <c r="AV212" i="6"/>
  <c r="AM212" i="6"/>
  <c r="BB212" i="6"/>
  <c r="AR212" i="6"/>
  <c r="AZ212" i="6"/>
  <c r="AO212" i="6"/>
  <c r="AX212" i="6"/>
  <c r="AN212" i="6"/>
  <c r="AW212" i="6"/>
  <c r="AL212" i="6"/>
  <c r="AU212" i="6"/>
  <c r="AK212" i="6"/>
  <c r="AU219" i="6"/>
  <c r="BB186" i="6"/>
  <c r="AP186" i="6"/>
  <c r="AY186" i="6"/>
  <c r="AM186" i="6"/>
  <c r="AV186" i="6"/>
  <c r="AX186" i="6"/>
  <c r="AZ191" i="6"/>
  <c r="AO191" i="6"/>
  <c r="AW191" i="6"/>
  <c r="AM191" i="6"/>
  <c r="AU191" i="6"/>
  <c r="AK191" i="6"/>
  <c r="AY191" i="6"/>
  <c r="AS203" i="6"/>
  <c r="AR203" i="6"/>
  <c r="AY203" i="6"/>
  <c r="AP203" i="6"/>
  <c r="AK203" i="6"/>
  <c r="AS204" i="6"/>
  <c r="AP217" i="6"/>
  <c r="AQ217" i="6"/>
  <c r="BC217" i="6"/>
  <c r="AM217" i="6"/>
  <c r="BA217" i="6"/>
  <c r="AL217" i="6"/>
  <c r="AY217" i="6"/>
  <c r="AK217" i="6"/>
  <c r="AX217" i="6"/>
  <c r="AY188" i="6"/>
  <c r="AZ188" i="6"/>
  <c r="AP188" i="6"/>
  <c r="AW188" i="6"/>
  <c r="AN188" i="6"/>
  <c r="AU188" i="6"/>
  <c r="AL188" i="6"/>
  <c r="AV188" i="6"/>
  <c r="AZ190" i="6"/>
  <c r="AN190" i="6"/>
  <c r="AQ195" i="6"/>
  <c r="AV195" i="6"/>
  <c r="AO195" i="6"/>
  <c r="BA195" i="6"/>
  <c r="AM195" i="6"/>
  <c r="AZ198" i="6"/>
  <c r="AU198" i="6"/>
  <c r="AQ198" i="6"/>
  <c r="BB198" i="6"/>
  <c r="AN198" i="6"/>
  <c r="AY198" i="6"/>
  <c r="AL198" i="6"/>
  <c r="AT204" i="6"/>
  <c r="AT133" i="6"/>
  <c r="AY147" i="6"/>
  <c r="AV147" i="6"/>
  <c r="AR147" i="6"/>
  <c r="BB147" i="6"/>
  <c r="BA156" i="6"/>
  <c r="BB156" i="6"/>
  <c r="AN161" i="6"/>
  <c r="BA161" i="6"/>
  <c r="AL161" i="6"/>
  <c r="BC161" i="6"/>
  <c r="AZ165" i="6"/>
  <c r="AT165" i="6"/>
  <c r="BA165" i="6"/>
  <c r="BA167" i="6"/>
  <c r="AV167" i="6"/>
  <c r="AO167" i="6"/>
  <c r="AZ167" i="6"/>
  <c r="AU171" i="6"/>
  <c r="BC171" i="6"/>
  <c r="AQ171" i="6"/>
  <c r="AV171" i="6"/>
  <c r="BB176" i="6"/>
  <c r="AW176" i="6"/>
  <c r="AP176" i="6"/>
  <c r="BA176" i="6"/>
  <c r="AQ178" i="6"/>
  <c r="BB185" i="6"/>
  <c r="AS185" i="6"/>
  <c r="AO185" i="6"/>
  <c r="BA185" i="6"/>
  <c r="AK186" i="6"/>
  <c r="AX188" i="6"/>
  <c r="AL191" i="6"/>
  <c r="BC191" i="6"/>
  <c r="AQ197" i="6"/>
  <c r="AO203" i="6"/>
  <c r="AX204" i="6"/>
  <c r="AY205" i="6"/>
  <c r="AO205" i="6"/>
  <c r="AU205" i="6"/>
  <c r="AS205" i="6"/>
  <c r="BB205" i="6"/>
  <c r="AP205" i="6"/>
  <c r="AZ205" i="6"/>
  <c r="AM205" i="6"/>
  <c r="BC205" i="6"/>
  <c r="AW208" i="6"/>
  <c r="AS208" i="6"/>
  <c r="AS212" i="6"/>
  <c r="AO217" i="6"/>
  <c r="AR232" i="6"/>
  <c r="AY232" i="6"/>
  <c r="AW232" i="6"/>
  <c r="AO198" i="6"/>
  <c r="BC219" i="6"/>
  <c r="AQ219" i="6"/>
  <c r="AV219" i="6"/>
  <c r="AS219" i="6"/>
  <c r="AP219" i="6"/>
  <c r="AZ219" i="6"/>
  <c r="AO219" i="6"/>
  <c r="AY219" i="6"/>
  <c r="AN219" i="6"/>
  <c r="AS225" i="6"/>
  <c r="AY204" i="6"/>
  <c r="AW204" i="6"/>
  <c r="AN204" i="6"/>
  <c r="BB204" i="6"/>
  <c r="AR204" i="6"/>
  <c r="AZ204" i="6"/>
  <c r="AO204" i="6"/>
  <c r="AV204" i="6"/>
  <c r="AL204" i="6"/>
  <c r="AU204" i="6"/>
  <c r="AK204" i="6"/>
  <c r="BC204" i="6"/>
  <c r="AL207" i="6"/>
  <c r="BA207" i="6"/>
  <c r="AW207" i="6"/>
  <c r="AT207" i="6"/>
  <c r="AS207" i="6"/>
  <c r="BB213" i="6"/>
  <c r="AM213" i="6"/>
  <c r="BA213" i="6"/>
  <c r="AW213" i="6"/>
  <c r="AS213" i="6"/>
  <c r="AR213" i="6"/>
  <c r="AO213" i="6"/>
  <c r="BC240" i="6"/>
  <c r="AX240" i="6"/>
  <c r="AN240" i="6"/>
  <c r="AW240" i="6"/>
  <c r="AL240" i="6"/>
  <c r="BB240" i="6"/>
  <c r="AR240" i="6"/>
  <c r="AV240" i="6"/>
  <c r="AT240" i="6"/>
  <c r="AS240" i="6"/>
  <c r="AP240" i="6"/>
  <c r="AO240" i="6"/>
  <c r="AK240" i="6"/>
  <c r="BA240" i="6"/>
  <c r="AY248" i="6"/>
  <c r="AO248" i="6"/>
  <c r="AX248" i="6"/>
  <c r="AN248" i="6"/>
  <c r="AW248" i="6"/>
  <c r="AM248" i="6"/>
  <c r="AV248" i="6"/>
  <c r="AL248" i="6"/>
  <c r="AZ248" i="6"/>
  <c r="AP248" i="6"/>
  <c r="BC248" i="6"/>
  <c r="AU248" i="6"/>
  <c r="AT248" i="6"/>
  <c r="AQ248" i="6"/>
  <c r="AV199" i="6"/>
  <c r="AU201" i="6"/>
  <c r="AT214" i="6"/>
  <c r="AY220" i="6"/>
  <c r="BB220" i="6"/>
  <c r="AS220" i="6"/>
  <c r="AR220" i="6"/>
  <c r="BC220" i="6"/>
  <c r="BC226" i="6"/>
  <c r="AR226" i="6"/>
  <c r="AY228" i="6"/>
  <c r="AX228" i="6"/>
  <c r="AO228" i="6"/>
  <c r="BB228" i="6"/>
  <c r="AS228" i="6"/>
  <c r="AT228" i="6"/>
  <c r="BA233" i="6"/>
  <c r="AK233" i="6"/>
  <c r="AP233" i="6"/>
  <c r="BC233" i="6"/>
  <c r="AN239" i="6"/>
  <c r="AN242" i="6"/>
  <c r="AQ245" i="6"/>
  <c r="BC245" i="6"/>
  <c r="AO245" i="6"/>
  <c r="BA245" i="6"/>
  <c r="AL245" i="6"/>
  <c r="AT245" i="6"/>
  <c r="AP246" i="6"/>
  <c r="AY252" i="6"/>
  <c r="AN252" i="6"/>
  <c r="AX252" i="6"/>
  <c r="AM252" i="6"/>
  <c r="AV252" i="6"/>
  <c r="AL252" i="6"/>
  <c r="AU252" i="6"/>
  <c r="AK252" i="6"/>
  <c r="AZ252" i="6"/>
  <c r="AP252" i="6"/>
  <c r="AR196" i="6"/>
  <c r="BA196" i="6"/>
  <c r="BA199" i="6"/>
  <c r="AV201" i="6"/>
  <c r="AS209" i="6"/>
  <c r="BB209" i="6"/>
  <c r="AR210" i="6"/>
  <c r="AU210" i="6"/>
  <c r="AW214" i="6"/>
  <c r="AS216" i="6"/>
  <c r="AX216" i="6"/>
  <c r="AT220" i="6"/>
  <c r="AQ222" i="6"/>
  <c r="AR222" i="6"/>
  <c r="AU228" i="6"/>
  <c r="AZ237" i="6"/>
  <c r="AP237" i="6"/>
  <c r="AY237" i="6"/>
  <c r="AO237" i="6"/>
  <c r="AT237" i="6"/>
  <c r="AW237" i="6"/>
  <c r="AO239" i="6"/>
  <c r="BA243" i="6"/>
  <c r="AY243" i="6"/>
  <c r="AW243" i="6"/>
  <c r="AM243" i="6"/>
  <c r="AR246" i="6"/>
  <c r="AX214" i="6"/>
  <c r="AR239" i="6"/>
  <c r="AY244" i="6"/>
  <c r="AW244" i="6"/>
  <c r="AN244" i="6"/>
  <c r="AU244" i="6"/>
  <c r="AL244" i="6"/>
  <c r="BC244" i="6"/>
  <c r="AT244" i="6"/>
  <c r="AK244" i="6"/>
  <c r="AX244" i="6"/>
  <c r="AO244" i="6"/>
  <c r="BA244" i="6"/>
  <c r="AK245" i="6"/>
  <c r="AU246" i="6"/>
  <c r="AT162" i="6"/>
  <c r="AK196" i="6"/>
  <c r="AT196" i="6"/>
  <c r="BC196" i="6"/>
  <c r="AL199" i="6"/>
  <c r="AL201" i="6"/>
  <c r="AX201" i="6"/>
  <c r="AR202" i="6"/>
  <c r="BC202" i="6"/>
  <c r="AM202" i="6"/>
  <c r="AZ202" i="6"/>
  <c r="AK209" i="6"/>
  <c r="AK210" i="6"/>
  <c r="AY214" i="6"/>
  <c r="AK216" i="6"/>
  <c r="BB218" i="6"/>
  <c r="BC218" i="6"/>
  <c r="BA218" i="6"/>
  <c r="AL220" i="6"/>
  <c r="AV220" i="6"/>
  <c r="AL222" i="6"/>
  <c r="AL228" i="6"/>
  <c r="AW228" i="6"/>
  <c r="AO233" i="6"/>
  <c r="AK237" i="6"/>
  <c r="BB237" i="6"/>
  <c r="AU239" i="6"/>
  <c r="AN243" i="6"/>
  <c r="BB244" i="6"/>
  <c r="AP245" i="6"/>
  <c r="AS252" i="6"/>
  <c r="AY254" i="6"/>
  <c r="AV254" i="6"/>
  <c r="AM254" i="6"/>
  <c r="AU254" i="6"/>
  <c r="AL254" i="6"/>
  <c r="BC254" i="6"/>
  <c r="AT254" i="6"/>
  <c r="AK254" i="6"/>
  <c r="BB254" i="6"/>
  <c r="AS254" i="6"/>
  <c r="AW254" i="6"/>
  <c r="AN254" i="6"/>
  <c r="BB260" i="6"/>
  <c r="AS260" i="6"/>
  <c r="AR260" i="6"/>
  <c r="AN260" i="6"/>
  <c r="AM260" i="6"/>
  <c r="AL260" i="6"/>
  <c r="AX260" i="6"/>
  <c r="AY266" i="6"/>
  <c r="AO266" i="6"/>
  <c r="AX266" i="6"/>
  <c r="AN266" i="6"/>
  <c r="AW266" i="6"/>
  <c r="AL266" i="6"/>
  <c r="AV266" i="6"/>
  <c r="AK266" i="6"/>
  <c r="AT266" i="6"/>
  <c r="BB266" i="6"/>
  <c r="AQ266" i="6"/>
  <c r="AZ266" i="6"/>
  <c r="AP266" i="6"/>
  <c r="AV239" i="6"/>
  <c r="AY246" i="6"/>
  <c r="AV246" i="6"/>
  <c r="AM246" i="6"/>
  <c r="BC246" i="6"/>
  <c r="AT246" i="6"/>
  <c r="AK246" i="6"/>
  <c r="BB246" i="6"/>
  <c r="AS246" i="6"/>
  <c r="AW246" i="6"/>
  <c r="AN246" i="6"/>
  <c r="AZ246" i="6"/>
  <c r="AK162" i="6"/>
  <c r="AR180" i="6"/>
  <c r="BA180" i="6"/>
  <c r="AM196" i="6"/>
  <c r="AV196" i="6"/>
  <c r="AQ199" i="6"/>
  <c r="AN201" i="6"/>
  <c r="BA201" i="6"/>
  <c r="AK202" i="6"/>
  <c r="BC211" i="6"/>
  <c r="AX211" i="6"/>
  <c r="AN214" i="6"/>
  <c r="BC214" i="6"/>
  <c r="AP216" i="6"/>
  <c r="AM218" i="6"/>
  <c r="AN220" i="6"/>
  <c r="AX220" i="6"/>
  <c r="AP222" i="6"/>
  <c r="AW224" i="6"/>
  <c r="AN228" i="6"/>
  <c r="BA228" i="6"/>
  <c r="AT233" i="6"/>
  <c r="AT234" i="6"/>
  <c r="AK234" i="6"/>
  <c r="BA234" i="6"/>
  <c r="AM237" i="6"/>
  <c r="AU243" i="6"/>
  <c r="AP244" i="6"/>
  <c r="AW245" i="6"/>
  <c r="BA246" i="6"/>
  <c r="BB252" i="6"/>
  <c r="AS266" i="6"/>
  <c r="AY239" i="6"/>
  <c r="AM239" i="6"/>
  <c r="AW239" i="6"/>
  <c r="AK239" i="6"/>
  <c r="BC239" i="6"/>
  <c r="AQ239" i="6"/>
  <c r="BA239" i="6"/>
  <c r="BC242" i="6"/>
  <c r="AY242" i="6"/>
  <c r="AP242" i="6"/>
  <c r="AR253" i="6"/>
  <c r="BA253" i="6"/>
  <c r="AZ253" i="6"/>
  <c r="AP253" i="6"/>
  <c r="AN253" i="6"/>
  <c r="BA200" i="6"/>
  <c r="AO235" i="6"/>
  <c r="AZ235" i="6"/>
  <c r="AR236" i="6"/>
  <c r="BA236" i="6"/>
  <c r="AT238" i="6"/>
  <c r="AM241" i="6"/>
  <c r="AM247" i="6"/>
  <c r="AK249" i="6"/>
  <c r="AY249" i="6"/>
  <c r="AK250" i="6"/>
  <c r="AX250" i="6"/>
  <c r="AQ251" i="6"/>
  <c r="AR257" i="6"/>
  <c r="AQ258" i="6"/>
  <c r="AK259" i="6"/>
  <c r="AW259" i="6"/>
  <c r="AK261" i="6"/>
  <c r="AY261" i="6"/>
  <c r="AN262" i="6"/>
  <c r="AW262" i="6"/>
  <c r="AS263" i="6"/>
  <c r="AP264" i="6"/>
  <c r="BC264" i="6"/>
  <c r="AN265" i="6"/>
  <c r="BB265" i="6"/>
  <c r="AL267" i="6"/>
  <c r="AL268" i="6"/>
  <c r="AY268" i="6"/>
  <c r="AT270" i="6"/>
  <c r="AW263" i="6"/>
  <c r="AU270" i="6"/>
  <c r="AR262" i="6"/>
  <c r="BA262" i="6"/>
  <c r="AK263" i="6"/>
  <c r="AY263" i="6"/>
  <c r="AU264" i="6"/>
  <c r="AK270" i="6"/>
  <c r="AW270" i="6"/>
  <c r="AU235" i="6"/>
  <c r="AW241" i="6"/>
  <c r="AY247" i="6"/>
  <c r="AR249" i="6"/>
  <c r="AQ250" i="6"/>
  <c r="AU255" i="6"/>
  <c r="AP259" i="6"/>
  <c r="BC259" i="6"/>
  <c r="AR261" i="6"/>
  <c r="AS262" i="6"/>
  <c r="BB262" i="6"/>
  <c r="AM263" i="6"/>
  <c r="BA263" i="6"/>
  <c r="AV264" i="6"/>
  <c r="AS268" i="6"/>
  <c r="AL270" i="6"/>
  <c r="AZ270" i="6"/>
  <c r="AX241" i="6"/>
  <c r="BA247" i="6"/>
  <c r="AS249" i="6"/>
  <c r="AS250" i="6"/>
  <c r="AY255" i="6"/>
  <c r="AS259" i="6"/>
  <c r="AS261" i="6"/>
  <c r="AK262" i="6"/>
  <c r="AT262" i="6"/>
  <c r="BC262" i="6"/>
  <c r="AO263" i="6"/>
  <c r="BB263" i="6"/>
  <c r="AL264" i="6"/>
  <c r="AX264" i="6"/>
  <c r="AT268" i="6"/>
  <c r="AQ269" i="6"/>
  <c r="AM270" i="6"/>
  <c r="BC270" i="6"/>
  <c r="AV249" i="6"/>
  <c r="AT250" i="6"/>
  <c r="AT259" i="6"/>
  <c r="AW261" i="6"/>
  <c r="AL262" i="6"/>
  <c r="AU262" i="6"/>
  <c r="AP263" i="6"/>
  <c r="BC263" i="6"/>
  <c r="AM264" i="6"/>
  <c r="AY264" i="6"/>
  <c r="AU268" i="6"/>
  <c r="AU269" i="6"/>
  <c r="AN270" i="6"/>
  <c r="AM262" i="6"/>
  <c r="AV262" i="6"/>
  <c r="AO264" i="6"/>
  <c r="AK268" i="6"/>
  <c r="AY269" i="6"/>
  <c r="AQ270" i="6"/>
  <c r="AO270" i="6"/>
  <c r="AY270" i="6"/>
  <c r="AR270" i="6"/>
  <c r="BA270" i="6"/>
  <c r="AS270" i="6"/>
  <c r="BB270" i="6"/>
  <c r="AA15" i="6"/>
  <c r="S15" i="6"/>
  <c r="AC15" i="6"/>
  <c r="U15" i="6"/>
  <c r="M15" i="6"/>
  <c r="Z15" i="6"/>
  <c r="R15" i="6"/>
  <c r="BI15" i="6"/>
  <c r="BJ15" i="6" s="1"/>
  <c r="BK15" i="6" s="1"/>
  <c r="AB15" i="6"/>
  <c r="T15" i="6"/>
  <c r="L15" i="6"/>
  <c r="W15" i="6"/>
  <c r="Q6" i="6"/>
  <c r="AB6" i="6"/>
  <c r="AA7" i="6"/>
  <c r="S7" i="6"/>
  <c r="AC7" i="6"/>
  <c r="U7" i="6"/>
  <c r="M7" i="6"/>
  <c r="BI7" i="6"/>
  <c r="BJ7" i="6" s="1"/>
  <c r="BK7" i="6" s="1"/>
  <c r="T7" i="6"/>
  <c r="AB7" i="6"/>
  <c r="L7" i="6"/>
  <c r="V7" i="6"/>
  <c r="AO8" i="6"/>
  <c r="BC8" i="6"/>
  <c r="AC9" i="6"/>
  <c r="U9" i="6"/>
  <c r="M9" i="6"/>
  <c r="BI9" i="6"/>
  <c r="BJ9" i="6" s="1"/>
  <c r="BK9" i="6" s="1"/>
  <c r="AB9" i="6"/>
  <c r="L9" i="6"/>
  <c r="AA9" i="6"/>
  <c r="S9" i="6"/>
  <c r="T9" i="6"/>
  <c r="V9" i="6"/>
  <c r="P11" i="6"/>
  <c r="AD11" i="6"/>
  <c r="AP13" i="6"/>
  <c r="BA13" i="6"/>
  <c r="X15" i="6"/>
  <c r="AR15" i="6"/>
  <c r="BP15" i="6"/>
  <c r="BQ15" i="6" s="1"/>
  <c r="BR15" i="6" s="1"/>
  <c r="BB19" i="6"/>
  <c r="AT19" i="6"/>
  <c r="AL19" i="6"/>
  <c r="AV19" i="6"/>
  <c r="AN19" i="6"/>
  <c r="BA19" i="6"/>
  <c r="AK19" i="6"/>
  <c r="BC19" i="6"/>
  <c r="AU19" i="6"/>
  <c r="AM19" i="6"/>
  <c r="AS19" i="6"/>
  <c r="AY19" i="6"/>
  <c r="AD20" i="6"/>
  <c r="V20" i="6"/>
  <c r="N20" i="6"/>
  <c r="X20" i="6"/>
  <c r="P20" i="6"/>
  <c r="AC20" i="6"/>
  <c r="M20" i="6"/>
  <c r="W20" i="6"/>
  <c r="O20" i="6"/>
  <c r="U20" i="6"/>
  <c r="Y20" i="6"/>
  <c r="AQ21" i="6"/>
  <c r="R22" i="6"/>
  <c r="BC5" i="6"/>
  <c r="AU5" i="6"/>
  <c r="AM5" i="6"/>
  <c r="BB5" i="6"/>
  <c r="AL5" i="6"/>
  <c r="AT5" i="6"/>
  <c r="BA5" i="6"/>
  <c r="AS5" i="6"/>
  <c r="AK5" i="6"/>
  <c r="AW5" i="6"/>
  <c r="BP5" i="6"/>
  <c r="BQ5" i="6" s="1"/>
  <c r="BR5" i="6" s="1"/>
  <c r="R6" i="6"/>
  <c r="AC6" i="6"/>
  <c r="AW11" i="6"/>
  <c r="AO11" i="6"/>
  <c r="AN11" i="6"/>
  <c r="AV11" i="6"/>
  <c r="BC11" i="6"/>
  <c r="AU11" i="6"/>
  <c r="AM11" i="6"/>
  <c r="AT11" i="6"/>
  <c r="BP11" i="6"/>
  <c r="BQ11" i="6" s="1"/>
  <c r="BR11" i="6" s="1"/>
  <c r="AQ13" i="6"/>
  <c r="Y15" i="6"/>
  <c r="BB17" i="6"/>
  <c r="AT17" i="6"/>
  <c r="AL17" i="6"/>
  <c r="BA17" i="6"/>
  <c r="AS17" i="6"/>
  <c r="AK17" i="6"/>
  <c r="AV17" i="6"/>
  <c r="AN17" i="6"/>
  <c r="BC17" i="6"/>
  <c r="AU17" i="6"/>
  <c r="AM17" i="6"/>
  <c r="AY17" i="6"/>
  <c r="AD18" i="6"/>
  <c r="V18" i="6"/>
  <c r="N18" i="6"/>
  <c r="AC18" i="6"/>
  <c r="U18" i="6"/>
  <c r="M18" i="6"/>
  <c r="X18" i="6"/>
  <c r="P18" i="6"/>
  <c r="W18" i="6"/>
  <c r="O18" i="6"/>
  <c r="Y18" i="6"/>
  <c r="BA25" i="6"/>
  <c r="AS25" i="6"/>
  <c r="AK25" i="6"/>
  <c r="BP25" i="6"/>
  <c r="BQ25" i="6" s="1"/>
  <c r="BR25" i="6" s="1"/>
  <c r="AZ25" i="6"/>
  <c r="AR25" i="6"/>
  <c r="BC25" i="6"/>
  <c r="AU25" i="6"/>
  <c r="AM25" i="6"/>
  <c r="BB25" i="6"/>
  <c r="AT25" i="6"/>
  <c r="AL25" i="6"/>
  <c r="AX25" i="6"/>
  <c r="AC26" i="6"/>
  <c r="U26" i="6"/>
  <c r="M26" i="6"/>
  <c r="BI26" i="6"/>
  <c r="BJ26" i="6" s="1"/>
  <c r="BK26" i="6" s="1"/>
  <c r="AB26" i="6"/>
  <c r="T26" i="6"/>
  <c r="L26" i="6"/>
  <c r="W26" i="6"/>
  <c r="O26" i="6"/>
  <c r="AD26" i="6"/>
  <c r="V26" i="6"/>
  <c r="N26" i="6"/>
  <c r="Y26" i="6"/>
  <c r="W7" i="6"/>
  <c r="AX5" i="6"/>
  <c r="X7" i="6"/>
  <c r="AP7" i="6"/>
  <c r="BA7" i="6"/>
  <c r="X9" i="6"/>
  <c r="AP9" i="6"/>
  <c r="BA9" i="6"/>
  <c r="AX11" i="6"/>
  <c r="O13" i="6"/>
  <c r="Z13" i="6"/>
  <c r="AR13" i="6"/>
  <c r="N15" i="6"/>
  <c r="AD15" i="6"/>
  <c r="AZ17" i="6"/>
  <c r="Z18" i="6"/>
  <c r="AO19" i="6"/>
  <c r="AA20" i="6"/>
  <c r="AP23" i="6"/>
  <c r="Q24" i="6"/>
  <c r="AY25" i="6"/>
  <c r="Z26" i="6"/>
  <c r="AC11" i="6"/>
  <c r="U11" i="6"/>
  <c r="M11" i="6"/>
  <c r="T11" i="6"/>
  <c r="BI11" i="6"/>
  <c r="BJ11" i="6" s="1"/>
  <c r="BK11" i="6" s="1"/>
  <c r="AB11" i="6"/>
  <c r="L11" i="6"/>
  <c r="AA11" i="6"/>
  <c r="S11" i="6"/>
  <c r="V11" i="6"/>
  <c r="AK11" i="6"/>
  <c r="AY11" i="6"/>
  <c r="AS13" i="6"/>
  <c r="O15" i="6"/>
  <c r="BC15" i="6"/>
  <c r="AU15" i="6"/>
  <c r="AM15" i="6"/>
  <c r="AW15" i="6"/>
  <c r="AO15" i="6"/>
  <c r="BB15" i="6"/>
  <c r="AT15" i="6"/>
  <c r="AL15" i="6"/>
  <c r="AV15" i="6"/>
  <c r="AN15" i="6"/>
  <c r="AY15" i="6"/>
  <c r="AO17" i="6"/>
  <c r="AA18" i="6"/>
  <c r="BA21" i="6"/>
  <c r="AS21" i="6"/>
  <c r="AK21" i="6"/>
  <c r="AZ21" i="6"/>
  <c r="BC21" i="6"/>
  <c r="AU21" i="6"/>
  <c r="AM21" i="6"/>
  <c r="BB21" i="6"/>
  <c r="AT21" i="6"/>
  <c r="AL21" i="6"/>
  <c r="BP21" i="6"/>
  <c r="BQ21" i="6" s="1"/>
  <c r="BR21" i="6" s="1"/>
  <c r="AR21" i="6"/>
  <c r="AX21" i="6"/>
  <c r="AC22" i="6"/>
  <c r="U22" i="6"/>
  <c r="M22" i="6"/>
  <c r="L22" i="6"/>
  <c r="BI22" i="6"/>
  <c r="BJ22" i="6" s="1"/>
  <c r="BK22" i="6" s="1"/>
  <c r="W22" i="6"/>
  <c r="O22" i="6"/>
  <c r="T22" i="6"/>
  <c r="AD22" i="6"/>
  <c r="V22" i="6"/>
  <c r="N22" i="6"/>
  <c r="AB22" i="6"/>
  <c r="Y22" i="6"/>
  <c r="BA27" i="6"/>
  <c r="AS27" i="6"/>
  <c r="AK27" i="6"/>
  <c r="BP27" i="6"/>
  <c r="BQ27" i="6" s="1"/>
  <c r="BR27" i="6" s="1"/>
  <c r="AZ27" i="6"/>
  <c r="AR27" i="6"/>
  <c r="AX27" i="6"/>
  <c r="AP27" i="6"/>
  <c r="AW27" i="6"/>
  <c r="AO27" i="6"/>
  <c r="BC27" i="6"/>
  <c r="AU27" i="6"/>
  <c r="AM27" i="6"/>
  <c r="BB27" i="6"/>
  <c r="AT27" i="6"/>
  <c r="AL27" i="6"/>
  <c r="X6" i="6"/>
  <c r="P6" i="6"/>
  <c r="O6" i="6"/>
  <c r="W6" i="6"/>
  <c r="AD6" i="6"/>
  <c r="V6" i="6"/>
  <c r="N6" i="6"/>
  <c r="T6" i="6"/>
  <c r="AZ5" i="6"/>
  <c r="BC13" i="6"/>
  <c r="AU13" i="6"/>
  <c r="AM13" i="6"/>
  <c r="BB13" i="6"/>
  <c r="AW13" i="6"/>
  <c r="AO13" i="6"/>
  <c r="AV13" i="6"/>
  <c r="AN13" i="6"/>
  <c r="AT13" i="6"/>
  <c r="AO5" i="6"/>
  <c r="U6" i="6"/>
  <c r="O7" i="6"/>
  <c r="Z7" i="6"/>
  <c r="BB8" i="6"/>
  <c r="AT8" i="6"/>
  <c r="AL8" i="6"/>
  <c r="AS8" i="6"/>
  <c r="AK8" i="6"/>
  <c r="BP8" i="6"/>
  <c r="BQ8" i="6" s="1"/>
  <c r="BR8" i="6" s="1"/>
  <c r="AZ8" i="6"/>
  <c r="AR8" i="6"/>
  <c r="BA8" i="6"/>
  <c r="AV8" i="6"/>
  <c r="AL11" i="6"/>
  <c r="AZ11" i="6"/>
  <c r="P15" i="6"/>
  <c r="AP5" i="6"/>
  <c r="Y6" i="6"/>
  <c r="P7" i="6"/>
  <c r="AD7" i="6"/>
  <c r="AW8" i="6"/>
  <c r="P9" i="6"/>
  <c r="AD9" i="6"/>
  <c r="X11" i="6"/>
  <c r="AP11" i="6"/>
  <c r="BA11" i="6"/>
  <c r="AX13" i="6"/>
  <c r="Q15" i="6"/>
  <c r="AK15" i="6"/>
  <c r="BA15" i="6"/>
  <c r="AQ17" i="6"/>
  <c r="Q18" i="6"/>
  <c r="AR19" i="6"/>
  <c r="BP19" i="6"/>
  <c r="BQ19" i="6" s="1"/>
  <c r="BR19" i="6" s="1"/>
  <c r="R20" i="6"/>
  <c r="BI20" i="6"/>
  <c r="BJ20" i="6" s="1"/>
  <c r="BK20" i="6" s="1"/>
  <c r="AN21" i="6"/>
  <c r="AA22" i="6"/>
  <c r="AP25" i="6"/>
  <c r="Q26" i="6"/>
  <c r="AN27" i="6"/>
  <c r="BI31" i="6"/>
  <c r="BJ31" i="6" s="1"/>
  <c r="BK31" i="6" s="1"/>
  <c r="AB31" i="6"/>
  <c r="T31" i="6"/>
  <c r="L31" i="6"/>
  <c r="X31" i="6"/>
  <c r="O31" i="6"/>
  <c r="W31" i="6"/>
  <c r="N31" i="6"/>
  <c r="V31" i="6"/>
  <c r="M31" i="6"/>
  <c r="AD31" i="6"/>
  <c r="U31" i="6"/>
  <c r="AC31" i="6"/>
  <c r="S31" i="6"/>
  <c r="Z31" i="6"/>
  <c r="Q31" i="6"/>
  <c r="Y31" i="6"/>
  <c r="P31" i="6"/>
  <c r="BI6" i="6"/>
  <c r="BJ6" i="6" s="1"/>
  <c r="BN19" i="6" s="1"/>
  <c r="AQ5" i="6"/>
  <c r="L6" i="6"/>
  <c r="Z6" i="6"/>
  <c r="Q7" i="6"/>
  <c r="BC7" i="6"/>
  <c r="AU7" i="6"/>
  <c r="AM7" i="6"/>
  <c r="AW7" i="6"/>
  <c r="AO7" i="6"/>
  <c r="AN7" i="6"/>
  <c r="AV7" i="6"/>
  <c r="AT7" i="6"/>
  <c r="BP7" i="6"/>
  <c r="BQ7" i="6" s="1"/>
  <c r="BR7" i="6" s="1"/>
  <c r="AM8" i="6"/>
  <c r="AX8" i="6"/>
  <c r="Q9" i="6"/>
  <c r="AW9" i="6"/>
  <c r="AO9" i="6"/>
  <c r="AN9" i="6"/>
  <c r="BC9" i="6"/>
  <c r="AU9" i="6"/>
  <c r="AM9" i="6"/>
  <c r="AV9" i="6"/>
  <c r="AT9" i="6"/>
  <c r="BP9" i="6"/>
  <c r="BQ9" i="6" s="1"/>
  <c r="BR9" i="6" s="1"/>
  <c r="N11" i="6"/>
  <c r="Y11" i="6"/>
  <c r="AQ11" i="6"/>
  <c r="BB11" i="6"/>
  <c r="AA13" i="6"/>
  <c r="AC13" i="6"/>
  <c r="U13" i="6"/>
  <c r="M13" i="6"/>
  <c r="BI13" i="6"/>
  <c r="BJ13" i="6" s="1"/>
  <c r="BK13" i="6" s="1"/>
  <c r="AB13" i="6"/>
  <c r="T13" i="6"/>
  <c r="L13" i="6"/>
  <c r="S13" i="6"/>
  <c r="V13" i="6"/>
  <c r="AK13" i="6"/>
  <c r="AY13" i="6"/>
  <c r="V15" i="6"/>
  <c r="AP15" i="6"/>
  <c r="AR17" i="6"/>
  <c r="BP17" i="6"/>
  <c r="BQ17" i="6" s="1"/>
  <c r="BR17" i="6" s="1"/>
  <c r="R18" i="6"/>
  <c r="BI18" i="6"/>
  <c r="BJ18" i="6" s="1"/>
  <c r="BK18" i="6" s="1"/>
  <c r="AW19" i="6"/>
  <c r="S20" i="6"/>
  <c r="AO21" i="6"/>
  <c r="P22" i="6"/>
  <c r="BA23" i="6"/>
  <c r="AS23" i="6"/>
  <c r="AK23" i="6"/>
  <c r="BP23" i="6"/>
  <c r="BQ23" i="6" s="1"/>
  <c r="BR23" i="6" s="1"/>
  <c r="AZ23" i="6"/>
  <c r="AR23" i="6"/>
  <c r="BC23" i="6"/>
  <c r="AU23" i="6"/>
  <c r="AM23" i="6"/>
  <c r="BB23" i="6"/>
  <c r="AT23" i="6"/>
  <c r="AL23" i="6"/>
  <c r="AX23" i="6"/>
  <c r="AC24" i="6"/>
  <c r="U24" i="6"/>
  <c r="M24" i="6"/>
  <c r="BI24" i="6"/>
  <c r="BJ24" i="6" s="1"/>
  <c r="BK24" i="6" s="1"/>
  <c r="AB24" i="6"/>
  <c r="T24" i="6"/>
  <c r="L24" i="6"/>
  <c r="W24" i="6"/>
  <c r="O24" i="6"/>
  <c r="AD24" i="6"/>
  <c r="V24" i="6"/>
  <c r="N24" i="6"/>
  <c r="Y24" i="6"/>
  <c r="AQ25" i="6"/>
  <c r="R26" i="6"/>
  <c r="AQ27" i="6"/>
  <c r="Y19" i="6"/>
  <c r="AQ10" i="6"/>
  <c r="AY10" i="6"/>
  <c r="AQ12" i="6"/>
  <c r="AY6" i="6"/>
  <c r="Y8" i="6"/>
  <c r="AZ10" i="6"/>
  <c r="AR12" i="6"/>
  <c r="AZ12" i="6"/>
  <c r="BP12" i="6"/>
  <c r="BQ12" i="6" s="1"/>
  <c r="BR12" i="6" s="1"/>
  <c r="AR14" i="6"/>
  <c r="AZ14" i="6"/>
  <c r="BP14" i="6"/>
  <c r="BQ14" i="6" s="1"/>
  <c r="BR14" i="6" s="1"/>
  <c r="AR16" i="6"/>
  <c r="AZ16" i="6"/>
  <c r="BP16" i="6"/>
  <c r="BQ16" i="6" s="1"/>
  <c r="BR16" i="6" s="1"/>
  <c r="S17" i="6"/>
  <c r="AA17" i="6"/>
  <c r="AQ18" i="6"/>
  <c r="AY18" i="6"/>
  <c r="S19" i="6"/>
  <c r="AA19" i="6"/>
  <c r="AQ20" i="6"/>
  <c r="AY20" i="6"/>
  <c r="R21" i="6"/>
  <c r="Z21" i="6"/>
  <c r="R23" i="6"/>
  <c r="Z23" i="6"/>
  <c r="R25" i="6"/>
  <c r="Z25" i="6"/>
  <c r="R27" i="6"/>
  <c r="Z27" i="6"/>
  <c r="N28" i="6"/>
  <c r="V28" i="6"/>
  <c r="AD28" i="6"/>
  <c r="S29" i="6"/>
  <c r="AA29" i="6"/>
  <c r="AM29" i="6"/>
  <c r="AU29" i="6"/>
  <c r="BC29" i="6"/>
  <c r="AR30" i="6"/>
  <c r="BA30" i="6"/>
  <c r="AL31" i="6"/>
  <c r="AU31" i="6"/>
  <c r="AO32" i="6"/>
  <c r="AX32" i="6"/>
  <c r="M33" i="6"/>
  <c r="W33" i="6"/>
  <c r="AS33" i="6"/>
  <c r="BB33" i="6"/>
  <c r="AL34" i="6"/>
  <c r="AV34" i="6"/>
  <c r="S35" i="6"/>
  <c r="AB35" i="6"/>
  <c r="AN35" i="6"/>
  <c r="AW35" i="6"/>
  <c r="L36" i="6"/>
  <c r="V36" i="6"/>
  <c r="AW36" i="6"/>
  <c r="AO36" i="6"/>
  <c r="AR36" i="6"/>
  <c r="BA36" i="6"/>
  <c r="O37" i="6"/>
  <c r="X37" i="6"/>
  <c r="AK37" i="6"/>
  <c r="AU37" i="6"/>
  <c r="BI37" i="6"/>
  <c r="BJ37" i="6" s="1"/>
  <c r="BK37" i="6" s="1"/>
  <c r="S38" i="6"/>
  <c r="AB38" i="6"/>
  <c r="T39" i="6"/>
  <c r="AC39" i="6"/>
  <c r="AP39" i="6"/>
  <c r="AY39" i="6"/>
  <c r="BP39" i="6"/>
  <c r="BQ39" i="6" s="1"/>
  <c r="BR39" i="6" s="1"/>
  <c r="L40" i="6"/>
  <c r="U40" i="6"/>
  <c r="AD40" i="6"/>
  <c r="V42" i="6"/>
  <c r="AT42" i="6"/>
  <c r="AQ43" i="6"/>
  <c r="BC43" i="6"/>
  <c r="AU44" i="6"/>
  <c r="BP44" i="6"/>
  <c r="BQ44" i="6" s="1"/>
  <c r="BR44" i="6" s="1"/>
  <c r="AC46" i="6"/>
  <c r="U46" i="6"/>
  <c r="M46" i="6"/>
  <c r="BI46" i="6"/>
  <c r="BJ46" i="6" s="1"/>
  <c r="BK46" i="6" s="1"/>
  <c r="Y46" i="6"/>
  <c r="P46" i="6"/>
  <c r="W46" i="6"/>
  <c r="N46" i="6"/>
  <c r="T46" i="6"/>
  <c r="AL48" i="6"/>
  <c r="AY48" i="6"/>
  <c r="L50" i="6"/>
  <c r="AA50" i="6"/>
  <c r="AR50" i="6"/>
  <c r="AW52" i="6"/>
  <c r="AO52" i="6"/>
  <c r="AZ52" i="6"/>
  <c r="AQ52" i="6"/>
  <c r="AX52" i="6"/>
  <c r="AN52" i="6"/>
  <c r="AU52" i="6"/>
  <c r="AL52" i="6"/>
  <c r="BC52" i="6"/>
  <c r="AT52" i="6"/>
  <c r="AK52" i="6"/>
  <c r="BA52" i="6"/>
  <c r="Q19" i="6"/>
  <c r="AY12" i="6"/>
  <c r="AQ6" i="6"/>
  <c r="Q8" i="6"/>
  <c r="AR10" i="6"/>
  <c r="BP10" i="6"/>
  <c r="BQ10" i="6" s="1"/>
  <c r="BR10" i="6" s="1"/>
  <c r="AR6" i="6"/>
  <c r="AZ6" i="6"/>
  <c r="R8" i="6"/>
  <c r="Q10" i="6"/>
  <c r="AE10" i="6" s="1"/>
  <c r="AG10" i="6" s="1"/>
  <c r="BL10" i="6" s="1"/>
  <c r="AK10" i="6"/>
  <c r="AS10" i="6"/>
  <c r="Q12" i="6"/>
  <c r="AE12" i="6" s="1"/>
  <c r="AG12" i="6" s="1"/>
  <c r="BL12" i="6" s="1"/>
  <c r="AK12" i="6"/>
  <c r="AS12" i="6"/>
  <c r="Q14" i="6"/>
  <c r="AK14" i="6"/>
  <c r="AS14" i="6"/>
  <c r="BA14" i="6"/>
  <c r="Q16" i="6"/>
  <c r="AE16" i="6" s="1"/>
  <c r="AF16" i="6" s="1"/>
  <c r="AK16" i="6"/>
  <c r="AS16" i="6"/>
  <c r="BA16" i="6"/>
  <c r="L17" i="6"/>
  <c r="T17" i="6"/>
  <c r="AB17" i="6"/>
  <c r="BI17" i="6"/>
  <c r="BJ17" i="6" s="1"/>
  <c r="BK17" i="6" s="1"/>
  <c r="AR18" i="6"/>
  <c r="AZ18" i="6"/>
  <c r="L19" i="6"/>
  <c r="T19" i="6"/>
  <c r="AB19" i="6"/>
  <c r="BI19" i="6"/>
  <c r="BJ19" i="6" s="1"/>
  <c r="BK19" i="6" s="1"/>
  <c r="AR20" i="6"/>
  <c r="AZ20" i="6"/>
  <c r="S21" i="6"/>
  <c r="AA21" i="6"/>
  <c r="AQ22" i="6"/>
  <c r="S23" i="6"/>
  <c r="AA23" i="6"/>
  <c r="AQ24" i="6"/>
  <c r="S25" i="6"/>
  <c r="AA25" i="6"/>
  <c r="AQ26" i="6"/>
  <c r="S27" i="6"/>
  <c r="AA27" i="6"/>
  <c r="O28" i="6"/>
  <c r="W28" i="6"/>
  <c r="AQ28" i="6"/>
  <c r="L29" i="6"/>
  <c r="T29" i="6"/>
  <c r="AB29" i="6"/>
  <c r="AN29" i="6"/>
  <c r="AV29" i="6"/>
  <c r="BI29" i="6"/>
  <c r="BJ29" i="6" s="1"/>
  <c r="BK29" i="6" s="1"/>
  <c r="Q30" i="6"/>
  <c r="AK30" i="6"/>
  <c r="AS30" i="6"/>
  <c r="BB30" i="6"/>
  <c r="AM31" i="6"/>
  <c r="AW31" i="6"/>
  <c r="AP32" i="6"/>
  <c r="AY32" i="6"/>
  <c r="O33" i="6"/>
  <c r="AK33" i="6"/>
  <c r="AT33" i="6"/>
  <c r="AA34" i="6"/>
  <c r="S34" i="6"/>
  <c r="Q34" i="6"/>
  <c r="Z34" i="6"/>
  <c r="AN34" i="6"/>
  <c r="AW34" i="6"/>
  <c r="T35" i="6"/>
  <c r="AO35" i="6"/>
  <c r="N36" i="6"/>
  <c r="W36" i="6"/>
  <c r="AS36" i="6"/>
  <c r="BB36" i="6"/>
  <c r="P37" i="6"/>
  <c r="AM37" i="6"/>
  <c r="T38" i="6"/>
  <c r="L39" i="6"/>
  <c r="U39" i="6"/>
  <c r="AQ39" i="6"/>
  <c r="M40" i="6"/>
  <c r="V40" i="6"/>
  <c r="L42" i="6"/>
  <c r="AK42" i="6"/>
  <c r="AK44" i="6"/>
  <c r="V46" i="6"/>
  <c r="AK46" i="6"/>
  <c r="BA47" i="6"/>
  <c r="AS47" i="6"/>
  <c r="AK47" i="6"/>
  <c r="AW47" i="6"/>
  <c r="AN47" i="6"/>
  <c r="AU47" i="6"/>
  <c r="AL47" i="6"/>
  <c r="AV47" i="6"/>
  <c r="AM48" i="6"/>
  <c r="BA48" i="6"/>
  <c r="O50" i="6"/>
  <c r="AD50" i="6"/>
  <c r="BB52" i="6"/>
  <c r="AC54" i="6"/>
  <c r="U54" i="6"/>
  <c r="M54" i="6"/>
  <c r="BI54" i="6"/>
  <c r="BJ54" i="6" s="1"/>
  <c r="BK54" i="6" s="1"/>
  <c r="Y54" i="6"/>
  <c r="P54" i="6"/>
  <c r="W54" i="6"/>
  <c r="N54" i="6"/>
  <c r="AD54" i="6"/>
  <c r="T54" i="6"/>
  <c r="AB54" i="6"/>
  <c r="S54" i="6"/>
  <c r="X54" i="6"/>
  <c r="Z37" i="6"/>
  <c r="R37" i="6"/>
  <c r="Q37" i="6"/>
  <c r="AA37" i="6"/>
  <c r="BC39" i="6"/>
  <c r="AU39" i="6"/>
  <c r="AM39" i="6"/>
  <c r="AR39" i="6"/>
  <c r="BA39" i="6"/>
  <c r="X40" i="6"/>
  <c r="AP48" i="6"/>
  <c r="BB48" i="6"/>
  <c r="Q50" i="6"/>
  <c r="AW50" i="6"/>
  <c r="AO50" i="6"/>
  <c r="AU50" i="6"/>
  <c r="AL50" i="6"/>
  <c r="BB50" i="6"/>
  <c r="AS50" i="6"/>
  <c r="BP50" i="6"/>
  <c r="BQ50" i="6" s="1"/>
  <c r="BR50" i="6" s="1"/>
  <c r="AY50" i="6"/>
  <c r="AP50" i="6"/>
  <c r="AV50" i="6"/>
  <c r="Z54" i="6"/>
  <c r="AC58" i="6"/>
  <c r="U58" i="6"/>
  <c r="M58" i="6"/>
  <c r="Z58" i="6"/>
  <c r="Q58" i="6"/>
  <c r="BI58" i="6"/>
  <c r="BJ58" i="6" s="1"/>
  <c r="BK58" i="6" s="1"/>
  <c r="Y58" i="6"/>
  <c r="P58" i="6"/>
  <c r="W58" i="6"/>
  <c r="N58" i="6"/>
  <c r="V58" i="6"/>
  <c r="L58" i="6"/>
  <c r="AD58" i="6"/>
  <c r="T58" i="6"/>
  <c r="AB58" i="6"/>
  <c r="S58" i="6"/>
  <c r="Q28" i="6"/>
  <c r="Y28" i="6"/>
  <c r="AP31" i="6"/>
  <c r="AY31" i="6"/>
  <c r="BP31" i="6"/>
  <c r="BQ31" i="6" s="1"/>
  <c r="BR31" i="6" s="1"/>
  <c r="BA32" i="6"/>
  <c r="AS32" i="6"/>
  <c r="AK32" i="6"/>
  <c r="AR32" i="6"/>
  <c r="BB32" i="6"/>
  <c r="AP34" i="6"/>
  <c r="AY34" i="6"/>
  <c r="BP34" i="6"/>
  <c r="BQ34" i="6" s="1"/>
  <c r="BR34" i="6" s="1"/>
  <c r="BP35" i="6"/>
  <c r="BQ35" i="6" s="1"/>
  <c r="BR35" i="6" s="1"/>
  <c r="AZ35" i="6"/>
  <c r="AR35" i="6"/>
  <c r="AQ35" i="6"/>
  <c r="BA35" i="6"/>
  <c r="P36" i="6"/>
  <c r="Y36" i="6"/>
  <c r="BI36" i="6"/>
  <c r="BJ36" i="6" s="1"/>
  <c r="BK36" i="6" s="1"/>
  <c r="S37" i="6"/>
  <c r="AB37" i="6"/>
  <c r="AS39" i="6"/>
  <c r="BB39" i="6"/>
  <c r="P40" i="6"/>
  <c r="Y40" i="6"/>
  <c r="BI40" i="6"/>
  <c r="BJ40" i="6" s="1"/>
  <c r="BK40" i="6" s="1"/>
  <c r="BA43" i="6"/>
  <c r="AS43" i="6"/>
  <c r="AK43" i="6"/>
  <c r="AW43" i="6"/>
  <c r="AN43" i="6"/>
  <c r="AU43" i="6"/>
  <c r="AL43" i="6"/>
  <c r="AV43" i="6"/>
  <c r="AR48" i="6"/>
  <c r="BC48" i="6"/>
  <c r="R50" i="6"/>
  <c r="AX50" i="6"/>
  <c r="R28" i="6"/>
  <c r="Z28" i="6"/>
  <c r="AQ29" i="6"/>
  <c r="AY29" i="6"/>
  <c r="AQ31" i="6"/>
  <c r="AT32" i="6"/>
  <c r="BC32" i="6"/>
  <c r="AD33" i="6"/>
  <c r="V33" i="6"/>
  <c r="N33" i="6"/>
  <c r="R33" i="6"/>
  <c r="AA33" i="6"/>
  <c r="AQ34" i="6"/>
  <c r="AS35" i="6"/>
  <c r="BB35" i="6"/>
  <c r="Q36" i="6"/>
  <c r="T37" i="6"/>
  <c r="AC37" i="6"/>
  <c r="AK39" i="6"/>
  <c r="AT39" i="6"/>
  <c r="Q40" i="6"/>
  <c r="AX43" i="6"/>
  <c r="BP43" i="6"/>
  <c r="BQ43" i="6" s="1"/>
  <c r="BR43" i="6" s="1"/>
  <c r="AK50" i="6"/>
  <c r="AZ50" i="6"/>
  <c r="AR52" i="6"/>
  <c r="BP52" i="6"/>
  <c r="BQ52" i="6" s="1"/>
  <c r="BR52" i="6" s="1"/>
  <c r="L54" i="6"/>
  <c r="AW54" i="6"/>
  <c r="AO54" i="6"/>
  <c r="AU54" i="6"/>
  <c r="AL54" i="6"/>
  <c r="BB54" i="6"/>
  <c r="AS54" i="6"/>
  <c r="AZ54" i="6"/>
  <c r="AQ54" i="6"/>
  <c r="BP54" i="6"/>
  <c r="BQ54" i="6" s="1"/>
  <c r="BR54" i="6" s="1"/>
  <c r="AY54" i="6"/>
  <c r="AP54" i="6"/>
  <c r="AX54" i="6"/>
  <c r="AV31" i="6"/>
  <c r="AN31" i="6"/>
  <c r="AR31" i="6"/>
  <c r="BA31" i="6"/>
  <c r="BC34" i="6"/>
  <c r="AU34" i="6"/>
  <c r="AM34" i="6"/>
  <c r="AR34" i="6"/>
  <c r="BA34" i="6"/>
  <c r="AC36" i="6"/>
  <c r="U36" i="6"/>
  <c r="M36" i="6"/>
  <c r="R36" i="6"/>
  <c r="AA36" i="6"/>
  <c r="L37" i="6"/>
  <c r="U37" i="6"/>
  <c r="AD37" i="6"/>
  <c r="AL39" i="6"/>
  <c r="AV39" i="6"/>
  <c r="W40" i="6"/>
  <c r="O40" i="6"/>
  <c r="R40" i="6"/>
  <c r="AA40" i="6"/>
  <c r="AW48" i="6"/>
  <c r="AO48" i="6"/>
  <c r="AZ48" i="6"/>
  <c r="AQ48" i="6"/>
  <c r="AX48" i="6"/>
  <c r="AN48" i="6"/>
  <c r="AT48" i="6"/>
  <c r="AC50" i="6"/>
  <c r="U50" i="6"/>
  <c r="M50" i="6"/>
  <c r="BI50" i="6"/>
  <c r="BJ50" i="6" s="1"/>
  <c r="BK50" i="6" s="1"/>
  <c r="Y50" i="6"/>
  <c r="P50" i="6"/>
  <c r="W50" i="6"/>
  <c r="N50" i="6"/>
  <c r="AB50" i="6"/>
  <c r="S50" i="6"/>
  <c r="V50" i="6"/>
  <c r="O58" i="6"/>
  <c r="L28" i="6"/>
  <c r="T28" i="6"/>
  <c r="AB28" i="6"/>
  <c r="BI28" i="6"/>
  <c r="BJ28" i="6" s="1"/>
  <c r="BK28" i="6" s="1"/>
  <c r="Q29" i="6"/>
  <c r="Y29" i="6"/>
  <c r="AK29" i="6"/>
  <c r="AS29" i="6"/>
  <c r="BA29" i="6"/>
  <c r="AS31" i="6"/>
  <c r="BB31" i="6"/>
  <c r="AM32" i="6"/>
  <c r="AV32" i="6"/>
  <c r="T33" i="6"/>
  <c r="AC33" i="6"/>
  <c r="AS34" i="6"/>
  <c r="BB34" i="6"/>
  <c r="AL35" i="6"/>
  <c r="AU35" i="6"/>
  <c r="S36" i="6"/>
  <c r="AB36" i="6"/>
  <c r="M37" i="6"/>
  <c r="V37" i="6"/>
  <c r="BB37" i="6"/>
  <c r="AT37" i="6"/>
  <c r="AL37" i="6"/>
  <c r="AR37" i="6"/>
  <c r="BA37" i="6"/>
  <c r="AA39" i="6"/>
  <c r="S39" i="6"/>
  <c r="Q39" i="6"/>
  <c r="Z39" i="6"/>
  <c r="AN39" i="6"/>
  <c r="AW39" i="6"/>
  <c r="S40" i="6"/>
  <c r="AB40" i="6"/>
  <c r="AC42" i="6"/>
  <c r="U42" i="6"/>
  <c r="M42" i="6"/>
  <c r="BI42" i="6"/>
  <c r="BJ42" i="6" s="1"/>
  <c r="BK42" i="6" s="1"/>
  <c r="Y42" i="6"/>
  <c r="P42" i="6"/>
  <c r="S42" i="6"/>
  <c r="AD42" i="6"/>
  <c r="AO43" i="6"/>
  <c r="AZ43" i="6"/>
  <c r="AU48" i="6"/>
  <c r="BP48" i="6"/>
  <c r="BQ48" i="6" s="1"/>
  <c r="BR48" i="6" s="1"/>
  <c r="X50" i="6"/>
  <c r="AN50" i="6"/>
  <c r="BC50" i="6"/>
  <c r="R58" i="6"/>
  <c r="Q17" i="6"/>
  <c r="Y17" i="6"/>
  <c r="AQ16" i="6"/>
  <c r="R17" i="6"/>
  <c r="R19" i="6"/>
  <c r="Q21" i="6"/>
  <c r="Q23" i="6"/>
  <c r="Q25" i="6"/>
  <c r="Q27" i="6"/>
  <c r="M28" i="6"/>
  <c r="U28" i="6"/>
  <c r="R29" i="6"/>
  <c r="AL29" i="6"/>
  <c r="AT29" i="6"/>
  <c r="AQ30" i="6"/>
  <c r="AZ30" i="6"/>
  <c r="AK31" i="6"/>
  <c r="AT31" i="6"/>
  <c r="BC31" i="6"/>
  <c r="AN32" i="6"/>
  <c r="AW32" i="6"/>
  <c r="L33" i="6"/>
  <c r="U33" i="6"/>
  <c r="AX33" i="6"/>
  <c r="AP33" i="6"/>
  <c r="AR33" i="6"/>
  <c r="BA33" i="6"/>
  <c r="AK34" i="6"/>
  <c r="AT34" i="6"/>
  <c r="X35" i="6"/>
  <c r="P35" i="6"/>
  <c r="R35" i="6"/>
  <c r="AA35" i="6"/>
  <c r="AM35" i="6"/>
  <c r="AV35" i="6"/>
  <c r="T36" i="6"/>
  <c r="AD36" i="6"/>
  <c r="AQ36" i="6"/>
  <c r="AZ36" i="6"/>
  <c r="N37" i="6"/>
  <c r="W37" i="6"/>
  <c r="AS37" i="6"/>
  <c r="BC37" i="6"/>
  <c r="W38" i="6"/>
  <c r="O38" i="6"/>
  <c r="R38" i="6"/>
  <c r="AA38" i="6"/>
  <c r="R39" i="6"/>
  <c r="AB39" i="6"/>
  <c r="AO39" i="6"/>
  <c r="AX39" i="6"/>
  <c r="T40" i="6"/>
  <c r="AC40" i="6"/>
  <c r="T42" i="6"/>
  <c r="AW42" i="6"/>
  <c r="AO42" i="6"/>
  <c r="AU42" i="6"/>
  <c r="AL42" i="6"/>
  <c r="AS42" i="6"/>
  <c r="BC42" i="6"/>
  <c r="AP43" i="6"/>
  <c r="BB43" i="6"/>
  <c r="AW44" i="6"/>
  <c r="AO44" i="6"/>
  <c r="AZ44" i="6"/>
  <c r="AQ44" i="6"/>
  <c r="AX44" i="6"/>
  <c r="AN44" i="6"/>
  <c r="AT44" i="6"/>
  <c r="S46" i="6"/>
  <c r="AW46" i="6"/>
  <c r="AO46" i="6"/>
  <c r="AU46" i="6"/>
  <c r="AL46" i="6"/>
  <c r="BB46" i="6"/>
  <c r="AS46" i="6"/>
  <c r="AT46" i="6"/>
  <c r="AK48" i="6"/>
  <c r="AV48" i="6"/>
  <c r="Z50" i="6"/>
  <c r="AQ50" i="6"/>
  <c r="AY52" i="6"/>
  <c r="R54" i="6"/>
  <c r="X58" i="6"/>
  <c r="AQ51" i="6"/>
  <c r="AQ55" i="6"/>
  <c r="AK56" i="6"/>
  <c r="AT56" i="6"/>
  <c r="BC56" i="6"/>
  <c r="AP58" i="6"/>
  <c r="AY58" i="6"/>
  <c r="BP58" i="6"/>
  <c r="BQ58" i="6" s="1"/>
  <c r="BR58" i="6" s="1"/>
  <c r="AQ59" i="6"/>
  <c r="AK60" i="6"/>
  <c r="AT60" i="6"/>
  <c r="AO61" i="6"/>
  <c r="AY61" i="6"/>
  <c r="BP61" i="6"/>
  <c r="BQ61" i="6" s="1"/>
  <c r="BR61" i="6" s="1"/>
  <c r="AR63" i="6"/>
  <c r="AC64" i="6"/>
  <c r="U64" i="6"/>
  <c r="M64" i="6"/>
  <c r="W64" i="6"/>
  <c r="N64" i="6"/>
  <c r="S64" i="6"/>
  <c r="AD64" i="6"/>
  <c r="AQ64" i="6"/>
  <c r="AM65" i="6"/>
  <c r="AW65" i="6"/>
  <c r="AT66" i="6"/>
  <c r="AV67" i="6"/>
  <c r="AN67" i="6"/>
  <c r="AX67" i="6"/>
  <c r="AO67" i="6"/>
  <c r="AT67" i="6"/>
  <c r="AS67" i="6"/>
  <c r="AV71" i="6"/>
  <c r="AN71" i="6"/>
  <c r="AX71" i="6"/>
  <c r="AO71" i="6"/>
  <c r="AW71" i="6"/>
  <c r="AM71" i="6"/>
  <c r="BB71" i="6"/>
  <c r="AQ71" i="6"/>
  <c r="AU71" i="6"/>
  <c r="Q72" i="6"/>
  <c r="BP72" i="6"/>
  <c r="BQ72" i="6" s="1"/>
  <c r="BR72" i="6" s="1"/>
  <c r="AZ72" i="6"/>
  <c r="AR72" i="6"/>
  <c r="AY72" i="6"/>
  <c r="AP72" i="6"/>
  <c r="AX72" i="6"/>
  <c r="AO72" i="6"/>
  <c r="AV72" i="6"/>
  <c r="AK72" i="6"/>
  <c r="AU72" i="6"/>
  <c r="S73" i="6"/>
  <c r="AM74" i="6"/>
  <c r="AK76" i="6"/>
  <c r="BA51" i="6"/>
  <c r="AS51" i="6"/>
  <c r="AK51" i="6"/>
  <c r="AR51" i="6"/>
  <c r="BB51" i="6"/>
  <c r="BA55" i="6"/>
  <c r="AS55" i="6"/>
  <c r="AK55" i="6"/>
  <c r="AR55" i="6"/>
  <c r="BB55" i="6"/>
  <c r="AL56" i="6"/>
  <c r="AU56" i="6"/>
  <c r="AQ58" i="6"/>
  <c r="BA59" i="6"/>
  <c r="AS59" i="6"/>
  <c r="AK59" i="6"/>
  <c r="AR59" i="6"/>
  <c r="BB59" i="6"/>
  <c r="AL60" i="6"/>
  <c r="AU60" i="6"/>
  <c r="AP61" i="6"/>
  <c r="AZ61" i="6"/>
  <c r="BA63" i="6"/>
  <c r="AS63" i="6"/>
  <c r="AK63" i="6"/>
  <c r="BP63" i="6"/>
  <c r="BQ63" i="6" s="1"/>
  <c r="BR63" i="6" s="1"/>
  <c r="AY63" i="6"/>
  <c r="AP63" i="6"/>
  <c r="AT63" i="6"/>
  <c r="AW64" i="6"/>
  <c r="AO64" i="6"/>
  <c r="BB64" i="6"/>
  <c r="AS64" i="6"/>
  <c r="AR64" i="6"/>
  <c r="BC64" i="6"/>
  <c r="AN65" i="6"/>
  <c r="AX65" i="6"/>
  <c r="AK66" i="6"/>
  <c r="AU66" i="6"/>
  <c r="BP70" i="6"/>
  <c r="BQ70" i="6" s="1"/>
  <c r="BR70" i="6" s="1"/>
  <c r="AZ70" i="6"/>
  <c r="AR70" i="6"/>
  <c r="AU70" i="6"/>
  <c r="AL70" i="6"/>
  <c r="BA70" i="6"/>
  <c r="AP70" i="6"/>
  <c r="AT70" i="6"/>
  <c r="AN74" i="6"/>
  <c r="AL76" i="6"/>
  <c r="AK79" i="6"/>
  <c r="AW58" i="6"/>
  <c r="AO58" i="6"/>
  <c r="AR58" i="6"/>
  <c r="BA58" i="6"/>
  <c r="AQ61" i="6"/>
  <c r="BB61" i="6"/>
  <c r="AO65" i="6"/>
  <c r="AY65" i="6"/>
  <c r="BP65" i="6"/>
  <c r="BQ65" i="6" s="1"/>
  <c r="BR65" i="6" s="1"/>
  <c r="AL66" i="6"/>
  <c r="AV66" i="6"/>
  <c r="BP66" i="6"/>
  <c r="BQ66" i="6" s="1"/>
  <c r="BR66" i="6" s="1"/>
  <c r="X72" i="6"/>
  <c r="P72" i="6"/>
  <c r="AD72" i="6"/>
  <c r="U72" i="6"/>
  <c r="L72" i="6"/>
  <c r="AC72" i="6"/>
  <c r="T72" i="6"/>
  <c r="V72" i="6"/>
  <c r="S72" i="6"/>
  <c r="BI73" i="6"/>
  <c r="BJ73" i="6" s="1"/>
  <c r="BK73" i="6" s="1"/>
  <c r="AB73" i="6"/>
  <c r="T73" i="6"/>
  <c r="L73" i="6"/>
  <c r="W73" i="6"/>
  <c r="N73" i="6"/>
  <c r="V73" i="6"/>
  <c r="M73" i="6"/>
  <c r="AC73" i="6"/>
  <c r="Q73" i="6"/>
  <c r="X73" i="6"/>
  <c r="AP74" i="6"/>
  <c r="AQ76" i="6"/>
  <c r="AQ79" i="6"/>
  <c r="AC44" i="6"/>
  <c r="U44" i="6"/>
  <c r="M44" i="6"/>
  <c r="R44" i="6"/>
  <c r="AA44" i="6"/>
  <c r="AC48" i="6"/>
  <c r="U48" i="6"/>
  <c r="M48" i="6"/>
  <c r="R48" i="6"/>
  <c r="AA48" i="6"/>
  <c r="AL51" i="6"/>
  <c r="AU51" i="6"/>
  <c r="AC52" i="6"/>
  <c r="U52" i="6"/>
  <c r="M52" i="6"/>
  <c r="R52" i="6"/>
  <c r="AA52" i="6"/>
  <c r="AL55" i="6"/>
  <c r="AU55" i="6"/>
  <c r="AC56" i="6"/>
  <c r="U56" i="6"/>
  <c r="M56" i="6"/>
  <c r="R56" i="6"/>
  <c r="AA56" i="6"/>
  <c r="AN56" i="6"/>
  <c r="AX56" i="6"/>
  <c r="AS58" i="6"/>
  <c r="BB58" i="6"/>
  <c r="AL59" i="6"/>
  <c r="AU59" i="6"/>
  <c r="AC60" i="6"/>
  <c r="U60" i="6"/>
  <c r="M60" i="6"/>
  <c r="R60" i="6"/>
  <c r="AA60" i="6"/>
  <c r="AN60" i="6"/>
  <c r="AX60" i="6"/>
  <c r="BP60" i="6"/>
  <c r="BQ60" i="6" s="1"/>
  <c r="BR60" i="6" s="1"/>
  <c r="AR61" i="6"/>
  <c r="AL63" i="6"/>
  <c r="AV63" i="6"/>
  <c r="L64" i="6"/>
  <c r="X64" i="6"/>
  <c r="AK64" i="6"/>
  <c r="AU64" i="6"/>
  <c r="AP65" i="6"/>
  <c r="AZ65" i="6"/>
  <c r="AM66" i="6"/>
  <c r="AY66" i="6"/>
  <c r="AL67" i="6"/>
  <c r="AY67" i="6"/>
  <c r="BI69" i="6"/>
  <c r="BJ69" i="6" s="1"/>
  <c r="BK69" i="6" s="1"/>
  <c r="AB69" i="6"/>
  <c r="T69" i="6"/>
  <c r="L69" i="6"/>
  <c r="W69" i="6"/>
  <c r="N69" i="6"/>
  <c r="U69" i="6"/>
  <c r="S69" i="6"/>
  <c r="AK70" i="6"/>
  <c r="AW70" i="6"/>
  <c r="AL71" i="6"/>
  <c r="BA71" i="6"/>
  <c r="W72" i="6"/>
  <c r="AM72" i="6"/>
  <c r="BB72" i="6"/>
  <c r="Y73" i="6"/>
  <c r="X74" i="6"/>
  <c r="P74" i="6"/>
  <c r="BI74" i="6"/>
  <c r="BJ74" i="6" s="1"/>
  <c r="BK74" i="6" s="1"/>
  <c r="Z74" i="6"/>
  <c r="Q74" i="6"/>
  <c r="Y74" i="6"/>
  <c r="O74" i="6"/>
  <c r="U74" i="6"/>
  <c r="AD74" i="6"/>
  <c r="S74" i="6"/>
  <c r="AA74" i="6"/>
  <c r="M74" i="6"/>
  <c r="W74" i="6"/>
  <c r="AQ74" i="6"/>
  <c r="AT76" i="6"/>
  <c r="AT79" i="6"/>
  <c r="BA61" i="6"/>
  <c r="AS61" i="6"/>
  <c r="AK61" i="6"/>
  <c r="AU61" i="6"/>
  <c r="AL61" i="6"/>
  <c r="AT61" i="6"/>
  <c r="AP66" i="6"/>
  <c r="AZ66" i="6"/>
  <c r="AY79" i="6"/>
  <c r="Q32" i="6"/>
  <c r="AQ38" i="6"/>
  <c r="AQ40" i="6"/>
  <c r="AZ40" i="6"/>
  <c r="BA41" i="6"/>
  <c r="AS41" i="6"/>
  <c r="AK41" i="6"/>
  <c r="AR41" i="6"/>
  <c r="BB41" i="6"/>
  <c r="T44" i="6"/>
  <c r="AD44" i="6"/>
  <c r="BA45" i="6"/>
  <c r="AS45" i="6"/>
  <c r="AK45" i="6"/>
  <c r="AR45" i="6"/>
  <c r="BB45" i="6"/>
  <c r="T48" i="6"/>
  <c r="AD48" i="6"/>
  <c r="BA49" i="6"/>
  <c r="AS49" i="6"/>
  <c r="AK49" i="6"/>
  <c r="AR49" i="6"/>
  <c r="BB49" i="6"/>
  <c r="AN51" i="6"/>
  <c r="AW51" i="6"/>
  <c r="T52" i="6"/>
  <c r="AD52" i="6"/>
  <c r="BA53" i="6"/>
  <c r="AS53" i="6"/>
  <c r="AK53" i="6"/>
  <c r="AR53" i="6"/>
  <c r="BB53" i="6"/>
  <c r="AN55" i="6"/>
  <c r="AW55" i="6"/>
  <c r="T56" i="6"/>
  <c r="AD56" i="6"/>
  <c r="AQ56" i="6"/>
  <c r="BA57" i="6"/>
  <c r="AS57" i="6"/>
  <c r="AK57" i="6"/>
  <c r="AR57" i="6"/>
  <c r="BB57" i="6"/>
  <c r="AL58" i="6"/>
  <c r="AU58" i="6"/>
  <c r="AN59" i="6"/>
  <c r="AW59" i="6"/>
  <c r="T60" i="6"/>
  <c r="AD60" i="6"/>
  <c r="AQ60" i="6"/>
  <c r="AV61" i="6"/>
  <c r="AW62" i="6"/>
  <c r="AO62" i="6"/>
  <c r="AX62" i="6"/>
  <c r="AN62" i="6"/>
  <c r="AS62" i="6"/>
  <c r="BC62" i="6"/>
  <c r="AN63" i="6"/>
  <c r="AX63" i="6"/>
  <c r="P64" i="6"/>
  <c r="Z64" i="6"/>
  <c r="AM64" i="6"/>
  <c r="AX64" i="6"/>
  <c r="BP64" i="6"/>
  <c r="BQ64" i="6" s="1"/>
  <c r="BR64" i="6" s="1"/>
  <c r="AR65" i="6"/>
  <c r="AQ66" i="6"/>
  <c r="BA66" i="6"/>
  <c r="AP67" i="6"/>
  <c r="BA67" i="6"/>
  <c r="X68" i="6"/>
  <c r="P68" i="6"/>
  <c r="AD68" i="6"/>
  <c r="U68" i="6"/>
  <c r="L68" i="6"/>
  <c r="BI68" i="6"/>
  <c r="BJ68" i="6" s="1"/>
  <c r="BK68" i="6" s="1"/>
  <c r="V68" i="6"/>
  <c r="S68" i="6"/>
  <c r="BP68" i="6"/>
  <c r="BQ68" i="6" s="1"/>
  <c r="BR68" i="6" s="1"/>
  <c r="AZ68" i="6"/>
  <c r="AR68" i="6"/>
  <c r="AY68" i="6"/>
  <c r="AP68" i="6"/>
  <c r="AT68" i="6"/>
  <c r="AS68" i="6"/>
  <c r="X69" i="6"/>
  <c r="AN70" i="6"/>
  <c r="AY70" i="6"/>
  <c r="AR71" i="6"/>
  <c r="M72" i="6"/>
  <c r="Z72" i="6"/>
  <c r="AQ72" i="6"/>
  <c r="BI72" i="6"/>
  <c r="BJ72" i="6" s="1"/>
  <c r="BK72" i="6" s="1"/>
  <c r="O73" i="6"/>
  <c r="AA73" i="6"/>
  <c r="AC74" i="6"/>
  <c r="BB79" i="6"/>
  <c r="AW56" i="6"/>
  <c r="AO56" i="6"/>
  <c r="AR56" i="6"/>
  <c r="BA56" i="6"/>
  <c r="AM58" i="6"/>
  <c r="AV58" i="6"/>
  <c r="AW60" i="6"/>
  <c r="AO60" i="6"/>
  <c r="BB60" i="6"/>
  <c r="AR60" i="6"/>
  <c r="BA60" i="6"/>
  <c r="AM61" i="6"/>
  <c r="AW61" i="6"/>
  <c r="BA65" i="6"/>
  <c r="AS65" i="6"/>
  <c r="AK65" i="6"/>
  <c r="AU65" i="6"/>
  <c r="AL65" i="6"/>
  <c r="AT65" i="6"/>
  <c r="AR66" i="6"/>
  <c r="BP74" i="6"/>
  <c r="BQ74" i="6" s="1"/>
  <c r="BR74" i="6" s="1"/>
  <c r="AZ74" i="6"/>
  <c r="AR74" i="6"/>
  <c r="AU74" i="6"/>
  <c r="AL74" i="6"/>
  <c r="BC74" i="6"/>
  <c r="AT74" i="6"/>
  <c r="AK74" i="6"/>
  <c r="AW74" i="6"/>
  <c r="AS74" i="6"/>
  <c r="BA74" i="6"/>
  <c r="AO74" i="6"/>
  <c r="AY74" i="6"/>
  <c r="BP76" i="6"/>
  <c r="BQ76" i="6" s="1"/>
  <c r="BR76" i="6" s="1"/>
  <c r="AZ76" i="6"/>
  <c r="AR76" i="6"/>
  <c r="AY76" i="6"/>
  <c r="AP76" i="6"/>
  <c r="AX76" i="6"/>
  <c r="AO76" i="6"/>
  <c r="AU76" i="6"/>
  <c r="AS76" i="6"/>
  <c r="BB76" i="6"/>
  <c r="AN76" i="6"/>
  <c r="BA76" i="6"/>
  <c r="AM76" i="6"/>
  <c r="BC76" i="6"/>
  <c r="AN61" i="6"/>
  <c r="AX61" i="6"/>
  <c r="AW66" i="6"/>
  <c r="AO66" i="6"/>
  <c r="AX66" i="6"/>
  <c r="AN66" i="6"/>
  <c r="AS66" i="6"/>
  <c r="BC66" i="6"/>
  <c r="AV79" i="6"/>
  <c r="AN79" i="6"/>
  <c r="AX79" i="6"/>
  <c r="AO79" i="6"/>
  <c r="AW79" i="6"/>
  <c r="AM79" i="6"/>
  <c r="BA79" i="6"/>
  <c r="AP79" i="6"/>
  <c r="AZ79" i="6"/>
  <c r="AL79" i="6"/>
  <c r="AU79" i="6"/>
  <c r="AS79" i="6"/>
  <c r="BC79" i="6"/>
  <c r="AR79" i="6"/>
  <c r="W80" i="6"/>
  <c r="R81" i="6"/>
  <c r="AD81" i="6"/>
  <c r="V82" i="6"/>
  <c r="AM82" i="6"/>
  <c r="AX82" i="6"/>
  <c r="O84" i="6"/>
  <c r="AB84" i="6"/>
  <c r="Z88" i="6"/>
  <c r="BI88" i="6"/>
  <c r="BJ88" i="6" s="1"/>
  <c r="BK88" i="6" s="1"/>
  <c r="BB91" i="6"/>
  <c r="AA101" i="6"/>
  <c r="S101" i="6"/>
  <c r="V101" i="6"/>
  <c r="M101" i="6"/>
  <c r="AB101" i="6"/>
  <c r="R101" i="6"/>
  <c r="AD101" i="6"/>
  <c r="Q101" i="6"/>
  <c r="BI101" i="6"/>
  <c r="BJ101" i="6" s="1"/>
  <c r="BK101" i="6" s="1"/>
  <c r="AC101" i="6"/>
  <c r="P101" i="6"/>
  <c r="Z101" i="6"/>
  <c r="O101" i="6"/>
  <c r="Y101" i="6"/>
  <c r="N101" i="6"/>
  <c r="X101" i="6"/>
  <c r="L101" i="6"/>
  <c r="W101" i="6"/>
  <c r="U101" i="6"/>
  <c r="AV75" i="6"/>
  <c r="AN75" i="6"/>
  <c r="AX75" i="6"/>
  <c r="AO75" i="6"/>
  <c r="AW75" i="6"/>
  <c r="AM75" i="6"/>
  <c r="AT75" i="6"/>
  <c r="BP75" i="6"/>
  <c r="BQ75" i="6" s="1"/>
  <c r="BR75" i="6" s="1"/>
  <c r="BI77" i="6"/>
  <c r="BJ77" i="6" s="1"/>
  <c r="BK77" i="6" s="1"/>
  <c r="AB77" i="6"/>
  <c r="T77" i="6"/>
  <c r="L77" i="6"/>
  <c r="W77" i="6"/>
  <c r="N77" i="6"/>
  <c r="V77" i="6"/>
  <c r="M77" i="6"/>
  <c r="U77" i="6"/>
  <c r="M80" i="6"/>
  <c r="Y80" i="6"/>
  <c r="L82" i="6"/>
  <c r="W82" i="6"/>
  <c r="AN82" i="6"/>
  <c r="AY82" i="6"/>
  <c r="Q84" i="6"/>
  <c r="N88" i="6"/>
  <c r="AA88" i="6"/>
  <c r="AK91" i="6"/>
  <c r="BC91" i="6"/>
  <c r="BI81" i="6"/>
  <c r="BJ81" i="6" s="1"/>
  <c r="BK81" i="6" s="1"/>
  <c r="AB81" i="6"/>
  <c r="T81" i="6"/>
  <c r="L81" i="6"/>
  <c r="W81" i="6"/>
  <c r="N81" i="6"/>
  <c r="V81" i="6"/>
  <c r="M81" i="6"/>
  <c r="U81" i="6"/>
  <c r="R84" i="6"/>
  <c r="BC99" i="6"/>
  <c r="AU99" i="6"/>
  <c r="AM99" i="6"/>
  <c r="BP99" i="6"/>
  <c r="BQ99" i="6" s="1"/>
  <c r="BR99" i="6" s="1"/>
  <c r="AY99" i="6"/>
  <c r="AP99" i="6"/>
  <c r="AV99" i="6"/>
  <c r="AL99" i="6"/>
  <c r="AS99" i="6"/>
  <c r="AR99" i="6"/>
  <c r="BB99" i="6"/>
  <c r="AQ99" i="6"/>
  <c r="BA99" i="6"/>
  <c r="AO99" i="6"/>
  <c r="AZ99" i="6"/>
  <c r="AN99" i="6"/>
  <c r="AX99" i="6"/>
  <c r="AK99" i="6"/>
  <c r="AW99" i="6"/>
  <c r="AK75" i="6"/>
  <c r="AY75" i="6"/>
  <c r="Y77" i="6"/>
  <c r="O80" i="6"/>
  <c r="AA80" i="6"/>
  <c r="X81" i="6"/>
  <c r="N82" i="6"/>
  <c r="AB82" i="6"/>
  <c r="AP82" i="6"/>
  <c r="BB82" i="6"/>
  <c r="AV83" i="6"/>
  <c r="AN83" i="6"/>
  <c r="BP83" i="6"/>
  <c r="BQ83" i="6" s="1"/>
  <c r="BR83" i="6" s="1"/>
  <c r="AY83" i="6"/>
  <c r="AP83" i="6"/>
  <c r="AX83" i="6"/>
  <c r="AO83" i="6"/>
  <c r="AW83" i="6"/>
  <c r="AM83" i="6"/>
  <c r="AU83" i="6"/>
  <c r="BI85" i="6"/>
  <c r="BJ85" i="6" s="1"/>
  <c r="BK85" i="6" s="1"/>
  <c r="AB85" i="6"/>
  <c r="T85" i="6"/>
  <c r="L85" i="6"/>
  <c r="X85" i="6"/>
  <c r="O85" i="6"/>
  <c r="W85" i="6"/>
  <c r="N85" i="6"/>
  <c r="V85" i="6"/>
  <c r="M85" i="6"/>
  <c r="Y85" i="6"/>
  <c r="BP86" i="6"/>
  <c r="BQ86" i="6" s="1"/>
  <c r="BR86" i="6" s="1"/>
  <c r="AZ86" i="6"/>
  <c r="AR86" i="6"/>
  <c r="AV86" i="6"/>
  <c r="AM86" i="6"/>
  <c r="AU86" i="6"/>
  <c r="AL86" i="6"/>
  <c r="BC86" i="6"/>
  <c r="AT86" i="6"/>
  <c r="AK86" i="6"/>
  <c r="AX86" i="6"/>
  <c r="Q88" i="6"/>
  <c r="AR91" i="6"/>
  <c r="W96" i="6"/>
  <c r="O96" i="6"/>
  <c r="BI96" i="6"/>
  <c r="BJ96" i="6" s="1"/>
  <c r="BK96" i="6" s="1"/>
  <c r="Z96" i="6"/>
  <c r="Q96" i="6"/>
  <c r="V96" i="6"/>
  <c r="M96" i="6"/>
  <c r="AD96" i="6"/>
  <c r="S96" i="6"/>
  <c r="AC96" i="6"/>
  <c r="R96" i="6"/>
  <c r="AB96" i="6"/>
  <c r="P96" i="6"/>
  <c r="AA96" i="6"/>
  <c r="N96" i="6"/>
  <c r="Y96" i="6"/>
  <c r="L96" i="6"/>
  <c r="X96" i="6"/>
  <c r="U96" i="6"/>
  <c r="T101" i="6"/>
  <c r="X84" i="6"/>
  <c r="P84" i="6"/>
  <c r="V84" i="6"/>
  <c r="M84" i="6"/>
  <c r="AD84" i="6"/>
  <c r="U84" i="6"/>
  <c r="L84" i="6"/>
  <c r="AC84" i="6"/>
  <c r="T84" i="6"/>
  <c r="W84" i="6"/>
  <c r="AT99" i="6"/>
  <c r="AC62" i="6"/>
  <c r="U62" i="6"/>
  <c r="M62" i="6"/>
  <c r="R62" i="6"/>
  <c r="AA62" i="6"/>
  <c r="AC66" i="6"/>
  <c r="U66" i="6"/>
  <c r="M66" i="6"/>
  <c r="R66" i="6"/>
  <c r="AA66" i="6"/>
  <c r="AV69" i="6"/>
  <c r="AN69" i="6"/>
  <c r="BB69" i="6"/>
  <c r="AS69" i="6"/>
  <c r="AR69" i="6"/>
  <c r="BC69" i="6"/>
  <c r="X70" i="6"/>
  <c r="P70" i="6"/>
  <c r="BI70" i="6"/>
  <c r="BJ70" i="6" s="1"/>
  <c r="BK70" i="6" s="1"/>
  <c r="Z70" i="6"/>
  <c r="Q70" i="6"/>
  <c r="S70" i="6"/>
  <c r="AC70" i="6"/>
  <c r="AP75" i="6"/>
  <c r="BA75" i="6"/>
  <c r="X76" i="6"/>
  <c r="P76" i="6"/>
  <c r="AD76" i="6"/>
  <c r="U76" i="6"/>
  <c r="L76" i="6"/>
  <c r="AC76" i="6"/>
  <c r="T76" i="6"/>
  <c r="S76" i="6"/>
  <c r="P77" i="6"/>
  <c r="AA77" i="6"/>
  <c r="X78" i="6"/>
  <c r="P78" i="6"/>
  <c r="BI78" i="6"/>
  <c r="BJ78" i="6" s="1"/>
  <c r="BK78" i="6" s="1"/>
  <c r="Z78" i="6"/>
  <c r="Q78" i="6"/>
  <c r="Y78" i="6"/>
  <c r="O78" i="6"/>
  <c r="T78" i="6"/>
  <c r="BP78" i="6"/>
  <c r="BQ78" i="6" s="1"/>
  <c r="BR78" i="6" s="1"/>
  <c r="AZ78" i="6"/>
  <c r="AR78" i="6"/>
  <c r="AU78" i="6"/>
  <c r="AL78" i="6"/>
  <c r="BC78" i="6"/>
  <c r="AT78" i="6"/>
  <c r="AK78" i="6"/>
  <c r="AV78" i="6"/>
  <c r="BP80" i="6"/>
  <c r="BQ80" i="6" s="1"/>
  <c r="BR80" i="6" s="1"/>
  <c r="AZ80" i="6"/>
  <c r="AR80" i="6"/>
  <c r="AY80" i="6"/>
  <c r="AP80" i="6"/>
  <c r="AX80" i="6"/>
  <c r="AO80" i="6"/>
  <c r="AT80" i="6"/>
  <c r="O81" i="6"/>
  <c r="Z81" i="6"/>
  <c r="S82" i="6"/>
  <c r="AK83" i="6"/>
  <c r="BA83" i="6"/>
  <c r="Y84" i="6"/>
  <c r="AA85" i="6"/>
  <c r="AN86" i="6"/>
  <c r="BA86" i="6"/>
  <c r="AV87" i="6"/>
  <c r="AN87" i="6"/>
  <c r="BP87" i="6"/>
  <c r="BQ87" i="6" s="1"/>
  <c r="BR87" i="6" s="1"/>
  <c r="AY87" i="6"/>
  <c r="AP87" i="6"/>
  <c r="AX87" i="6"/>
  <c r="AO87" i="6"/>
  <c r="AW87" i="6"/>
  <c r="AM87" i="6"/>
  <c r="AU87" i="6"/>
  <c r="BI89" i="6"/>
  <c r="BJ89" i="6" s="1"/>
  <c r="BK89" i="6" s="1"/>
  <c r="AB89" i="6"/>
  <c r="T89" i="6"/>
  <c r="L89" i="6"/>
  <c r="X89" i="6"/>
  <c r="O89" i="6"/>
  <c r="W89" i="6"/>
  <c r="N89" i="6"/>
  <c r="V89" i="6"/>
  <c r="M89" i="6"/>
  <c r="Y89" i="6"/>
  <c r="BP90" i="6"/>
  <c r="BQ90" i="6" s="1"/>
  <c r="BR90" i="6" s="1"/>
  <c r="AZ90" i="6"/>
  <c r="AR90" i="6"/>
  <c r="AV90" i="6"/>
  <c r="AM90" i="6"/>
  <c r="AU90" i="6"/>
  <c r="AL90" i="6"/>
  <c r="BC90" i="6"/>
  <c r="AT90" i="6"/>
  <c r="AK90" i="6"/>
  <c r="AX90" i="6"/>
  <c r="X92" i="6"/>
  <c r="P92" i="6"/>
  <c r="BI92" i="6"/>
  <c r="BJ92" i="6" s="1"/>
  <c r="BK92" i="6" s="1"/>
  <c r="W92" i="6"/>
  <c r="N92" i="6"/>
  <c r="V92" i="6"/>
  <c r="M92" i="6"/>
  <c r="AD92" i="6"/>
  <c r="U92" i="6"/>
  <c r="L92" i="6"/>
  <c r="AC92" i="6"/>
  <c r="T92" i="6"/>
  <c r="Z92" i="6"/>
  <c r="X80" i="6"/>
  <c r="P80" i="6"/>
  <c r="AD80" i="6"/>
  <c r="U80" i="6"/>
  <c r="L80" i="6"/>
  <c r="AC80" i="6"/>
  <c r="T80" i="6"/>
  <c r="S80" i="6"/>
  <c r="P81" i="6"/>
  <c r="AA81" i="6"/>
  <c r="X82" i="6"/>
  <c r="P82" i="6"/>
  <c r="BI82" i="6"/>
  <c r="BJ82" i="6" s="1"/>
  <c r="BK82" i="6" s="1"/>
  <c r="Z82" i="6"/>
  <c r="Q82" i="6"/>
  <c r="Y82" i="6"/>
  <c r="O82" i="6"/>
  <c r="T82" i="6"/>
  <c r="BP82" i="6"/>
  <c r="BQ82" i="6" s="1"/>
  <c r="BR82" i="6" s="1"/>
  <c r="AZ82" i="6"/>
  <c r="AR82" i="6"/>
  <c r="AU82" i="6"/>
  <c r="AL82" i="6"/>
  <c r="BC82" i="6"/>
  <c r="AT82" i="6"/>
  <c r="AK82" i="6"/>
  <c r="AV82" i="6"/>
  <c r="Z84" i="6"/>
  <c r="BI84" i="6"/>
  <c r="BJ84" i="6" s="1"/>
  <c r="BK84" i="6" s="1"/>
  <c r="X88" i="6"/>
  <c r="P88" i="6"/>
  <c r="V88" i="6"/>
  <c r="M88" i="6"/>
  <c r="AD88" i="6"/>
  <c r="U88" i="6"/>
  <c r="L88" i="6"/>
  <c r="AC88" i="6"/>
  <c r="T88" i="6"/>
  <c r="W88" i="6"/>
  <c r="BC95" i="6"/>
  <c r="AU95" i="6"/>
  <c r="AM95" i="6"/>
  <c r="AZ95" i="6"/>
  <c r="AQ95" i="6"/>
  <c r="BB95" i="6"/>
  <c r="AR95" i="6"/>
  <c r="BA95" i="6"/>
  <c r="AP95" i="6"/>
  <c r="AY95" i="6"/>
  <c r="AO95" i="6"/>
  <c r="BP95" i="6"/>
  <c r="BQ95" i="6" s="1"/>
  <c r="BR95" i="6" s="1"/>
  <c r="AX95" i="6"/>
  <c r="AN95" i="6"/>
  <c r="AW95" i="6"/>
  <c r="AL95" i="6"/>
  <c r="AV95" i="6"/>
  <c r="AK95" i="6"/>
  <c r="AT95" i="6"/>
  <c r="AA99" i="6"/>
  <c r="S99" i="6"/>
  <c r="AC99" i="6"/>
  <c r="T99" i="6"/>
  <c r="Y99" i="6"/>
  <c r="P99" i="6"/>
  <c r="AD99" i="6"/>
  <c r="Q99" i="6"/>
  <c r="BI99" i="6"/>
  <c r="BJ99" i="6" s="1"/>
  <c r="BK99" i="6" s="1"/>
  <c r="AB99" i="6"/>
  <c r="O99" i="6"/>
  <c r="Z99" i="6"/>
  <c r="N99" i="6"/>
  <c r="X99" i="6"/>
  <c r="M99" i="6"/>
  <c r="W99" i="6"/>
  <c r="L99" i="6"/>
  <c r="V99" i="6"/>
  <c r="U99" i="6"/>
  <c r="AA103" i="6"/>
  <c r="S103" i="6"/>
  <c r="BI103" i="6"/>
  <c r="BJ103" i="6" s="1"/>
  <c r="BK103" i="6" s="1"/>
  <c r="X103" i="6"/>
  <c r="O103" i="6"/>
  <c r="AD103" i="6"/>
  <c r="U103" i="6"/>
  <c r="L103" i="6"/>
  <c r="R103" i="6"/>
  <c r="AC103" i="6"/>
  <c r="Q103" i="6"/>
  <c r="AB103" i="6"/>
  <c r="P103" i="6"/>
  <c r="Z103" i="6"/>
  <c r="N103" i="6"/>
  <c r="Y103" i="6"/>
  <c r="M103" i="6"/>
  <c r="W103" i="6"/>
  <c r="V103" i="6"/>
  <c r="Q81" i="6"/>
  <c r="AC81" i="6"/>
  <c r="N84" i="6"/>
  <c r="AA84" i="6"/>
  <c r="AV91" i="6"/>
  <c r="AN91" i="6"/>
  <c r="AZ91" i="6"/>
  <c r="AQ91" i="6"/>
  <c r="BP91" i="6"/>
  <c r="BQ91" i="6" s="1"/>
  <c r="BR91" i="6" s="1"/>
  <c r="AY91" i="6"/>
  <c r="AP91" i="6"/>
  <c r="AX91" i="6"/>
  <c r="AO91" i="6"/>
  <c r="AW91" i="6"/>
  <c r="AM91" i="6"/>
  <c r="BA91" i="6"/>
  <c r="W112" i="6"/>
  <c r="O112" i="6"/>
  <c r="AD112" i="6"/>
  <c r="U112" i="6"/>
  <c r="L112" i="6"/>
  <c r="BI112" i="6"/>
  <c r="BJ112" i="6" s="1"/>
  <c r="BK112" i="6" s="1"/>
  <c r="Z112" i="6"/>
  <c r="Q112" i="6"/>
  <c r="X112" i="6"/>
  <c r="N112" i="6"/>
  <c r="V112" i="6"/>
  <c r="M112" i="6"/>
  <c r="AA112" i="6"/>
  <c r="W120" i="6"/>
  <c r="O120" i="6"/>
  <c r="AD120" i="6"/>
  <c r="U120" i="6"/>
  <c r="L120" i="6"/>
  <c r="AC120" i="6"/>
  <c r="T120" i="6"/>
  <c r="BI120" i="6"/>
  <c r="BJ120" i="6" s="1"/>
  <c r="BK120" i="6" s="1"/>
  <c r="Z120" i="6"/>
  <c r="Q120" i="6"/>
  <c r="X120" i="6"/>
  <c r="N120" i="6"/>
  <c r="V120" i="6"/>
  <c r="M120" i="6"/>
  <c r="AB120" i="6"/>
  <c r="BC97" i="6"/>
  <c r="AU97" i="6"/>
  <c r="AM97" i="6"/>
  <c r="AW97" i="6"/>
  <c r="AN97" i="6"/>
  <c r="BB97" i="6"/>
  <c r="AS97" i="6"/>
  <c r="AT97" i="6"/>
  <c r="X109" i="6"/>
  <c r="AB112" i="6"/>
  <c r="AV73" i="6"/>
  <c r="AN73" i="6"/>
  <c r="AR73" i="6"/>
  <c r="BA73" i="6"/>
  <c r="AV77" i="6"/>
  <c r="AN77" i="6"/>
  <c r="AR77" i="6"/>
  <c r="BA77" i="6"/>
  <c r="AV81" i="6"/>
  <c r="AN81" i="6"/>
  <c r="AR81" i="6"/>
  <c r="BA81" i="6"/>
  <c r="AO84" i="6"/>
  <c r="AX84" i="6"/>
  <c r="AV85" i="6"/>
  <c r="AN85" i="6"/>
  <c r="AR85" i="6"/>
  <c r="BA85" i="6"/>
  <c r="O86" i="6"/>
  <c r="Y86" i="6"/>
  <c r="AO88" i="6"/>
  <c r="AX88" i="6"/>
  <c r="AV89" i="6"/>
  <c r="AN89" i="6"/>
  <c r="AR89" i="6"/>
  <c r="BA89" i="6"/>
  <c r="O90" i="6"/>
  <c r="Y90" i="6"/>
  <c r="AO92" i="6"/>
  <c r="AX92" i="6"/>
  <c r="M93" i="6"/>
  <c r="V93" i="6"/>
  <c r="BC93" i="6"/>
  <c r="AU93" i="6"/>
  <c r="AM93" i="6"/>
  <c r="AX93" i="6"/>
  <c r="AO93" i="6"/>
  <c r="AS93" i="6"/>
  <c r="BI93" i="6"/>
  <c r="BJ93" i="6" s="1"/>
  <c r="BK93" i="6" s="1"/>
  <c r="W94" i="6"/>
  <c r="O94" i="6"/>
  <c r="AC94" i="6"/>
  <c r="T94" i="6"/>
  <c r="R94" i="6"/>
  <c r="AB94" i="6"/>
  <c r="M95" i="6"/>
  <c r="W95" i="6"/>
  <c r="AV97" i="6"/>
  <c r="BP97" i="6"/>
  <c r="BQ97" i="6" s="1"/>
  <c r="BR97" i="6" s="1"/>
  <c r="L98" i="6"/>
  <c r="X98" i="6"/>
  <c r="BI98" i="6"/>
  <c r="BJ98" i="6" s="1"/>
  <c r="BK98" i="6" s="1"/>
  <c r="P102" i="6"/>
  <c r="AA102" i="6"/>
  <c r="AN103" i="6"/>
  <c r="AY103" i="6"/>
  <c r="S104" i="6"/>
  <c r="L106" i="6"/>
  <c r="AA106" i="6"/>
  <c r="L109" i="6"/>
  <c r="Y109" i="6"/>
  <c r="W110" i="6"/>
  <c r="O110" i="6"/>
  <c r="X110" i="6"/>
  <c r="N110" i="6"/>
  <c r="AD110" i="6"/>
  <c r="U110" i="6"/>
  <c r="L110" i="6"/>
  <c r="AC110" i="6"/>
  <c r="T110" i="6"/>
  <c r="V110" i="6"/>
  <c r="BI110" i="6"/>
  <c r="BJ110" i="6" s="1"/>
  <c r="BK110" i="6" s="1"/>
  <c r="AA111" i="6"/>
  <c r="S111" i="6"/>
  <c r="BI111" i="6"/>
  <c r="BJ111" i="6" s="1"/>
  <c r="BK111" i="6" s="1"/>
  <c r="X111" i="6"/>
  <c r="O111" i="6"/>
  <c r="V111" i="6"/>
  <c r="M111" i="6"/>
  <c r="AD111" i="6"/>
  <c r="U111" i="6"/>
  <c r="L111" i="6"/>
  <c r="W111" i="6"/>
  <c r="AC112" i="6"/>
  <c r="AS115" i="6"/>
  <c r="N119" i="6"/>
  <c r="Q41" i="6"/>
  <c r="AE41" i="6" s="1"/>
  <c r="AG41" i="6" s="1"/>
  <c r="BL41" i="6" s="1"/>
  <c r="Q43" i="6"/>
  <c r="AE43" i="6" s="1"/>
  <c r="AF43" i="6" s="1"/>
  <c r="Q45" i="6"/>
  <c r="Q47" i="6"/>
  <c r="Q49" i="6"/>
  <c r="Q51" i="6"/>
  <c r="Q53" i="6"/>
  <c r="AE53" i="6" s="1"/>
  <c r="AG53" i="6" s="1"/>
  <c r="BL53" i="6" s="1"/>
  <c r="Q55" i="6"/>
  <c r="Q57" i="6"/>
  <c r="AE57" i="6" s="1"/>
  <c r="Q59" i="6"/>
  <c r="AE59" i="6" s="1"/>
  <c r="AG59" i="6" s="1"/>
  <c r="BL59" i="6" s="1"/>
  <c r="Q61" i="6"/>
  <c r="Q63" i="6"/>
  <c r="Q65" i="6"/>
  <c r="BI67" i="6"/>
  <c r="BJ67" i="6" s="1"/>
  <c r="BK67" i="6" s="1"/>
  <c r="AB67" i="6"/>
  <c r="T67" i="6"/>
  <c r="L67" i="6"/>
  <c r="R67" i="6"/>
  <c r="AA67" i="6"/>
  <c r="BI71" i="6"/>
  <c r="BJ71" i="6" s="1"/>
  <c r="BK71" i="6" s="1"/>
  <c r="AB71" i="6"/>
  <c r="T71" i="6"/>
  <c r="L71" i="6"/>
  <c r="R71" i="6"/>
  <c r="AA71" i="6"/>
  <c r="AS73" i="6"/>
  <c r="BB73" i="6"/>
  <c r="BI75" i="6"/>
  <c r="BJ75" i="6" s="1"/>
  <c r="BK75" i="6" s="1"/>
  <c r="AB75" i="6"/>
  <c r="T75" i="6"/>
  <c r="L75" i="6"/>
  <c r="R75" i="6"/>
  <c r="AA75" i="6"/>
  <c r="AS77" i="6"/>
  <c r="BB77" i="6"/>
  <c r="BI79" i="6"/>
  <c r="BJ79" i="6" s="1"/>
  <c r="BK79" i="6" s="1"/>
  <c r="AB79" i="6"/>
  <c r="T79" i="6"/>
  <c r="L79" i="6"/>
  <c r="R79" i="6"/>
  <c r="AA79" i="6"/>
  <c r="AS81" i="6"/>
  <c r="BB81" i="6"/>
  <c r="BI83" i="6"/>
  <c r="BJ83" i="6" s="1"/>
  <c r="BK83" i="6" s="1"/>
  <c r="AB83" i="6"/>
  <c r="T83" i="6"/>
  <c r="L83" i="6"/>
  <c r="R83" i="6"/>
  <c r="AA83" i="6"/>
  <c r="AP84" i="6"/>
  <c r="AS85" i="6"/>
  <c r="BB85" i="6"/>
  <c r="Q86" i="6"/>
  <c r="Z86" i="6"/>
  <c r="BI87" i="6"/>
  <c r="BJ87" i="6" s="1"/>
  <c r="BK87" i="6" s="1"/>
  <c r="AB87" i="6"/>
  <c r="T87" i="6"/>
  <c r="L87" i="6"/>
  <c r="R87" i="6"/>
  <c r="AA87" i="6"/>
  <c r="AP88" i="6"/>
  <c r="AS89" i="6"/>
  <c r="BB89" i="6"/>
  <c r="Q90" i="6"/>
  <c r="Z90" i="6"/>
  <c r="BI91" i="6"/>
  <c r="BJ91" i="6" s="1"/>
  <c r="BK91" i="6" s="1"/>
  <c r="AB91" i="6"/>
  <c r="T91" i="6"/>
  <c r="L91" i="6"/>
  <c r="R91" i="6"/>
  <c r="AA91" i="6"/>
  <c r="AP92" i="6"/>
  <c r="N93" i="6"/>
  <c r="W93" i="6"/>
  <c r="AT93" i="6"/>
  <c r="S94" i="6"/>
  <c r="AD94" i="6"/>
  <c r="N95" i="6"/>
  <c r="X95" i="6"/>
  <c r="AK97" i="6"/>
  <c r="AX97" i="6"/>
  <c r="M98" i="6"/>
  <c r="Z98" i="6"/>
  <c r="Q102" i="6"/>
  <c r="AB102" i="6"/>
  <c r="AO103" i="6"/>
  <c r="BA103" i="6"/>
  <c r="W104" i="6"/>
  <c r="O104" i="6"/>
  <c r="BI104" i="6"/>
  <c r="BJ104" i="6" s="1"/>
  <c r="BK104" i="6" s="1"/>
  <c r="Z104" i="6"/>
  <c r="Q104" i="6"/>
  <c r="V104" i="6"/>
  <c r="M104" i="6"/>
  <c r="T104" i="6"/>
  <c r="M106" i="6"/>
  <c r="AC106" i="6"/>
  <c r="BC107" i="6"/>
  <c r="AU107" i="6"/>
  <c r="AM107" i="6"/>
  <c r="BP107" i="6"/>
  <c r="BQ107" i="6" s="1"/>
  <c r="BR107" i="6" s="1"/>
  <c r="AY107" i="6"/>
  <c r="AP107" i="6"/>
  <c r="AW107" i="6"/>
  <c r="AN107" i="6"/>
  <c r="AV107" i="6"/>
  <c r="AL107" i="6"/>
  <c r="AX107" i="6"/>
  <c r="N109" i="6"/>
  <c r="Z109" i="6"/>
  <c r="BI109" i="6"/>
  <c r="BJ109" i="6" s="1"/>
  <c r="BK109" i="6" s="1"/>
  <c r="P112" i="6"/>
  <c r="W114" i="6"/>
  <c r="O114" i="6"/>
  <c r="X114" i="6"/>
  <c r="N114" i="6"/>
  <c r="AB114" i="6"/>
  <c r="S114" i="6"/>
  <c r="BI114" i="6"/>
  <c r="BJ114" i="6" s="1"/>
  <c r="BK114" i="6" s="1"/>
  <c r="Z114" i="6"/>
  <c r="Q114" i="6"/>
  <c r="Y114" i="6"/>
  <c r="P114" i="6"/>
  <c r="V114" i="6"/>
  <c r="P119" i="6"/>
  <c r="P120" i="6"/>
  <c r="BP84" i="6"/>
  <c r="BQ84" i="6" s="1"/>
  <c r="BR84" i="6" s="1"/>
  <c r="AZ84" i="6"/>
  <c r="AR84" i="6"/>
  <c r="AQ84" i="6"/>
  <c r="BA84" i="6"/>
  <c r="X86" i="6"/>
  <c r="P86" i="6"/>
  <c r="R86" i="6"/>
  <c r="AA86" i="6"/>
  <c r="BP88" i="6"/>
  <c r="BQ88" i="6" s="1"/>
  <c r="BR88" i="6" s="1"/>
  <c r="AZ88" i="6"/>
  <c r="AR88" i="6"/>
  <c r="AQ88" i="6"/>
  <c r="BA88" i="6"/>
  <c r="X90" i="6"/>
  <c r="P90" i="6"/>
  <c r="R90" i="6"/>
  <c r="AA90" i="6"/>
  <c r="BP92" i="6"/>
  <c r="BQ92" i="6" s="1"/>
  <c r="BR92" i="6" s="1"/>
  <c r="AZ92" i="6"/>
  <c r="AR92" i="6"/>
  <c r="AQ92" i="6"/>
  <c r="BA92" i="6"/>
  <c r="O93" i="6"/>
  <c r="X93" i="6"/>
  <c r="O95" i="6"/>
  <c r="Y95" i="6"/>
  <c r="AL97" i="6"/>
  <c r="AY97" i="6"/>
  <c r="N98" i="6"/>
  <c r="AA98" i="6"/>
  <c r="R102" i="6"/>
  <c r="AP103" i="6"/>
  <c r="BB103" i="6"/>
  <c r="BC105" i="6"/>
  <c r="AU105" i="6"/>
  <c r="AM105" i="6"/>
  <c r="AW105" i="6"/>
  <c r="AN105" i="6"/>
  <c r="AT105" i="6"/>
  <c r="AK105" i="6"/>
  <c r="BB105" i="6"/>
  <c r="AS105" i="6"/>
  <c r="AX105" i="6"/>
  <c r="N106" i="6"/>
  <c r="AD106" i="6"/>
  <c r="AZ107" i="6"/>
  <c r="O109" i="6"/>
  <c r="AD109" i="6"/>
  <c r="R112" i="6"/>
  <c r="Q119" i="6"/>
  <c r="R120" i="6"/>
  <c r="P93" i="6"/>
  <c r="Y93" i="6"/>
  <c r="P95" i="6"/>
  <c r="Z95" i="6"/>
  <c r="AO97" i="6"/>
  <c r="AZ97" i="6"/>
  <c r="Q98" i="6"/>
  <c r="AC98" i="6"/>
  <c r="W102" i="6"/>
  <c r="O102" i="6"/>
  <c r="X102" i="6"/>
  <c r="N102" i="6"/>
  <c r="AC102" i="6"/>
  <c r="T102" i="6"/>
  <c r="S102" i="6"/>
  <c r="S112" i="6"/>
  <c r="BC115" i="6"/>
  <c r="AU115" i="6"/>
  <c r="AM115" i="6"/>
  <c r="AT115" i="6"/>
  <c r="AK115" i="6"/>
  <c r="BP115" i="6"/>
  <c r="BQ115" i="6" s="1"/>
  <c r="BR115" i="6" s="1"/>
  <c r="AY115" i="6"/>
  <c r="AP115" i="6"/>
  <c r="AW115" i="6"/>
  <c r="AN115" i="6"/>
  <c r="AV115" i="6"/>
  <c r="AL115" i="6"/>
  <c r="BA115" i="6"/>
  <c r="S120" i="6"/>
  <c r="Q93" i="6"/>
  <c r="Q95" i="6"/>
  <c r="AP97" i="6"/>
  <c r="BA97" i="6"/>
  <c r="R98" i="6"/>
  <c r="T112" i="6"/>
  <c r="Y120" i="6"/>
  <c r="AB93" i="6"/>
  <c r="T93" i="6"/>
  <c r="L93" i="6"/>
  <c r="R93" i="6"/>
  <c r="AA93" i="6"/>
  <c r="AA95" i="6"/>
  <c r="S95" i="6"/>
  <c r="AD95" i="6"/>
  <c r="U95" i="6"/>
  <c r="L95" i="6"/>
  <c r="R95" i="6"/>
  <c r="AC95" i="6"/>
  <c r="AQ97" i="6"/>
  <c r="W98" i="6"/>
  <c r="O98" i="6"/>
  <c r="AB98" i="6"/>
  <c r="S98" i="6"/>
  <c r="Y98" i="6"/>
  <c r="P98" i="6"/>
  <c r="T98" i="6"/>
  <c r="BC103" i="6"/>
  <c r="AU103" i="6"/>
  <c r="AM103" i="6"/>
  <c r="AT103" i="6"/>
  <c r="AK103" i="6"/>
  <c r="AZ103" i="6"/>
  <c r="AQ103" i="6"/>
  <c r="AV103" i="6"/>
  <c r="W106" i="6"/>
  <c r="O106" i="6"/>
  <c r="AB106" i="6"/>
  <c r="S106" i="6"/>
  <c r="BI106" i="6"/>
  <c r="BJ106" i="6" s="1"/>
  <c r="BK106" i="6" s="1"/>
  <c r="Z106" i="6"/>
  <c r="Q106" i="6"/>
  <c r="Y106" i="6"/>
  <c r="P106" i="6"/>
  <c r="U106" i="6"/>
  <c r="AA109" i="6"/>
  <c r="S109" i="6"/>
  <c r="V109" i="6"/>
  <c r="M109" i="6"/>
  <c r="AC109" i="6"/>
  <c r="T109" i="6"/>
  <c r="AB109" i="6"/>
  <c r="R109" i="6"/>
  <c r="U109" i="6"/>
  <c r="Y112" i="6"/>
  <c r="AA119" i="6"/>
  <c r="S119" i="6"/>
  <c r="AC119" i="6"/>
  <c r="T119" i="6"/>
  <c r="AB119" i="6"/>
  <c r="R119" i="6"/>
  <c r="BI119" i="6"/>
  <c r="BJ119" i="6" s="1"/>
  <c r="BK119" i="6" s="1"/>
  <c r="X119" i="6"/>
  <c r="O119" i="6"/>
  <c r="V119" i="6"/>
  <c r="M119" i="6"/>
  <c r="AD119" i="6"/>
  <c r="U119" i="6"/>
  <c r="L119" i="6"/>
  <c r="Z119" i="6"/>
  <c r="AA120" i="6"/>
  <c r="N97" i="6"/>
  <c r="W100" i="6"/>
  <c r="O100" i="6"/>
  <c r="R100" i="6"/>
  <c r="AA100" i="6"/>
  <c r="AO101" i="6"/>
  <c r="N105" i="6"/>
  <c r="P107" i="6"/>
  <c r="W108" i="6"/>
  <c r="O108" i="6"/>
  <c r="R108" i="6"/>
  <c r="AA108" i="6"/>
  <c r="AO109" i="6"/>
  <c r="AQ111" i="6"/>
  <c r="N113" i="6"/>
  <c r="AS113" i="6"/>
  <c r="BB113" i="6"/>
  <c r="P115" i="6"/>
  <c r="W116" i="6"/>
  <c r="O116" i="6"/>
  <c r="R116" i="6"/>
  <c r="AA116" i="6"/>
  <c r="R117" i="6"/>
  <c r="AB117" i="6"/>
  <c r="AO117" i="6"/>
  <c r="T118" i="6"/>
  <c r="AC118" i="6"/>
  <c r="AQ119" i="6"/>
  <c r="N121" i="6"/>
  <c r="AS121" i="6"/>
  <c r="BB121" i="6"/>
  <c r="P122" i="6"/>
  <c r="Y122" i="6"/>
  <c r="P123" i="6"/>
  <c r="AL123" i="6"/>
  <c r="AV123" i="6"/>
  <c r="W124" i="6"/>
  <c r="O124" i="6"/>
  <c r="R124" i="6"/>
  <c r="AA124" i="6"/>
  <c r="R125" i="6"/>
  <c r="AB125" i="6"/>
  <c r="AO125" i="6"/>
  <c r="T126" i="6"/>
  <c r="AC126" i="6"/>
  <c r="L127" i="6"/>
  <c r="U127" i="6"/>
  <c r="AD127" i="6"/>
  <c r="AQ127" i="6"/>
  <c r="M128" i="6"/>
  <c r="V128" i="6"/>
  <c r="N129" i="6"/>
  <c r="AS129" i="6"/>
  <c r="BB129" i="6"/>
  <c r="P130" i="6"/>
  <c r="Y130" i="6"/>
  <c r="P131" i="6"/>
  <c r="AL131" i="6"/>
  <c r="AV131" i="6"/>
  <c r="W132" i="6"/>
  <c r="O132" i="6"/>
  <c r="R132" i="6"/>
  <c r="AA132" i="6"/>
  <c r="R133" i="6"/>
  <c r="AB133" i="6"/>
  <c r="AO133" i="6"/>
  <c r="T134" i="6"/>
  <c r="AC134" i="6"/>
  <c r="Y136" i="6"/>
  <c r="AO137" i="6"/>
  <c r="AZ137" i="6"/>
  <c r="W138" i="6"/>
  <c r="O138" i="6"/>
  <c r="AD138" i="6"/>
  <c r="V138" i="6"/>
  <c r="N138" i="6"/>
  <c r="AC138" i="6"/>
  <c r="U138" i="6"/>
  <c r="M138" i="6"/>
  <c r="T138" i="6"/>
  <c r="AX139" i="6"/>
  <c r="R140" i="6"/>
  <c r="P142" i="6"/>
  <c r="AA142" i="6"/>
  <c r="O144" i="6"/>
  <c r="AR144" i="6"/>
  <c r="Q145" i="6"/>
  <c r="AW145" i="6"/>
  <c r="AO145" i="6"/>
  <c r="AV145" i="6"/>
  <c r="AN145" i="6"/>
  <c r="BC145" i="6"/>
  <c r="AU145" i="6"/>
  <c r="AM145" i="6"/>
  <c r="AT145" i="6"/>
  <c r="AD146" i="6"/>
  <c r="V146" i="6"/>
  <c r="N146" i="6"/>
  <c r="AC146" i="6"/>
  <c r="U146" i="6"/>
  <c r="M146" i="6"/>
  <c r="BI146" i="6"/>
  <c r="BJ146" i="6" s="1"/>
  <c r="BK146" i="6" s="1"/>
  <c r="AB146" i="6"/>
  <c r="T146" i="6"/>
  <c r="L146" i="6"/>
  <c r="W146" i="6"/>
  <c r="AL146" i="6"/>
  <c r="AZ146" i="6"/>
  <c r="L147" i="6"/>
  <c r="Z147" i="6"/>
  <c r="AX150" i="6"/>
  <c r="AQ151" i="6"/>
  <c r="AA153" i="6"/>
  <c r="Z153" i="6"/>
  <c r="R153" i="6"/>
  <c r="BI153" i="6"/>
  <c r="BJ153" i="6" s="1"/>
  <c r="BK153" i="6" s="1"/>
  <c r="X153" i="6"/>
  <c r="P153" i="6"/>
  <c r="V153" i="6"/>
  <c r="N153" i="6"/>
  <c r="AD153" i="6"/>
  <c r="U153" i="6"/>
  <c r="M153" i="6"/>
  <c r="AC153" i="6"/>
  <c r="T153" i="6"/>
  <c r="L153" i="6"/>
  <c r="AB153" i="6"/>
  <c r="S153" i="6"/>
  <c r="AA107" i="6"/>
  <c r="S107" i="6"/>
  <c r="Q107" i="6"/>
  <c r="Z107" i="6"/>
  <c r="BC111" i="6"/>
  <c r="AU111" i="6"/>
  <c r="AM111" i="6"/>
  <c r="AR111" i="6"/>
  <c r="BA111" i="6"/>
  <c r="AK113" i="6"/>
  <c r="AT113" i="6"/>
  <c r="AA115" i="6"/>
  <c r="S115" i="6"/>
  <c r="Q115" i="6"/>
  <c r="Z115" i="6"/>
  <c r="T117" i="6"/>
  <c r="AC117" i="6"/>
  <c r="L118" i="6"/>
  <c r="U118" i="6"/>
  <c r="AD118" i="6"/>
  <c r="BC119" i="6"/>
  <c r="AU119" i="6"/>
  <c r="AM119" i="6"/>
  <c r="AR119" i="6"/>
  <c r="BA119" i="6"/>
  <c r="AK121" i="6"/>
  <c r="AT121" i="6"/>
  <c r="Q122" i="6"/>
  <c r="Z122" i="6"/>
  <c r="AA123" i="6"/>
  <c r="S123" i="6"/>
  <c r="Q123" i="6"/>
  <c r="Z123" i="6"/>
  <c r="AN123" i="6"/>
  <c r="AW123" i="6"/>
  <c r="T125" i="6"/>
  <c r="AC125" i="6"/>
  <c r="L126" i="6"/>
  <c r="U126" i="6"/>
  <c r="AD126" i="6"/>
  <c r="M127" i="6"/>
  <c r="V127" i="6"/>
  <c r="BC127" i="6"/>
  <c r="AU127" i="6"/>
  <c r="AM127" i="6"/>
  <c r="AR127" i="6"/>
  <c r="BA127" i="6"/>
  <c r="N128" i="6"/>
  <c r="X128" i="6"/>
  <c r="AK129" i="6"/>
  <c r="AT129" i="6"/>
  <c r="Q130" i="6"/>
  <c r="Z130" i="6"/>
  <c r="AA131" i="6"/>
  <c r="S131" i="6"/>
  <c r="Q131" i="6"/>
  <c r="Z131" i="6"/>
  <c r="AN131" i="6"/>
  <c r="AW131" i="6"/>
  <c r="T133" i="6"/>
  <c r="AC133" i="6"/>
  <c r="L134" i="6"/>
  <c r="U134" i="6"/>
  <c r="AD134" i="6"/>
  <c r="L136" i="6"/>
  <c r="Z136" i="6"/>
  <c r="AP137" i="6"/>
  <c r="AN139" i="6"/>
  <c r="AY139" i="6"/>
  <c r="BC141" i="6"/>
  <c r="AU141" i="6"/>
  <c r="AM141" i="6"/>
  <c r="BB141" i="6"/>
  <c r="AT141" i="6"/>
  <c r="AL141" i="6"/>
  <c r="BA141" i="6"/>
  <c r="AS141" i="6"/>
  <c r="AK141" i="6"/>
  <c r="AW141" i="6"/>
  <c r="BP141" i="6"/>
  <c r="BQ141" i="6" s="1"/>
  <c r="BR141" i="6" s="1"/>
  <c r="Q142" i="6"/>
  <c r="AB142" i="6"/>
  <c r="AM146" i="6"/>
  <c r="BA146" i="6"/>
  <c r="P147" i="6"/>
  <c r="AA147" i="6"/>
  <c r="W122" i="6"/>
  <c r="O122" i="6"/>
  <c r="R122" i="6"/>
  <c r="AA122" i="6"/>
  <c r="AO123" i="6"/>
  <c r="AX123" i="6"/>
  <c r="N127" i="6"/>
  <c r="W127" i="6"/>
  <c r="P128" i="6"/>
  <c r="Y128" i="6"/>
  <c r="W130" i="6"/>
  <c r="O130" i="6"/>
  <c r="R130" i="6"/>
  <c r="AA130" i="6"/>
  <c r="AO131" i="6"/>
  <c r="AX131" i="6"/>
  <c r="AQ137" i="6"/>
  <c r="W140" i="6"/>
  <c r="O140" i="6"/>
  <c r="AD140" i="6"/>
  <c r="V140" i="6"/>
  <c r="N140" i="6"/>
  <c r="AC140" i="6"/>
  <c r="U140" i="6"/>
  <c r="M140" i="6"/>
  <c r="T140" i="6"/>
  <c r="R142" i="6"/>
  <c r="AV144" i="6"/>
  <c r="AN144" i="6"/>
  <c r="BC144" i="6"/>
  <c r="AU144" i="6"/>
  <c r="AM144" i="6"/>
  <c r="BB144" i="6"/>
  <c r="AT144" i="6"/>
  <c r="AL144" i="6"/>
  <c r="AW144" i="6"/>
  <c r="AC145" i="6"/>
  <c r="U145" i="6"/>
  <c r="M145" i="6"/>
  <c r="BI145" i="6"/>
  <c r="BJ145" i="6" s="1"/>
  <c r="BK145" i="6" s="1"/>
  <c r="AB145" i="6"/>
  <c r="T145" i="6"/>
  <c r="L145" i="6"/>
  <c r="AA145" i="6"/>
  <c r="S145" i="6"/>
  <c r="V145" i="6"/>
  <c r="AQ146" i="6"/>
  <c r="BB146" i="6"/>
  <c r="Q147" i="6"/>
  <c r="AB147" i="6"/>
  <c r="AW150" i="6"/>
  <c r="AO150" i="6"/>
  <c r="BC150" i="6"/>
  <c r="AU150" i="6"/>
  <c r="AM150" i="6"/>
  <c r="BB150" i="6"/>
  <c r="AT150" i="6"/>
  <c r="AL150" i="6"/>
  <c r="BA150" i="6"/>
  <c r="AS150" i="6"/>
  <c r="AK150" i="6"/>
  <c r="AZ150" i="6"/>
  <c r="AR150" i="6"/>
  <c r="AA97" i="6"/>
  <c r="S97" i="6"/>
  <c r="Q97" i="6"/>
  <c r="Z97" i="6"/>
  <c r="BC101" i="6"/>
  <c r="AU101" i="6"/>
  <c r="AM101" i="6"/>
  <c r="AR101" i="6"/>
  <c r="BA101" i="6"/>
  <c r="AA105" i="6"/>
  <c r="S105" i="6"/>
  <c r="Q105" i="6"/>
  <c r="Z105" i="6"/>
  <c r="T107" i="6"/>
  <c r="AC107" i="6"/>
  <c r="BC109" i="6"/>
  <c r="AU109" i="6"/>
  <c r="AM109" i="6"/>
  <c r="AR109" i="6"/>
  <c r="BA109" i="6"/>
  <c r="AK111" i="6"/>
  <c r="AT111" i="6"/>
  <c r="AA113" i="6"/>
  <c r="S113" i="6"/>
  <c r="Q113" i="6"/>
  <c r="Z113" i="6"/>
  <c r="AN113" i="6"/>
  <c r="T115" i="6"/>
  <c r="AC115" i="6"/>
  <c r="M117" i="6"/>
  <c r="BC117" i="6"/>
  <c r="AU117" i="6"/>
  <c r="AM117" i="6"/>
  <c r="AR117" i="6"/>
  <c r="BA117" i="6"/>
  <c r="N118" i="6"/>
  <c r="AK119" i="6"/>
  <c r="AT119" i="6"/>
  <c r="AA121" i="6"/>
  <c r="S121" i="6"/>
  <c r="Q121" i="6"/>
  <c r="Z121" i="6"/>
  <c r="AN121" i="6"/>
  <c r="S122" i="6"/>
  <c r="AB122" i="6"/>
  <c r="T123" i="6"/>
  <c r="AC123" i="6"/>
  <c r="AP123" i="6"/>
  <c r="AY123" i="6"/>
  <c r="BP123" i="6"/>
  <c r="BQ123" i="6" s="1"/>
  <c r="BR123" i="6" s="1"/>
  <c r="M125" i="6"/>
  <c r="BC125" i="6"/>
  <c r="AU125" i="6"/>
  <c r="AM125" i="6"/>
  <c r="AR125" i="6"/>
  <c r="BA125" i="6"/>
  <c r="N126" i="6"/>
  <c r="O127" i="6"/>
  <c r="X127" i="6"/>
  <c r="AK127" i="6"/>
  <c r="AT127" i="6"/>
  <c r="BI127" i="6"/>
  <c r="BJ127" i="6" s="1"/>
  <c r="BK127" i="6" s="1"/>
  <c r="Q128" i="6"/>
  <c r="Z128" i="6"/>
  <c r="AA129" i="6"/>
  <c r="S129" i="6"/>
  <c r="Q129" i="6"/>
  <c r="Z129" i="6"/>
  <c r="AN129" i="6"/>
  <c r="S130" i="6"/>
  <c r="AB130" i="6"/>
  <c r="T131" i="6"/>
  <c r="AC131" i="6"/>
  <c r="AP131" i="6"/>
  <c r="AY131" i="6"/>
  <c r="BP131" i="6"/>
  <c r="BQ131" i="6" s="1"/>
  <c r="BR131" i="6" s="1"/>
  <c r="M133" i="6"/>
  <c r="BC133" i="6"/>
  <c r="AU133" i="6"/>
  <c r="AM133" i="6"/>
  <c r="AR133" i="6"/>
  <c r="BA133" i="6"/>
  <c r="N134" i="6"/>
  <c r="BC135" i="6"/>
  <c r="AU135" i="6"/>
  <c r="AM135" i="6"/>
  <c r="BB135" i="6"/>
  <c r="AT135" i="6"/>
  <c r="AL135" i="6"/>
  <c r="BA135" i="6"/>
  <c r="AS135" i="6"/>
  <c r="AK135" i="6"/>
  <c r="AW135" i="6"/>
  <c r="BP135" i="6"/>
  <c r="BQ135" i="6" s="1"/>
  <c r="BR135" i="6" s="1"/>
  <c r="Q136" i="6"/>
  <c r="AR137" i="6"/>
  <c r="AP139" i="6"/>
  <c r="X140" i="6"/>
  <c r="BI140" i="6"/>
  <c r="BJ140" i="6" s="1"/>
  <c r="BK140" i="6" s="1"/>
  <c r="AN141" i="6"/>
  <c r="AY141" i="6"/>
  <c r="BC143" i="6"/>
  <c r="AU143" i="6"/>
  <c r="AM143" i="6"/>
  <c r="BB143" i="6"/>
  <c r="AT143" i="6"/>
  <c r="AL143" i="6"/>
  <c r="BA143" i="6"/>
  <c r="AS143" i="6"/>
  <c r="AK143" i="6"/>
  <c r="AW143" i="6"/>
  <c r="BI144" i="6"/>
  <c r="BJ144" i="6" s="1"/>
  <c r="BK144" i="6" s="1"/>
  <c r="AB144" i="6"/>
  <c r="T144" i="6"/>
  <c r="L144" i="6"/>
  <c r="AA144" i="6"/>
  <c r="S144" i="6"/>
  <c r="Z144" i="6"/>
  <c r="R144" i="6"/>
  <c r="U144" i="6"/>
  <c r="AX144" i="6"/>
  <c r="W145" i="6"/>
  <c r="AR146" i="6"/>
  <c r="BC146" i="6"/>
  <c r="R147" i="6"/>
  <c r="AQ123" i="6"/>
  <c r="P127" i="6"/>
  <c r="W128" i="6"/>
  <c r="O128" i="6"/>
  <c r="R128" i="6"/>
  <c r="AA128" i="6"/>
  <c r="AQ131" i="6"/>
  <c r="W142" i="6"/>
  <c r="O142" i="6"/>
  <c r="AD142" i="6"/>
  <c r="V142" i="6"/>
  <c r="N142" i="6"/>
  <c r="AC142" i="6"/>
  <c r="U142" i="6"/>
  <c r="M142" i="6"/>
  <c r="T142" i="6"/>
  <c r="AN150" i="6"/>
  <c r="BC123" i="6"/>
  <c r="AU123" i="6"/>
  <c r="AM123" i="6"/>
  <c r="AR123" i="6"/>
  <c r="BA123" i="6"/>
  <c r="AA127" i="6"/>
  <c r="S127" i="6"/>
  <c r="Q127" i="6"/>
  <c r="Z127" i="6"/>
  <c r="BC131" i="6"/>
  <c r="AU131" i="6"/>
  <c r="AM131" i="6"/>
  <c r="AR131" i="6"/>
  <c r="BA131" i="6"/>
  <c r="BC137" i="6"/>
  <c r="AU137" i="6"/>
  <c r="AM137" i="6"/>
  <c r="BB137" i="6"/>
  <c r="AT137" i="6"/>
  <c r="AL137" i="6"/>
  <c r="BA137" i="6"/>
  <c r="AS137" i="6"/>
  <c r="AK137" i="6"/>
  <c r="AW137" i="6"/>
  <c r="BP137" i="6"/>
  <c r="BQ137" i="6" s="1"/>
  <c r="BR137" i="6" s="1"/>
  <c r="BI142" i="6"/>
  <c r="BJ142" i="6" s="1"/>
  <c r="BK142" i="6" s="1"/>
  <c r="AX146" i="6"/>
  <c r="AP146" i="6"/>
  <c r="AW146" i="6"/>
  <c r="AO146" i="6"/>
  <c r="AV146" i="6"/>
  <c r="AN146" i="6"/>
  <c r="AT146" i="6"/>
  <c r="W147" i="6"/>
  <c r="O147" i="6"/>
  <c r="AD147" i="6"/>
  <c r="V147" i="6"/>
  <c r="N147" i="6"/>
  <c r="AC147" i="6"/>
  <c r="U147" i="6"/>
  <c r="M147" i="6"/>
  <c r="T147" i="6"/>
  <c r="AP150" i="6"/>
  <c r="AZ151" i="6"/>
  <c r="AR151" i="6"/>
  <c r="AX151" i="6"/>
  <c r="AP151" i="6"/>
  <c r="AV151" i="6"/>
  <c r="AN151" i="6"/>
  <c r="BC151" i="6"/>
  <c r="AU151" i="6"/>
  <c r="AM151" i="6"/>
  <c r="BB151" i="6"/>
  <c r="AT151" i="6"/>
  <c r="AL151" i="6"/>
  <c r="BA151" i="6"/>
  <c r="AS151" i="6"/>
  <c r="AK151" i="6"/>
  <c r="W118" i="6"/>
  <c r="O118" i="6"/>
  <c r="R118" i="6"/>
  <c r="AA118" i="6"/>
  <c r="M122" i="6"/>
  <c r="V122" i="6"/>
  <c r="AS123" i="6"/>
  <c r="BB123" i="6"/>
  <c r="W126" i="6"/>
  <c r="O126" i="6"/>
  <c r="R126" i="6"/>
  <c r="AA126" i="6"/>
  <c r="R127" i="6"/>
  <c r="AB127" i="6"/>
  <c r="T128" i="6"/>
  <c r="AC128" i="6"/>
  <c r="M130" i="6"/>
  <c r="V130" i="6"/>
  <c r="AS131" i="6"/>
  <c r="BB131" i="6"/>
  <c r="W134" i="6"/>
  <c r="O134" i="6"/>
  <c r="R134" i="6"/>
  <c r="AA134" i="6"/>
  <c r="W136" i="6"/>
  <c r="O136" i="6"/>
  <c r="AD136" i="6"/>
  <c r="V136" i="6"/>
  <c r="N136" i="6"/>
  <c r="AC136" i="6"/>
  <c r="U136" i="6"/>
  <c r="M136" i="6"/>
  <c r="T136" i="6"/>
  <c r="AX137" i="6"/>
  <c r="P140" i="6"/>
  <c r="AA140" i="6"/>
  <c r="Y142" i="6"/>
  <c r="AP144" i="6"/>
  <c r="BA144" i="6"/>
  <c r="O145" i="6"/>
  <c r="Z145" i="6"/>
  <c r="AU146" i="6"/>
  <c r="X147" i="6"/>
  <c r="BI147" i="6"/>
  <c r="BJ147" i="6" s="1"/>
  <c r="BK147" i="6" s="1"/>
  <c r="AQ150" i="6"/>
  <c r="BC113" i="6"/>
  <c r="AU113" i="6"/>
  <c r="AM113" i="6"/>
  <c r="AR113" i="6"/>
  <c r="BA113" i="6"/>
  <c r="AA117" i="6"/>
  <c r="S117" i="6"/>
  <c r="Q117" i="6"/>
  <c r="Z117" i="6"/>
  <c r="S118" i="6"/>
  <c r="AB118" i="6"/>
  <c r="BC121" i="6"/>
  <c r="AU121" i="6"/>
  <c r="AM121" i="6"/>
  <c r="AR121" i="6"/>
  <c r="BA121" i="6"/>
  <c r="N122" i="6"/>
  <c r="X122" i="6"/>
  <c r="AK123" i="6"/>
  <c r="AT123" i="6"/>
  <c r="AA125" i="6"/>
  <c r="S125" i="6"/>
  <c r="Q125" i="6"/>
  <c r="Z125" i="6"/>
  <c r="S126" i="6"/>
  <c r="AB126" i="6"/>
  <c r="T127" i="6"/>
  <c r="AC127" i="6"/>
  <c r="L128" i="6"/>
  <c r="U128" i="6"/>
  <c r="AD128" i="6"/>
  <c r="BC129" i="6"/>
  <c r="AU129" i="6"/>
  <c r="AM129" i="6"/>
  <c r="AR129" i="6"/>
  <c r="BA129" i="6"/>
  <c r="N130" i="6"/>
  <c r="X130" i="6"/>
  <c r="AK131" i="6"/>
  <c r="AT131" i="6"/>
  <c r="AA133" i="6"/>
  <c r="S133" i="6"/>
  <c r="Q133" i="6"/>
  <c r="Z133" i="6"/>
  <c r="S134" i="6"/>
  <c r="AB134" i="6"/>
  <c r="BI136" i="6"/>
  <c r="BJ136" i="6" s="1"/>
  <c r="BK136" i="6" s="1"/>
  <c r="AN137" i="6"/>
  <c r="AY137" i="6"/>
  <c r="BC139" i="6"/>
  <c r="AU139" i="6"/>
  <c r="AM139" i="6"/>
  <c r="BB139" i="6"/>
  <c r="AT139" i="6"/>
  <c r="AL139" i="6"/>
  <c r="BA139" i="6"/>
  <c r="AS139" i="6"/>
  <c r="AK139" i="6"/>
  <c r="AW139" i="6"/>
  <c r="BP139" i="6"/>
  <c r="BQ139" i="6" s="1"/>
  <c r="BR139" i="6" s="1"/>
  <c r="Q140" i="6"/>
  <c r="AB140" i="6"/>
  <c r="L142" i="6"/>
  <c r="Z142" i="6"/>
  <c r="AQ144" i="6"/>
  <c r="P145" i="6"/>
  <c r="AD145" i="6"/>
  <c r="AK146" i="6"/>
  <c r="AY146" i="6"/>
  <c r="Y147" i="6"/>
  <c r="AV150" i="6"/>
  <c r="AO151" i="6"/>
  <c r="Q135" i="6"/>
  <c r="Y135" i="6"/>
  <c r="Q137" i="6"/>
  <c r="Y137" i="6"/>
  <c r="Q139" i="6"/>
  <c r="Y139" i="6"/>
  <c r="Q141" i="6"/>
  <c r="Y141" i="6"/>
  <c r="Q143" i="6"/>
  <c r="Y143" i="6"/>
  <c r="N148" i="6"/>
  <c r="V148" i="6"/>
  <c r="AD148" i="6"/>
  <c r="AP148" i="6"/>
  <c r="AX148" i="6"/>
  <c r="AQ149" i="6"/>
  <c r="AY149" i="6"/>
  <c r="P150" i="6"/>
  <c r="X150" i="6"/>
  <c r="Q151" i="6"/>
  <c r="Y151" i="6"/>
  <c r="R152" i="6"/>
  <c r="Z152" i="6"/>
  <c r="AL152" i="6"/>
  <c r="AT152" i="6"/>
  <c r="BB152" i="6"/>
  <c r="AO153" i="6"/>
  <c r="AX153" i="6"/>
  <c r="Q154" i="6"/>
  <c r="AM154" i="6"/>
  <c r="AW154" i="6"/>
  <c r="AP155" i="6"/>
  <c r="AZ155" i="6"/>
  <c r="U156" i="6"/>
  <c r="AT156" i="6"/>
  <c r="AQ158" i="6"/>
  <c r="BB158" i="6"/>
  <c r="O159" i="6"/>
  <c r="AA159" i="6"/>
  <c r="X162" i="6"/>
  <c r="N163" i="6"/>
  <c r="AC163" i="6"/>
  <c r="AP166" i="6"/>
  <c r="Y167" i="6"/>
  <c r="AP168" i="6"/>
  <c r="AC169" i="6"/>
  <c r="O170" i="6"/>
  <c r="AB170" i="6"/>
  <c r="AC171" i="6"/>
  <c r="R135" i="6"/>
  <c r="Z135" i="6"/>
  <c r="R137" i="6"/>
  <c r="Z137" i="6"/>
  <c r="R139" i="6"/>
  <c r="Z139" i="6"/>
  <c r="R141" i="6"/>
  <c r="Z141" i="6"/>
  <c r="R143" i="6"/>
  <c r="Z143" i="6"/>
  <c r="O148" i="6"/>
  <c r="W148" i="6"/>
  <c r="AQ148" i="6"/>
  <c r="AY148" i="6"/>
  <c r="AR149" i="6"/>
  <c r="AZ149" i="6"/>
  <c r="Q150" i="6"/>
  <c r="Y150" i="6"/>
  <c r="R151" i="6"/>
  <c r="Z151" i="6"/>
  <c r="S152" i="6"/>
  <c r="AA152" i="6"/>
  <c r="AM152" i="6"/>
  <c r="AU152" i="6"/>
  <c r="BC152" i="6"/>
  <c r="AP153" i="6"/>
  <c r="AY153" i="6"/>
  <c r="BI154" i="6"/>
  <c r="BJ154" i="6" s="1"/>
  <c r="BK154" i="6" s="1"/>
  <c r="AB154" i="6"/>
  <c r="T154" i="6"/>
  <c r="L154" i="6"/>
  <c r="R154" i="6"/>
  <c r="AA154" i="6"/>
  <c r="AO154" i="6"/>
  <c r="AX154" i="6"/>
  <c r="AQ155" i="6"/>
  <c r="BA155" i="6"/>
  <c r="L156" i="6"/>
  <c r="W156" i="6"/>
  <c r="AK156" i="6"/>
  <c r="AV156" i="6"/>
  <c r="AR158" i="6"/>
  <c r="BC158" i="6"/>
  <c r="P159" i="6"/>
  <c r="AC159" i="6"/>
  <c r="AA160" i="6"/>
  <c r="S160" i="6"/>
  <c r="AB160" i="6"/>
  <c r="R160" i="6"/>
  <c r="X160" i="6"/>
  <c r="N160" i="6"/>
  <c r="U160" i="6"/>
  <c r="T160" i="6"/>
  <c r="Y162" i="6"/>
  <c r="P163" i="6"/>
  <c r="AD163" i="6"/>
  <c r="AT166" i="6"/>
  <c r="Z167" i="6"/>
  <c r="AS168" i="6"/>
  <c r="L169" i="6"/>
  <c r="AD169" i="6"/>
  <c r="P170" i="6"/>
  <c r="N171" i="6"/>
  <c r="AV173" i="6"/>
  <c r="AN173" i="6"/>
  <c r="AW173" i="6"/>
  <c r="AM173" i="6"/>
  <c r="AZ173" i="6"/>
  <c r="AP173" i="6"/>
  <c r="AX173" i="6"/>
  <c r="AL173" i="6"/>
  <c r="AU173" i="6"/>
  <c r="AK173" i="6"/>
  <c r="AT173" i="6"/>
  <c r="BB173" i="6"/>
  <c r="AR173" i="6"/>
  <c r="AQ94" i="6"/>
  <c r="AQ96" i="6"/>
  <c r="AQ98" i="6"/>
  <c r="AQ100" i="6"/>
  <c r="AQ102" i="6"/>
  <c r="AQ104" i="6"/>
  <c r="AQ106" i="6"/>
  <c r="AQ108" i="6"/>
  <c r="AQ110" i="6"/>
  <c r="BD110" i="6" s="1"/>
  <c r="AQ112" i="6"/>
  <c r="AQ114" i="6"/>
  <c r="AQ116" i="6"/>
  <c r="AQ118" i="6"/>
  <c r="AQ120" i="6"/>
  <c r="AQ122" i="6"/>
  <c r="AQ124" i="6"/>
  <c r="AQ126" i="6"/>
  <c r="AQ128" i="6"/>
  <c r="AQ130" i="6"/>
  <c r="AQ132" i="6"/>
  <c r="AQ134" i="6"/>
  <c r="S135" i="6"/>
  <c r="AQ136" i="6"/>
  <c r="S137" i="6"/>
  <c r="AQ138" i="6"/>
  <c r="S139" i="6"/>
  <c r="AQ140" i="6"/>
  <c r="S141" i="6"/>
  <c r="AQ142" i="6"/>
  <c r="S143" i="6"/>
  <c r="AQ147" i="6"/>
  <c r="P148" i="6"/>
  <c r="X148" i="6"/>
  <c r="AR148" i="6"/>
  <c r="Q149" i="6"/>
  <c r="AE149" i="6" s="1"/>
  <c r="AG149" i="6" s="1"/>
  <c r="BL149" i="6" s="1"/>
  <c r="AK149" i="6"/>
  <c r="AS149" i="6"/>
  <c r="R150" i="6"/>
  <c r="S151" i="6"/>
  <c r="L152" i="6"/>
  <c r="T152" i="6"/>
  <c r="AB152" i="6"/>
  <c r="AN152" i="6"/>
  <c r="AV152" i="6"/>
  <c r="BI152" i="6"/>
  <c r="BJ152" i="6" s="1"/>
  <c r="BK152" i="6" s="1"/>
  <c r="AQ153" i="6"/>
  <c r="S154" i="6"/>
  <c r="AC154" i="6"/>
  <c r="AP154" i="6"/>
  <c r="AY154" i="6"/>
  <c r="AC155" i="6"/>
  <c r="U155" i="6"/>
  <c r="M155" i="6"/>
  <c r="Z155" i="6"/>
  <c r="Q155" i="6"/>
  <c r="S155" i="6"/>
  <c r="AD155" i="6"/>
  <c r="AR155" i="6"/>
  <c r="M156" i="6"/>
  <c r="X156" i="6"/>
  <c r="AM156" i="6"/>
  <c r="AW156" i="6"/>
  <c r="BI157" i="6"/>
  <c r="BJ157" i="6" s="1"/>
  <c r="BK157" i="6" s="1"/>
  <c r="W157" i="6"/>
  <c r="O157" i="6"/>
  <c r="X157" i="6"/>
  <c r="N157" i="6"/>
  <c r="S157" i="6"/>
  <c r="AC157" i="6"/>
  <c r="AX159" i="6"/>
  <c r="AP159" i="6"/>
  <c r="AV159" i="6"/>
  <c r="AM159" i="6"/>
  <c r="BA159" i="6"/>
  <c r="AQ159" i="6"/>
  <c r="AT159" i="6"/>
  <c r="V160" i="6"/>
  <c r="AZ161" i="6"/>
  <c r="AR161" i="6"/>
  <c r="AY161" i="6"/>
  <c r="AP161" i="6"/>
  <c r="AU161" i="6"/>
  <c r="AK161" i="6"/>
  <c r="BB161" i="6"/>
  <c r="AQ161" i="6"/>
  <c r="AV161" i="6"/>
  <c r="L162" i="6"/>
  <c r="Z162" i="6"/>
  <c r="S163" i="6"/>
  <c r="BB163" i="6"/>
  <c r="AT163" i="6"/>
  <c r="AL163" i="6"/>
  <c r="AU163" i="6"/>
  <c r="AK163" i="6"/>
  <c r="AZ163" i="6"/>
  <c r="AP163" i="6"/>
  <c r="AW163" i="6"/>
  <c r="AM163" i="6"/>
  <c r="AX163" i="6"/>
  <c r="AV165" i="6"/>
  <c r="AN165" i="6"/>
  <c r="AY165" i="6"/>
  <c r="AP165" i="6"/>
  <c r="BB165" i="6"/>
  <c r="AR165" i="6"/>
  <c r="AX165" i="6"/>
  <c r="AM165" i="6"/>
  <c r="AU165" i="6"/>
  <c r="L167" i="6"/>
  <c r="AA167" i="6"/>
  <c r="AT168" i="6"/>
  <c r="N169" i="6"/>
  <c r="AZ169" i="6"/>
  <c r="AR169" i="6"/>
  <c r="AW169" i="6"/>
  <c r="AN169" i="6"/>
  <c r="AY169" i="6"/>
  <c r="AO169" i="6"/>
  <c r="AX169" i="6"/>
  <c r="AM169" i="6"/>
  <c r="AU169" i="6"/>
  <c r="AK169" i="6"/>
  <c r="BA169" i="6"/>
  <c r="O171" i="6"/>
  <c r="N177" i="6"/>
  <c r="Q148" i="6"/>
  <c r="M152" i="6"/>
  <c r="U152" i="6"/>
  <c r="AC152" i="6"/>
  <c r="AO152" i="6"/>
  <c r="AW152" i="6"/>
  <c r="BC153" i="6"/>
  <c r="AU153" i="6"/>
  <c r="AM153" i="6"/>
  <c r="AR153" i="6"/>
  <c r="BA153" i="6"/>
  <c r="AQ154" i="6"/>
  <c r="AW155" i="6"/>
  <c r="AO155" i="6"/>
  <c r="AV155" i="6"/>
  <c r="AM155" i="6"/>
  <c r="AS155" i="6"/>
  <c r="BC155" i="6"/>
  <c r="O156" i="6"/>
  <c r="Z156" i="6"/>
  <c r="AN156" i="6"/>
  <c r="AY156" i="6"/>
  <c r="AW158" i="6"/>
  <c r="AO158" i="6"/>
  <c r="AX158" i="6"/>
  <c r="AN158" i="6"/>
  <c r="AU158" i="6"/>
  <c r="AK158" i="6"/>
  <c r="AT158" i="6"/>
  <c r="AD159" i="6"/>
  <c r="V159" i="6"/>
  <c r="N159" i="6"/>
  <c r="Z159" i="6"/>
  <c r="Q159" i="6"/>
  <c r="AB159" i="6"/>
  <c r="R159" i="6"/>
  <c r="T159" i="6"/>
  <c r="O162" i="6"/>
  <c r="AB162" i="6"/>
  <c r="BA166" i="6"/>
  <c r="AS166" i="6"/>
  <c r="AK166" i="6"/>
  <c r="AZ166" i="6"/>
  <c r="AQ166" i="6"/>
  <c r="AV166" i="6"/>
  <c r="AL166" i="6"/>
  <c r="BC166" i="6"/>
  <c r="AR166" i="6"/>
  <c r="AW166" i="6"/>
  <c r="R169" i="6"/>
  <c r="P171" i="6"/>
  <c r="S177" i="6"/>
  <c r="AV154" i="6"/>
  <c r="AN154" i="6"/>
  <c r="AR154" i="6"/>
  <c r="BA154" i="6"/>
  <c r="AA156" i="6"/>
  <c r="Z163" i="6"/>
  <c r="R163" i="6"/>
  <c r="X163" i="6"/>
  <c r="O163" i="6"/>
  <c r="AB163" i="6"/>
  <c r="Q163" i="6"/>
  <c r="W163" i="6"/>
  <c r="M163" i="6"/>
  <c r="U163" i="6"/>
  <c r="BC168" i="6"/>
  <c r="AU168" i="6"/>
  <c r="AM168" i="6"/>
  <c r="AV168" i="6"/>
  <c r="AL168" i="6"/>
  <c r="BB168" i="6"/>
  <c r="AR168" i="6"/>
  <c r="BA168" i="6"/>
  <c r="AQ168" i="6"/>
  <c r="AY168" i="6"/>
  <c r="AO168" i="6"/>
  <c r="AX168" i="6"/>
  <c r="S171" i="6"/>
  <c r="O152" i="6"/>
  <c r="W152" i="6"/>
  <c r="AQ152" i="6"/>
  <c r="AS154" i="6"/>
  <c r="BB154" i="6"/>
  <c r="R156" i="6"/>
  <c r="AQ156" i="6"/>
  <c r="V163" i="6"/>
  <c r="AM166" i="6"/>
  <c r="AY166" i="6"/>
  <c r="AZ168" i="6"/>
  <c r="AC170" i="6"/>
  <c r="U170" i="6"/>
  <c r="M170" i="6"/>
  <c r="AD170" i="6"/>
  <c r="T170" i="6"/>
  <c r="X170" i="6"/>
  <c r="N170" i="6"/>
  <c r="W170" i="6"/>
  <c r="L170" i="6"/>
  <c r="S170" i="6"/>
  <c r="Y170" i="6"/>
  <c r="AS173" i="6"/>
  <c r="AD156" i="6"/>
  <c r="V156" i="6"/>
  <c r="N156" i="6"/>
  <c r="BI156" i="6"/>
  <c r="BJ156" i="6" s="1"/>
  <c r="BK156" i="6" s="1"/>
  <c r="Y156" i="6"/>
  <c r="P156" i="6"/>
  <c r="S156" i="6"/>
  <c r="AC156" i="6"/>
  <c r="Y163" i="6"/>
  <c r="AN166" i="6"/>
  <c r="BB166" i="6"/>
  <c r="AK168" i="6"/>
  <c r="X169" i="6"/>
  <c r="P169" i="6"/>
  <c r="AB169" i="6"/>
  <c r="S169" i="6"/>
  <c r="AA169" i="6"/>
  <c r="Q169" i="6"/>
  <c r="Z169" i="6"/>
  <c r="O169" i="6"/>
  <c r="W169" i="6"/>
  <c r="M169" i="6"/>
  <c r="V169" i="6"/>
  <c r="Z171" i="6"/>
  <c r="R171" i="6"/>
  <c r="V171" i="6"/>
  <c r="M171" i="6"/>
  <c r="W171" i="6"/>
  <c r="L171" i="6"/>
  <c r="U171" i="6"/>
  <c r="AD171" i="6"/>
  <c r="T171" i="6"/>
  <c r="AB171" i="6"/>
  <c r="Q171" i="6"/>
  <c r="Y171" i="6"/>
  <c r="Q152" i="6"/>
  <c r="AL154" i="6"/>
  <c r="AU154" i="6"/>
  <c r="T156" i="6"/>
  <c r="AX156" i="6"/>
  <c r="AP156" i="6"/>
  <c r="AU156" i="6"/>
  <c r="AL156" i="6"/>
  <c r="AS156" i="6"/>
  <c r="BC156" i="6"/>
  <c r="AC162" i="6"/>
  <c r="U162" i="6"/>
  <c r="M162" i="6"/>
  <c r="W162" i="6"/>
  <c r="N162" i="6"/>
  <c r="T162" i="6"/>
  <c r="AA162" i="6"/>
  <c r="Q162" i="6"/>
  <c r="V162" i="6"/>
  <c r="L163" i="6"/>
  <c r="AA163" i="6"/>
  <c r="AO166" i="6"/>
  <c r="AD167" i="6"/>
  <c r="V167" i="6"/>
  <c r="N167" i="6"/>
  <c r="X167" i="6"/>
  <c r="O167" i="6"/>
  <c r="U167" i="6"/>
  <c r="T167" i="6"/>
  <c r="AB167" i="6"/>
  <c r="R167" i="6"/>
  <c r="W167" i="6"/>
  <c r="AN168" i="6"/>
  <c r="Y169" i="6"/>
  <c r="AA170" i="6"/>
  <c r="AA171" i="6"/>
  <c r="X177" i="6"/>
  <c r="P177" i="6"/>
  <c r="AD177" i="6"/>
  <c r="U177" i="6"/>
  <c r="L177" i="6"/>
  <c r="T177" i="6"/>
  <c r="AB177" i="6"/>
  <c r="Q177" i="6"/>
  <c r="AA177" i="6"/>
  <c r="O177" i="6"/>
  <c r="Y177" i="6"/>
  <c r="M177" i="6"/>
  <c r="W177" i="6"/>
  <c r="V177" i="6"/>
  <c r="AC177" i="6"/>
  <c r="R177" i="6"/>
  <c r="BC160" i="6"/>
  <c r="AU160" i="6"/>
  <c r="AM160" i="6"/>
  <c r="AX160" i="6"/>
  <c r="AO160" i="6"/>
  <c r="AS160" i="6"/>
  <c r="X161" i="6"/>
  <c r="P161" i="6"/>
  <c r="AD161" i="6"/>
  <c r="U161" i="6"/>
  <c r="L161" i="6"/>
  <c r="S161" i="6"/>
  <c r="AC161" i="6"/>
  <c r="AQ167" i="6"/>
  <c r="O168" i="6"/>
  <c r="AW170" i="6"/>
  <c r="AO170" i="6"/>
  <c r="AZ170" i="6"/>
  <c r="AQ170" i="6"/>
  <c r="AS170" i="6"/>
  <c r="BC170" i="6"/>
  <c r="AB173" i="6"/>
  <c r="T173" i="6"/>
  <c r="L173" i="6"/>
  <c r="Z173" i="6"/>
  <c r="Q173" i="6"/>
  <c r="S173" i="6"/>
  <c r="AD173" i="6"/>
  <c r="AL174" i="6"/>
  <c r="AW174" i="6"/>
  <c r="M175" i="6"/>
  <c r="AA175" i="6"/>
  <c r="AQ175" i="6"/>
  <c r="P176" i="6"/>
  <c r="AQ176" i="6"/>
  <c r="AC178" i="6"/>
  <c r="U178" i="6"/>
  <c r="M178" i="6"/>
  <c r="W178" i="6"/>
  <c r="N178" i="6"/>
  <c r="AB178" i="6"/>
  <c r="R178" i="6"/>
  <c r="T178" i="6"/>
  <c r="AU178" i="6"/>
  <c r="V179" i="6"/>
  <c r="AN179" i="6"/>
  <c r="BA179" i="6"/>
  <c r="AQ181" i="6"/>
  <c r="AR183" i="6"/>
  <c r="M184" i="6"/>
  <c r="N187" i="6"/>
  <c r="W188" i="6"/>
  <c r="O188" i="6"/>
  <c r="Y188" i="6"/>
  <c r="P188" i="6"/>
  <c r="Z188" i="6"/>
  <c r="N188" i="6"/>
  <c r="V188" i="6"/>
  <c r="U188" i="6"/>
  <c r="AD188" i="6"/>
  <c r="S188" i="6"/>
  <c r="X188" i="6"/>
  <c r="AR190" i="6"/>
  <c r="M191" i="6"/>
  <c r="BC192" i="6"/>
  <c r="AU192" i="6"/>
  <c r="AM192" i="6"/>
  <c r="BB192" i="6"/>
  <c r="AS192" i="6"/>
  <c r="AZ192" i="6"/>
  <c r="AP192" i="6"/>
  <c r="AQ192" i="6"/>
  <c r="BA192" i="6"/>
  <c r="AO192" i="6"/>
  <c r="AY192" i="6"/>
  <c r="AN192" i="6"/>
  <c r="AX192" i="6"/>
  <c r="AL192" i="6"/>
  <c r="AC202" i="6"/>
  <c r="U202" i="6"/>
  <c r="M202" i="6"/>
  <c r="Y202" i="6"/>
  <c r="P202" i="6"/>
  <c r="V202" i="6"/>
  <c r="AB202" i="6"/>
  <c r="R202" i="6"/>
  <c r="W202" i="6"/>
  <c r="S202" i="6"/>
  <c r="Q202" i="6"/>
  <c r="AD202" i="6"/>
  <c r="O202" i="6"/>
  <c r="AA202" i="6"/>
  <c r="N202" i="6"/>
  <c r="X202" i="6"/>
  <c r="AX167" i="6"/>
  <c r="AP167" i="6"/>
  <c r="BC167" i="6"/>
  <c r="AT167" i="6"/>
  <c r="AK167" i="6"/>
  <c r="AS167" i="6"/>
  <c r="AA168" i="6"/>
  <c r="S168" i="6"/>
  <c r="Y168" i="6"/>
  <c r="P168" i="6"/>
  <c r="R168" i="6"/>
  <c r="AC168" i="6"/>
  <c r="AN174" i="6"/>
  <c r="AZ174" i="6"/>
  <c r="R175" i="6"/>
  <c r="AC175" i="6"/>
  <c r="AA176" i="6"/>
  <c r="S176" i="6"/>
  <c r="AB176" i="6"/>
  <c r="R176" i="6"/>
  <c r="V176" i="6"/>
  <c r="L176" i="6"/>
  <c r="T176" i="6"/>
  <c r="BC176" i="6"/>
  <c r="AU176" i="6"/>
  <c r="AM176" i="6"/>
  <c r="AX176" i="6"/>
  <c r="AO176" i="6"/>
  <c r="AT176" i="6"/>
  <c r="AS176" i="6"/>
  <c r="AL178" i="6"/>
  <c r="AX178" i="6"/>
  <c r="M179" i="6"/>
  <c r="AA179" i="6"/>
  <c r="AQ179" i="6"/>
  <c r="AS181" i="6"/>
  <c r="AU183" i="6"/>
  <c r="T184" i="6"/>
  <c r="AP184" i="6"/>
  <c r="P187" i="6"/>
  <c r="AU190" i="6"/>
  <c r="S191" i="6"/>
  <c r="AL160" i="6"/>
  <c r="AW160" i="6"/>
  <c r="M161" i="6"/>
  <c r="W161" i="6"/>
  <c r="AW162" i="6"/>
  <c r="AO162" i="6"/>
  <c r="BB162" i="6"/>
  <c r="AS162" i="6"/>
  <c r="AR162" i="6"/>
  <c r="BC162" i="6"/>
  <c r="AB165" i="6"/>
  <c r="T165" i="6"/>
  <c r="L165" i="6"/>
  <c r="AC165" i="6"/>
  <c r="S165" i="6"/>
  <c r="R165" i="6"/>
  <c r="AD165" i="6"/>
  <c r="AU167" i="6"/>
  <c r="T168" i="6"/>
  <c r="AD168" i="6"/>
  <c r="AL170" i="6"/>
  <c r="AV170" i="6"/>
  <c r="W172" i="6"/>
  <c r="O172" i="6"/>
  <c r="Y172" i="6"/>
  <c r="P172" i="6"/>
  <c r="S172" i="6"/>
  <c r="AC172" i="6"/>
  <c r="M173" i="6"/>
  <c r="W173" i="6"/>
  <c r="AP174" i="6"/>
  <c r="BB174" i="6"/>
  <c r="AX175" i="6"/>
  <c r="AP175" i="6"/>
  <c r="AV175" i="6"/>
  <c r="AM175" i="6"/>
  <c r="AY175" i="6"/>
  <c r="AN175" i="6"/>
  <c r="AT175" i="6"/>
  <c r="U176" i="6"/>
  <c r="AV176" i="6"/>
  <c r="L178" i="6"/>
  <c r="Y178" i="6"/>
  <c r="AM178" i="6"/>
  <c r="AY178" i="6"/>
  <c r="P179" i="6"/>
  <c r="AB179" i="6"/>
  <c r="AR179" i="6"/>
  <c r="AT181" i="6"/>
  <c r="U184" i="6"/>
  <c r="AS184" i="6"/>
  <c r="L188" i="6"/>
  <c r="AC188" i="6"/>
  <c r="AW190" i="6"/>
  <c r="T191" i="6"/>
  <c r="AD175" i="6"/>
  <c r="V175" i="6"/>
  <c r="N175" i="6"/>
  <c r="Z175" i="6"/>
  <c r="Q175" i="6"/>
  <c r="Y175" i="6"/>
  <c r="O175" i="6"/>
  <c r="T175" i="6"/>
  <c r="AN178" i="6"/>
  <c r="BA178" i="6"/>
  <c r="Q179" i="6"/>
  <c r="AX183" i="6"/>
  <c r="AP183" i="6"/>
  <c r="BC183" i="6"/>
  <c r="AT183" i="6"/>
  <c r="AK183" i="6"/>
  <c r="BA183" i="6"/>
  <c r="AQ183" i="6"/>
  <c r="AZ183" i="6"/>
  <c r="AN183" i="6"/>
  <c r="AY183" i="6"/>
  <c r="AM183" i="6"/>
  <c r="AV183" i="6"/>
  <c r="BB183" i="6"/>
  <c r="AT184" i="6"/>
  <c r="Z187" i="6"/>
  <c r="R187" i="6"/>
  <c r="V187" i="6"/>
  <c r="M187" i="6"/>
  <c r="AB187" i="6"/>
  <c r="Q187" i="6"/>
  <c r="W187" i="6"/>
  <c r="U187" i="6"/>
  <c r="AD187" i="6"/>
  <c r="S187" i="6"/>
  <c r="X187" i="6"/>
  <c r="L202" i="6"/>
  <c r="AV181" i="6"/>
  <c r="AN181" i="6"/>
  <c r="AY181" i="6"/>
  <c r="AP181" i="6"/>
  <c r="AX181" i="6"/>
  <c r="AM181" i="6"/>
  <c r="BA181" i="6"/>
  <c r="AO181" i="6"/>
  <c r="AZ181" i="6"/>
  <c r="AL181" i="6"/>
  <c r="AU181" i="6"/>
  <c r="BB181" i="6"/>
  <c r="AA184" i="6"/>
  <c r="S184" i="6"/>
  <c r="Y184" i="6"/>
  <c r="P184" i="6"/>
  <c r="Z184" i="6"/>
  <c r="O184" i="6"/>
  <c r="AC184" i="6"/>
  <c r="Q184" i="6"/>
  <c r="AB184" i="6"/>
  <c r="N184" i="6"/>
  <c r="W184" i="6"/>
  <c r="L184" i="6"/>
  <c r="X184" i="6"/>
  <c r="AW184" i="6"/>
  <c r="BA190" i="6"/>
  <c r="AS190" i="6"/>
  <c r="AK190" i="6"/>
  <c r="AX190" i="6"/>
  <c r="AO190" i="6"/>
  <c r="AV190" i="6"/>
  <c r="AL190" i="6"/>
  <c r="BC190" i="6"/>
  <c r="AQ190" i="6"/>
  <c r="BB190" i="6"/>
  <c r="AP190" i="6"/>
  <c r="AY190" i="6"/>
  <c r="AM190" i="6"/>
  <c r="AD191" i="6"/>
  <c r="V191" i="6"/>
  <c r="N191" i="6"/>
  <c r="U191" i="6"/>
  <c r="L191" i="6"/>
  <c r="W191" i="6"/>
  <c r="AC191" i="6"/>
  <c r="R191" i="6"/>
  <c r="AB191" i="6"/>
  <c r="Q191" i="6"/>
  <c r="Z191" i="6"/>
  <c r="O191" i="6"/>
  <c r="Y191" i="6"/>
  <c r="BA174" i="6"/>
  <c r="AS174" i="6"/>
  <c r="AK174" i="6"/>
  <c r="BC174" i="6"/>
  <c r="AT174" i="6"/>
  <c r="AY174" i="6"/>
  <c r="AO174" i="6"/>
  <c r="AU174" i="6"/>
  <c r="Z179" i="6"/>
  <c r="R179" i="6"/>
  <c r="X179" i="6"/>
  <c r="O179" i="6"/>
  <c r="Y179" i="6"/>
  <c r="N179" i="6"/>
  <c r="T179" i="6"/>
  <c r="BB179" i="6"/>
  <c r="AT179" i="6"/>
  <c r="AL179" i="6"/>
  <c r="AU179" i="6"/>
  <c r="AK179" i="6"/>
  <c r="AW179" i="6"/>
  <c r="AM179" i="6"/>
  <c r="AZ179" i="6"/>
  <c r="AO179" i="6"/>
  <c r="AX179" i="6"/>
  <c r="BC181" i="6"/>
  <c r="AL183" i="6"/>
  <c r="AD184" i="6"/>
  <c r="AA187" i="6"/>
  <c r="AA191" i="6"/>
  <c r="AW178" i="6"/>
  <c r="AO178" i="6"/>
  <c r="BB178" i="6"/>
  <c r="AS178" i="6"/>
  <c r="AZ178" i="6"/>
  <c r="AP178" i="6"/>
  <c r="AT178" i="6"/>
  <c r="BC184" i="6"/>
  <c r="AU184" i="6"/>
  <c r="AM184" i="6"/>
  <c r="AV184" i="6"/>
  <c r="AL184" i="6"/>
  <c r="AY184" i="6"/>
  <c r="AO184" i="6"/>
  <c r="AR184" i="6"/>
  <c r="BB184" i="6"/>
  <c r="AQ184" i="6"/>
  <c r="AZ184" i="6"/>
  <c r="AN184" i="6"/>
  <c r="BA184" i="6"/>
  <c r="X200" i="6"/>
  <c r="X201" i="6"/>
  <c r="P201" i="6"/>
  <c r="W201" i="6"/>
  <c r="N201" i="6"/>
  <c r="Z201" i="6"/>
  <c r="O201" i="6"/>
  <c r="U201" i="6"/>
  <c r="T201" i="6"/>
  <c r="W204" i="6"/>
  <c r="O204" i="6"/>
  <c r="AC204" i="6"/>
  <c r="T204" i="6"/>
  <c r="Z204" i="6"/>
  <c r="P204" i="6"/>
  <c r="V204" i="6"/>
  <c r="L204" i="6"/>
  <c r="U204" i="6"/>
  <c r="AX209" i="6"/>
  <c r="AY210" i="6"/>
  <c r="AB205" i="6"/>
  <c r="T205" i="6"/>
  <c r="L205" i="6"/>
  <c r="V205" i="6"/>
  <c r="M205" i="6"/>
  <c r="U205" i="6"/>
  <c r="AA205" i="6"/>
  <c r="Q205" i="6"/>
  <c r="W205" i="6"/>
  <c r="BC208" i="6"/>
  <c r="AU208" i="6"/>
  <c r="AM208" i="6"/>
  <c r="AX208" i="6"/>
  <c r="AO208" i="6"/>
  <c r="AV208" i="6"/>
  <c r="AK208" i="6"/>
  <c r="BB208" i="6"/>
  <c r="AR208" i="6"/>
  <c r="AY208" i="6"/>
  <c r="AN208" i="6"/>
  <c r="AZ208" i="6"/>
  <c r="AQ157" i="6"/>
  <c r="AC158" i="6"/>
  <c r="U158" i="6"/>
  <c r="M158" i="6"/>
  <c r="R158" i="6"/>
  <c r="AA158" i="6"/>
  <c r="W164" i="6"/>
  <c r="O164" i="6"/>
  <c r="R164" i="6"/>
  <c r="AA164" i="6"/>
  <c r="BB171" i="6"/>
  <c r="AT171" i="6"/>
  <c r="AL171" i="6"/>
  <c r="AR171" i="6"/>
  <c r="BA171" i="6"/>
  <c r="AZ177" i="6"/>
  <c r="AR177" i="6"/>
  <c r="AY177" i="6"/>
  <c r="AP177" i="6"/>
  <c r="AS177" i="6"/>
  <c r="BC177" i="6"/>
  <c r="AB181" i="6"/>
  <c r="T181" i="6"/>
  <c r="L181" i="6"/>
  <c r="AC181" i="6"/>
  <c r="S181" i="6"/>
  <c r="Y181" i="6"/>
  <c r="O181" i="6"/>
  <c r="U181" i="6"/>
  <c r="AD183" i="6"/>
  <c r="V183" i="6"/>
  <c r="N183" i="6"/>
  <c r="X183" i="6"/>
  <c r="O183" i="6"/>
  <c r="AB183" i="6"/>
  <c r="R183" i="6"/>
  <c r="T183" i="6"/>
  <c r="O185" i="6"/>
  <c r="AP185" i="6"/>
  <c r="P186" i="6"/>
  <c r="AP189" i="6"/>
  <c r="BA189" i="6"/>
  <c r="N193" i="6"/>
  <c r="AB193" i="6"/>
  <c r="AP193" i="6"/>
  <c r="BB193" i="6"/>
  <c r="AQ194" i="6"/>
  <c r="BB194" i="6"/>
  <c r="O195" i="6"/>
  <c r="W196" i="6"/>
  <c r="O196" i="6"/>
  <c r="V196" i="6"/>
  <c r="M196" i="6"/>
  <c r="AB196" i="6"/>
  <c r="R196" i="6"/>
  <c r="T196" i="6"/>
  <c r="P197" i="6"/>
  <c r="AA197" i="6"/>
  <c r="AP197" i="6"/>
  <c r="BA197" i="6"/>
  <c r="AX199" i="6"/>
  <c r="AP199" i="6"/>
  <c r="AY199" i="6"/>
  <c r="AO199" i="6"/>
  <c r="BB199" i="6"/>
  <c r="AR199" i="6"/>
  <c r="AW199" i="6"/>
  <c r="AM199" i="6"/>
  <c r="AU199" i="6"/>
  <c r="N200" i="6"/>
  <c r="AB200" i="6"/>
  <c r="Y201" i="6"/>
  <c r="Y204" i="6"/>
  <c r="X205" i="6"/>
  <c r="AX207" i="6"/>
  <c r="AP207" i="6"/>
  <c r="AV207" i="6"/>
  <c r="AM207" i="6"/>
  <c r="AZ207" i="6"/>
  <c r="AO207" i="6"/>
  <c r="AU207" i="6"/>
  <c r="AK207" i="6"/>
  <c r="BB207" i="6"/>
  <c r="AR207" i="6"/>
  <c r="AY207" i="6"/>
  <c r="P208" i="6"/>
  <c r="BA208" i="6"/>
  <c r="AM209" i="6"/>
  <c r="BC209" i="6"/>
  <c r="AL210" i="6"/>
  <c r="BC210" i="6"/>
  <c r="W220" i="6"/>
  <c r="O220" i="6"/>
  <c r="Y220" i="6"/>
  <c r="P220" i="6"/>
  <c r="AC220" i="6"/>
  <c r="T220" i="6"/>
  <c r="U220" i="6"/>
  <c r="AB220" i="6"/>
  <c r="Q220" i="6"/>
  <c r="AA220" i="6"/>
  <c r="N220" i="6"/>
  <c r="Z220" i="6"/>
  <c r="M220" i="6"/>
  <c r="X220" i="6"/>
  <c r="L220" i="6"/>
  <c r="V220" i="6"/>
  <c r="Z227" i="6"/>
  <c r="R227" i="6"/>
  <c r="AC227" i="6"/>
  <c r="T227" i="6"/>
  <c r="X227" i="6"/>
  <c r="O227" i="6"/>
  <c r="V227" i="6"/>
  <c r="U227" i="6"/>
  <c r="AD227" i="6"/>
  <c r="Q227" i="6"/>
  <c r="AB227" i="6"/>
  <c r="P227" i="6"/>
  <c r="AA227" i="6"/>
  <c r="N227" i="6"/>
  <c r="Y227" i="6"/>
  <c r="M227" i="6"/>
  <c r="W227" i="6"/>
  <c r="L227" i="6"/>
  <c r="O200" i="6"/>
  <c r="AC200" i="6"/>
  <c r="L201" i="6"/>
  <c r="AA201" i="6"/>
  <c r="M204" i="6"/>
  <c r="AA204" i="6"/>
  <c r="Y205" i="6"/>
  <c r="AL208" i="6"/>
  <c r="X209" i="6"/>
  <c r="P209" i="6"/>
  <c r="AD209" i="6"/>
  <c r="U209" i="6"/>
  <c r="L209" i="6"/>
  <c r="V209" i="6"/>
  <c r="AB209" i="6"/>
  <c r="R209" i="6"/>
  <c r="Y209" i="6"/>
  <c r="N209" i="6"/>
  <c r="W209" i="6"/>
  <c r="AN209" i="6"/>
  <c r="AN210" i="6"/>
  <c r="BA182" i="6"/>
  <c r="AS182" i="6"/>
  <c r="AK182" i="6"/>
  <c r="AZ182" i="6"/>
  <c r="AQ182" i="6"/>
  <c r="BC182" i="6"/>
  <c r="AR182" i="6"/>
  <c r="AU182" i="6"/>
  <c r="AC186" i="6"/>
  <c r="U186" i="6"/>
  <c r="M186" i="6"/>
  <c r="AD186" i="6"/>
  <c r="T186" i="6"/>
  <c r="S186" i="6"/>
  <c r="R186" i="6"/>
  <c r="S193" i="6"/>
  <c r="Z195" i="6"/>
  <c r="R195" i="6"/>
  <c r="AC195" i="6"/>
  <c r="T195" i="6"/>
  <c r="AD195" i="6"/>
  <c r="S195" i="6"/>
  <c r="Q195" i="6"/>
  <c r="BB195" i="6"/>
  <c r="AT195" i="6"/>
  <c r="AL195" i="6"/>
  <c r="AY195" i="6"/>
  <c r="AP195" i="6"/>
  <c r="BC195" i="6"/>
  <c r="AR195" i="6"/>
  <c r="AU195" i="6"/>
  <c r="R197" i="6"/>
  <c r="Q200" i="6"/>
  <c r="BC200" i="6"/>
  <c r="AU200" i="6"/>
  <c r="AM200" i="6"/>
  <c r="AZ200" i="6"/>
  <c r="AQ200" i="6"/>
  <c r="AY200" i="6"/>
  <c r="AO200" i="6"/>
  <c r="AV200" i="6"/>
  <c r="AK200" i="6"/>
  <c r="AW200" i="6"/>
  <c r="M201" i="6"/>
  <c r="AB201" i="6"/>
  <c r="AW202" i="6"/>
  <c r="AO202" i="6"/>
  <c r="AU202" i="6"/>
  <c r="AL202" i="6"/>
  <c r="AT202" i="6"/>
  <c r="BA202" i="6"/>
  <c r="AQ202" i="6"/>
  <c r="AV202" i="6"/>
  <c r="BB203" i="6"/>
  <c r="AT203" i="6"/>
  <c r="AL203" i="6"/>
  <c r="AW203" i="6"/>
  <c r="AN203" i="6"/>
  <c r="BA203" i="6"/>
  <c r="AQ203" i="6"/>
  <c r="AX203" i="6"/>
  <c r="AM203" i="6"/>
  <c r="AV203" i="6"/>
  <c r="N204" i="6"/>
  <c r="AB204" i="6"/>
  <c r="N205" i="6"/>
  <c r="Z205" i="6"/>
  <c r="AP208" i="6"/>
  <c r="Z209" i="6"/>
  <c r="AQ209" i="6"/>
  <c r="AP210" i="6"/>
  <c r="AX215" i="6"/>
  <c r="AP215" i="6"/>
  <c r="BC215" i="6"/>
  <c r="AT215" i="6"/>
  <c r="AK215" i="6"/>
  <c r="AY215" i="6"/>
  <c r="AO215" i="6"/>
  <c r="AV215" i="6"/>
  <c r="AR215" i="6"/>
  <c r="BB215" i="6"/>
  <c r="AQ215" i="6"/>
  <c r="BA215" i="6"/>
  <c r="AN215" i="6"/>
  <c r="AZ215" i="6"/>
  <c r="AM215" i="6"/>
  <c r="AW215" i="6"/>
  <c r="AL215" i="6"/>
  <c r="AV182" i="6"/>
  <c r="X185" i="6"/>
  <c r="P185" i="6"/>
  <c r="AB185" i="6"/>
  <c r="S185" i="6"/>
  <c r="W185" i="6"/>
  <c r="M185" i="6"/>
  <c r="T185" i="6"/>
  <c r="AZ185" i="6"/>
  <c r="AR185" i="6"/>
  <c r="AW185" i="6"/>
  <c r="AN185" i="6"/>
  <c r="AU185" i="6"/>
  <c r="AK185" i="6"/>
  <c r="AT185" i="6"/>
  <c r="V186" i="6"/>
  <c r="AV189" i="6"/>
  <c r="AN189" i="6"/>
  <c r="AW189" i="6"/>
  <c r="AM189" i="6"/>
  <c r="BB189" i="6"/>
  <c r="AR189" i="6"/>
  <c r="AT189" i="6"/>
  <c r="X193" i="6"/>
  <c r="P193" i="6"/>
  <c r="Z193" i="6"/>
  <c r="Q193" i="6"/>
  <c r="AA193" i="6"/>
  <c r="O193" i="6"/>
  <c r="T193" i="6"/>
  <c r="AZ193" i="6"/>
  <c r="AR193" i="6"/>
  <c r="AU193" i="6"/>
  <c r="AL193" i="6"/>
  <c r="AX193" i="6"/>
  <c r="AN193" i="6"/>
  <c r="AT193" i="6"/>
  <c r="AW194" i="6"/>
  <c r="AO194" i="6"/>
  <c r="AX194" i="6"/>
  <c r="AN194" i="6"/>
  <c r="AU194" i="6"/>
  <c r="AK194" i="6"/>
  <c r="AT194" i="6"/>
  <c r="AB197" i="6"/>
  <c r="T197" i="6"/>
  <c r="L197" i="6"/>
  <c r="X197" i="6"/>
  <c r="O197" i="6"/>
  <c r="V197" i="6"/>
  <c r="S197" i="6"/>
  <c r="AV197" i="6"/>
  <c r="AN197" i="6"/>
  <c r="BC197" i="6"/>
  <c r="AT197" i="6"/>
  <c r="AK197" i="6"/>
  <c r="AU197" i="6"/>
  <c r="AS197" i="6"/>
  <c r="Q201" i="6"/>
  <c r="AC201" i="6"/>
  <c r="Q204" i="6"/>
  <c r="AD204" i="6"/>
  <c r="O205" i="6"/>
  <c r="AC205" i="6"/>
  <c r="AA208" i="6"/>
  <c r="S208" i="6"/>
  <c r="AB208" i="6"/>
  <c r="R208" i="6"/>
  <c r="W208" i="6"/>
  <c r="M208" i="6"/>
  <c r="AD208" i="6"/>
  <c r="T208" i="6"/>
  <c r="Y208" i="6"/>
  <c r="O208" i="6"/>
  <c r="V208" i="6"/>
  <c r="AQ208" i="6"/>
  <c r="AA209" i="6"/>
  <c r="BB227" i="6"/>
  <c r="AT227" i="6"/>
  <c r="AL227" i="6"/>
  <c r="AY227" i="6"/>
  <c r="AP227" i="6"/>
  <c r="AU227" i="6"/>
  <c r="AK227" i="6"/>
  <c r="AX227" i="6"/>
  <c r="AM227" i="6"/>
  <c r="AW227" i="6"/>
  <c r="AS227" i="6"/>
  <c r="AR227" i="6"/>
  <c r="BC227" i="6"/>
  <c r="AQ227" i="6"/>
  <c r="BA227" i="6"/>
  <c r="AO227" i="6"/>
  <c r="AZ227" i="6"/>
  <c r="AN227" i="6"/>
  <c r="AA200" i="6"/>
  <c r="S200" i="6"/>
  <c r="AD200" i="6"/>
  <c r="U200" i="6"/>
  <c r="L200" i="6"/>
  <c r="Z200" i="6"/>
  <c r="P200" i="6"/>
  <c r="W200" i="6"/>
  <c r="M200" i="6"/>
  <c r="V200" i="6"/>
  <c r="R205" i="6"/>
  <c r="AT208" i="6"/>
  <c r="AZ209" i="6"/>
  <c r="AR209" i="6"/>
  <c r="AY209" i="6"/>
  <c r="AP209" i="6"/>
  <c r="AT209" i="6"/>
  <c r="BA209" i="6"/>
  <c r="AO209" i="6"/>
  <c r="AV209" i="6"/>
  <c r="AL209" i="6"/>
  <c r="AW209" i="6"/>
  <c r="AW210" i="6"/>
  <c r="AO210" i="6"/>
  <c r="BB210" i="6"/>
  <c r="AS210" i="6"/>
  <c r="BA210" i="6"/>
  <c r="AQ210" i="6"/>
  <c r="AX210" i="6"/>
  <c r="AM210" i="6"/>
  <c r="AT210" i="6"/>
  <c r="AV210" i="6"/>
  <c r="AB213" i="6"/>
  <c r="T213" i="6"/>
  <c r="L213" i="6"/>
  <c r="AC213" i="6"/>
  <c r="S213" i="6"/>
  <c r="X213" i="6"/>
  <c r="O213" i="6"/>
  <c r="U213" i="6"/>
  <c r="AC218" i="6"/>
  <c r="U218" i="6"/>
  <c r="M218" i="6"/>
  <c r="AD218" i="6"/>
  <c r="T218" i="6"/>
  <c r="Y218" i="6"/>
  <c r="P218" i="6"/>
  <c r="S218" i="6"/>
  <c r="AK225" i="6"/>
  <c r="AW225" i="6"/>
  <c r="AK226" i="6"/>
  <c r="AV226" i="6"/>
  <c r="W229" i="6"/>
  <c r="AM229" i="6"/>
  <c r="BB229" i="6"/>
  <c r="AN230" i="6"/>
  <c r="BC230" i="6"/>
  <c r="AL231" i="6"/>
  <c r="AZ231" i="6"/>
  <c r="X234" i="6"/>
  <c r="W236" i="6"/>
  <c r="O236" i="6"/>
  <c r="X236" i="6"/>
  <c r="N236" i="6"/>
  <c r="AC236" i="6"/>
  <c r="T236" i="6"/>
  <c r="Y236" i="6"/>
  <c r="P236" i="6"/>
  <c r="U236" i="6"/>
  <c r="M241" i="6"/>
  <c r="AW186" i="6"/>
  <c r="AO186" i="6"/>
  <c r="AZ186" i="6"/>
  <c r="AQ186" i="6"/>
  <c r="AS186" i="6"/>
  <c r="BC186" i="6"/>
  <c r="AB189" i="6"/>
  <c r="T189" i="6"/>
  <c r="L189" i="6"/>
  <c r="Z189" i="6"/>
  <c r="Q189" i="6"/>
  <c r="S189" i="6"/>
  <c r="AD189" i="6"/>
  <c r="AA192" i="6"/>
  <c r="S192" i="6"/>
  <c r="W192" i="6"/>
  <c r="N192" i="6"/>
  <c r="R192" i="6"/>
  <c r="AC192" i="6"/>
  <c r="AP198" i="6"/>
  <c r="O199" i="6"/>
  <c r="AZ201" i="6"/>
  <c r="AR201" i="6"/>
  <c r="BB201" i="6"/>
  <c r="AS201" i="6"/>
  <c r="AQ201" i="6"/>
  <c r="BC201" i="6"/>
  <c r="BA206" i="6"/>
  <c r="AS206" i="6"/>
  <c r="AK206" i="6"/>
  <c r="BC206" i="6"/>
  <c r="AT206" i="6"/>
  <c r="AR206" i="6"/>
  <c r="AD207" i="6"/>
  <c r="V207" i="6"/>
  <c r="N207" i="6"/>
  <c r="Z207" i="6"/>
  <c r="Q207" i="6"/>
  <c r="S207" i="6"/>
  <c r="AC207" i="6"/>
  <c r="V210" i="6"/>
  <c r="Z211" i="6"/>
  <c r="R211" i="6"/>
  <c r="X211" i="6"/>
  <c r="O211" i="6"/>
  <c r="S211" i="6"/>
  <c r="AC211" i="6"/>
  <c r="AQ211" i="6"/>
  <c r="BA211" i="6"/>
  <c r="V213" i="6"/>
  <c r="AL213" i="6"/>
  <c r="AX213" i="6"/>
  <c r="BA214" i="6"/>
  <c r="AS214" i="6"/>
  <c r="AK214" i="6"/>
  <c r="AZ214" i="6"/>
  <c r="AQ214" i="6"/>
  <c r="AV214" i="6"/>
  <c r="AM214" i="6"/>
  <c r="AU214" i="6"/>
  <c r="W215" i="6"/>
  <c r="O216" i="6"/>
  <c r="AR216" i="6"/>
  <c r="X217" i="6"/>
  <c r="P217" i="6"/>
  <c r="AB217" i="6"/>
  <c r="S217" i="6"/>
  <c r="W217" i="6"/>
  <c r="N217" i="6"/>
  <c r="T217" i="6"/>
  <c r="AZ217" i="6"/>
  <c r="AR217" i="6"/>
  <c r="AW217" i="6"/>
  <c r="AN217" i="6"/>
  <c r="BB217" i="6"/>
  <c r="AS217" i="6"/>
  <c r="AT217" i="6"/>
  <c r="V218" i="6"/>
  <c r="AK218" i="6"/>
  <c r="AX218" i="6"/>
  <c r="AB221" i="6"/>
  <c r="T221" i="6"/>
  <c r="L221" i="6"/>
  <c r="Z221" i="6"/>
  <c r="Q221" i="6"/>
  <c r="V221" i="6"/>
  <c r="M221" i="6"/>
  <c r="U221" i="6"/>
  <c r="AD223" i="6"/>
  <c r="V223" i="6"/>
  <c r="N223" i="6"/>
  <c r="U223" i="6"/>
  <c r="L223" i="6"/>
  <c r="Z223" i="6"/>
  <c r="Q223" i="6"/>
  <c r="T223" i="6"/>
  <c r="AA224" i="6"/>
  <c r="S224" i="6"/>
  <c r="W224" i="6"/>
  <c r="N224" i="6"/>
  <c r="AB224" i="6"/>
  <c r="R224" i="6"/>
  <c r="T224" i="6"/>
  <c r="BC224" i="6"/>
  <c r="AU224" i="6"/>
  <c r="AM224" i="6"/>
  <c r="BB224" i="6"/>
  <c r="AS224" i="6"/>
  <c r="AX224" i="6"/>
  <c r="AO224" i="6"/>
  <c r="AT224" i="6"/>
  <c r="W225" i="6"/>
  <c r="AM225" i="6"/>
  <c r="AX225" i="6"/>
  <c r="AL226" i="6"/>
  <c r="AY226" i="6"/>
  <c r="M229" i="6"/>
  <c r="Y229" i="6"/>
  <c r="AQ229" i="6"/>
  <c r="AO230" i="6"/>
  <c r="AD231" i="6"/>
  <c r="V231" i="6"/>
  <c r="N231" i="6"/>
  <c r="W231" i="6"/>
  <c r="M231" i="6"/>
  <c r="AB231" i="6"/>
  <c r="S231" i="6"/>
  <c r="X231" i="6"/>
  <c r="O231" i="6"/>
  <c r="U231" i="6"/>
  <c r="AM231" i="6"/>
  <c r="BA231" i="6"/>
  <c r="AN232" i="6"/>
  <c r="BA232" i="6"/>
  <c r="AZ233" i="6"/>
  <c r="AR233" i="6"/>
  <c r="AV233" i="6"/>
  <c r="AM233" i="6"/>
  <c r="BB233" i="6"/>
  <c r="AS233" i="6"/>
  <c r="AW233" i="6"/>
  <c r="AN233" i="6"/>
  <c r="AU233" i="6"/>
  <c r="L234" i="6"/>
  <c r="Z234" i="6"/>
  <c r="AS234" i="6"/>
  <c r="V236" i="6"/>
  <c r="AB237" i="6"/>
  <c r="T237" i="6"/>
  <c r="L237" i="6"/>
  <c r="Y237" i="6"/>
  <c r="P237" i="6"/>
  <c r="V237" i="6"/>
  <c r="M237" i="6"/>
  <c r="Z237" i="6"/>
  <c r="Q237" i="6"/>
  <c r="W237" i="6"/>
  <c r="R241" i="6"/>
  <c r="AR211" i="6"/>
  <c r="W213" i="6"/>
  <c r="W218" i="6"/>
  <c r="AN225" i="6"/>
  <c r="BA225" i="6"/>
  <c r="AM226" i="6"/>
  <c r="AZ226" i="6"/>
  <c r="N229" i="6"/>
  <c r="Z229" i="6"/>
  <c r="AR229" i="6"/>
  <c r="AR230" i="6"/>
  <c r="AN231" i="6"/>
  <c r="AA232" i="6"/>
  <c r="S232" i="6"/>
  <c r="X232" i="6"/>
  <c r="O232" i="6"/>
  <c r="AD232" i="6"/>
  <c r="U232" i="6"/>
  <c r="L232" i="6"/>
  <c r="Y232" i="6"/>
  <c r="P232" i="6"/>
  <c r="V232" i="6"/>
  <c r="AO232" i="6"/>
  <c r="BB232" i="6"/>
  <c r="N234" i="6"/>
  <c r="AA234" i="6"/>
  <c r="Z236" i="6"/>
  <c r="S241" i="6"/>
  <c r="BB211" i="6"/>
  <c r="AT211" i="6"/>
  <c r="AL211" i="6"/>
  <c r="AU211" i="6"/>
  <c r="AK211" i="6"/>
  <c r="AS211" i="6"/>
  <c r="M213" i="6"/>
  <c r="Y213" i="6"/>
  <c r="BC216" i="6"/>
  <c r="AU216" i="6"/>
  <c r="AM216" i="6"/>
  <c r="AV216" i="6"/>
  <c r="AL216" i="6"/>
  <c r="AZ216" i="6"/>
  <c r="AQ216" i="6"/>
  <c r="AT216" i="6"/>
  <c r="L218" i="6"/>
  <c r="X218" i="6"/>
  <c r="BA222" i="6"/>
  <c r="AS222" i="6"/>
  <c r="AK222" i="6"/>
  <c r="AX222" i="6"/>
  <c r="AO222" i="6"/>
  <c r="BC222" i="6"/>
  <c r="AT222" i="6"/>
  <c r="AU222" i="6"/>
  <c r="AO225" i="6"/>
  <c r="BB225" i="6"/>
  <c r="AP226" i="6"/>
  <c r="BA226" i="6"/>
  <c r="P229" i="6"/>
  <c r="AA229" i="6"/>
  <c r="AS229" i="6"/>
  <c r="AT230" i="6"/>
  <c r="AQ231" i="6"/>
  <c r="O234" i="6"/>
  <c r="AW234" i="6"/>
  <c r="AO234" i="6"/>
  <c r="AY234" i="6"/>
  <c r="AP234" i="6"/>
  <c r="AU234" i="6"/>
  <c r="AL234" i="6"/>
  <c r="AZ234" i="6"/>
  <c r="AQ234" i="6"/>
  <c r="AV234" i="6"/>
  <c r="L236" i="6"/>
  <c r="AA236" i="6"/>
  <c r="BA238" i="6"/>
  <c r="AS238" i="6"/>
  <c r="AK238" i="6"/>
  <c r="AW238" i="6"/>
  <c r="AO238" i="6"/>
  <c r="AY238" i="6"/>
  <c r="AN238" i="6"/>
  <c r="AU238" i="6"/>
  <c r="BC238" i="6"/>
  <c r="AR238" i="6"/>
  <c r="AZ238" i="6"/>
  <c r="AP238" i="6"/>
  <c r="BB238" i="6"/>
  <c r="W241" i="6"/>
  <c r="BA198" i="6"/>
  <c r="AS198" i="6"/>
  <c r="AK198" i="6"/>
  <c r="AV198" i="6"/>
  <c r="AM198" i="6"/>
  <c r="AT198" i="6"/>
  <c r="AD199" i="6"/>
  <c r="V199" i="6"/>
  <c r="N199" i="6"/>
  <c r="AB199" i="6"/>
  <c r="S199" i="6"/>
  <c r="R199" i="6"/>
  <c r="AC199" i="6"/>
  <c r="P210" i="6"/>
  <c r="AV211" i="6"/>
  <c r="N213" i="6"/>
  <c r="Z213" i="6"/>
  <c r="AQ213" i="6"/>
  <c r="P215" i="6"/>
  <c r="AA216" i="6"/>
  <c r="S216" i="6"/>
  <c r="Y216" i="6"/>
  <c r="P216" i="6"/>
  <c r="AD216" i="6"/>
  <c r="U216" i="6"/>
  <c r="L216" i="6"/>
  <c r="T216" i="6"/>
  <c r="AW216" i="6"/>
  <c r="N218" i="6"/>
  <c r="Z218" i="6"/>
  <c r="AP218" i="6"/>
  <c r="AV222" i="6"/>
  <c r="O225" i="6"/>
  <c r="AQ225" i="6"/>
  <c r="AQ226" i="6"/>
  <c r="Q229" i="6"/>
  <c r="Z232" i="6"/>
  <c r="AX234" i="6"/>
  <c r="M236" i="6"/>
  <c r="AB236" i="6"/>
  <c r="AD239" i="6"/>
  <c r="V239" i="6"/>
  <c r="N239" i="6"/>
  <c r="Z239" i="6"/>
  <c r="R239" i="6"/>
  <c r="X239" i="6"/>
  <c r="M239" i="6"/>
  <c r="T239" i="6"/>
  <c r="AB239" i="6"/>
  <c r="Q239" i="6"/>
  <c r="Y239" i="6"/>
  <c r="O239" i="6"/>
  <c r="AA239" i="6"/>
  <c r="AD249" i="6"/>
  <c r="V249" i="6"/>
  <c r="N249" i="6"/>
  <c r="Y249" i="6"/>
  <c r="P249" i="6"/>
  <c r="AC249" i="6"/>
  <c r="T249" i="6"/>
  <c r="W249" i="6"/>
  <c r="U249" i="6"/>
  <c r="R249" i="6"/>
  <c r="AB249" i="6"/>
  <c r="Q249" i="6"/>
  <c r="AA249" i="6"/>
  <c r="O249" i="6"/>
  <c r="Z249" i="6"/>
  <c r="M249" i="6"/>
  <c r="X249" i="6"/>
  <c r="L249" i="6"/>
  <c r="AV229" i="6"/>
  <c r="AN229" i="6"/>
  <c r="AX229" i="6"/>
  <c r="AO229" i="6"/>
  <c r="BC229" i="6"/>
  <c r="AT229" i="6"/>
  <c r="AK229" i="6"/>
  <c r="AY229" i="6"/>
  <c r="AP229" i="6"/>
  <c r="AW229" i="6"/>
  <c r="BA230" i="6"/>
  <c r="AS230" i="6"/>
  <c r="AK230" i="6"/>
  <c r="AY230" i="6"/>
  <c r="AP230" i="6"/>
  <c r="AV230" i="6"/>
  <c r="AM230" i="6"/>
  <c r="AZ230" i="6"/>
  <c r="AQ230" i="6"/>
  <c r="AW230" i="6"/>
  <c r="X241" i="6"/>
  <c r="P241" i="6"/>
  <c r="AB241" i="6"/>
  <c r="T241" i="6"/>
  <c r="L241" i="6"/>
  <c r="U241" i="6"/>
  <c r="AA241" i="6"/>
  <c r="Q241" i="6"/>
  <c r="Z241" i="6"/>
  <c r="O241" i="6"/>
  <c r="Y241" i="6"/>
  <c r="N241" i="6"/>
  <c r="V241" i="6"/>
  <c r="AD241" i="6"/>
  <c r="AZ225" i="6"/>
  <c r="AR225" i="6"/>
  <c r="AU225" i="6"/>
  <c r="AL225" i="6"/>
  <c r="AY225" i="6"/>
  <c r="AP225" i="6"/>
  <c r="AT225" i="6"/>
  <c r="AW226" i="6"/>
  <c r="AO226" i="6"/>
  <c r="AX226" i="6"/>
  <c r="AN226" i="6"/>
  <c r="BB226" i="6"/>
  <c r="AS226" i="6"/>
  <c r="AT226" i="6"/>
  <c r="AB229" i="6"/>
  <c r="T229" i="6"/>
  <c r="L229" i="6"/>
  <c r="X229" i="6"/>
  <c r="O229" i="6"/>
  <c r="AC229" i="6"/>
  <c r="S229" i="6"/>
  <c r="U229" i="6"/>
  <c r="AZ229" i="6"/>
  <c r="AX230" i="6"/>
  <c r="AX231" i="6"/>
  <c r="AP231" i="6"/>
  <c r="BB231" i="6"/>
  <c r="AS231" i="6"/>
  <c r="AY231" i="6"/>
  <c r="AO231" i="6"/>
  <c r="BC231" i="6"/>
  <c r="AT231" i="6"/>
  <c r="AK231" i="6"/>
  <c r="AV231" i="6"/>
  <c r="AC234" i="6"/>
  <c r="U234" i="6"/>
  <c r="M234" i="6"/>
  <c r="AB234" i="6"/>
  <c r="S234" i="6"/>
  <c r="Y234" i="6"/>
  <c r="P234" i="6"/>
  <c r="AD234" i="6"/>
  <c r="T234" i="6"/>
  <c r="V234" i="6"/>
  <c r="AC210" i="6"/>
  <c r="U210" i="6"/>
  <c r="M210" i="6"/>
  <c r="W210" i="6"/>
  <c r="N210" i="6"/>
  <c r="S210" i="6"/>
  <c r="AD210" i="6"/>
  <c r="AO211" i="6"/>
  <c r="AY211" i="6"/>
  <c r="R213" i="6"/>
  <c r="AV213" i="6"/>
  <c r="AN213" i="6"/>
  <c r="AY213" i="6"/>
  <c r="AP213" i="6"/>
  <c r="BC213" i="6"/>
  <c r="AT213" i="6"/>
  <c r="AK213" i="6"/>
  <c r="AU213" i="6"/>
  <c r="AD215" i="6"/>
  <c r="V215" i="6"/>
  <c r="N215" i="6"/>
  <c r="X215" i="6"/>
  <c r="O215" i="6"/>
  <c r="AB215" i="6"/>
  <c r="S215" i="6"/>
  <c r="T215" i="6"/>
  <c r="AO216" i="6"/>
  <c r="BA216" i="6"/>
  <c r="R218" i="6"/>
  <c r="AW218" i="6"/>
  <c r="AO218" i="6"/>
  <c r="AZ218" i="6"/>
  <c r="AQ218" i="6"/>
  <c r="AU218" i="6"/>
  <c r="AL218" i="6"/>
  <c r="AT218" i="6"/>
  <c r="AN222" i="6"/>
  <c r="AZ222" i="6"/>
  <c r="X225" i="6"/>
  <c r="P225" i="6"/>
  <c r="Z225" i="6"/>
  <c r="Q225" i="6"/>
  <c r="AD225" i="6"/>
  <c r="U225" i="6"/>
  <c r="L225" i="6"/>
  <c r="T225" i="6"/>
  <c r="AV225" i="6"/>
  <c r="AU226" i="6"/>
  <c r="V229" i="6"/>
  <c r="AL229" i="6"/>
  <c r="BA229" i="6"/>
  <c r="AL230" i="6"/>
  <c r="BB230" i="6"/>
  <c r="AW231" i="6"/>
  <c r="BC232" i="6"/>
  <c r="AU232" i="6"/>
  <c r="AM232" i="6"/>
  <c r="AT232" i="6"/>
  <c r="AK232" i="6"/>
  <c r="AZ232" i="6"/>
  <c r="AQ232" i="6"/>
  <c r="AV232" i="6"/>
  <c r="AL232" i="6"/>
  <c r="AX232" i="6"/>
  <c r="W234" i="6"/>
  <c r="AN234" i="6"/>
  <c r="BC234" i="6"/>
  <c r="S236" i="6"/>
  <c r="AQ238" i="6"/>
  <c r="Z219" i="6"/>
  <c r="R219" i="6"/>
  <c r="Q219" i="6"/>
  <c r="AA219" i="6"/>
  <c r="AV221" i="6"/>
  <c r="AN221" i="6"/>
  <c r="AR221" i="6"/>
  <c r="BA221" i="6"/>
  <c r="W228" i="6"/>
  <c r="O228" i="6"/>
  <c r="R228" i="6"/>
  <c r="AA228" i="6"/>
  <c r="S233" i="6"/>
  <c r="AB233" i="6"/>
  <c r="BB235" i="6"/>
  <c r="AT235" i="6"/>
  <c r="AL235" i="6"/>
  <c r="AR235" i="6"/>
  <c r="BA235" i="6"/>
  <c r="AT241" i="6"/>
  <c r="AR242" i="6"/>
  <c r="Q243" i="6"/>
  <c r="AQ243" i="6"/>
  <c r="P244" i="6"/>
  <c r="U245" i="6"/>
  <c r="BB245" i="6"/>
  <c r="AV245" i="6"/>
  <c r="AN245" i="6"/>
  <c r="AZ245" i="6"/>
  <c r="AR245" i="6"/>
  <c r="AS245" i="6"/>
  <c r="W246" i="6"/>
  <c r="O246" i="6"/>
  <c r="AB246" i="6"/>
  <c r="S246" i="6"/>
  <c r="X246" i="6"/>
  <c r="N246" i="6"/>
  <c r="T246" i="6"/>
  <c r="O247" i="6"/>
  <c r="AA247" i="6"/>
  <c r="AR247" i="6"/>
  <c r="N251" i="6"/>
  <c r="AA251" i="6"/>
  <c r="AP251" i="6"/>
  <c r="BB251" i="6"/>
  <c r="Q253" i="6"/>
  <c r="V254" i="6"/>
  <c r="AQ255" i="6"/>
  <c r="AN256" i="6"/>
  <c r="AZ256" i="6"/>
  <c r="AQ257" i="6"/>
  <c r="Q258" i="6"/>
  <c r="AC260" i="6"/>
  <c r="U260" i="6"/>
  <c r="M260" i="6"/>
  <c r="AB260" i="6"/>
  <c r="S260" i="6"/>
  <c r="X260" i="6"/>
  <c r="O260" i="6"/>
  <c r="T260" i="6"/>
  <c r="AV260" i="6"/>
  <c r="M261" i="6"/>
  <c r="X261" i="6"/>
  <c r="Q262" i="6"/>
  <c r="AC262" i="6"/>
  <c r="M263" i="6"/>
  <c r="X263" i="6"/>
  <c r="L265" i="6"/>
  <c r="X265" i="6"/>
  <c r="N267" i="6"/>
  <c r="AA267" i="6"/>
  <c r="AP267" i="6"/>
  <c r="BB267" i="6"/>
  <c r="U269" i="6"/>
  <c r="AK269" i="6"/>
  <c r="AZ269" i="6"/>
  <c r="R270" i="6"/>
  <c r="O271" i="6"/>
  <c r="BB271" i="6"/>
  <c r="AT271" i="6"/>
  <c r="AL271" i="6"/>
  <c r="AY271" i="6"/>
  <c r="AP271" i="6"/>
  <c r="AW271" i="6"/>
  <c r="AN271" i="6"/>
  <c r="AU271" i="6"/>
  <c r="AK271" i="6"/>
  <c r="AV271" i="6"/>
  <c r="AZ273" i="6"/>
  <c r="AL275" i="6"/>
  <c r="BB275" i="6"/>
  <c r="AR277" i="6"/>
  <c r="BB279" i="6"/>
  <c r="AW242" i="6"/>
  <c r="AO242" i="6"/>
  <c r="BA242" i="6"/>
  <c r="AS242" i="6"/>
  <c r="AK242" i="6"/>
  <c r="AT242" i="6"/>
  <c r="Z243" i="6"/>
  <c r="R243" i="6"/>
  <c r="AD243" i="6"/>
  <c r="V243" i="6"/>
  <c r="N243" i="6"/>
  <c r="S243" i="6"/>
  <c r="AC243" i="6"/>
  <c r="AC252" i="6"/>
  <c r="U252" i="6"/>
  <c r="M252" i="6"/>
  <c r="V252" i="6"/>
  <c r="L252" i="6"/>
  <c r="Z252" i="6"/>
  <c r="Q252" i="6"/>
  <c r="T252" i="6"/>
  <c r="Z253" i="6"/>
  <c r="R253" i="6"/>
  <c r="W253" i="6"/>
  <c r="N253" i="6"/>
  <c r="AB253" i="6"/>
  <c r="S253" i="6"/>
  <c r="T253" i="6"/>
  <c r="BB253" i="6"/>
  <c r="AT253" i="6"/>
  <c r="AL253" i="6"/>
  <c r="BC253" i="6"/>
  <c r="AS253" i="6"/>
  <c r="AX253" i="6"/>
  <c r="AO253" i="6"/>
  <c r="AU253" i="6"/>
  <c r="AO256" i="6"/>
  <c r="BB256" i="6"/>
  <c r="AA258" i="6"/>
  <c r="S258" i="6"/>
  <c r="X258" i="6"/>
  <c r="O258" i="6"/>
  <c r="AC258" i="6"/>
  <c r="T258" i="6"/>
  <c r="R258" i="6"/>
  <c r="BC258" i="6"/>
  <c r="AU258" i="6"/>
  <c r="AM258" i="6"/>
  <c r="AT258" i="6"/>
  <c r="AK258" i="6"/>
  <c r="AY258" i="6"/>
  <c r="AP258" i="6"/>
  <c r="AV258" i="6"/>
  <c r="N261" i="6"/>
  <c r="AA261" i="6"/>
  <c r="R262" i="6"/>
  <c r="N263" i="6"/>
  <c r="Z263" i="6"/>
  <c r="M265" i="6"/>
  <c r="Z265" i="6"/>
  <c r="Q267" i="6"/>
  <c r="AB267" i="6"/>
  <c r="AQ267" i="6"/>
  <c r="AC268" i="6"/>
  <c r="U268" i="6"/>
  <c r="M268" i="6"/>
  <c r="Z268" i="6"/>
  <c r="Q268" i="6"/>
  <c r="V268" i="6"/>
  <c r="L268" i="6"/>
  <c r="T268" i="6"/>
  <c r="V269" i="6"/>
  <c r="AN269" i="6"/>
  <c r="BA269" i="6"/>
  <c r="Q271" i="6"/>
  <c r="AL273" i="6"/>
  <c r="BB273" i="6"/>
  <c r="AB275" i="6"/>
  <c r="T275" i="6"/>
  <c r="L275" i="6"/>
  <c r="W275" i="6"/>
  <c r="N275" i="6"/>
  <c r="AA275" i="6"/>
  <c r="Q275" i="6"/>
  <c r="Y275" i="6"/>
  <c r="O275" i="6"/>
  <c r="V275" i="6"/>
  <c r="X275" i="6"/>
  <c r="AO275" i="6"/>
  <c r="AS277" i="6"/>
  <c r="BC281" i="6"/>
  <c r="AU281" i="6"/>
  <c r="AM281" i="6"/>
  <c r="AY281" i="6"/>
  <c r="AP281" i="6"/>
  <c r="AX281" i="6"/>
  <c r="AN281" i="6"/>
  <c r="AV281" i="6"/>
  <c r="AK281" i="6"/>
  <c r="AS281" i="6"/>
  <c r="BA281" i="6"/>
  <c r="AQ281" i="6"/>
  <c r="AZ281" i="6"/>
  <c r="AN285" i="6"/>
  <c r="AU242" i="6"/>
  <c r="T243" i="6"/>
  <c r="BB243" i="6"/>
  <c r="AT243" i="6"/>
  <c r="AL243" i="6"/>
  <c r="AX243" i="6"/>
  <c r="AP243" i="6"/>
  <c r="AS243" i="6"/>
  <c r="W244" i="6"/>
  <c r="O244" i="6"/>
  <c r="AA244" i="6"/>
  <c r="S244" i="6"/>
  <c r="R244" i="6"/>
  <c r="AC244" i="6"/>
  <c r="AV247" i="6"/>
  <c r="AN247" i="6"/>
  <c r="AZ247" i="6"/>
  <c r="AQ247" i="6"/>
  <c r="AU247" i="6"/>
  <c r="AL247" i="6"/>
  <c r="AT247" i="6"/>
  <c r="R251" i="6"/>
  <c r="W252" i="6"/>
  <c r="U253" i="6"/>
  <c r="AV253" i="6"/>
  <c r="AV255" i="6"/>
  <c r="AN255" i="6"/>
  <c r="AX255" i="6"/>
  <c r="AO255" i="6"/>
  <c r="BB255" i="6"/>
  <c r="AS255" i="6"/>
  <c r="AT255" i="6"/>
  <c r="AQ256" i="6"/>
  <c r="BC256" i="6"/>
  <c r="AX257" i="6"/>
  <c r="AP257" i="6"/>
  <c r="BB257" i="6"/>
  <c r="AS257" i="6"/>
  <c r="AW257" i="6"/>
  <c r="AN257" i="6"/>
  <c r="AT257" i="6"/>
  <c r="U258" i="6"/>
  <c r="AW258" i="6"/>
  <c r="O261" i="6"/>
  <c r="AB261" i="6"/>
  <c r="W262" i="6"/>
  <c r="O262" i="6"/>
  <c r="X262" i="6"/>
  <c r="N262" i="6"/>
  <c r="AB262" i="6"/>
  <c r="S262" i="6"/>
  <c r="T262" i="6"/>
  <c r="O263" i="6"/>
  <c r="AA263" i="6"/>
  <c r="O265" i="6"/>
  <c r="AA265" i="6"/>
  <c r="R267" i="6"/>
  <c r="L269" i="6"/>
  <c r="X269" i="6"/>
  <c r="AP269" i="6"/>
  <c r="W270" i="6"/>
  <c r="O270" i="6"/>
  <c r="AD270" i="6"/>
  <c r="U270" i="6"/>
  <c r="L270" i="6"/>
  <c r="AB270" i="6"/>
  <c r="S270" i="6"/>
  <c r="Z270" i="6"/>
  <c r="Q270" i="6"/>
  <c r="V270" i="6"/>
  <c r="AN273" i="6"/>
  <c r="AP275" i="6"/>
  <c r="AL242" i="6"/>
  <c r="AV242" i="6"/>
  <c r="U243" i="6"/>
  <c r="AB247" i="6"/>
  <c r="T247" i="6"/>
  <c r="L247" i="6"/>
  <c r="AD247" i="6"/>
  <c r="U247" i="6"/>
  <c r="Y247" i="6"/>
  <c r="P247" i="6"/>
  <c r="S247" i="6"/>
  <c r="X251" i="6"/>
  <c r="P251" i="6"/>
  <c r="AC251" i="6"/>
  <c r="T251" i="6"/>
  <c r="Y251" i="6"/>
  <c r="O251" i="6"/>
  <c r="S251" i="6"/>
  <c r="AZ251" i="6"/>
  <c r="AR251" i="6"/>
  <c r="AX251" i="6"/>
  <c r="AO251" i="6"/>
  <c r="BC251" i="6"/>
  <c r="AT251" i="6"/>
  <c r="AK251" i="6"/>
  <c r="AU251" i="6"/>
  <c r="X252" i="6"/>
  <c r="V253" i="6"/>
  <c r="AK253" i="6"/>
  <c r="AW253" i="6"/>
  <c r="AR256" i="6"/>
  <c r="Q261" i="6"/>
  <c r="AC261" i="6"/>
  <c r="Q263" i="6"/>
  <c r="AC263" i="6"/>
  <c r="Q265" i="6"/>
  <c r="AB265" i="6"/>
  <c r="X267" i="6"/>
  <c r="P267" i="6"/>
  <c r="Y267" i="6"/>
  <c r="O267" i="6"/>
  <c r="AC267" i="6"/>
  <c r="T267" i="6"/>
  <c r="S267" i="6"/>
  <c r="AZ267" i="6"/>
  <c r="AR267" i="6"/>
  <c r="BC267" i="6"/>
  <c r="AT267" i="6"/>
  <c r="AK267" i="6"/>
  <c r="AX267" i="6"/>
  <c r="AO267" i="6"/>
  <c r="AU267" i="6"/>
  <c r="AA271" i="6"/>
  <c r="S271" i="6"/>
  <c r="AD271" i="6"/>
  <c r="U271" i="6"/>
  <c r="L271" i="6"/>
  <c r="AB271" i="6"/>
  <c r="R271" i="6"/>
  <c r="Y271" i="6"/>
  <c r="P271" i="6"/>
  <c r="V271" i="6"/>
  <c r="BC277" i="6"/>
  <c r="AU277" i="6"/>
  <c r="AM277" i="6"/>
  <c r="AT277" i="6"/>
  <c r="AK277" i="6"/>
  <c r="BA277" i="6"/>
  <c r="AQ277" i="6"/>
  <c r="AY277" i="6"/>
  <c r="AO277" i="6"/>
  <c r="AW277" i="6"/>
  <c r="AL277" i="6"/>
  <c r="AX277" i="6"/>
  <c r="W180" i="6"/>
  <c r="O180" i="6"/>
  <c r="R180" i="6"/>
  <c r="AA180" i="6"/>
  <c r="BB187" i="6"/>
  <c r="AT187" i="6"/>
  <c r="AL187" i="6"/>
  <c r="AR187" i="6"/>
  <c r="BA187" i="6"/>
  <c r="AX191" i="6"/>
  <c r="AP191" i="6"/>
  <c r="AR191" i="6"/>
  <c r="BA191" i="6"/>
  <c r="AC194" i="6"/>
  <c r="U194" i="6"/>
  <c r="M194" i="6"/>
  <c r="R194" i="6"/>
  <c r="AA194" i="6"/>
  <c r="Z203" i="6"/>
  <c r="R203" i="6"/>
  <c r="Q203" i="6"/>
  <c r="AA203" i="6"/>
  <c r="AV205" i="6"/>
  <c r="AN205" i="6"/>
  <c r="AR205" i="6"/>
  <c r="BA205" i="6"/>
  <c r="W212" i="6"/>
  <c r="O212" i="6"/>
  <c r="R212" i="6"/>
  <c r="AA212" i="6"/>
  <c r="M219" i="6"/>
  <c r="V219" i="6"/>
  <c r="BB219" i="6"/>
  <c r="AT219" i="6"/>
  <c r="AL219" i="6"/>
  <c r="AR219" i="6"/>
  <c r="BA219" i="6"/>
  <c r="AM221" i="6"/>
  <c r="AW221" i="6"/>
  <c r="AX223" i="6"/>
  <c r="AP223" i="6"/>
  <c r="AR223" i="6"/>
  <c r="BA223" i="6"/>
  <c r="AC226" i="6"/>
  <c r="U226" i="6"/>
  <c r="M226" i="6"/>
  <c r="R226" i="6"/>
  <c r="AA226" i="6"/>
  <c r="M228" i="6"/>
  <c r="V228" i="6"/>
  <c r="N233" i="6"/>
  <c r="Z235" i="6"/>
  <c r="R235" i="6"/>
  <c r="Q235" i="6"/>
  <c r="AA235" i="6"/>
  <c r="AN235" i="6"/>
  <c r="AW235" i="6"/>
  <c r="AV237" i="6"/>
  <c r="AN237" i="6"/>
  <c r="AR237" i="6"/>
  <c r="BA237" i="6"/>
  <c r="AX239" i="6"/>
  <c r="AP239" i="6"/>
  <c r="BB239" i="6"/>
  <c r="AT239" i="6"/>
  <c r="AL239" i="6"/>
  <c r="AS239" i="6"/>
  <c r="AA240" i="6"/>
  <c r="S240" i="6"/>
  <c r="W240" i="6"/>
  <c r="O240" i="6"/>
  <c r="R240" i="6"/>
  <c r="AC240" i="6"/>
  <c r="AO241" i="6"/>
  <c r="AM242" i="6"/>
  <c r="AX242" i="6"/>
  <c r="L243" i="6"/>
  <c r="W243" i="6"/>
  <c r="AK243" i="6"/>
  <c r="AV243" i="6"/>
  <c r="U244" i="6"/>
  <c r="O245" i="6"/>
  <c r="AM245" i="6"/>
  <c r="AX245" i="6"/>
  <c r="M246" i="6"/>
  <c r="Z246" i="6"/>
  <c r="V247" i="6"/>
  <c r="AK247" i="6"/>
  <c r="AX247" i="6"/>
  <c r="AX249" i="6"/>
  <c r="AP249" i="6"/>
  <c r="AU249" i="6"/>
  <c r="AL249" i="6"/>
  <c r="AZ249" i="6"/>
  <c r="AQ249" i="6"/>
  <c r="AT249" i="6"/>
  <c r="U251" i="6"/>
  <c r="AV251" i="6"/>
  <c r="N252" i="6"/>
  <c r="Y252" i="6"/>
  <c r="L253" i="6"/>
  <c r="X253" i="6"/>
  <c r="AM253" i="6"/>
  <c r="AY253" i="6"/>
  <c r="P254" i="6"/>
  <c r="AK255" i="6"/>
  <c r="AW255" i="6"/>
  <c r="AK257" i="6"/>
  <c r="AV257" i="6"/>
  <c r="L258" i="6"/>
  <c r="W258" i="6"/>
  <c r="AN258" i="6"/>
  <c r="AZ258" i="6"/>
  <c r="N260" i="6"/>
  <c r="Z260" i="6"/>
  <c r="AQ260" i="6"/>
  <c r="BB261" i="6"/>
  <c r="AT261" i="6"/>
  <c r="AL261" i="6"/>
  <c r="AZ261" i="6"/>
  <c r="AQ261" i="6"/>
  <c r="AV261" i="6"/>
  <c r="AM261" i="6"/>
  <c r="AU261" i="6"/>
  <c r="V262" i="6"/>
  <c r="AV263" i="6"/>
  <c r="AN263" i="6"/>
  <c r="AU263" i="6"/>
  <c r="AL263" i="6"/>
  <c r="AZ263" i="6"/>
  <c r="AQ263" i="6"/>
  <c r="AT263" i="6"/>
  <c r="AX265" i="6"/>
  <c r="AP265" i="6"/>
  <c r="AZ265" i="6"/>
  <c r="AQ265" i="6"/>
  <c r="AU265" i="6"/>
  <c r="AL265" i="6"/>
  <c r="AT265" i="6"/>
  <c r="U267" i="6"/>
  <c r="AV267" i="6"/>
  <c r="N268" i="6"/>
  <c r="Y268" i="6"/>
  <c r="O269" i="6"/>
  <c r="AC269" i="6"/>
  <c r="Y270" i="6"/>
  <c r="W271" i="6"/>
  <c r="AO271" i="6"/>
  <c r="BC271" i="6"/>
  <c r="M275" i="6"/>
  <c r="AD275" i="6"/>
  <c r="AZ277" i="6"/>
  <c r="AL281" i="6"/>
  <c r="AX285" i="6"/>
  <c r="BA256" i="6"/>
  <c r="AS256" i="6"/>
  <c r="AK256" i="6"/>
  <c r="AY256" i="6"/>
  <c r="AP256" i="6"/>
  <c r="AU256" i="6"/>
  <c r="AL256" i="6"/>
  <c r="AV256" i="6"/>
  <c r="Z261" i="6"/>
  <c r="R261" i="6"/>
  <c r="AD261" i="6"/>
  <c r="U261" i="6"/>
  <c r="L261" i="6"/>
  <c r="Y261" i="6"/>
  <c r="P261" i="6"/>
  <c r="T261" i="6"/>
  <c r="AB263" i="6"/>
  <c r="T263" i="6"/>
  <c r="L263" i="6"/>
  <c r="Y263" i="6"/>
  <c r="P263" i="6"/>
  <c r="AD263" i="6"/>
  <c r="U263" i="6"/>
  <c r="S263" i="6"/>
  <c r="AD265" i="6"/>
  <c r="V265" i="6"/>
  <c r="N265" i="6"/>
  <c r="AC265" i="6"/>
  <c r="T265" i="6"/>
  <c r="Y265" i="6"/>
  <c r="P265" i="6"/>
  <c r="S265" i="6"/>
  <c r="X271" i="6"/>
  <c r="BC275" i="6"/>
  <c r="AU275" i="6"/>
  <c r="AM275" i="6"/>
  <c r="BA275" i="6"/>
  <c r="AR275" i="6"/>
  <c r="AX275" i="6"/>
  <c r="AN275" i="6"/>
  <c r="AV275" i="6"/>
  <c r="AK275" i="6"/>
  <c r="AS275" i="6"/>
  <c r="AW275" i="6"/>
  <c r="BB277" i="6"/>
  <c r="AW256" i="6"/>
  <c r="V261" i="6"/>
  <c r="V263" i="6"/>
  <c r="U265" i="6"/>
  <c r="L267" i="6"/>
  <c r="W267" i="6"/>
  <c r="AM267" i="6"/>
  <c r="AY267" i="6"/>
  <c r="BB269" i="6"/>
  <c r="AT269" i="6"/>
  <c r="AL269" i="6"/>
  <c r="AX269" i="6"/>
  <c r="AO269" i="6"/>
  <c r="AV269" i="6"/>
  <c r="AM269" i="6"/>
  <c r="BC269" i="6"/>
  <c r="AS269" i="6"/>
  <c r="AW269" i="6"/>
  <c r="M271" i="6"/>
  <c r="Z271" i="6"/>
  <c r="BC273" i="6"/>
  <c r="AU273" i="6"/>
  <c r="AM273" i="6"/>
  <c r="AY273" i="6"/>
  <c r="AP273" i="6"/>
  <c r="AV273" i="6"/>
  <c r="AK273" i="6"/>
  <c r="AS273" i="6"/>
  <c r="BA273" i="6"/>
  <c r="AQ273" i="6"/>
  <c r="AW273" i="6"/>
  <c r="AY275" i="6"/>
  <c r="AN277" i="6"/>
  <c r="BC285" i="6"/>
  <c r="AU285" i="6"/>
  <c r="AM285" i="6"/>
  <c r="AT285" i="6"/>
  <c r="AK285" i="6"/>
  <c r="AV285" i="6"/>
  <c r="AS285" i="6"/>
  <c r="BA285" i="6"/>
  <c r="AQ285" i="6"/>
  <c r="AY285" i="6"/>
  <c r="AO285" i="6"/>
  <c r="AW285" i="6"/>
  <c r="AL285" i="6"/>
  <c r="BB285" i="6"/>
  <c r="BC289" i="6"/>
  <c r="AU289" i="6"/>
  <c r="AM289" i="6"/>
  <c r="AY289" i="6"/>
  <c r="AP289" i="6"/>
  <c r="AZ289" i="6"/>
  <c r="AO289" i="6"/>
  <c r="AX289" i="6"/>
  <c r="AN289" i="6"/>
  <c r="AW289" i="6"/>
  <c r="AL289" i="6"/>
  <c r="AV289" i="6"/>
  <c r="AK289" i="6"/>
  <c r="AT289" i="6"/>
  <c r="AS289" i="6"/>
  <c r="BA289" i="6"/>
  <c r="AQ289" i="6"/>
  <c r="X233" i="6"/>
  <c r="P233" i="6"/>
  <c r="R233" i="6"/>
  <c r="AA233" i="6"/>
  <c r="AZ241" i="6"/>
  <c r="AR241" i="6"/>
  <c r="AV241" i="6"/>
  <c r="AN241" i="6"/>
  <c r="AS241" i="6"/>
  <c r="BC241" i="6"/>
  <c r="AQ242" i="6"/>
  <c r="BB242" i="6"/>
  <c r="P243" i="6"/>
  <c r="AA243" i="6"/>
  <c r="AO243" i="6"/>
  <c r="AZ243" i="6"/>
  <c r="N244" i="6"/>
  <c r="Y244" i="6"/>
  <c r="AB245" i="6"/>
  <c r="T245" i="6"/>
  <c r="L245" i="6"/>
  <c r="X245" i="6"/>
  <c r="P245" i="6"/>
  <c r="S245" i="6"/>
  <c r="AD245" i="6"/>
  <c r="N247" i="6"/>
  <c r="Z247" i="6"/>
  <c r="AP247" i="6"/>
  <c r="BB247" i="6"/>
  <c r="M251" i="6"/>
  <c r="Z251" i="6"/>
  <c r="AN251" i="6"/>
  <c r="BA251" i="6"/>
  <c r="R252" i="6"/>
  <c r="AD252" i="6"/>
  <c r="P253" i="6"/>
  <c r="AC253" i="6"/>
  <c r="AQ253" i="6"/>
  <c r="W254" i="6"/>
  <c r="O254" i="6"/>
  <c r="Z254" i="6"/>
  <c r="Q254" i="6"/>
  <c r="AD254" i="6"/>
  <c r="U254" i="6"/>
  <c r="L254" i="6"/>
  <c r="T254" i="6"/>
  <c r="AP255" i="6"/>
  <c r="BA255" i="6"/>
  <c r="AM256" i="6"/>
  <c r="AX256" i="6"/>
  <c r="AO257" i="6"/>
  <c r="BA257" i="6"/>
  <c r="P258" i="6"/>
  <c r="AB258" i="6"/>
  <c r="AR258" i="6"/>
  <c r="AW260" i="6"/>
  <c r="AO260" i="6"/>
  <c r="AY260" i="6"/>
  <c r="AP260" i="6"/>
  <c r="BC260" i="6"/>
  <c r="AT260" i="6"/>
  <c r="AK260" i="6"/>
  <c r="AU260" i="6"/>
  <c r="W261" i="6"/>
  <c r="P262" i="6"/>
  <c r="AA262" i="6"/>
  <c r="W263" i="6"/>
  <c r="W265" i="6"/>
  <c r="M267" i="6"/>
  <c r="Z267" i="6"/>
  <c r="AN267" i="6"/>
  <c r="BA267" i="6"/>
  <c r="Z269" i="6"/>
  <c r="R269" i="6"/>
  <c r="AB269" i="6"/>
  <c r="S269" i="6"/>
  <c r="Y269" i="6"/>
  <c r="W269" i="6"/>
  <c r="N269" i="6"/>
  <c r="T269" i="6"/>
  <c r="N271" i="6"/>
  <c r="AC271" i="6"/>
  <c r="AX273" i="6"/>
  <c r="AZ275" i="6"/>
  <c r="AP277" i="6"/>
  <c r="BC279" i="6"/>
  <c r="AU279" i="6"/>
  <c r="AM279" i="6"/>
  <c r="AW279" i="6"/>
  <c r="AN279" i="6"/>
  <c r="AV279" i="6"/>
  <c r="AK279" i="6"/>
  <c r="AS279" i="6"/>
  <c r="BA279" i="6"/>
  <c r="AQ279" i="6"/>
  <c r="AY279" i="6"/>
  <c r="AO279" i="6"/>
  <c r="AZ279" i="6"/>
  <c r="AT281" i="6"/>
  <c r="AQ240" i="6"/>
  <c r="AY240" i="6"/>
  <c r="Q242" i="6"/>
  <c r="Y242" i="6"/>
  <c r="BC250" i="6"/>
  <c r="AU250" i="6"/>
  <c r="AM250" i="6"/>
  <c r="AR250" i="6"/>
  <c r="BA250" i="6"/>
  <c r="AD257" i="6"/>
  <c r="V257" i="6"/>
  <c r="N257" i="6"/>
  <c r="R257" i="6"/>
  <c r="AA257" i="6"/>
  <c r="AZ259" i="6"/>
  <c r="AR259" i="6"/>
  <c r="AQ259" i="6"/>
  <c r="BA259" i="6"/>
  <c r="BA264" i="6"/>
  <c r="AS264" i="6"/>
  <c r="AK264" i="6"/>
  <c r="AR264" i="6"/>
  <c r="BB264" i="6"/>
  <c r="AA266" i="6"/>
  <c r="S266" i="6"/>
  <c r="Q266" i="6"/>
  <c r="Z266" i="6"/>
  <c r="AW268" i="6"/>
  <c r="AO268" i="6"/>
  <c r="AR268" i="6"/>
  <c r="BA268" i="6"/>
  <c r="W272" i="6"/>
  <c r="O272" i="6"/>
  <c r="R272" i="6"/>
  <c r="AA272" i="6"/>
  <c r="AB273" i="6"/>
  <c r="T273" i="6"/>
  <c r="L273" i="6"/>
  <c r="AD273" i="6"/>
  <c r="U273" i="6"/>
  <c r="R273" i="6"/>
  <c r="AC273" i="6"/>
  <c r="Q274" i="6"/>
  <c r="X276" i="6"/>
  <c r="P276" i="6"/>
  <c r="Y276" i="6"/>
  <c r="O276" i="6"/>
  <c r="S276" i="6"/>
  <c r="AC276" i="6"/>
  <c r="AN276" i="6"/>
  <c r="AY278" i="6"/>
  <c r="AQ278" i="6"/>
  <c r="AU278" i="6"/>
  <c r="AL278" i="6"/>
  <c r="AR278" i="6"/>
  <c r="BB278" i="6"/>
  <c r="AT280" i="6"/>
  <c r="AB281" i="6"/>
  <c r="T281" i="6"/>
  <c r="L281" i="6"/>
  <c r="AD281" i="6"/>
  <c r="U281" i="6"/>
  <c r="R281" i="6"/>
  <c r="AC281" i="6"/>
  <c r="Q282" i="6"/>
  <c r="V283" i="6"/>
  <c r="AS283" i="6"/>
  <c r="X284" i="6"/>
  <c r="P284" i="6"/>
  <c r="Y284" i="6"/>
  <c r="O284" i="6"/>
  <c r="S284" i="6"/>
  <c r="AC284" i="6"/>
  <c r="AN284" i="6"/>
  <c r="AY286" i="6"/>
  <c r="AQ286" i="6"/>
  <c r="AU286" i="6"/>
  <c r="AL286" i="6"/>
  <c r="AR286" i="6"/>
  <c r="BB286" i="6"/>
  <c r="AO287" i="6"/>
  <c r="AY287" i="6"/>
  <c r="AT288" i="6"/>
  <c r="AB289" i="6"/>
  <c r="T289" i="6"/>
  <c r="L289" i="6"/>
  <c r="AD289" i="6"/>
  <c r="U289" i="6"/>
  <c r="R289" i="6"/>
  <c r="AC289" i="6"/>
  <c r="Q290" i="6"/>
  <c r="V291" i="6"/>
  <c r="AS291" i="6"/>
  <c r="X292" i="6"/>
  <c r="P292" i="6"/>
  <c r="Y292" i="6"/>
  <c r="O292" i="6"/>
  <c r="S292" i="6"/>
  <c r="AC292" i="6"/>
  <c r="AN292" i="6"/>
  <c r="AL293" i="6"/>
  <c r="AW293" i="6"/>
  <c r="AY294" i="6"/>
  <c r="AQ294" i="6"/>
  <c r="AU294" i="6"/>
  <c r="AL294" i="6"/>
  <c r="AR294" i="6"/>
  <c r="BB294" i="6"/>
  <c r="AO295" i="6"/>
  <c r="AY295" i="6"/>
  <c r="AT296" i="6"/>
  <c r="AB297" i="6"/>
  <c r="T297" i="6"/>
  <c r="L297" i="6"/>
  <c r="AD297" i="6"/>
  <c r="U297" i="6"/>
  <c r="R297" i="6"/>
  <c r="AC297" i="6"/>
  <c r="AQ297" i="6"/>
  <c r="Q298" i="6"/>
  <c r="V299" i="6"/>
  <c r="AS299" i="6"/>
  <c r="X300" i="6"/>
  <c r="P300" i="6"/>
  <c r="Y300" i="6"/>
  <c r="O300" i="6"/>
  <c r="S300" i="6"/>
  <c r="AC300" i="6"/>
  <c r="AN300" i="6"/>
  <c r="AL301" i="6"/>
  <c r="AW301" i="6"/>
  <c r="AY302" i="6"/>
  <c r="AQ302" i="6"/>
  <c r="AU302" i="6"/>
  <c r="AL302" i="6"/>
  <c r="AR302" i="6"/>
  <c r="BB302" i="6"/>
  <c r="AO303" i="6"/>
  <c r="AZ303" i="6"/>
  <c r="Q304" i="6"/>
  <c r="AO304" i="6"/>
  <c r="Q305" i="6"/>
  <c r="X308" i="6"/>
  <c r="P308" i="6"/>
  <c r="Y308" i="6"/>
  <c r="O308" i="6"/>
  <c r="AC308" i="6"/>
  <c r="T308" i="6"/>
  <c r="S308" i="6"/>
  <c r="AY308" i="6"/>
  <c r="AQ308" i="6"/>
  <c r="BB308" i="6"/>
  <c r="AS308" i="6"/>
  <c r="AW308" i="6"/>
  <c r="AN308" i="6"/>
  <c r="AR308" i="6"/>
  <c r="AB309" i="6"/>
  <c r="T309" i="6"/>
  <c r="L309" i="6"/>
  <c r="Y309" i="6"/>
  <c r="P309" i="6"/>
  <c r="AD309" i="6"/>
  <c r="U309" i="6"/>
  <c r="S309" i="6"/>
  <c r="AV309" i="6"/>
  <c r="X312" i="6"/>
  <c r="P312" i="6"/>
  <c r="AC312" i="6"/>
  <c r="T312" i="6"/>
  <c r="Y312" i="6"/>
  <c r="O312" i="6"/>
  <c r="S312" i="6"/>
  <c r="AX312" i="6"/>
  <c r="AP312" i="6"/>
  <c r="BA312" i="6"/>
  <c r="AR312" i="6"/>
  <c r="AY312" i="6"/>
  <c r="AN312" i="6"/>
  <c r="AT312" i="6"/>
  <c r="AS312" i="6"/>
  <c r="AK313" i="6"/>
  <c r="AX313" i="6"/>
  <c r="Q314" i="6"/>
  <c r="AC314" i="6"/>
  <c r="M315" i="6"/>
  <c r="Z315" i="6"/>
  <c r="AO315" i="6"/>
  <c r="BA315" i="6"/>
  <c r="L318" i="6"/>
  <c r="X318" i="6"/>
  <c r="BC297" i="6"/>
  <c r="AU297" i="6"/>
  <c r="AM297" i="6"/>
  <c r="AY297" i="6"/>
  <c r="AP297" i="6"/>
  <c r="AR297" i="6"/>
  <c r="BB297" i="6"/>
  <c r="BC305" i="6"/>
  <c r="AU305" i="6"/>
  <c r="AM305" i="6"/>
  <c r="AY305" i="6"/>
  <c r="AP305" i="6"/>
  <c r="AT305" i="6"/>
  <c r="AK305" i="6"/>
  <c r="AS305" i="6"/>
  <c r="BC307" i="6"/>
  <c r="AU307" i="6"/>
  <c r="AM307" i="6"/>
  <c r="BA307" i="6"/>
  <c r="AR307" i="6"/>
  <c r="AW307" i="6"/>
  <c r="AN307" i="6"/>
  <c r="AS307" i="6"/>
  <c r="BC311" i="6"/>
  <c r="AU311" i="6"/>
  <c r="AM311" i="6"/>
  <c r="AW311" i="6"/>
  <c r="AN311" i="6"/>
  <c r="BA311" i="6"/>
  <c r="AR311" i="6"/>
  <c r="AS311" i="6"/>
  <c r="X274" i="6"/>
  <c r="P274" i="6"/>
  <c r="V274" i="6"/>
  <c r="M274" i="6"/>
  <c r="S274" i="6"/>
  <c r="AC274" i="6"/>
  <c r="AY276" i="6"/>
  <c r="AQ276" i="6"/>
  <c r="BB276" i="6"/>
  <c r="AS276" i="6"/>
  <c r="AP276" i="6"/>
  <c r="BA276" i="6"/>
  <c r="AL280" i="6"/>
  <c r="AV280" i="6"/>
  <c r="X282" i="6"/>
  <c r="P282" i="6"/>
  <c r="V282" i="6"/>
  <c r="M282" i="6"/>
  <c r="S282" i="6"/>
  <c r="AC282" i="6"/>
  <c r="O283" i="6"/>
  <c r="Y283" i="6"/>
  <c r="AK283" i="6"/>
  <c r="AV283" i="6"/>
  <c r="AY284" i="6"/>
  <c r="AQ284" i="6"/>
  <c r="BB284" i="6"/>
  <c r="AS284" i="6"/>
  <c r="AP284" i="6"/>
  <c r="BA284" i="6"/>
  <c r="AQ287" i="6"/>
  <c r="AL288" i="6"/>
  <c r="AV288" i="6"/>
  <c r="X290" i="6"/>
  <c r="P290" i="6"/>
  <c r="V290" i="6"/>
  <c r="M290" i="6"/>
  <c r="S290" i="6"/>
  <c r="AC290" i="6"/>
  <c r="O291" i="6"/>
  <c r="Y291" i="6"/>
  <c r="AK291" i="6"/>
  <c r="AV291" i="6"/>
  <c r="AY292" i="6"/>
  <c r="AQ292" i="6"/>
  <c r="BB292" i="6"/>
  <c r="AS292" i="6"/>
  <c r="AP292" i="6"/>
  <c r="BA292" i="6"/>
  <c r="AO293" i="6"/>
  <c r="AY293" i="6"/>
  <c r="AQ295" i="6"/>
  <c r="AL296" i="6"/>
  <c r="AV296" i="6"/>
  <c r="AS297" i="6"/>
  <c r="X298" i="6"/>
  <c r="P298" i="6"/>
  <c r="V298" i="6"/>
  <c r="M298" i="6"/>
  <c r="S298" i="6"/>
  <c r="AC298" i="6"/>
  <c r="O299" i="6"/>
  <c r="Y299" i="6"/>
  <c r="AK299" i="6"/>
  <c r="AV299" i="6"/>
  <c r="AY300" i="6"/>
  <c r="AQ300" i="6"/>
  <c r="BB300" i="6"/>
  <c r="AS300" i="6"/>
  <c r="AP300" i="6"/>
  <c r="BA300" i="6"/>
  <c r="AO301" i="6"/>
  <c r="AY301" i="6"/>
  <c r="X304" i="6"/>
  <c r="P304" i="6"/>
  <c r="AC304" i="6"/>
  <c r="T304" i="6"/>
  <c r="Y304" i="6"/>
  <c r="O304" i="6"/>
  <c r="S304" i="6"/>
  <c r="AY304" i="6"/>
  <c r="AQ304" i="6"/>
  <c r="AW304" i="6"/>
  <c r="AN304" i="6"/>
  <c r="BB304" i="6"/>
  <c r="AS304" i="6"/>
  <c r="AR304" i="6"/>
  <c r="AB305" i="6"/>
  <c r="T305" i="6"/>
  <c r="L305" i="6"/>
  <c r="AD305" i="6"/>
  <c r="U305" i="6"/>
  <c r="Y305" i="6"/>
  <c r="P305" i="6"/>
  <c r="S305" i="6"/>
  <c r="AV305" i="6"/>
  <c r="AT307" i="6"/>
  <c r="AT311" i="6"/>
  <c r="AN313" i="6"/>
  <c r="BC313" i="6"/>
  <c r="P315" i="6"/>
  <c r="AD315" i="6"/>
  <c r="N318" i="6"/>
  <c r="AC318" i="6"/>
  <c r="T332" i="6"/>
  <c r="BC287" i="6"/>
  <c r="AU287" i="6"/>
  <c r="AM287" i="6"/>
  <c r="AW287" i="6"/>
  <c r="AN287" i="6"/>
  <c r="AR287" i="6"/>
  <c r="BB287" i="6"/>
  <c r="AP293" i="6"/>
  <c r="AZ293" i="6"/>
  <c r="BC295" i="6"/>
  <c r="AU295" i="6"/>
  <c r="AM295" i="6"/>
  <c r="AW295" i="6"/>
  <c r="AN295" i="6"/>
  <c r="AR295" i="6"/>
  <c r="BB295" i="6"/>
  <c r="AT297" i="6"/>
  <c r="AP301" i="6"/>
  <c r="AZ301" i="6"/>
  <c r="BC303" i="6"/>
  <c r="AU303" i="6"/>
  <c r="AM303" i="6"/>
  <c r="AW303" i="6"/>
  <c r="AN303" i="6"/>
  <c r="BA303" i="6"/>
  <c r="AR303" i="6"/>
  <c r="AS303" i="6"/>
  <c r="AW305" i="6"/>
  <c r="AV307" i="6"/>
  <c r="AV311" i="6"/>
  <c r="AP313" i="6"/>
  <c r="W314" i="6"/>
  <c r="O314" i="6"/>
  <c r="Y314" i="6"/>
  <c r="P314" i="6"/>
  <c r="AD314" i="6"/>
  <c r="T314" i="6"/>
  <c r="Z314" i="6"/>
  <c r="N314" i="6"/>
  <c r="U314" i="6"/>
  <c r="BB315" i="6"/>
  <c r="AT315" i="6"/>
  <c r="AL315" i="6"/>
  <c r="BC315" i="6"/>
  <c r="AS315" i="6"/>
  <c r="AR315" i="6"/>
  <c r="AX315" i="6"/>
  <c r="AN315" i="6"/>
  <c r="AU315" i="6"/>
  <c r="AQ164" i="6"/>
  <c r="Q166" i="6"/>
  <c r="AE166" i="6" s="1"/>
  <c r="AF166" i="6" s="1"/>
  <c r="AQ172" i="6"/>
  <c r="Q174" i="6"/>
  <c r="AE174" i="6" s="1"/>
  <c r="AF174" i="6" s="1"/>
  <c r="AQ180" i="6"/>
  <c r="Q182" i="6"/>
  <c r="AE182" i="6" s="1"/>
  <c r="AG182" i="6" s="1"/>
  <c r="AQ188" i="6"/>
  <c r="Q190" i="6"/>
  <c r="AE190" i="6" s="1"/>
  <c r="AG190" i="6" s="1"/>
  <c r="AQ196" i="6"/>
  <c r="Q198" i="6"/>
  <c r="AE198" i="6" s="1"/>
  <c r="AG198" i="6" s="1"/>
  <c r="AQ204" i="6"/>
  <c r="Q206" i="6"/>
  <c r="AE206" i="6" s="1"/>
  <c r="AG206" i="6" s="1"/>
  <c r="AQ212" i="6"/>
  <c r="Q214" i="6"/>
  <c r="AE214" i="6" s="1"/>
  <c r="AG214" i="6" s="1"/>
  <c r="AQ220" i="6"/>
  <c r="Q222" i="6"/>
  <c r="AQ228" i="6"/>
  <c r="Q230" i="6"/>
  <c r="AE230" i="6" s="1"/>
  <c r="AF230" i="6" s="1"/>
  <c r="AQ236" i="6"/>
  <c r="Q238" i="6"/>
  <c r="AE238" i="6" s="1"/>
  <c r="AM240" i="6"/>
  <c r="AU240" i="6"/>
  <c r="M242" i="6"/>
  <c r="U242" i="6"/>
  <c r="AQ244" i="6"/>
  <c r="BA248" i="6"/>
  <c r="AS248" i="6"/>
  <c r="AK248" i="6"/>
  <c r="AR248" i="6"/>
  <c r="BB248" i="6"/>
  <c r="AA250" i="6"/>
  <c r="S250" i="6"/>
  <c r="Q250" i="6"/>
  <c r="Z250" i="6"/>
  <c r="AN250" i="6"/>
  <c r="AW250" i="6"/>
  <c r="AW252" i="6"/>
  <c r="AO252" i="6"/>
  <c r="AR252" i="6"/>
  <c r="BA252" i="6"/>
  <c r="AB255" i="6"/>
  <c r="T255" i="6"/>
  <c r="L255" i="6"/>
  <c r="R255" i="6"/>
  <c r="AA255" i="6"/>
  <c r="M257" i="6"/>
  <c r="W257" i="6"/>
  <c r="X259" i="6"/>
  <c r="P259" i="6"/>
  <c r="R259" i="6"/>
  <c r="AA259" i="6"/>
  <c r="AM259" i="6"/>
  <c r="AV259" i="6"/>
  <c r="AN264" i="6"/>
  <c r="AW264" i="6"/>
  <c r="M266" i="6"/>
  <c r="V266" i="6"/>
  <c r="BC266" i="6"/>
  <c r="AU266" i="6"/>
  <c r="AM266" i="6"/>
  <c r="AR266" i="6"/>
  <c r="BA266" i="6"/>
  <c r="AM268" i="6"/>
  <c r="AV268" i="6"/>
  <c r="M272" i="6"/>
  <c r="V272" i="6"/>
  <c r="N273" i="6"/>
  <c r="X273" i="6"/>
  <c r="U274" i="6"/>
  <c r="M276" i="6"/>
  <c r="W276" i="6"/>
  <c r="AT276" i="6"/>
  <c r="AB277" i="6"/>
  <c r="T277" i="6"/>
  <c r="L277" i="6"/>
  <c r="Y277" i="6"/>
  <c r="P277" i="6"/>
  <c r="S277" i="6"/>
  <c r="AD277" i="6"/>
  <c r="AM278" i="6"/>
  <c r="AW278" i="6"/>
  <c r="X280" i="6"/>
  <c r="P280" i="6"/>
  <c r="AC280" i="6"/>
  <c r="T280" i="6"/>
  <c r="R280" i="6"/>
  <c r="AB280" i="6"/>
  <c r="AO280" i="6"/>
  <c r="N281" i="6"/>
  <c r="X281" i="6"/>
  <c r="U282" i="6"/>
  <c r="Q283" i="6"/>
  <c r="AN283" i="6"/>
  <c r="AX283" i="6"/>
  <c r="M284" i="6"/>
  <c r="W284" i="6"/>
  <c r="AT284" i="6"/>
  <c r="AB285" i="6"/>
  <c r="T285" i="6"/>
  <c r="L285" i="6"/>
  <c r="Y285" i="6"/>
  <c r="P285" i="6"/>
  <c r="S285" i="6"/>
  <c r="AD285" i="6"/>
  <c r="AM286" i="6"/>
  <c r="AW286" i="6"/>
  <c r="AS287" i="6"/>
  <c r="X288" i="6"/>
  <c r="P288" i="6"/>
  <c r="AC288" i="6"/>
  <c r="T288" i="6"/>
  <c r="R288" i="6"/>
  <c r="AB288" i="6"/>
  <c r="AO288" i="6"/>
  <c r="N289" i="6"/>
  <c r="X289" i="6"/>
  <c r="U290" i="6"/>
  <c r="Q291" i="6"/>
  <c r="AN291" i="6"/>
  <c r="AX291" i="6"/>
  <c r="M292" i="6"/>
  <c r="W292" i="6"/>
  <c r="AT292" i="6"/>
  <c r="AB293" i="6"/>
  <c r="T293" i="6"/>
  <c r="L293" i="6"/>
  <c r="Y293" i="6"/>
  <c r="P293" i="6"/>
  <c r="S293" i="6"/>
  <c r="AD293" i="6"/>
  <c r="AQ293" i="6"/>
  <c r="AM294" i="6"/>
  <c r="AW294" i="6"/>
  <c r="AS295" i="6"/>
  <c r="X296" i="6"/>
  <c r="P296" i="6"/>
  <c r="AC296" i="6"/>
  <c r="T296" i="6"/>
  <c r="R296" i="6"/>
  <c r="AB296" i="6"/>
  <c r="AO296" i="6"/>
  <c r="N297" i="6"/>
  <c r="X297" i="6"/>
  <c r="AK297" i="6"/>
  <c r="AV297" i="6"/>
  <c r="U298" i="6"/>
  <c r="Q299" i="6"/>
  <c r="AN299" i="6"/>
  <c r="M300" i="6"/>
  <c r="W300" i="6"/>
  <c r="AT300" i="6"/>
  <c r="AB301" i="6"/>
  <c r="T301" i="6"/>
  <c r="L301" i="6"/>
  <c r="Y301" i="6"/>
  <c r="P301" i="6"/>
  <c r="S301" i="6"/>
  <c r="AD301" i="6"/>
  <c r="AQ301" i="6"/>
  <c r="AM302" i="6"/>
  <c r="AW302" i="6"/>
  <c r="AT303" i="6"/>
  <c r="V304" i="6"/>
  <c r="AU304" i="6"/>
  <c r="W305" i="6"/>
  <c r="AL305" i="6"/>
  <c r="AX305" i="6"/>
  <c r="AK307" i="6"/>
  <c r="AX307" i="6"/>
  <c r="M308" i="6"/>
  <c r="Z308" i="6"/>
  <c r="AL308" i="6"/>
  <c r="AX308" i="6"/>
  <c r="N309" i="6"/>
  <c r="Z309" i="6"/>
  <c r="AO309" i="6"/>
  <c r="AK311" i="6"/>
  <c r="AX311" i="6"/>
  <c r="M312" i="6"/>
  <c r="Z312" i="6"/>
  <c r="AL312" i="6"/>
  <c r="AZ312" i="6"/>
  <c r="V314" i="6"/>
  <c r="AV315" i="6"/>
  <c r="BC293" i="6"/>
  <c r="AU293" i="6"/>
  <c r="AM293" i="6"/>
  <c r="AT293" i="6"/>
  <c r="AK293" i="6"/>
  <c r="AR293" i="6"/>
  <c r="BB293" i="6"/>
  <c r="AL297" i="6"/>
  <c r="AW297" i="6"/>
  <c r="BC301" i="6"/>
  <c r="AU301" i="6"/>
  <c r="AM301" i="6"/>
  <c r="AT301" i="6"/>
  <c r="AK301" i="6"/>
  <c r="AR301" i="6"/>
  <c r="BB301" i="6"/>
  <c r="AN305" i="6"/>
  <c r="AZ305" i="6"/>
  <c r="AL307" i="6"/>
  <c r="AY307" i="6"/>
  <c r="AL311" i="6"/>
  <c r="AY311" i="6"/>
  <c r="BB313" i="6"/>
  <c r="AT313" i="6"/>
  <c r="AL313" i="6"/>
  <c r="BA313" i="6"/>
  <c r="AR313" i="6"/>
  <c r="AU313" i="6"/>
  <c r="AY313" i="6"/>
  <c r="AO313" i="6"/>
  <c r="AS313" i="6"/>
  <c r="X314" i="6"/>
  <c r="AA315" i="6"/>
  <c r="S315" i="6"/>
  <c r="X315" i="6"/>
  <c r="O315" i="6"/>
  <c r="V315" i="6"/>
  <c r="L315" i="6"/>
  <c r="AB315" i="6"/>
  <c r="Q315" i="6"/>
  <c r="U315" i="6"/>
  <c r="AW315" i="6"/>
  <c r="AA318" i="6"/>
  <c r="S318" i="6"/>
  <c r="Y318" i="6"/>
  <c r="P318" i="6"/>
  <c r="U318" i="6"/>
  <c r="Z318" i="6"/>
  <c r="O318" i="6"/>
  <c r="T318" i="6"/>
  <c r="AY280" i="6"/>
  <c r="AQ280" i="6"/>
  <c r="AW280" i="6"/>
  <c r="AN280" i="6"/>
  <c r="AR280" i="6"/>
  <c r="BB280" i="6"/>
  <c r="AB283" i="6"/>
  <c r="T283" i="6"/>
  <c r="L283" i="6"/>
  <c r="W283" i="6"/>
  <c r="N283" i="6"/>
  <c r="S283" i="6"/>
  <c r="AD283" i="6"/>
  <c r="AP283" i="6"/>
  <c r="AK287" i="6"/>
  <c r="AV287" i="6"/>
  <c r="AY288" i="6"/>
  <c r="AQ288" i="6"/>
  <c r="AW288" i="6"/>
  <c r="AN288" i="6"/>
  <c r="AR288" i="6"/>
  <c r="BB288" i="6"/>
  <c r="AB291" i="6"/>
  <c r="T291" i="6"/>
  <c r="L291" i="6"/>
  <c r="W291" i="6"/>
  <c r="N291" i="6"/>
  <c r="S291" i="6"/>
  <c r="AD291" i="6"/>
  <c r="AP291" i="6"/>
  <c r="AS293" i="6"/>
  <c r="AK295" i="6"/>
  <c r="AV295" i="6"/>
  <c r="AY296" i="6"/>
  <c r="AQ296" i="6"/>
  <c r="AW296" i="6"/>
  <c r="AN296" i="6"/>
  <c r="AR296" i="6"/>
  <c r="BB296" i="6"/>
  <c r="AN297" i="6"/>
  <c r="AX297" i="6"/>
  <c r="AB299" i="6"/>
  <c r="T299" i="6"/>
  <c r="L299" i="6"/>
  <c r="W299" i="6"/>
  <c r="N299" i="6"/>
  <c r="S299" i="6"/>
  <c r="AD299" i="6"/>
  <c r="AS301" i="6"/>
  <c r="AK303" i="6"/>
  <c r="AX303" i="6"/>
  <c r="AO305" i="6"/>
  <c r="BA305" i="6"/>
  <c r="AO307" i="6"/>
  <c r="AZ307" i="6"/>
  <c r="AO311" i="6"/>
  <c r="AZ311" i="6"/>
  <c r="Q312" i="6"/>
  <c r="AB312" i="6"/>
  <c r="AO312" i="6"/>
  <c r="BC312" i="6"/>
  <c r="AV313" i="6"/>
  <c r="L314" i="6"/>
  <c r="AA314" i="6"/>
  <c r="W315" i="6"/>
  <c r="AK315" i="6"/>
  <c r="AY315" i="6"/>
  <c r="V318" i="6"/>
  <c r="W332" i="6"/>
  <c r="O332" i="6"/>
  <c r="Z332" i="6"/>
  <c r="Q332" i="6"/>
  <c r="AD332" i="6"/>
  <c r="U332" i="6"/>
  <c r="L332" i="6"/>
  <c r="AB332" i="6"/>
  <c r="P332" i="6"/>
  <c r="AA332" i="6"/>
  <c r="N332" i="6"/>
  <c r="X332" i="6"/>
  <c r="V332" i="6"/>
  <c r="S332" i="6"/>
  <c r="AC332" i="6"/>
  <c r="R332" i="6"/>
  <c r="BC283" i="6"/>
  <c r="AU283" i="6"/>
  <c r="AM283" i="6"/>
  <c r="BA283" i="6"/>
  <c r="AR283" i="6"/>
  <c r="AQ283" i="6"/>
  <c r="BB283" i="6"/>
  <c r="AL287" i="6"/>
  <c r="AX287" i="6"/>
  <c r="BC291" i="6"/>
  <c r="AU291" i="6"/>
  <c r="AM291" i="6"/>
  <c r="BA291" i="6"/>
  <c r="AR291" i="6"/>
  <c r="AQ291" i="6"/>
  <c r="BB291" i="6"/>
  <c r="AV293" i="6"/>
  <c r="AL295" i="6"/>
  <c r="AX295" i="6"/>
  <c r="AS296" i="6"/>
  <c r="BC296" i="6"/>
  <c r="AO297" i="6"/>
  <c r="AZ297" i="6"/>
  <c r="U299" i="6"/>
  <c r="BC299" i="6"/>
  <c r="AU299" i="6"/>
  <c r="AM299" i="6"/>
  <c r="BA299" i="6"/>
  <c r="AR299" i="6"/>
  <c r="AQ299" i="6"/>
  <c r="BB299" i="6"/>
  <c r="AV301" i="6"/>
  <c r="AL303" i="6"/>
  <c r="AY303" i="6"/>
  <c r="AQ305" i="6"/>
  <c r="BB305" i="6"/>
  <c r="AP307" i="6"/>
  <c r="BB307" i="6"/>
  <c r="BC309" i="6"/>
  <c r="AU309" i="6"/>
  <c r="AM309" i="6"/>
  <c r="AT309" i="6"/>
  <c r="AK309" i="6"/>
  <c r="AY309" i="6"/>
  <c r="AP309" i="6"/>
  <c r="AS309" i="6"/>
  <c r="AP311" i="6"/>
  <c r="BB311" i="6"/>
  <c r="R312" i="6"/>
  <c r="AD312" i="6"/>
  <c r="AQ312" i="6"/>
  <c r="AW313" i="6"/>
  <c r="M314" i="6"/>
  <c r="AB314" i="6"/>
  <c r="Y315" i="6"/>
  <c r="AM315" i="6"/>
  <c r="AZ315" i="6"/>
  <c r="W318" i="6"/>
  <c r="X306" i="6"/>
  <c r="P306" i="6"/>
  <c r="R306" i="6"/>
  <c r="AA306" i="6"/>
  <c r="AB307" i="6"/>
  <c r="T307" i="6"/>
  <c r="L307" i="6"/>
  <c r="R307" i="6"/>
  <c r="AA307" i="6"/>
  <c r="AY310" i="6"/>
  <c r="AQ310" i="6"/>
  <c r="AP310" i="6"/>
  <c r="AZ310" i="6"/>
  <c r="AA313" i="6"/>
  <c r="S313" i="6"/>
  <c r="W313" i="6"/>
  <c r="N313" i="6"/>
  <c r="R313" i="6"/>
  <c r="AC313" i="6"/>
  <c r="AA326" i="6"/>
  <c r="S326" i="6"/>
  <c r="W326" i="6"/>
  <c r="N326" i="6"/>
  <c r="AB326" i="6"/>
  <c r="R326" i="6"/>
  <c r="T326" i="6"/>
  <c r="AC327" i="6"/>
  <c r="U327" i="6"/>
  <c r="M327" i="6"/>
  <c r="AB327" i="6"/>
  <c r="S327" i="6"/>
  <c r="X327" i="6"/>
  <c r="O327" i="6"/>
  <c r="T327" i="6"/>
  <c r="U328" i="6"/>
  <c r="N330" i="6"/>
  <c r="Z330" i="6"/>
  <c r="O331" i="6"/>
  <c r="AA331" i="6"/>
  <c r="M334" i="6"/>
  <c r="X334" i="6"/>
  <c r="W340" i="6"/>
  <c r="O340" i="6"/>
  <c r="AB340" i="6"/>
  <c r="S340" i="6"/>
  <c r="X340" i="6"/>
  <c r="N340" i="6"/>
  <c r="T340" i="6"/>
  <c r="N344" i="6"/>
  <c r="AA344" i="6"/>
  <c r="U346" i="6"/>
  <c r="V347" i="6"/>
  <c r="X348" i="6"/>
  <c r="AC351" i="6"/>
  <c r="U351" i="6"/>
  <c r="M351" i="6"/>
  <c r="Z351" i="6"/>
  <c r="Q351" i="6"/>
  <c r="V351" i="6"/>
  <c r="L351" i="6"/>
  <c r="T351" i="6"/>
  <c r="M356" i="6"/>
  <c r="AA357" i="6"/>
  <c r="S357" i="6"/>
  <c r="W357" i="6"/>
  <c r="N357" i="6"/>
  <c r="AD357" i="6"/>
  <c r="U357" i="6"/>
  <c r="L357" i="6"/>
  <c r="Z357" i="6"/>
  <c r="Q357" i="6"/>
  <c r="Y357" i="6"/>
  <c r="P357" i="6"/>
  <c r="AB357" i="6"/>
  <c r="V328" i="6"/>
  <c r="P330" i="6"/>
  <c r="Q331" i="6"/>
  <c r="N334" i="6"/>
  <c r="Z334" i="6"/>
  <c r="Q344" i="6"/>
  <c r="V346" i="6"/>
  <c r="W347" i="6"/>
  <c r="AA350" i="6"/>
  <c r="S350" i="6"/>
  <c r="AD350" i="6"/>
  <c r="U350" i="6"/>
  <c r="L350" i="6"/>
  <c r="Y350" i="6"/>
  <c r="P350" i="6"/>
  <c r="T350" i="6"/>
  <c r="X370" i="6"/>
  <c r="P370" i="6"/>
  <c r="AD370" i="6"/>
  <c r="U370" i="6"/>
  <c r="L370" i="6"/>
  <c r="Y370" i="6"/>
  <c r="N370" i="6"/>
  <c r="W370" i="6"/>
  <c r="M370" i="6"/>
  <c r="V370" i="6"/>
  <c r="T370" i="6"/>
  <c r="AA370" i="6"/>
  <c r="Q370" i="6"/>
  <c r="Z370" i="6"/>
  <c r="O370" i="6"/>
  <c r="Z375" i="6"/>
  <c r="R375" i="6"/>
  <c r="AC375" i="6"/>
  <c r="T375" i="6"/>
  <c r="AB375" i="6"/>
  <c r="S375" i="6"/>
  <c r="Y375" i="6"/>
  <c r="N375" i="6"/>
  <c r="X375" i="6"/>
  <c r="M375" i="6"/>
  <c r="W375" i="6"/>
  <c r="L375" i="6"/>
  <c r="V375" i="6"/>
  <c r="U375" i="6"/>
  <c r="AD375" i="6"/>
  <c r="P375" i="6"/>
  <c r="AA375" i="6"/>
  <c r="O375" i="6"/>
  <c r="AC358" i="6"/>
  <c r="U358" i="6"/>
  <c r="M358" i="6"/>
  <c r="AB358" i="6"/>
  <c r="S358" i="6"/>
  <c r="Z358" i="6"/>
  <c r="Q358" i="6"/>
  <c r="W358" i="6"/>
  <c r="N358" i="6"/>
  <c r="V358" i="6"/>
  <c r="L358" i="6"/>
  <c r="Y358" i="6"/>
  <c r="AA330" i="6"/>
  <c r="S330" i="6"/>
  <c r="X330" i="6"/>
  <c r="O330" i="6"/>
  <c r="AC330" i="6"/>
  <c r="T330" i="6"/>
  <c r="R330" i="6"/>
  <c r="AC331" i="6"/>
  <c r="U331" i="6"/>
  <c r="M331" i="6"/>
  <c r="AD331" i="6"/>
  <c r="T331" i="6"/>
  <c r="Y331" i="6"/>
  <c r="P331" i="6"/>
  <c r="S331" i="6"/>
  <c r="Q334" i="6"/>
  <c r="AC334" i="6"/>
  <c r="W344" i="6"/>
  <c r="O344" i="6"/>
  <c r="AC344" i="6"/>
  <c r="T344" i="6"/>
  <c r="Y344" i="6"/>
  <c r="P344" i="6"/>
  <c r="S344" i="6"/>
  <c r="S356" i="6"/>
  <c r="AA358" i="6"/>
  <c r="AD369" i="6"/>
  <c r="V369" i="6"/>
  <c r="N369" i="6"/>
  <c r="Y369" i="6"/>
  <c r="P369" i="6"/>
  <c r="Z369" i="6"/>
  <c r="O369" i="6"/>
  <c r="X369" i="6"/>
  <c r="M369" i="6"/>
  <c r="W369" i="6"/>
  <c r="L369" i="6"/>
  <c r="U369" i="6"/>
  <c r="AB369" i="6"/>
  <c r="R369" i="6"/>
  <c r="AA369" i="6"/>
  <c r="Q369" i="6"/>
  <c r="AQ246" i="6"/>
  <c r="Q248" i="6"/>
  <c r="AE248" i="6" s="1"/>
  <c r="AQ254" i="6"/>
  <c r="Q256" i="6"/>
  <c r="AE256" i="6" s="1"/>
  <c r="AQ262" i="6"/>
  <c r="Q264" i="6"/>
  <c r="AE264" i="6" s="1"/>
  <c r="AG264" i="6" s="1"/>
  <c r="AP270" i="6"/>
  <c r="AP272" i="6"/>
  <c r="AY274" i="6"/>
  <c r="AQ274" i="6"/>
  <c r="AP274" i="6"/>
  <c r="AZ274" i="6"/>
  <c r="X278" i="6"/>
  <c r="P278" i="6"/>
  <c r="R278" i="6"/>
  <c r="AA278" i="6"/>
  <c r="AB279" i="6"/>
  <c r="T279" i="6"/>
  <c r="L279" i="6"/>
  <c r="R279" i="6"/>
  <c r="AA279" i="6"/>
  <c r="AY282" i="6"/>
  <c r="AQ282" i="6"/>
  <c r="AP282" i="6"/>
  <c r="AZ282" i="6"/>
  <c r="X286" i="6"/>
  <c r="P286" i="6"/>
  <c r="R286" i="6"/>
  <c r="AA286" i="6"/>
  <c r="AB287" i="6"/>
  <c r="T287" i="6"/>
  <c r="L287" i="6"/>
  <c r="R287" i="6"/>
  <c r="AA287" i="6"/>
  <c r="AY290" i="6"/>
  <c r="AQ290" i="6"/>
  <c r="AP290" i="6"/>
  <c r="AZ290" i="6"/>
  <c r="X294" i="6"/>
  <c r="P294" i="6"/>
  <c r="R294" i="6"/>
  <c r="AA294" i="6"/>
  <c r="AB295" i="6"/>
  <c r="T295" i="6"/>
  <c r="L295" i="6"/>
  <c r="R295" i="6"/>
  <c r="AA295" i="6"/>
  <c r="AY298" i="6"/>
  <c r="AQ298" i="6"/>
  <c r="AP298" i="6"/>
  <c r="AZ298" i="6"/>
  <c r="X302" i="6"/>
  <c r="P302" i="6"/>
  <c r="R302" i="6"/>
  <c r="AA302" i="6"/>
  <c r="AB303" i="6"/>
  <c r="T303" i="6"/>
  <c r="L303" i="6"/>
  <c r="R303" i="6"/>
  <c r="AA303" i="6"/>
  <c r="M306" i="6"/>
  <c r="V306" i="6"/>
  <c r="AY306" i="6"/>
  <c r="AQ306" i="6"/>
  <c r="AP306" i="6"/>
  <c r="AZ306" i="6"/>
  <c r="N307" i="6"/>
  <c r="W307" i="6"/>
  <c r="X310" i="6"/>
  <c r="P310" i="6"/>
  <c r="R310" i="6"/>
  <c r="AA310" i="6"/>
  <c r="AL310" i="6"/>
  <c r="AU310" i="6"/>
  <c r="AB311" i="6"/>
  <c r="T311" i="6"/>
  <c r="L311" i="6"/>
  <c r="R311" i="6"/>
  <c r="AA311" i="6"/>
  <c r="M313" i="6"/>
  <c r="X313" i="6"/>
  <c r="W316" i="6"/>
  <c r="O316" i="6"/>
  <c r="Z316" i="6"/>
  <c r="Q316" i="6"/>
  <c r="S316" i="6"/>
  <c r="AC316" i="6"/>
  <c r="AC319" i="6"/>
  <c r="U319" i="6"/>
  <c r="M319" i="6"/>
  <c r="V319" i="6"/>
  <c r="L319" i="6"/>
  <c r="S319" i="6"/>
  <c r="AD319" i="6"/>
  <c r="W324" i="6"/>
  <c r="O324" i="6"/>
  <c r="X324" i="6"/>
  <c r="N324" i="6"/>
  <c r="AB324" i="6"/>
  <c r="S324" i="6"/>
  <c r="T324" i="6"/>
  <c r="M326" i="6"/>
  <c r="Y326" i="6"/>
  <c r="N327" i="6"/>
  <c r="Z327" i="6"/>
  <c r="N328" i="6"/>
  <c r="AA328" i="6"/>
  <c r="U330" i="6"/>
  <c r="V331" i="6"/>
  <c r="AC335" i="6"/>
  <c r="U335" i="6"/>
  <c r="M335" i="6"/>
  <c r="V335" i="6"/>
  <c r="L335" i="6"/>
  <c r="Z335" i="6"/>
  <c r="Q335" i="6"/>
  <c r="T335" i="6"/>
  <c r="M340" i="6"/>
  <c r="Z340" i="6"/>
  <c r="AA342" i="6"/>
  <c r="S342" i="6"/>
  <c r="AB342" i="6"/>
  <c r="R342" i="6"/>
  <c r="W342" i="6"/>
  <c r="N342" i="6"/>
  <c r="T342" i="6"/>
  <c r="AC343" i="6"/>
  <c r="U343" i="6"/>
  <c r="M343" i="6"/>
  <c r="X343" i="6"/>
  <c r="O343" i="6"/>
  <c r="AB343" i="6"/>
  <c r="S343" i="6"/>
  <c r="T343" i="6"/>
  <c r="U344" i="6"/>
  <c r="N346" i="6"/>
  <c r="Z346" i="6"/>
  <c r="O347" i="6"/>
  <c r="AA347" i="6"/>
  <c r="R348" i="6"/>
  <c r="M350" i="6"/>
  <c r="X350" i="6"/>
  <c r="O351" i="6"/>
  <c r="AA351" i="6"/>
  <c r="R357" i="6"/>
  <c r="AD358" i="6"/>
  <c r="AC366" i="6"/>
  <c r="U366" i="6"/>
  <c r="M366" i="6"/>
  <c r="W366" i="6"/>
  <c r="N366" i="6"/>
  <c r="V366" i="6"/>
  <c r="L366" i="6"/>
  <c r="AB366" i="6"/>
  <c r="S366" i="6"/>
  <c r="Y366" i="6"/>
  <c r="P366" i="6"/>
  <c r="X366" i="6"/>
  <c r="O366" i="6"/>
  <c r="AD366" i="6"/>
  <c r="R370" i="6"/>
  <c r="Q375" i="6"/>
  <c r="AA334" i="6"/>
  <c r="S334" i="6"/>
  <c r="Y334" i="6"/>
  <c r="P334" i="6"/>
  <c r="AD334" i="6"/>
  <c r="U334" i="6"/>
  <c r="L334" i="6"/>
  <c r="T334" i="6"/>
  <c r="S370" i="6"/>
  <c r="AB376" i="6"/>
  <c r="T376" i="6"/>
  <c r="L376" i="6"/>
  <c r="Y376" i="6"/>
  <c r="P376" i="6"/>
  <c r="X376" i="6"/>
  <c r="O376" i="6"/>
  <c r="AC376" i="6"/>
  <c r="Q376" i="6"/>
  <c r="AA376" i="6"/>
  <c r="N376" i="6"/>
  <c r="Z376" i="6"/>
  <c r="M376" i="6"/>
  <c r="W376" i="6"/>
  <c r="V376" i="6"/>
  <c r="S376" i="6"/>
  <c r="AD376" i="6"/>
  <c r="R376" i="6"/>
  <c r="R328" i="6"/>
  <c r="L330" i="6"/>
  <c r="W330" i="6"/>
  <c r="L331" i="6"/>
  <c r="X331" i="6"/>
  <c r="V334" i="6"/>
  <c r="L344" i="6"/>
  <c r="X344" i="6"/>
  <c r="Q346" i="6"/>
  <c r="W348" i="6"/>
  <c r="O348" i="6"/>
  <c r="AD348" i="6"/>
  <c r="U348" i="6"/>
  <c r="L348" i="6"/>
  <c r="Z348" i="6"/>
  <c r="Q348" i="6"/>
  <c r="T348" i="6"/>
  <c r="O350" i="6"/>
  <c r="AB350" i="6"/>
  <c r="X356" i="6"/>
  <c r="P356" i="6"/>
  <c r="AA356" i="6"/>
  <c r="R356" i="6"/>
  <c r="Y356" i="6"/>
  <c r="O356" i="6"/>
  <c r="AD356" i="6"/>
  <c r="U356" i="6"/>
  <c r="L356" i="6"/>
  <c r="AC356" i="6"/>
  <c r="T356" i="6"/>
  <c r="Z356" i="6"/>
  <c r="P358" i="6"/>
  <c r="S369" i="6"/>
  <c r="AB370" i="6"/>
  <c r="W328" i="6"/>
  <c r="O328" i="6"/>
  <c r="Y328" i="6"/>
  <c r="P328" i="6"/>
  <c r="AC328" i="6"/>
  <c r="T328" i="6"/>
  <c r="S328" i="6"/>
  <c r="M330" i="6"/>
  <c r="Y330" i="6"/>
  <c r="N331" i="6"/>
  <c r="Z331" i="6"/>
  <c r="W334" i="6"/>
  <c r="M344" i="6"/>
  <c r="Z344" i="6"/>
  <c r="AA346" i="6"/>
  <c r="S346" i="6"/>
  <c r="AC346" i="6"/>
  <c r="T346" i="6"/>
  <c r="X346" i="6"/>
  <c r="O346" i="6"/>
  <c r="R346" i="6"/>
  <c r="AC347" i="6"/>
  <c r="U347" i="6"/>
  <c r="M347" i="6"/>
  <c r="Y347" i="6"/>
  <c r="P347" i="6"/>
  <c r="AD347" i="6"/>
  <c r="T347" i="6"/>
  <c r="S347" i="6"/>
  <c r="AB356" i="6"/>
  <c r="R358" i="6"/>
  <c r="T369" i="6"/>
  <c r="AC370" i="6"/>
  <c r="W320" i="6"/>
  <c r="O320" i="6"/>
  <c r="R320" i="6"/>
  <c r="AA320" i="6"/>
  <c r="AA322" i="6"/>
  <c r="S322" i="6"/>
  <c r="Q322" i="6"/>
  <c r="Z322" i="6"/>
  <c r="N323" i="6"/>
  <c r="M336" i="6"/>
  <c r="M338" i="6"/>
  <c r="AC339" i="6"/>
  <c r="U339" i="6"/>
  <c r="M339" i="6"/>
  <c r="R339" i="6"/>
  <c r="AA339" i="6"/>
  <c r="W352" i="6"/>
  <c r="O352" i="6"/>
  <c r="R352" i="6"/>
  <c r="AA352" i="6"/>
  <c r="AA354" i="6"/>
  <c r="S354" i="6"/>
  <c r="Q354" i="6"/>
  <c r="Z354" i="6"/>
  <c r="N355" i="6"/>
  <c r="W359" i="6"/>
  <c r="O359" i="6"/>
  <c r="R359" i="6"/>
  <c r="AA359" i="6"/>
  <c r="AA361" i="6"/>
  <c r="S361" i="6"/>
  <c r="Q361" i="6"/>
  <c r="Z361" i="6"/>
  <c r="N362" i="6"/>
  <c r="S363" i="6"/>
  <c r="AB363" i="6"/>
  <c r="R365" i="6"/>
  <c r="AB365" i="6"/>
  <c r="T367" i="6"/>
  <c r="AD367" i="6"/>
  <c r="Q368" i="6"/>
  <c r="M371" i="6"/>
  <c r="W372" i="6"/>
  <c r="X374" i="6"/>
  <c r="P374" i="6"/>
  <c r="W374" i="6"/>
  <c r="N374" i="6"/>
  <c r="S374" i="6"/>
  <c r="AC374" i="6"/>
  <c r="L379" i="6"/>
  <c r="Y379" i="6"/>
  <c r="S380" i="6"/>
  <c r="W381" i="6"/>
  <c r="Q382" i="6"/>
  <c r="W384" i="6"/>
  <c r="S387" i="6"/>
  <c r="W388" i="6"/>
  <c r="P389" i="6"/>
  <c r="Y391" i="6"/>
  <c r="N392" i="6"/>
  <c r="X395" i="6"/>
  <c r="R396" i="6"/>
  <c r="U398" i="6"/>
  <c r="M399" i="6"/>
  <c r="AC399" i="6"/>
  <c r="S403" i="6"/>
  <c r="AC404" i="6"/>
  <c r="O406" i="6"/>
  <c r="Z407" i="6"/>
  <c r="R407" i="6"/>
  <c r="AD407" i="6"/>
  <c r="V407" i="6"/>
  <c r="N407" i="6"/>
  <c r="AA407" i="6"/>
  <c r="P407" i="6"/>
  <c r="W407" i="6"/>
  <c r="L407" i="6"/>
  <c r="U407" i="6"/>
  <c r="X407" i="6"/>
  <c r="N408" i="6"/>
  <c r="M411" i="6"/>
  <c r="AC412" i="6"/>
  <c r="T363" i="6"/>
  <c r="AC363" i="6"/>
  <c r="T365" i="6"/>
  <c r="AC365" i="6"/>
  <c r="L367" i="6"/>
  <c r="U367" i="6"/>
  <c r="AB368" i="6"/>
  <c r="T368" i="6"/>
  <c r="L368" i="6"/>
  <c r="AC368" i="6"/>
  <c r="S368" i="6"/>
  <c r="R368" i="6"/>
  <c r="AD368" i="6"/>
  <c r="N372" i="6"/>
  <c r="X372" i="6"/>
  <c r="AD377" i="6"/>
  <c r="V377" i="6"/>
  <c r="N377" i="6"/>
  <c r="U377" i="6"/>
  <c r="L377" i="6"/>
  <c r="AC377" i="6"/>
  <c r="T377" i="6"/>
  <c r="S377" i="6"/>
  <c r="M379" i="6"/>
  <c r="AC379" i="6"/>
  <c r="AA381" i="6"/>
  <c r="Z383" i="6"/>
  <c r="R383" i="6"/>
  <c r="AD383" i="6"/>
  <c r="V383" i="6"/>
  <c r="N383" i="6"/>
  <c r="W383" i="6"/>
  <c r="L383" i="6"/>
  <c r="U383" i="6"/>
  <c r="T383" i="6"/>
  <c r="Y384" i="6"/>
  <c r="Y388" i="6"/>
  <c r="X390" i="6"/>
  <c r="P390" i="6"/>
  <c r="AB390" i="6"/>
  <c r="T390" i="6"/>
  <c r="L390" i="6"/>
  <c r="Y390" i="6"/>
  <c r="N390" i="6"/>
  <c r="W390" i="6"/>
  <c r="M390" i="6"/>
  <c r="V390" i="6"/>
  <c r="M391" i="6"/>
  <c r="AA391" i="6"/>
  <c r="Y395" i="6"/>
  <c r="O399" i="6"/>
  <c r="AB400" i="6"/>
  <c r="T400" i="6"/>
  <c r="L400" i="6"/>
  <c r="X400" i="6"/>
  <c r="P400" i="6"/>
  <c r="Z400" i="6"/>
  <c r="O400" i="6"/>
  <c r="V400" i="6"/>
  <c r="U400" i="6"/>
  <c r="W400" i="6"/>
  <c r="M404" i="6"/>
  <c r="AD404" i="6"/>
  <c r="Q406" i="6"/>
  <c r="O411" i="6"/>
  <c r="AD412" i="6"/>
  <c r="AB380" i="6"/>
  <c r="T380" i="6"/>
  <c r="L380" i="6"/>
  <c r="X380" i="6"/>
  <c r="P380" i="6"/>
  <c r="AA380" i="6"/>
  <c r="Q380" i="6"/>
  <c r="Z380" i="6"/>
  <c r="O380" i="6"/>
  <c r="V380" i="6"/>
  <c r="Z387" i="6"/>
  <c r="R387" i="6"/>
  <c r="AD387" i="6"/>
  <c r="V387" i="6"/>
  <c r="N387" i="6"/>
  <c r="AB387" i="6"/>
  <c r="Q387" i="6"/>
  <c r="AA387" i="6"/>
  <c r="P387" i="6"/>
  <c r="U387" i="6"/>
  <c r="X398" i="6"/>
  <c r="P398" i="6"/>
  <c r="AB398" i="6"/>
  <c r="T398" i="6"/>
  <c r="L398" i="6"/>
  <c r="AC398" i="6"/>
  <c r="R398" i="6"/>
  <c r="Y398" i="6"/>
  <c r="N398" i="6"/>
  <c r="W398" i="6"/>
  <c r="M398" i="6"/>
  <c r="Z398" i="6"/>
  <c r="Z403" i="6"/>
  <c r="R403" i="6"/>
  <c r="AD403" i="6"/>
  <c r="V403" i="6"/>
  <c r="N403" i="6"/>
  <c r="U403" i="6"/>
  <c r="AB403" i="6"/>
  <c r="Q403" i="6"/>
  <c r="AA403" i="6"/>
  <c r="P403" i="6"/>
  <c r="W403" i="6"/>
  <c r="W380" i="6"/>
  <c r="W387" i="6"/>
  <c r="AB396" i="6"/>
  <c r="T396" i="6"/>
  <c r="L396" i="6"/>
  <c r="X396" i="6"/>
  <c r="P396" i="6"/>
  <c r="U396" i="6"/>
  <c r="AA396" i="6"/>
  <c r="Q396" i="6"/>
  <c r="Z396" i="6"/>
  <c r="O396" i="6"/>
  <c r="W396" i="6"/>
  <c r="AA398" i="6"/>
  <c r="X403" i="6"/>
  <c r="AC323" i="6"/>
  <c r="U323" i="6"/>
  <c r="M323" i="6"/>
  <c r="R323" i="6"/>
  <c r="AA323" i="6"/>
  <c r="W336" i="6"/>
  <c r="O336" i="6"/>
  <c r="R336" i="6"/>
  <c r="AA336" i="6"/>
  <c r="AA338" i="6"/>
  <c r="S338" i="6"/>
  <c r="Q338" i="6"/>
  <c r="Z338" i="6"/>
  <c r="AC355" i="6"/>
  <c r="U355" i="6"/>
  <c r="M355" i="6"/>
  <c r="R355" i="6"/>
  <c r="AA355" i="6"/>
  <c r="AC362" i="6"/>
  <c r="U362" i="6"/>
  <c r="M362" i="6"/>
  <c r="R362" i="6"/>
  <c r="AA362" i="6"/>
  <c r="N363" i="6"/>
  <c r="X363" i="6"/>
  <c r="N365" i="6"/>
  <c r="W365" i="6"/>
  <c r="P367" i="6"/>
  <c r="M368" i="6"/>
  <c r="W368" i="6"/>
  <c r="Z371" i="6"/>
  <c r="R371" i="6"/>
  <c r="Y371" i="6"/>
  <c r="P371" i="6"/>
  <c r="S371" i="6"/>
  <c r="AC371" i="6"/>
  <c r="Q372" i="6"/>
  <c r="M377" i="6"/>
  <c r="Y377" i="6"/>
  <c r="Y380" i="6"/>
  <c r="Q381" i="6"/>
  <c r="X382" i="6"/>
  <c r="P382" i="6"/>
  <c r="AB382" i="6"/>
  <c r="T382" i="6"/>
  <c r="L382" i="6"/>
  <c r="Y382" i="6"/>
  <c r="N382" i="6"/>
  <c r="W382" i="6"/>
  <c r="M382" i="6"/>
  <c r="V382" i="6"/>
  <c r="M383" i="6"/>
  <c r="AA383" i="6"/>
  <c r="O384" i="6"/>
  <c r="AC384" i="6"/>
  <c r="X387" i="6"/>
  <c r="R388" i="6"/>
  <c r="AD389" i="6"/>
  <c r="V389" i="6"/>
  <c r="N389" i="6"/>
  <c r="Z389" i="6"/>
  <c r="R389" i="6"/>
  <c r="Y389" i="6"/>
  <c r="O389" i="6"/>
  <c r="X389" i="6"/>
  <c r="M389" i="6"/>
  <c r="U389" i="6"/>
  <c r="O390" i="6"/>
  <c r="AC390" i="6"/>
  <c r="AB392" i="6"/>
  <c r="T392" i="6"/>
  <c r="L392" i="6"/>
  <c r="X392" i="6"/>
  <c r="P392" i="6"/>
  <c r="V392" i="6"/>
  <c r="U392" i="6"/>
  <c r="S392" i="6"/>
  <c r="O395" i="6"/>
  <c r="Y396" i="6"/>
  <c r="AD398" i="6"/>
  <c r="M400" i="6"/>
  <c r="AC400" i="6"/>
  <c r="Y403" i="6"/>
  <c r="S404" i="6"/>
  <c r="AB408" i="6"/>
  <c r="T408" i="6"/>
  <c r="L408" i="6"/>
  <c r="X408" i="6"/>
  <c r="P408" i="6"/>
  <c r="Z408" i="6"/>
  <c r="O408" i="6"/>
  <c r="V408" i="6"/>
  <c r="U408" i="6"/>
  <c r="W408" i="6"/>
  <c r="Z379" i="6"/>
  <c r="R379" i="6"/>
  <c r="AD379" i="6"/>
  <c r="V379" i="6"/>
  <c r="N379" i="6"/>
  <c r="AB379" i="6"/>
  <c r="Q379" i="6"/>
  <c r="AA379" i="6"/>
  <c r="P379" i="6"/>
  <c r="U379" i="6"/>
  <c r="M380" i="6"/>
  <c r="AC380" i="6"/>
  <c r="L387" i="6"/>
  <c r="Y387" i="6"/>
  <c r="AC396" i="6"/>
  <c r="O398" i="6"/>
  <c r="Z399" i="6"/>
  <c r="R399" i="6"/>
  <c r="AD399" i="6"/>
  <c r="V399" i="6"/>
  <c r="N399" i="6"/>
  <c r="AA399" i="6"/>
  <c r="P399" i="6"/>
  <c r="W399" i="6"/>
  <c r="L399" i="6"/>
  <c r="U399" i="6"/>
  <c r="X399" i="6"/>
  <c r="L403" i="6"/>
  <c r="AC403" i="6"/>
  <c r="X406" i="6"/>
  <c r="P406" i="6"/>
  <c r="AB406" i="6"/>
  <c r="T406" i="6"/>
  <c r="L406" i="6"/>
  <c r="AC406" i="6"/>
  <c r="R406" i="6"/>
  <c r="Y406" i="6"/>
  <c r="N406" i="6"/>
  <c r="W406" i="6"/>
  <c r="M406" i="6"/>
  <c r="Z406" i="6"/>
  <c r="Z411" i="6"/>
  <c r="R411" i="6"/>
  <c r="AD411" i="6"/>
  <c r="V411" i="6"/>
  <c r="N411" i="6"/>
  <c r="W411" i="6"/>
  <c r="L411" i="6"/>
  <c r="U411" i="6"/>
  <c r="AB411" i="6"/>
  <c r="Q411" i="6"/>
  <c r="AA411" i="6"/>
  <c r="P411" i="6"/>
  <c r="Y411" i="6"/>
  <c r="Q363" i="6"/>
  <c r="P365" i="6"/>
  <c r="Z367" i="6"/>
  <c r="W367" i="6"/>
  <c r="O367" i="6"/>
  <c r="R367" i="6"/>
  <c r="AB367" i="6"/>
  <c r="AB372" i="6"/>
  <c r="T372" i="6"/>
  <c r="L372" i="6"/>
  <c r="V372" i="6"/>
  <c r="M372" i="6"/>
  <c r="S372" i="6"/>
  <c r="AD372" i="6"/>
  <c r="W379" i="6"/>
  <c r="N380" i="6"/>
  <c r="AD380" i="6"/>
  <c r="M387" i="6"/>
  <c r="AC387" i="6"/>
  <c r="Z391" i="6"/>
  <c r="R391" i="6"/>
  <c r="AD391" i="6"/>
  <c r="V391" i="6"/>
  <c r="N391" i="6"/>
  <c r="W391" i="6"/>
  <c r="L391" i="6"/>
  <c r="U391" i="6"/>
  <c r="T391" i="6"/>
  <c r="M396" i="6"/>
  <c r="AD396" i="6"/>
  <c r="Q398" i="6"/>
  <c r="Y399" i="6"/>
  <c r="M403" i="6"/>
  <c r="AB404" i="6"/>
  <c r="T404" i="6"/>
  <c r="L404" i="6"/>
  <c r="X404" i="6"/>
  <c r="P404" i="6"/>
  <c r="U404" i="6"/>
  <c r="AA404" i="6"/>
  <c r="Q404" i="6"/>
  <c r="Z404" i="6"/>
  <c r="O404" i="6"/>
  <c r="W404" i="6"/>
  <c r="AC411" i="6"/>
  <c r="W363" i="6"/>
  <c r="O363" i="6"/>
  <c r="R363" i="6"/>
  <c r="AA363" i="6"/>
  <c r="AA365" i="6"/>
  <c r="S365" i="6"/>
  <c r="Q365" i="6"/>
  <c r="Z365" i="6"/>
  <c r="X379" i="6"/>
  <c r="R380" i="6"/>
  <c r="AD381" i="6"/>
  <c r="V381" i="6"/>
  <c r="N381" i="6"/>
  <c r="Z381" i="6"/>
  <c r="R381" i="6"/>
  <c r="Y381" i="6"/>
  <c r="O381" i="6"/>
  <c r="X381" i="6"/>
  <c r="M381" i="6"/>
  <c r="U381" i="6"/>
  <c r="AB384" i="6"/>
  <c r="T384" i="6"/>
  <c r="L384" i="6"/>
  <c r="X384" i="6"/>
  <c r="P384" i="6"/>
  <c r="V384" i="6"/>
  <c r="U384" i="6"/>
  <c r="S384" i="6"/>
  <c r="O387" i="6"/>
  <c r="AB388" i="6"/>
  <c r="T388" i="6"/>
  <c r="L388" i="6"/>
  <c r="X388" i="6"/>
  <c r="P388" i="6"/>
  <c r="AA388" i="6"/>
  <c r="Q388" i="6"/>
  <c r="Z388" i="6"/>
  <c r="O388" i="6"/>
  <c r="V388" i="6"/>
  <c r="Z395" i="6"/>
  <c r="R395" i="6"/>
  <c r="AD395" i="6"/>
  <c r="V395" i="6"/>
  <c r="N395" i="6"/>
  <c r="U395" i="6"/>
  <c r="AB395" i="6"/>
  <c r="Q395" i="6"/>
  <c r="AA395" i="6"/>
  <c r="P395" i="6"/>
  <c r="W395" i="6"/>
  <c r="N396" i="6"/>
  <c r="S398" i="6"/>
  <c r="AB399" i="6"/>
  <c r="O403" i="6"/>
  <c r="Y404" i="6"/>
  <c r="AD406" i="6"/>
  <c r="AB412" i="6"/>
  <c r="T412" i="6"/>
  <c r="L412" i="6"/>
  <c r="X412" i="6"/>
  <c r="P412" i="6"/>
  <c r="V412" i="6"/>
  <c r="U412" i="6"/>
  <c r="AA412" i="6"/>
  <c r="Q412" i="6"/>
  <c r="Z412" i="6"/>
  <c r="O412" i="6"/>
  <c r="Y412" i="6"/>
  <c r="AP314" i="6"/>
  <c r="BD314" i="6" s="1"/>
  <c r="BF314" i="6" s="1"/>
  <c r="Q317" i="6"/>
  <c r="AE317" i="6" s="1"/>
  <c r="AG317" i="6" s="1"/>
  <c r="Q321" i="6"/>
  <c r="AE321" i="6" s="1"/>
  <c r="Q325" i="6"/>
  <c r="AE325" i="6" s="1"/>
  <c r="AF325" i="6" s="1"/>
  <c r="Q329" i="6"/>
  <c r="AE329" i="6" s="1"/>
  <c r="AG329" i="6" s="1"/>
  <c r="Q333" i="6"/>
  <c r="AE333" i="6" s="1"/>
  <c r="AF333" i="6" s="1"/>
  <c r="Q337" i="6"/>
  <c r="AE337" i="6" s="1"/>
  <c r="AG337" i="6" s="1"/>
  <c r="Q341" i="6"/>
  <c r="AE341" i="6" s="1"/>
  <c r="AG341" i="6" s="1"/>
  <c r="Q345" i="6"/>
  <c r="AE345" i="6" s="1"/>
  <c r="Q349" i="6"/>
  <c r="AE349" i="6" s="1"/>
  <c r="AF349" i="6" s="1"/>
  <c r="Q353" i="6"/>
  <c r="AE353" i="6" s="1"/>
  <c r="Q360" i="6"/>
  <c r="AE360" i="6" s="1"/>
  <c r="Q364" i="6"/>
  <c r="AE364" i="6" s="1"/>
  <c r="AG364" i="6" s="1"/>
  <c r="AD373" i="6"/>
  <c r="V373" i="6"/>
  <c r="N373" i="6"/>
  <c r="R373" i="6"/>
  <c r="AA373" i="6"/>
  <c r="R378" i="6"/>
  <c r="AD385" i="6"/>
  <c r="V385" i="6"/>
  <c r="N385" i="6"/>
  <c r="Z385" i="6"/>
  <c r="R385" i="6"/>
  <c r="S385" i="6"/>
  <c r="AC385" i="6"/>
  <c r="R386" i="6"/>
  <c r="AD393" i="6"/>
  <c r="V393" i="6"/>
  <c r="N393" i="6"/>
  <c r="Z393" i="6"/>
  <c r="R393" i="6"/>
  <c r="S393" i="6"/>
  <c r="AC393" i="6"/>
  <c r="R394" i="6"/>
  <c r="M397" i="6"/>
  <c r="X397" i="6"/>
  <c r="AD401" i="6"/>
  <c r="V401" i="6"/>
  <c r="N401" i="6"/>
  <c r="Z401" i="6"/>
  <c r="R401" i="6"/>
  <c r="S401" i="6"/>
  <c r="AC401" i="6"/>
  <c r="R402" i="6"/>
  <c r="M405" i="6"/>
  <c r="X405" i="6"/>
  <c r="AD409" i="6"/>
  <c r="V409" i="6"/>
  <c r="N409" i="6"/>
  <c r="Z409" i="6"/>
  <c r="R409" i="6"/>
  <c r="S409" i="6"/>
  <c r="AC409" i="6"/>
  <c r="R410" i="6"/>
  <c r="M413" i="6"/>
  <c r="X413" i="6"/>
  <c r="M414" i="6"/>
  <c r="W414" i="6"/>
  <c r="M416" i="6"/>
  <c r="Y416" i="6"/>
  <c r="O417" i="6"/>
  <c r="AA417" i="6"/>
  <c r="R418" i="6"/>
  <c r="AD418" i="6"/>
  <c r="AB420" i="6"/>
  <c r="T420" i="6"/>
  <c r="L420" i="6"/>
  <c r="AA420" i="6"/>
  <c r="S420" i="6"/>
  <c r="X420" i="6"/>
  <c r="P420" i="6"/>
  <c r="U420" i="6"/>
  <c r="W421" i="6"/>
  <c r="N422" i="6"/>
  <c r="AB422" i="6"/>
  <c r="L425" i="6"/>
  <c r="AB425" i="6"/>
  <c r="M427" i="6"/>
  <c r="AB427" i="6"/>
  <c r="AB429" i="6"/>
  <c r="N431" i="6"/>
  <c r="X378" i="6"/>
  <c r="P378" i="6"/>
  <c r="AB378" i="6"/>
  <c r="T378" i="6"/>
  <c r="L378" i="6"/>
  <c r="S378" i="6"/>
  <c r="AD378" i="6"/>
  <c r="X386" i="6"/>
  <c r="P386" i="6"/>
  <c r="AB386" i="6"/>
  <c r="T386" i="6"/>
  <c r="L386" i="6"/>
  <c r="S386" i="6"/>
  <c r="AD386" i="6"/>
  <c r="X394" i="6"/>
  <c r="P394" i="6"/>
  <c r="AB394" i="6"/>
  <c r="T394" i="6"/>
  <c r="L394" i="6"/>
  <c r="S394" i="6"/>
  <c r="AD394" i="6"/>
  <c r="O397" i="6"/>
  <c r="X402" i="6"/>
  <c r="P402" i="6"/>
  <c r="AB402" i="6"/>
  <c r="T402" i="6"/>
  <c r="L402" i="6"/>
  <c r="S402" i="6"/>
  <c r="AD402" i="6"/>
  <c r="O405" i="6"/>
  <c r="X410" i="6"/>
  <c r="P410" i="6"/>
  <c r="AB410" i="6"/>
  <c r="T410" i="6"/>
  <c r="L410" i="6"/>
  <c r="S410" i="6"/>
  <c r="AD410" i="6"/>
  <c r="O413" i="6"/>
  <c r="N414" i="6"/>
  <c r="Y414" i="6"/>
  <c r="N416" i="6"/>
  <c r="Z416" i="6"/>
  <c r="P417" i="6"/>
  <c r="X421" i="6"/>
  <c r="O422" i="6"/>
  <c r="AD422" i="6"/>
  <c r="O425" i="6"/>
  <c r="AC426" i="6"/>
  <c r="U426" i="6"/>
  <c r="M426" i="6"/>
  <c r="Y426" i="6"/>
  <c r="P426" i="6"/>
  <c r="W426" i="6"/>
  <c r="L426" i="6"/>
  <c r="V426" i="6"/>
  <c r="AB426" i="6"/>
  <c r="R426" i="6"/>
  <c r="X426" i="6"/>
  <c r="N427" i="6"/>
  <c r="AC427" i="6"/>
  <c r="M429" i="6"/>
  <c r="AC429" i="6"/>
  <c r="T437" i="6"/>
  <c r="X418" i="6"/>
  <c r="P418" i="6"/>
  <c r="W418" i="6"/>
  <c r="O418" i="6"/>
  <c r="AB418" i="6"/>
  <c r="T418" i="6"/>
  <c r="L418" i="6"/>
  <c r="U418" i="6"/>
  <c r="P429" i="6"/>
  <c r="AC438" i="6"/>
  <c r="U438" i="6"/>
  <c r="M438" i="6"/>
  <c r="AB438" i="6"/>
  <c r="S438" i="6"/>
  <c r="X438" i="6"/>
  <c r="O438" i="6"/>
  <c r="R438" i="6"/>
  <c r="AD438" i="6"/>
  <c r="Q438" i="6"/>
  <c r="AA438" i="6"/>
  <c r="P438" i="6"/>
  <c r="Z438" i="6"/>
  <c r="N438" i="6"/>
  <c r="Y438" i="6"/>
  <c r="L438" i="6"/>
  <c r="W438" i="6"/>
  <c r="AD397" i="6"/>
  <c r="V397" i="6"/>
  <c r="N397" i="6"/>
  <c r="Z397" i="6"/>
  <c r="R397" i="6"/>
  <c r="S397" i="6"/>
  <c r="AC397" i="6"/>
  <c r="AD405" i="6"/>
  <c r="V405" i="6"/>
  <c r="N405" i="6"/>
  <c r="Z405" i="6"/>
  <c r="R405" i="6"/>
  <c r="S405" i="6"/>
  <c r="AC405" i="6"/>
  <c r="AD413" i="6"/>
  <c r="V413" i="6"/>
  <c r="N413" i="6"/>
  <c r="Z413" i="6"/>
  <c r="R413" i="6"/>
  <c r="S413" i="6"/>
  <c r="AC413" i="6"/>
  <c r="R414" i="6"/>
  <c r="AD417" i="6"/>
  <c r="V417" i="6"/>
  <c r="N417" i="6"/>
  <c r="AC417" i="6"/>
  <c r="U417" i="6"/>
  <c r="M417" i="6"/>
  <c r="Z417" i="6"/>
  <c r="R417" i="6"/>
  <c r="T417" i="6"/>
  <c r="Y418" i="6"/>
  <c r="P421" i="6"/>
  <c r="AB421" i="6"/>
  <c r="N426" i="6"/>
  <c r="AD426" i="6"/>
  <c r="R429" i="6"/>
  <c r="AA433" i="6"/>
  <c r="S433" i="6"/>
  <c r="V433" i="6"/>
  <c r="M433" i="6"/>
  <c r="Y433" i="6"/>
  <c r="O433" i="6"/>
  <c r="X433" i="6"/>
  <c r="N433" i="6"/>
  <c r="W433" i="6"/>
  <c r="L433" i="6"/>
  <c r="AD433" i="6"/>
  <c r="T433" i="6"/>
  <c r="AB433" i="6"/>
  <c r="X414" i="6"/>
  <c r="P414" i="6"/>
  <c r="AB414" i="6"/>
  <c r="T414" i="6"/>
  <c r="L414" i="6"/>
  <c r="S414" i="6"/>
  <c r="AD414" i="6"/>
  <c r="AB416" i="6"/>
  <c r="T416" i="6"/>
  <c r="L416" i="6"/>
  <c r="AA416" i="6"/>
  <c r="S416" i="6"/>
  <c r="X416" i="6"/>
  <c r="P416" i="6"/>
  <c r="U416" i="6"/>
  <c r="M418" i="6"/>
  <c r="Z418" i="6"/>
  <c r="AC422" i="6"/>
  <c r="U422" i="6"/>
  <c r="M422" i="6"/>
  <c r="Z422" i="6"/>
  <c r="Q422" i="6"/>
  <c r="Y422" i="6"/>
  <c r="P422" i="6"/>
  <c r="V422" i="6"/>
  <c r="L422" i="6"/>
  <c r="W422" i="6"/>
  <c r="AA425" i="6"/>
  <c r="S425" i="6"/>
  <c r="AC425" i="6"/>
  <c r="T425" i="6"/>
  <c r="X425" i="6"/>
  <c r="N425" i="6"/>
  <c r="W425" i="6"/>
  <c r="M425" i="6"/>
  <c r="AD425" i="6"/>
  <c r="R425" i="6"/>
  <c r="V425" i="6"/>
  <c r="W427" i="6"/>
  <c r="O427" i="6"/>
  <c r="AD427" i="6"/>
  <c r="U427" i="6"/>
  <c r="L427" i="6"/>
  <c r="V427" i="6"/>
  <c r="T427" i="6"/>
  <c r="AA427" i="6"/>
  <c r="Q427" i="6"/>
  <c r="X427" i="6"/>
  <c r="W431" i="6"/>
  <c r="O431" i="6"/>
  <c r="V431" i="6"/>
  <c r="M431" i="6"/>
  <c r="X431" i="6"/>
  <c r="L431" i="6"/>
  <c r="U431" i="6"/>
  <c r="AD431" i="6"/>
  <c r="T431" i="6"/>
  <c r="AB431" i="6"/>
  <c r="R431" i="6"/>
  <c r="Z431" i="6"/>
  <c r="AA429" i="6"/>
  <c r="S429" i="6"/>
  <c r="AD429" i="6"/>
  <c r="U429" i="6"/>
  <c r="L429" i="6"/>
  <c r="Y429" i="6"/>
  <c r="O429" i="6"/>
  <c r="X429" i="6"/>
  <c r="N429" i="6"/>
  <c r="T429" i="6"/>
  <c r="W429" i="6"/>
  <c r="AA437" i="6"/>
  <c r="S437" i="6"/>
  <c r="W437" i="6"/>
  <c r="N437" i="6"/>
  <c r="AB437" i="6"/>
  <c r="R437" i="6"/>
  <c r="AD437" i="6"/>
  <c r="Q437" i="6"/>
  <c r="AC437" i="6"/>
  <c r="P437" i="6"/>
  <c r="Z437" i="6"/>
  <c r="O437" i="6"/>
  <c r="Y437" i="6"/>
  <c r="M437" i="6"/>
  <c r="X437" i="6"/>
  <c r="L437" i="6"/>
  <c r="V437" i="6"/>
  <c r="Q418" i="6"/>
  <c r="AC418" i="6"/>
  <c r="AD421" i="6"/>
  <c r="V421" i="6"/>
  <c r="N421" i="6"/>
  <c r="AC421" i="6"/>
  <c r="U421" i="6"/>
  <c r="M421" i="6"/>
  <c r="Z421" i="6"/>
  <c r="R421" i="6"/>
  <c r="T421" i="6"/>
  <c r="Z429" i="6"/>
  <c r="V438" i="6"/>
  <c r="N415" i="6"/>
  <c r="V415" i="6"/>
  <c r="AD415" i="6"/>
  <c r="N419" i="6"/>
  <c r="V419" i="6"/>
  <c r="AD419" i="6"/>
  <c r="W423" i="6"/>
  <c r="O423" i="6"/>
  <c r="AC423" i="6"/>
  <c r="R423" i="6"/>
  <c r="AA423" i="6"/>
  <c r="AC430" i="6"/>
  <c r="U430" i="6"/>
  <c r="M430" i="6"/>
  <c r="Z430" i="6"/>
  <c r="Q430" i="6"/>
  <c r="S430" i="6"/>
  <c r="AD430" i="6"/>
  <c r="Q435" i="6"/>
  <c r="L439" i="6"/>
  <c r="X439" i="6"/>
  <c r="Q441" i="6"/>
  <c r="W443" i="6"/>
  <c r="O443" i="6"/>
  <c r="Z443" i="6"/>
  <c r="Q443" i="6"/>
  <c r="AD443" i="6"/>
  <c r="U443" i="6"/>
  <c r="L443" i="6"/>
  <c r="T443" i="6"/>
  <c r="O445" i="6"/>
  <c r="R446" i="6"/>
  <c r="AD446" i="6"/>
  <c r="Q455" i="6"/>
  <c r="M439" i="6"/>
  <c r="Z439" i="6"/>
  <c r="AA441" i="6"/>
  <c r="S441" i="6"/>
  <c r="X441" i="6"/>
  <c r="O441" i="6"/>
  <c r="AC441" i="6"/>
  <c r="T441" i="6"/>
  <c r="R441" i="6"/>
  <c r="AC442" i="6"/>
  <c r="U442" i="6"/>
  <c r="M442" i="6"/>
  <c r="AD442" i="6"/>
  <c r="T442" i="6"/>
  <c r="Y442" i="6"/>
  <c r="P442" i="6"/>
  <c r="S442" i="6"/>
  <c r="W435" i="6"/>
  <c r="O435" i="6"/>
  <c r="X435" i="6"/>
  <c r="N435" i="6"/>
  <c r="AB435" i="6"/>
  <c r="S435" i="6"/>
  <c r="T435" i="6"/>
  <c r="N439" i="6"/>
  <c r="AA439" i="6"/>
  <c r="U441" i="6"/>
  <c r="V442" i="6"/>
  <c r="AC446" i="6"/>
  <c r="U446" i="6"/>
  <c r="M446" i="6"/>
  <c r="V446" i="6"/>
  <c r="L446" i="6"/>
  <c r="Z446" i="6"/>
  <c r="Q446" i="6"/>
  <c r="T446" i="6"/>
  <c r="Q461" i="6"/>
  <c r="Q415" i="6"/>
  <c r="Y415" i="6"/>
  <c r="Q419" i="6"/>
  <c r="Y419" i="6"/>
  <c r="L430" i="6"/>
  <c r="W430" i="6"/>
  <c r="U435" i="6"/>
  <c r="Q439" i="6"/>
  <c r="AB439" i="6"/>
  <c r="V441" i="6"/>
  <c r="W442" i="6"/>
  <c r="AA445" i="6"/>
  <c r="S445" i="6"/>
  <c r="Y445" i="6"/>
  <c r="P445" i="6"/>
  <c r="AD445" i="6"/>
  <c r="U445" i="6"/>
  <c r="L445" i="6"/>
  <c r="T445" i="6"/>
  <c r="W446" i="6"/>
  <c r="W455" i="6"/>
  <c r="O455" i="6"/>
  <c r="X455" i="6"/>
  <c r="N455" i="6"/>
  <c r="AC455" i="6"/>
  <c r="T455" i="6"/>
  <c r="AB455" i="6"/>
  <c r="S455" i="6"/>
  <c r="Y455" i="6"/>
  <c r="P455" i="6"/>
  <c r="V455" i="6"/>
  <c r="R415" i="6"/>
  <c r="R419" i="6"/>
  <c r="M423" i="6"/>
  <c r="V423" i="6"/>
  <c r="N430" i="6"/>
  <c r="X430" i="6"/>
  <c r="V435" i="6"/>
  <c r="R439" i="6"/>
  <c r="L441" i="6"/>
  <c r="W441" i="6"/>
  <c r="L442" i="6"/>
  <c r="X442" i="6"/>
  <c r="N443" i="6"/>
  <c r="AA443" i="6"/>
  <c r="V445" i="6"/>
  <c r="X446" i="6"/>
  <c r="Z455" i="6"/>
  <c r="W459" i="6"/>
  <c r="O459" i="6"/>
  <c r="Y459" i="6"/>
  <c r="P459" i="6"/>
  <c r="X459" i="6"/>
  <c r="N459" i="6"/>
  <c r="AD459" i="6"/>
  <c r="U459" i="6"/>
  <c r="L459" i="6"/>
  <c r="AC459" i="6"/>
  <c r="T459" i="6"/>
  <c r="AB459" i="6"/>
  <c r="S459" i="6"/>
  <c r="Z459" i="6"/>
  <c r="Q459" i="6"/>
  <c r="W439" i="6"/>
  <c r="O439" i="6"/>
  <c r="Y439" i="6"/>
  <c r="P439" i="6"/>
  <c r="AC439" i="6"/>
  <c r="T439" i="6"/>
  <c r="S439" i="6"/>
  <c r="M441" i="6"/>
  <c r="Y441" i="6"/>
  <c r="N442" i="6"/>
  <c r="Z442" i="6"/>
  <c r="N446" i="6"/>
  <c r="Y446" i="6"/>
  <c r="AA455" i="6"/>
  <c r="AA461" i="6"/>
  <c r="S461" i="6"/>
  <c r="X461" i="6"/>
  <c r="O461" i="6"/>
  <c r="W461" i="6"/>
  <c r="N461" i="6"/>
  <c r="V461" i="6"/>
  <c r="M461" i="6"/>
  <c r="AD461" i="6"/>
  <c r="U461" i="6"/>
  <c r="L461" i="6"/>
  <c r="AC461" i="6"/>
  <c r="T461" i="6"/>
  <c r="AB461" i="6"/>
  <c r="R461" i="6"/>
  <c r="Y461" i="6"/>
  <c r="P461" i="6"/>
  <c r="AC450" i="6"/>
  <c r="U450" i="6"/>
  <c r="M450" i="6"/>
  <c r="R450" i="6"/>
  <c r="AA450" i="6"/>
  <c r="N451" i="6"/>
  <c r="N453" i="6"/>
  <c r="S454" i="6"/>
  <c r="AB454" i="6"/>
  <c r="O457" i="6"/>
  <c r="T458" i="6"/>
  <c r="AD458" i="6"/>
  <c r="L462" i="6"/>
  <c r="V462" i="6"/>
  <c r="W463" i="6"/>
  <c r="O463" i="6"/>
  <c r="R463" i="6"/>
  <c r="AA463" i="6"/>
  <c r="AA465" i="6"/>
  <c r="S465" i="6"/>
  <c r="Q465" i="6"/>
  <c r="Z465" i="6"/>
  <c r="T467" i="6"/>
  <c r="AD467" i="6"/>
  <c r="L469" i="6"/>
  <c r="Y469" i="6"/>
  <c r="P471" i="6"/>
  <c r="X473" i="6"/>
  <c r="M476" i="6"/>
  <c r="Z476" i="6"/>
  <c r="X478" i="6"/>
  <c r="N476" i="6"/>
  <c r="AC476" i="6"/>
  <c r="AA480" i="6"/>
  <c r="S480" i="6"/>
  <c r="V480" i="6"/>
  <c r="M480" i="6"/>
  <c r="AD480" i="6"/>
  <c r="U480" i="6"/>
  <c r="L480" i="6"/>
  <c r="AC480" i="6"/>
  <c r="T480" i="6"/>
  <c r="Y480" i="6"/>
  <c r="P480" i="6"/>
  <c r="X480" i="6"/>
  <c r="W490" i="6"/>
  <c r="O490" i="6"/>
  <c r="AB490" i="6"/>
  <c r="S490" i="6"/>
  <c r="Z490" i="6"/>
  <c r="Q490" i="6"/>
  <c r="Y490" i="6"/>
  <c r="P490" i="6"/>
  <c r="X490" i="6"/>
  <c r="N490" i="6"/>
  <c r="V490" i="6"/>
  <c r="AD490" i="6"/>
  <c r="U490" i="6"/>
  <c r="L490" i="6"/>
  <c r="AC490" i="6"/>
  <c r="T490" i="6"/>
  <c r="AA457" i="6"/>
  <c r="S457" i="6"/>
  <c r="Q457" i="6"/>
  <c r="Z457" i="6"/>
  <c r="O462" i="6"/>
  <c r="X462" i="6"/>
  <c r="O469" i="6"/>
  <c r="AB469" i="6"/>
  <c r="M473" i="6"/>
  <c r="AA473" i="6"/>
  <c r="P476" i="6"/>
  <c r="AC477" i="6"/>
  <c r="U477" i="6"/>
  <c r="M477" i="6"/>
  <c r="Z477" i="6"/>
  <c r="Q477" i="6"/>
  <c r="X477" i="6"/>
  <c r="O477" i="6"/>
  <c r="AD477" i="6"/>
  <c r="T477" i="6"/>
  <c r="V477" i="6"/>
  <c r="Z480" i="6"/>
  <c r="W451" i="6"/>
  <c r="O451" i="6"/>
  <c r="R451" i="6"/>
  <c r="AA451" i="6"/>
  <c r="AA453" i="6"/>
  <c r="S453" i="6"/>
  <c r="Q453" i="6"/>
  <c r="Z453" i="6"/>
  <c r="N454" i="6"/>
  <c r="W454" i="6"/>
  <c r="R457" i="6"/>
  <c r="AB457" i="6"/>
  <c r="O458" i="6"/>
  <c r="X458" i="6"/>
  <c r="P462" i="6"/>
  <c r="Y462" i="6"/>
  <c r="M467" i="6"/>
  <c r="X467" i="6"/>
  <c r="Q469" i="6"/>
  <c r="AC469" i="6"/>
  <c r="AB471" i="6"/>
  <c r="T471" i="6"/>
  <c r="L471" i="6"/>
  <c r="Z471" i="6"/>
  <c r="R471" i="6"/>
  <c r="W471" i="6"/>
  <c r="O471" i="6"/>
  <c r="U471" i="6"/>
  <c r="O473" i="6"/>
  <c r="AD473" i="6"/>
  <c r="Q476" i="6"/>
  <c r="W477" i="6"/>
  <c r="N478" i="6"/>
  <c r="AB478" i="6"/>
  <c r="AB480" i="6"/>
  <c r="AA492" i="6"/>
  <c r="S492" i="6"/>
  <c r="AB492" i="6"/>
  <c r="R492" i="6"/>
  <c r="Y492" i="6"/>
  <c r="P492" i="6"/>
  <c r="X492" i="6"/>
  <c r="O492" i="6"/>
  <c r="W492" i="6"/>
  <c r="N492" i="6"/>
  <c r="V492" i="6"/>
  <c r="M492" i="6"/>
  <c r="AD492" i="6"/>
  <c r="U492" i="6"/>
  <c r="L492" i="6"/>
  <c r="AC492" i="6"/>
  <c r="T492" i="6"/>
  <c r="AC434" i="6"/>
  <c r="U434" i="6"/>
  <c r="M434" i="6"/>
  <c r="R434" i="6"/>
  <c r="AA434" i="6"/>
  <c r="W447" i="6"/>
  <c r="O447" i="6"/>
  <c r="R447" i="6"/>
  <c r="AA447" i="6"/>
  <c r="AA449" i="6"/>
  <c r="S449" i="6"/>
  <c r="Q449" i="6"/>
  <c r="Z449" i="6"/>
  <c r="N450" i="6"/>
  <c r="W450" i="6"/>
  <c r="S451" i="6"/>
  <c r="AB451" i="6"/>
  <c r="R453" i="6"/>
  <c r="AB453" i="6"/>
  <c r="O454" i="6"/>
  <c r="T457" i="6"/>
  <c r="AC457" i="6"/>
  <c r="P458" i="6"/>
  <c r="Q462" i="6"/>
  <c r="M463" i="6"/>
  <c r="V463" i="6"/>
  <c r="M465" i="6"/>
  <c r="V465" i="6"/>
  <c r="AC466" i="6"/>
  <c r="U466" i="6"/>
  <c r="M466" i="6"/>
  <c r="R466" i="6"/>
  <c r="AA466" i="6"/>
  <c r="N467" i="6"/>
  <c r="Z470" i="6"/>
  <c r="R470" i="6"/>
  <c r="X470" i="6"/>
  <c r="P470" i="6"/>
  <c r="AC470" i="6"/>
  <c r="U470" i="6"/>
  <c r="M470" i="6"/>
  <c r="T470" i="6"/>
  <c r="V471" i="6"/>
  <c r="W474" i="6"/>
  <c r="O474" i="6"/>
  <c r="AD474" i="6"/>
  <c r="U474" i="6"/>
  <c r="L474" i="6"/>
  <c r="AB474" i="6"/>
  <c r="S474" i="6"/>
  <c r="Y474" i="6"/>
  <c r="P474" i="6"/>
  <c r="V474" i="6"/>
  <c r="Y477" i="6"/>
  <c r="P478" i="6"/>
  <c r="N480" i="6"/>
  <c r="W486" i="6"/>
  <c r="O486" i="6"/>
  <c r="Y486" i="6"/>
  <c r="P486" i="6"/>
  <c r="X486" i="6"/>
  <c r="N486" i="6"/>
  <c r="V486" i="6"/>
  <c r="M486" i="6"/>
  <c r="AC486" i="6"/>
  <c r="T486" i="6"/>
  <c r="AB486" i="6"/>
  <c r="S486" i="6"/>
  <c r="AA486" i="6"/>
  <c r="M490" i="6"/>
  <c r="AC462" i="6"/>
  <c r="U462" i="6"/>
  <c r="M462" i="6"/>
  <c r="R462" i="6"/>
  <c r="AA462" i="6"/>
  <c r="X469" i="6"/>
  <c r="P469" i="6"/>
  <c r="AD469" i="6"/>
  <c r="V469" i="6"/>
  <c r="N469" i="6"/>
  <c r="AA469" i="6"/>
  <c r="S469" i="6"/>
  <c r="T469" i="6"/>
  <c r="AA476" i="6"/>
  <c r="S476" i="6"/>
  <c r="AD476" i="6"/>
  <c r="U476" i="6"/>
  <c r="L476" i="6"/>
  <c r="AB476" i="6"/>
  <c r="R476" i="6"/>
  <c r="X476" i="6"/>
  <c r="O476" i="6"/>
  <c r="V476" i="6"/>
  <c r="M457" i="6"/>
  <c r="V457" i="6"/>
  <c r="AC458" i="6"/>
  <c r="U458" i="6"/>
  <c r="M458" i="6"/>
  <c r="R458" i="6"/>
  <c r="AA458" i="6"/>
  <c r="S462" i="6"/>
  <c r="AB462" i="6"/>
  <c r="U469" i="6"/>
  <c r="AC473" i="6"/>
  <c r="U473" i="6"/>
  <c r="Y473" i="6"/>
  <c r="P473" i="6"/>
  <c r="W473" i="6"/>
  <c r="N473" i="6"/>
  <c r="AB473" i="6"/>
  <c r="S473" i="6"/>
  <c r="T473" i="6"/>
  <c r="W476" i="6"/>
  <c r="Q480" i="6"/>
  <c r="AC454" i="6"/>
  <c r="U454" i="6"/>
  <c r="M454" i="6"/>
  <c r="R454" i="6"/>
  <c r="AA454" i="6"/>
  <c r="N457" i="6"/>
  <c r="W457" i="6"/>
  <c r="S458" i="6"/>
  <c r="AB458" i="6"/>
  <c r="T462" i="6"/>
  <c r="AD462" i="6"/>
  <c r="Z467" i="6"/>
  <c r="R467" i="6"/>
  <c r="W467" i="6"/>
  <c r="O467" i="6"/>
  <c r="S467" i="6"/>
  <c r="AC467" i="6"/>
  <c r="W469" i="6"/>
  <c r="V473" i="6"/>
  <c r="Y476" i="6"/>
  <c r="P477" i="6"/>
  <c r="W478" i="6"/>
  <c r="O478" i="6"/>
  <c r="V478" i="6"/>
  <c r="M478" i="6"/>
  <c r="AC478" i="6"/>
  <c r="T478" i="6"/>
  <c r="Z478" i="6"/>
  <c r="Q478" i="6"/>
  <c r="U478" i="6"/>
  <c r="R480" i="6"/>
  <c r="Z492" i="6"/>
  <c r="Q424" i="6"/>
  <c r="AE424" i="6" s="1"/>
  <c r="Q428" i="6"/>
  <c r="AE428" i="6" s="1"/>
  <c r="AF428" i="6" s="1"/>
  <c r="Q432" i="6"/>
  <c r="AE432" i="6" s="1"/>
  <c r="AG432" i="6" s="1"/>
  <c r="Q436" i="6"/>
  <c r="AE436" i="6" s="1"/>
  <c r="AG436" i="6" s="1"/>
  <c r="Q440" i="6"/>
  <c r="AE440" i="6" s="1"/>
  <c r="AG440" i="6" s="1"/>
  <c r="Q444" i="6"/>
  <c r="AE444" i="6" s="1"/>
  <c r="AG444" i="6" s="1"/>
  <c r="Q448" i="6"/>
  <c r="AE448" i="6" s="1"/>
  <c r="Q452" i="6"/>
  <c r="AE452" i="6" s="1"/>
  <c r="AF452" i="6" s="1"/>
  <c r="Q456" i="6"/>
  <c r="AE456" i="6" s="1"/>
  <c r="Q460" i="6"/>
  <c r="AE460" i="6" s="1"/>
  <c r="AF460" i="6" s="1"/>
  <c r="Q464" i="6"/>
  <c r="AE464" i="6" s="1"/>
  <c r="AG464" i="6" s="1"/>
  <c r="Q468" i="6"/>
  <c r="AE468" i="6" s="1"/>
  <c r="AF468" i="6" s="1"/>
  <c r="Q472" i="6"/>
  <c r="AE472" i="6" s="1"/>
  <c r="AG472" i="6" s="1"/>
  <c r="L481" i="6"/>
  <c r="V481" i="6"/>
  <c r="W482" i="6"/>
  <c r="O482" i="6"/>
  <c r="R482" i="6"/>
  <c r="AA482" i="6"/>
  <c r="AA484" i="6"/>
  <c r="S484" i="6"/>
  <c r="Q484" i="6"/>
  <c r="Z484" i="6"/>
  <c r="N485" i="6"/>
  <c r="W485" i="6"/>
  <c r="R488" i="6"/>
  <c r="AB488" i="6"/>
  <c r="O489" i="6"/>
  <c r="P493" i="6"/>
  <c r="Y493" i="6"/>
  <c r="L494" i="6"/>
  <c r="U494" i="6"/>
  <c r="AD494" i="6"/>
  <c r="L496" i="6"/>
  <c r="U496" i="6"/>
  <c r="AD496" i="6"/>
  <c r="Q497" i="6"/>
  <c r="M498" i="6"/>
  <c r="V498" i="6"/>
  <c r="M500" i="6"/>
  <c r="X500" i="6"/>
  <c r="T502" i="6"/>
  <c r="AD502" i="6"/>
  <c r="L504" i="6"/>
  <c r="V504" i="6"/>
  <c r="AA506" i="6"/>
  <c r="S506" i="6"/>
  <c r="W506" i="6"/>
  <c r="O506" i="6"/>
  <c r="R506" i="6"/>
  <c r="AC506" i="6"/>
  <c r="M508" i="6"/>
  <c r="X508" i="6"/>
  <c r="T510" i="6"/>
  <c r="AD510" i="6"/>
  <c r="T488" i="6"/>
  <c r="AC488" i="6"/>
  <c r="Q493" i="6"/>
  <c r="AC497" i="6"/>
  <c r="U497" i="6"/>
  <c r="M497" i="6"/>
  <c r="R497" i="6"/>
  <c r="AA497" i="6"/>
  <c r="N498" i="6"/>
  <c r="X498" i="6"/>
  <c r="N500" i="6"/>
  <c r="Y500" i="6"/>
  <c r="U502" i="6"/>
  <c r="M504" i="6"/>
  <c r="X504" i="6"/>
  <c r="N508" i="6"/>
  <c r="Y508" i="6"/>
  <c r="U510" i="6"/>
  <c r="AC493" i="6"/>
  <c r="U493" i="6"/>
  <c r="M493" i="6"/>
  <c r="R493" i="6"/>
  <c r="AA493" i="6"/>
  <c r="P508" i="6"/>
  <c r="Z508" i="6"/>
  <c r="L510" i="6"/>
  <c r="V510" i="6"/>
  <c r="P481" i="6"/>
  <c r="Q485" i="6"/>
  <c r="M488" i="6"/>
  <c r="V488" i="6"/>
  <c r="AC489" i="6"/>
  <c r="U489" i="6"/>
  <c r="M489" i="6"/>
  <c r="R489" i="6"/>
  <c r="AA489" i="6"/>
  <c r="S493" i="6"/>
  <c r="AB493" i="6"/>
  <c r="P494" i="6"/>
  <c r="O496" i="6"/>
  <c r="T497" i="6"/>
  <c r="AD497" i="6"/>
  <c r="Q498" i="6"/>
  <c r="Q500" i="6"/>
  <c r="M502" i="6"/>
  <c r="X502" i="6"/>
  <c r="P504" i="6"/>
  <c r="Q508" i="6"/>
  <c r="M510" i="6"/>
  <c r="X510" i="6"/>
  <c r="AC485" i="6"/>
  <c r="U485" i="6"/>
  <c r="M485" i="6"/>
  <c r="R485" i="6"/>
  <c r="AA485" i="6"/>
  <c r="N488" i="6"/>
  <c r="W488" i="6"/>
  <c r="T493" i="6"/>
  <c r="AD493" i="6"/>
  <c r="W498" i="6"/>
  <c r="O498" i="6"/>
  <c r="R498" i="6"/>
  <c r="AA498" i="6"/>
  <c r="W500" i="6"/>
  <c r="O500" i="6"/>
  <c r="AA500" i="6"/>
  <c r="S500" i="6"/>
  <c r="R500" i="6"/>
  <c r="AC500" i="6"/>
  <c r="N502" i="6"/>
  <c r="Y502" i="6"/>
  <c r="W508" i="6"/>
  <c r="O508" i="6"/>
  <c r="AA508" i="6"/>
  <c r="S508" i="6"/>
  <c r="R508" i="6"/>
  <c r="AC508" i="6"/>
  <c r="AC481" i="6"/>
  <c r="U481" i="6"/>
  <c r="M481" i="6"/>
  <c r="R481" i="6"/>
  <c r="AA481" i="6"/>
  <c r="S485" i="6"/>
  <c r="AB485" i="6"/>
  <c r="O488" i="6"/>
  <c r="L493" i="6"/>
  <c r="V493" i="6"/>
  <c r="W494" i="6"/>
  <c r="O494" i="6"/>
  <c r="R494" i="6"/>
  <c r="AA494" i="6"/>
  <c r="AA496" i="6"/>
  <c r="S496" i="6"/>
  <c r="Q496" i="6"/>
  <c r="Z496" i="6"/>
  <c r="N497" i="6"/>
  <c r="W497" i="6"/>
  <c r="S498" i="6"/>
  <c r="AB498" i="6"/>
  <c r="T500" i="6"/>
  <c r="AD500" i="6"/>
  <c r="P502" i="6"/>
  <c r="W504" i="6"/>
  <c r="O504" i="6"/>
  <c r="AA504" i="6"/>
  <c r="S504" i="6"/>
  <c r="R504" i="6"/>
  <c r="AC504" i="6"/>
  <c r="T508" i="6"/>
  <c r="AD508" i="6"/>
  <c r="P510" i="6"/>
  <c r="AA488" i="6"/>
  <c r="S488" i="6"/>
  <c r="Q488" i="6"/>
  <c r="Z488" i="6"/>
  <c r="O493" i="6"/>
  <c r="X493" i="6"/>
  <c r="AA502" i="6"/>
  <c r="S502" i="6"/>
  <c r="W502" i="6"/>
  <c r="O502" i="6"/>
  <c r="R502" i="6"/>
  <c r="AC502" i="6"/>
  <c r="L508" i="6"/>
  <c r="V508" i="6"/>
  <c r="AA510" i="6"/>
  <c r="S510" i="6"/>
  <c r="W510" i="6"/>
  <c r="O510" i="6"/>
  <c r="R510" i="6"/>
  <c r="AC510" i="6"/>
  <c r="Q475" i="6"/>
  <c r="AE475" i="6" s="1"/>
  <c r="AG475" i="6" s="1"/>
  <c r="Q479" i="6"/>
  <c r="AE479" i="6" s="1"/>
  <c r="AG479" i="6" s="1"/>
  <c r="Q483" i="6"/>
  <c r="AE483" i="6" s="1"/>
  <c r="AF483" i="6" s="1"/>
  <c r="Q487" i="6"/>
  <c r="AE487" i="6" s="1"/>
  <c r="AG487" i="6" s="1"/>
  <c r="Q491" i="6"/>
  <c r="AE491" i="6" s="1"/>
  <c r="AF491" i="6" s="1"/>
  <c r="Q495" i="6"/>
  <c r="AE495" i="6" s="1"/>
  <c r="AF495" i="6" s="1"/>
  <c r="Q499" i="6"/>
  <c r="AE499" i="6" s="1"/>
  <c r="AG499" i="6" s="1"/>
  <c r="M501" i="6"/>
  <c r="U501" i="6"/>
  <c r="AC501" i="6"/>
  <c r="Q503" i="6"/>
  <c r="AE503" i="6" s="1"/>
  <c r="AF503" i="6" s="1"/>
  <c r="M505" i="6"/>
  <c r="U505" i="6"/>
  <c r="AC505" i="6"/>
  <c r="Q507" i="6"/>
  <c r="Y507" i="6"/>
  <c r="M509" i="6"/>
  <c r="U509" i="6"/>
  <c r="AC509" i="6"/>
  <c r="Q501" i="6"/>
  <c r="Q505" i="6"/>
  <c r="U507" i="6"/>
  <c r="Q509" i="6"/>
  <c r="AE14" i="6"/>
  <c r="AG14" i="6" s="1"/>
  <c r="BL14" i="6" s="1"/>
  <c r="AE56" i="6"/>
  <c r="AG56" i="6" s="1"/>
  <c r="BL56" i="6" s="1"/>
  <c r="BD120" i="6"/>
  <c r="BE120" i="6" s="1"/>
  <c r="BD93" i="6"/>
  <c r="BE93" i="6" s="1"/>
  <c r="BD55" i="6"/>
  <c r="BT55" i="6" s="1"/>
  <c r="BU55" i="6" s="1"/>
  <c r="AE51" i="6"/>
  <c r="AG51" i="6" s="1"/>
  <c r="BL51" i="6" s="1"/>
  <c r="AE55" i="6"/>
  <c r="AG55" i="6" s="1"/>
  <c r="BL55" i="6" s="1"/>
  <c r="AE61" i="6"/>
  <c r="AG61" i="6" s="1"/>
  <c r="BL61" i="6" s="1"/>
  <c r="AE63" i="6"/>
  <c r="AF63" i="6" s="1"/>
  <c r="AE65" i="6"/>
  <c r="AG65" i="6" s="1"/>
  <c r="BL65" i="6" s="1"/>
  <c r="BD24" i="6"/>
  <c r="BE24" i="6" s="1"/>
  <c r="AE32" i="6"/>
  <c r="AF32" i="6" s="1"/>
  <c r="BD108" i="6"/>
  <c r="BE108" i="6" s="1"/>
  <c r="AE121" i="6"/>
  <c r="AG121" i="6" s="1"/>
  <c r="BL121" i="6" s="1"/>
  <c r="BD28" i="6"/>
  <c r="BT28" i="6" s="1"/>
  <c r="BU28" i="6" s="1"/>
  <c r="AE30" i="6"/>
  <c r="AG30" i="6" s="1"/>
  <c r="BL30" i="6" s="1"/>
  <c r="BD124" i="6"/>
  <c r="BE124" i="6" s="1"/>
  <c r="AE137" i="6"/>
  <c r="AG137" i="6" s="1"/>
  <c r="BL137" i="6" s="1"/>
  <c r="AE143" i="6"/>
  <c r="AG143" i="6" s="1"/>
  <c r="BL143" i="6" s="1"/>
  <c r="AE151" i="6"/>
  <c r="AG151" i="6" s="1"/>
  <c r="BL151" i="6" s="1"/>
  <c r="AE150" i="6"/>
  <c r="AG150" i="6" s="1"/>
  <c r="BL150" i="6" s="1"/>
  <c r="AE113" i="6"/>
  <c r="BD153" i="6"/>
  <c r="BE153" i="6" s="1"/>
  <c r="BD196" i="6"/>
  <c r="BE196" i="6" s="1"/>
  <c r="BD272" i="6"/>
  <c r="BF272" i="6" s="1"/>
  <c r="AE47" i="6"/>
  <c r="AE49" i="6"/>
  <c r="AE5" i="6"/>
  <c r="AE45" i="6"/>
  <c r="AE116" i="6"/>
  <c r="BD127" i="6"/>
  <c r="AE132" i="6"/>
  <c r="AE222" i="6"/>
  <c r="AE156" i="6" l="1"/>
  <c r="AF156" i="6" s="1"/>
  <c r="BD78" i="6"/>
  <c r="BT78" i="6" s="1"/>
  <c r="BU78" i="6" s="1"/>
  <c r="AE272" i="6"/>
  <c r="AG272" i="6" s="1"/>
  <c r="AE135" i="6"/>
  <c r="AG135" i="6" s="1"/>
  <c r="BL135" i="6" s="1"/>
  <c r="BD101" i="6"/>
  <c r="BE101" i="6" s="1"/>
  <c r="AE140" i="6"/>
  <c r="AG140" i="6" s="1"/>
  <c r="BL140" i="6" s="1"/>
  <c r="BD129" i="6"/>
  <c r="BT129" i="6" s="1"/>
  <c r="BU129" i="6" s="1"/>
  <c r="AE146" i="6"/>
  <c r="AF146" i="6" s="1"/>
  <c r="AE138" i="6"/>
  <c r="AG138" i="6" s="1"/>
  <c r="BL138" i="6" s="1"/>
  <c r="BD97" i="6"/>
  <c r="BT97" i="6" s="1"/>
  <c r="BU97" i="6" s="1"/>
  <c r="BD81" i="6"/>
  <c r="BE81" i="6" s="1"/>
  <c r="BD80" i="6"/>
  <c r="BE80" i="6" s="1"/>
  <c r="AE77" i="6"/>
  <c r="AG77" i="6" s="1"/>
  <c r="BL77" i="6" s="1"/>
  <c r="BD60" i="6"/>
  <c r="BT60" i="6" s="1"/>
  <c r="BU60" i="6" s="1"/>
  <c r="AE34" i="6"/>
  <c r="AF34" i="6" s="1"/>
  <c r="BD236" i="6"/>
  <c r="BE236" i="6" s="1"/>
  <c r="BD157" i="6"/>
  <c r="BE157" i="6" s="1"/>
  <c r="BD136" i="6"/>
  <c r="BT136" i="6" s="1"/>
  <c r="BU136" i="6" s="1"/>
  <c r="BD130" i="6"/>
  <c r="BT130" i="6" s="1"/>
  <c r="BU130" i="6" s="1"/>
  <c r="BD114" i="6"/>
  <c r="BT114" i="6" s="1"/>
  <c r="BU114" i="6" s="1"/>
  <c r="BD26" i="6"/>
  <c r="BT26" i="6" s="1"/>
  <c r="BU26" i="6" s="1"/>
  <c r="BD254" i="6"/>
  <c r="BE254" i="6" s="1"/>
  <c r="BD138" i="6"/>
  <c r="BD306" i="6"/>
  <c r="BF306" i="6" s="1"/>
  <c r="AE189" i="6"/>
  <c r="AG189" i="6" s="1"/>
  <c r="AE172" i="6"/>
  <c r="AF172" i="6" s="1"/>
  <c r="AE157" i="6"/>
  <c r="AG157" i="6" s="1"/>
  <c r="BL157" i="6" s="1"/>
  <c r="AE155" i="6"/>
  <c r="AG155" i="6" s="1"/>
  <c r="BL155" i="6" s="1"/>
  <c r="AE136" i="6"/>
  <c r="AE134" i="6"/>
  <c r="AG134" i="6" s="1"/>
  <c r="BL134" i="6" s="1"/>
  <c r="AE153" i="6"/>
  <c r="AG153" i="6" s="1"/>
  <c r="BL153" i="6" s="1"/>
  <c r="AE108" i="6"/>
  <c r="AG108" i="6" s="1"/>
  <c r="BL108" i="6" s="1"/>
  <c r="AE100" i="6"/>
  <c r="AG100" i="6" s="1"/>
  <c r="BL100" i="6" s="1"/>
  <c r="BD115" i="6"/>
  <c r="BE115" i="6" s="1"/>
  <c r="AE80" i="6"/>
  <c r="AF80" i="6" s="1"/>
  <c r="AE92" i="6"/>
  <c r="AG92" i="6" s="1"/>
  <c r="BL92" i="6" s="1"/>
  <c r="AE66" i="6"/>
  <c r="AG66" i="6" s="1"/>
  <c r="BL66" i="6" s="1"/>
  <c r="BD65" i="6"/>
  <c r="BT65" i="6" s="1"/>
  <c r="BU65" i="6" s="1"/>
  <c r="BD64" i="6"/>
  <c r="BT64" i="6" s="1"/>
  <c r="BU64" i="6" s="1"/>
  <c r="BD59" i="6"/>
  <c r="BT59" i="6" s="1"/>
  <c r="BU59" i="6" s="1"/>
  <c r="BD45" i="6"/>
  <c r="BE45" i="6" s="1"/>
  <c r="BD41" i="6"/>
  <c r="BE41" i="6" s="1"/>
  <c r="BD31" i="6"/>
  <c r="BE31" i="6" s="1"/>
  <c r="BD54" i="6"/>
  <c r="BE54" i="6" s="1"/>
  <c r="BD18" i="6"/>
  <c r="BT18" i="6" s="1"/>
  <c r="BU18" i="6" s="1"/>
  <c r="BD10" i="6"/>
  <c r="BE10" i="6" s="1"/>
  <c r="AE8" i="6"/>
  <c r="AF8" i="6" s="1"/>
  <c r="AE298" i="6"/>
  <c r="AF298" i="6" s="1"/>
  <c r="AE168" i="6"/>
  <c r="AG168" i="6" s="1"/>
  <c r="AE173" i="6"/>
  <c r="AF173" i="6" s="1"/>
  <c r="AE141" i="6"/>
  <c r="AG141" i="6" s="1"/>
  <c r="BL141" i="6" s="1"/>
  <c r="AE133" i="6"/>
  <c r="BD133" i="6"/>
  <c r="BT133" i="6" s="1"/>
  <c r="BU133" i="6" s="1"/>
  <c r="AE114" i="6"/>
  <c r="AG114" i="6" s="1"/>
  <c r="BL114" i="6" s="1"/>
  <c r="AE104" i="6"/>
  <c r="AE87" i="6"/>
  <c r="AG87" i="6" s="1"/>
  <c r="BL87" i="6" s="1"/>
  <c r="AE79" i="6"/>
  <c r="AG79" i="6" s="1"/>
  <c r="BL79" i="6" s="1"/>
  <c r="AE75" i="6"/>
  <c r="AF75" i="6" s="1"/>
  <c r="AE82" i="6"/>
  <c r="AF82" i="6" s="1"/>
  <c r="BD34" i="6"/>
  <c r="BE34" i="6" s="1"/>
  <c r="AE184" i="6"/>
  <c r="AG184" i="6" s="1"/>
  <c r="AE202" i="6"/>
  <c r="AF202" i="6" s="1"/>
  <c r="AE170" i="6"/>
  <c r="AE118" i="6"/>
  <c r="AG118" i="6" s="1"/>
  <c r="BL118" i="6" s="1"/>
  <c r="AE115" i="6"/>
  <c r="AF115" i="6" s="1"/>
  <c r="AE98" i="6"/>
  <c r="AG98" i="6" s="1"/>
  <c r="BL98" i="6" s="1"/>
  <c r="AE112" i="6"/>
  <c r="AG112" i="6" s="1"/>
  <c r="BL112" i="6" s="1"/>
  <c r="AE81" i="6"/>
  <c r="AG81" i="6" s="1"/>
  <c r="BL81" i="6" s="1"/>
  <c r="AE88" i="6"/>
  <c r="AF88" i="6" s="1"/>
  <c r="BD61" i="6"/>
  <c r="BT61" i="6" s="1"/>
  <c r="BU61" i="6" s="1"/>
  <c r="BD63" i="6"/>
  <c r="BT63" i="6" s="1"/>
  <c r="BU63" i="6" s="1"/>
  <c r="BD56" i="6"/>
  <c r="BE56" i="6" s="1"/>
  <c r="AE44" i="6"/>
  <c r="AG44" i="6" s="1"/>
  <c r="BL44" i="6" s="1"/>
  <c r="AE73" i="6"/>
  <c r="AG73" i="6" s="1"/>
  <c r="BL73" i="6" s="1"/>
  <c r="BD67" i="6"/>
  <c r="BT67" i="6" s="1"/>
  <c r="BU67" i="6" s="1"/>
  <c r="AE39" i="6"/>
  <c r="AF39" i="6" s="1"/>
  <c r="AE50" i="6"/>
  <c r="BD35" i="6"/>
  <c r="BE35" i="6" s="1"/>
  <c r="BD32" i="6"/>
  <c r="BT32" i="6" s="1"/>
  <c r="BU32" i="6" s="1"/>
  <c r="AE58" i="6"/>
  <c r="AG58" i="6" s="1"/>
  <c r="BL58" i="6" s="1"/>
  <c r="BD39" i="6"/>
  <c r="BT39" i="6" s="1"/>
  <c r="BU39" i="6" s="1"/>
  <c r="AE36" i="6"/>
  <c r="AG36" i="6" s="1"/>
  <c r="BL36" i="6" s="1"/>
  <c r="BD30" i="6"/>
  <c r="BE30" i="6" s="1"/>
  <c r="AE28" i="6"/>
  <c r="AG28" i="6" s="1"/>
  <c r="BL28" i="6" s="1"/>
  <c r="AE21" i="6"/>
  <c r="AG21" i="6" s="1"/>
  <c r="BL21" i="6" s="1"/>
  <c r="AE19" i="6"/>
  <c r="AG19" i="6" s="1"/>
  <c r="BL19" i="6" s="1"/>
  <c r="BD15" i="6"/>
  <c r="BE15" i="6" s="1"/>
  <c r="BD8" i="6"/>
  <c r="BT8" i="6" s="1"/>
  <c r="BU8" i="6" s="1"/>
  <c r="BD21" i="6"/>
  <c r="BE21" i="6" s="1"/>
  <c r="BD17" i="6"/>
  <c r="BE17" i="6" s="1"/>
  <c r="BD11" i="6"/>
  <c r="BE11" i="6" s="1"/>
  <c r="AE9" i="6"/>
  <c r="AF9" i="6" s="1"/>
  <c r="BD180" i="6"/>
  <c r="BE180" i="6" s="1"/>
  <c r="BD147" i="6"/>
  <c r="BE147" i="6" s="1"/>
  <c r="BD212" i="6"/>
  <c r="BE212" i="6" s="1"/>
  <c r="BD164" i="6"/>
  <c r="BE164" i="6" s="1"/>
  <c r="BD116" i="6"/>
  <c r="BE116" i="6" s="1"/>
  <c r="BD106" i="6"/>
  <c r="BE106" i="6" s="1"/>
  <c r="BD149" i="6"/>
  <c r="BE149" i="6" s="1"/>
  <c r="BD125" i="6"/>
  <c r="BT125" i="6" s="1"/>
  <c r="BU125" i="6" s="1"/>
  <c r="BD122" i="6"/>
  <c r="BD112" i="6"/>
  <c r="BE112" i="6" s="1"/>
  <c r="BD104" i="6"/>
  <c r="BE104" i="6" s="1"/>
  <c r="BD96" i="6"/>
  <c r="BT96" i="6" s="1"/>
  <c r="BU96" i="6" s="1"/>
  <c r="BD126" i="6"/>
  <c r="BT126" i="6" s="1"/>
  <c r="BU126" i="6" s="1"/>
  <c r="BD38" i="6"/>
  <c r="BT38" i="6" s="1"/>
  <c r="BU38" i="6" s="1"/>
  <c r="BD12" i="6"/>
  <c r="BT12" i="6" s="1"/>
  <c r="BU12" i="6" s="1"/>
  <c r="BD102" i="6"/>
  <c r="BE102" i="6" s="1"/>
  <c r="BD100" i="6"/>
  <c r="BT100" i="6" s="1"/>
  <c r="BU100" i="6" s="1"/>
  <c r="BD73" i="6"/>
  <c r="BT73" i="6" s="1"/>
  <c r="BU73" i="6" s="1"/>
  <c r="BW23" i="6" s="1"/>
  <c r="BD47" i="6"/>
  <c r="BT47" i="6" s="1"/>
  <c r="BU47" i="6" s="1"/>
  <c r="BD23" i="6"/>
  <c r="BT23" i="6" s="1"/>
  <c r="BU23" i="6" s="1"/>
  <c r="BD85" i="6"/>
  <c r="BE85" i="6" s="1"/>
  <c r="BD57" i="6"/>
  <c r="BT57" i="6" s="1"/>
  <c r="BU57" i="6" s="1"/>
  <c r="BD98" i="6"/>
  <c r="BT98" i="6" s="1"/>
  <c r="BU98" i="6" s="1"/>
  <c r="BD94" i="6"/>
  <c r="BT94" i="6" s="1"/>
  <c r="BU94" i="6" s="1"/>
  <c r="AE374" i="6"/>
  <c r="AE294" i="6"/>
  <c r="AF294" i="6" s="1"/>
  <c r="BD246" i="6"/>
  <c r="BE246" i="6" s="1"/>
  <c r="AE259" i="6"/>
  <c r="AG259" i="6" s="1"/>
  <c r="AE250" i="6"/>
  <c r="AF250" i="6" s="1"/>
  <c r="AE212" i="6"/>
  <c r="AF212" i="6" s="1"/>
  <c r="AE180" i="6"/>
  <c r="AF180" i="6" s="1"/>
  <c r="BD188" i="6"/>
  <c r="BE188" i="6" s="1"/>
  <c r="AE297" i="6"/>
  <c r="AE361" i="6"/>
  <c r="AG361" i="6" s="1"/>
  <c r="AE354" i="6"/>
  <c r="AG354" i="6" s="1"/>
  <c r="AE322" i="6"/>
  <c r="AG322" i="6" s="1"/>
  <c r="AE287" i="6"/>
  <c r="AG287" i="6" s="1"/>
  <c r="AE278" i="6"/>
  <c r="AF278" i="6" s="1"/>
  <c r="AE313" i="6"/>
  <c r="AG313" i="6" s="1"/>
  <c r="BD301" i="6"/>
  <c r="AE284" i="6"/>
  <c r="AE276" i="6"/>
  <c r="AF276" i="6" s="1"/>
  <c r="AE282" i="6"/>
  <c r="AF282" i="6" s="1"/>
  <c r="BD276" i="6"/>
  <c r="BF276" i="6" s="1"/>
  <c r="BD302" i="6"/>
  <c r="BF302" i="6" s="1"/>
  <c r="AE281" i="6"/>
  <c r="AF281" i="6" s="1"/>
  <c r="AE271" i="6"/>
  <c r="AG271" i="6" s="1"/>
  <c r="AE244" i="6"/>
  <c r="AF244" i="6" s="1"/>
  <c r="AE233" i="6"/>
  <c r="BD235" i="6"/>
  <c r="BE235" i="6" s="1"/>
  <c r="AE194" i="6"/>
  <c r="AF194" i="6" s="1"/>
  <c r="AE270" i="6"/>
  <c r="AG270" i="6" s="1"/>
  <c r="BD281" i="6"/>
  <c r="BE281" i="6" s="1"/>
  <c r="AE247" i="6"/>
  <c r="AG247" i="6" s="1"/>
  <c r="AE199" i="6"/>
  <c r="AG199" i="6" s="1"/>
  <c r="AE232" i="6"/>
  <c r="AF232" i="6" s="1"/>
  <c r="AE192" i="6"/>
  <c r="AF192" i="6" s="1"/>
  <c r="AE200" i="6"/>
  <c r="AF200" i="6" s="1"/>
  <c r="AE164" i="6"/>
  <c r="AE447" i="6"/>
  <c r="AF447" i="6" s="1"/>
  <c r="AE378" i="6"/>
  <c r="AF378" i="6" s="1"/>
  <c r="AE505" i="6"/>
  <c r="AG505" i="6" s="1"/>
  <c r="AE323" i="6"/>
  <c r="AG323" i="6" s="1"/>
  <c r="BD298" i="6"/>
  <c r="BD297" i="6"/>
  <c r="BE297" i="6" s="1"/>
  <c r="AE23" i="6"/>
  <c r="AG23" i="6" s="1"/>
  <c r="BL23" i="6" s="1"/>
  <c r="AE451" i="6"/>
  <c r="AE496" i="6"/>
  <c r="AF496" i="6" s="1"/>
  <c r="AE449" i="6"/>
  <c r="AF449" i="6" s="1"/>
  <c r="AE459" i="6"/>
  <c r="AG459" i="6" s="1"/>
  <c r="AE429" i="6"/>
  <c r="AG429" i="6" s="1"/>
  <c r="AE388" i="6"/>
  <c r="AG388" i="6" s="1"/>
  <c r="AE392" i="6"/>
  <c r="AE371" i="6"/>
  <c r="AG371" i="6" s="1"/>
  <c r="AE355" i="6"/>
  <c r="AE336" i="6"/>
  <c r="AF336" i="6" s="1"/>
  <c r="AE339" i="6"/>
  <c r="AG339" i="6" s="1"/>
  <c r="AE310" i="6"/>
  <c r="AF310" i="6" s="1"/>
  <c r="AE302" i="6"/>
  <c r="AF302" i="6" s="1"/>
  <c r="AE501" i="6"/>
  <c r="AG501" i="6" s="1"/>
  <c r="AE476" i="6"/>
  <c r="AG476" i="6" s="1"/>
  <c r="AE419" i="6"/>
  <c r="AG419" i="6" s="1"/>
  <c r="AE443" i="6"/>
  <c r="AE421" i="6"/>
  <c r="AG421" i="6" s="1"/>
  <c r="AG16" i="6"/>
  <c r="BL16" i="6" s="1"/>
  <c r="AE320" i="6"/>
  <c r="AF320" i="6" s="1"/>
  <c r="AE365" i="6"/>
  <c r="AG365" i="6" s="1"/>
  <c r="AE356" i="6"/>
  <c r="AE344" i="6"/>
  <c r="AF344" i="6" s="1"/>
  <c r="C27" i="6"/>
  <c r="BD309" i="6"/>
  <c r="BF309" i="6" s="1"/>
  <c r="AE296" i="6"/>
  <c r="AG296" i="6" s="1"/>
  <c r="BD284" i="6"/>
  <c r="BE284" i="6" s="1"/>
  <c r="AE292" i="6"/>
  <c r="AF292" i="6" s="1"/>
  <c r="AE266" i="6"/>
  <c r="AF266" i="6" s="1"/>
  <c r="BD237" i="6"/>
  <c r="BE237" i="6" s="1"/>
  <c r="BD219" i="6"/>
  <c r="BE219" i="6" s="1"/>
  <c r="BD191" i="6"/>
  <c r="BE191" i="6" s="1"/>
  <c r="BD198" i="6"/>
  <c r="BE198" i="6" s="1"/>
  <c r="BD186" i="6"/>
  <c r="BE186" i="6" s="1"/>
  <c r="BD197" i="6"/>
  <c r="BE197" i="6" s="1"/>
  <c r="BD177" i="6"/>
  <c r="BE177" i="6" s="1"/>
  <c r="BD175" i="6"/>
  <c r="BE175" i="6" s="1"/>
  <c r="AE148" i="6"/>
  <c r="AG148" i="6" s="1"/>
  <c r="BL148" i="6" s="1"/>
  <c r="BD123" i="6"/>
  <c r="AE124" i="6"/>
  <c r="AF124" i="6" s="1"/>
  <c r="AE86" i="6"/>
  <c r="AG86" i="6" s="1"/>
  <c r="BL86" i="6" s="1"/>
  <c r="AE91" i="6"/>
  <c r="AG91" i="6" s="1"/>
  <c r="BL91" i="6" s="1"/>
  <c r="BD89" i="6"/>
  <c r="BE89" i="6" s="1"/>
  <c r="AE94" i="6"/>
  <c r="AE78" i="6"/>
  <c r="AG78" i="6" s="1"/>
  <c r="BL78" i="6" s="1"/>
  <c r="AE62" i="6"/>
  <c r="AG62" i="6" s="1"/>
  <c r="BL62" i="6" s="1"/>
  <c r="BD68" i="6"/>
  <c r="BE68" i="6" s="1"/>
  <c r="AE38" i="6"/>
  <c r="AF38" i="6" s="1"/>
  <c r="BD36" i="6"/>
  <c r="BE36" i="6" s="1"/>
  <c r="AE42" i="6"/>
  <c r="AG42" i="6" s="1"/>
  <c r="BL42" i="6" s="1"/>
  <c r="AE486" i="6"/>
  <c r="AG486" i="6" s="1"/>
  <c r="AE488" i="6"/>
  <c r="AG488" i="6" s="1"/>
  <c r="AF472" i="6"/>
  <c r="AE394" i="6"/>
  <c r="AF394" i="6" s="1"/>
  <c r="AE502" i="6"/>
  <c r="AG502" i="6" s="1"/>
  <c r="AE469" i="6"/>
  <c r="AF469" i="6" s="1"/>
  <c r="AE427" i="6"/>
  <c r="AG427" i="6" s="1"/>
  <c r="AE425" i="6"/>
  <c r="AF425" i="6" s="1"/>
  <c r="AE422" i="6"/>
  <c r="AG422" i="6" s="1"/>
  <c r="AE414" i="6"/>
  <c r="AF414" i="6" s="1"/>
  <c r="AE438" i="6"/>
  <c r="AG438" i="6" s="1"/>
  <c r="AE418" i="6"/>
  <c r="AE426" i="6"/>
  <c r="AE397" i="6"/>
  <c r="AE420" i="6"/>
  <c r="AF420" i="6" s="1"/>
  <c r="AE401" i="6"/>
  <c r="AG401" i="6" s="1"/>
  <c r="AE393" i="6"/>
  <c r="AF393" i="6" s="1"/>
  <c r="AE385" i="6"/>
  <c r="AF385" i="6" s="1"/>
  <c r="AE373" i="6"/>
  <c r="AG373" i="6" s="1"/>
  <c r="AE395" i="6"/>
  <c r="AG395" i="6" s="1"/>
  <c r="AE384" i="6"/>
  <c r="AE404" i="6"/>
  <c r="AG404" i="6" s="1"/>
  <c r="AE391" i="6"/>
  <c r="AG391" i="6" s="1"/>
  <c r="AE363" i="6"/>
  <c r="AG363" i="6" s="1"/>
  <c r="AE406" i="6"/>
  <c r="AG406" i="6" s="1"/>
  <c r="AE399" i="6"/>
  <c r="AG399" i="6" s="1"/>
  <c r="AE379" i="6"/>
  <c r="AG379" i="6" s="1"/>
  <c r="AE408" i="6"/>
  <c r="AE389" i="6"/>
  <c r="AE382" i="6"/>
  <c r="AG382" i="6" s="1"/>
  <c r="AE362" i="6"/>
  <c r="AF362" i="6" s="1"/>
  <c r="AE396" i="6"/>
  <c r="AG396" i="6" s="1"/>
  <c r="AE387" i="6"/>
  <c r="AG387" i="6" s="1"/>
  <c r="AE380" i="6"/>
  <c r="AG380" i="6" s="1"/>
  <c r="AE411" i="6"/>
  <c r="AG411" i="6" s="1"/>
  <c r="AE390" i="6"/>
  <c r="AF390" i="6" s="1"/>
  <c r="AE377" i="6"/>
  <c r="AG377" i="6" s="1"/>
  <c r="AE368" i="6"/>
  <c r="AG368" i="6" s="1"/>
  <c r="AE407" i="6"/>
  <c r="AF407" i="6" s="1"/>
  <c r="AE359" i="6"/>
  <c r="AG359" i="6" s="1"/>
  <c r="AE352" i="6"/>
  <c r="AF352" i="6" s="1"/>
  <c r="AE338" i="6"/>
  <c r="AG338" i="6" s="1"/>
  <c r="AE347" i="6"/>
  <c r="AG347" i="6" s="1"/>
  <c r="AE346" i="6"/>
  <c r="AG346" i="6" s="1"/>
  <c r="AE328" i="6"/>
  <c r="AE348" i="6"/>
  <c r="AG348" i="6" s="1"/>
  <c r="AE376" i="6"/>
  <c r="AG376" i="6" s="1"/>
  <c r="AE366" i="6"/>
  <c r="AF366" i="6" s="1"/>
  <c r="AE343" i="6"/>
  <c r="AG343" i="6" s="1"/>
  <c r="AE342" i="6"/>
  <c r="AG342" i="6" s="1"/>
  <c r="AE335" i="6"/>
  <c r="AG335" i="6" s="1"/>
  <c r="AE324" i="6"/>
  <c r="AF324" i="6" s="1"/>
  <c r="AE319" i="6"/>
  <c r="AE316" i="6"/>
  <c r="AG316" i="6" s="1"/>
  <c r="AE307" i="6"/>
  <c r="AG307" i="6" s="1"/>
  <c r="AE303" i="6"/>
  <c r="AG303" i="6" s="1"/>
  <c r="AE295" i="6"/>
  <c r="AF295" i="6" s="1"/>
  <c r="BD290" i="6"/>
  <c r="BF290" i="6" s="1"/>
  <c r="AE286" i="6"/>
  <c r="AF286" i="6" s="1"/>
  <c r="AE279" i="6"/>
  <c r="AF279" i="6" s="1"/>
  <c r="BD274" i="6"/>
  <c r="BF274" i="6" s="1"/>
  <c r="AE369" i="6"/>
  <c r="AE358" i="6"/>
  <c r="AG358" i="6" s="1"/>
  <c r="AE375" i="6"/>
  <c r="AG375" i="6" s="1"/>
  <c r="AE350" i="6"/>
  <c r="AG350" i="6" s="1"/>
  <c r="AE357" i="6"/>
  <c r="AG357" i="6" s="1"/>
  <c r="AE351" i="6"/>
  <c r="AG351" i="6" s="1"/>
  <c r="AE330" i="6"/>
  <c r="AG330" i="6" s="1"/>
  <c r="AE326" i="6"/>
  <c r="AG326" i="6" s="1"/>
  <c r="BD310" i="6"/>
  <c r="AE306" i="6"/>
  <c r="AF306" i="6" s="1"/>
  <c r="BD283" i="6"/>
  <c r="BE283" i="6" s="1"/>
  <c r="AE332" i="6"/>
  <c r="AG332" i="6" s="1"/>
  <c r="BD315" i="6"/>
  <c r="BF315" i="6" s="1"/>
  <c r="AE478" i="6"/>
  <c r="AG478" i="6" s="1"/>
  <c r="AE465" i="6"/>
  <c r="AE455" i="6"/>
  <c r="AG455" i="6" s="1"/>
  <c r="C12" i="6"/>
  <c r="AE498" i="6"/>
  <c r="AF498" i="6" s="1"/>
  <c r="AE485" i="6"/>
  <c r="AG485" i="6" s="1"/>
  <c r="AE402" i="6"/>
  <c r="AF402" i="6" s="1"/>
  <c r="AE409" i="6"/>
  <c r="AF409" i="6" s="1"/>
  <c r="AE494" i="6"/>
  <c r="AF494" i="6" s="1"/>
  <c r="AF214" i="6"/>
  <c r="AE484" i="6"/>
  <c r="AG484" i="6" s="1"/>
  <c r="AE386" i="6"/>
  <c r="AF386" i="6" s="1"/>
  <c r="AE446" i="6"/>
  <c r="AF446" i="6" s="1"/>
  <c r="AE507" i="6"/>
  <c r="AF507" i="6" s="1"/>
  <c r="AE504" i="6"/>
  <c r="AG504" i="6" s="1"/>
  <c r="AE410" i="6"/>
  <c r="AF410" i="6" s="1"/>
  <c r="AE470" i="6"/>
  <c r="AG470" i="6" s="1"/>
  <c r="BT93" i="6"/>
  <c r="BU93" i="6" s="1"/>
  <c r="AE482" i="6"/>
  <c r="AF482" i="6" s="1"/>
  <c r="AE510" i="6"/>
  <c r="AG510" i="6" s="1"/>
  <c r="AE481" i="6"/>
  <c r="AG481" i="6" s="1"/>
  <c r="AE454" i="6"/>
  <c r="AG454" i="6" s="1"/>
  <c r="AE473" i="6"/>
  <c r="AG473" i="6" s="1"/>
  <c r="AE466" i="6"/>
  <c r="AG466" i="6" s="1"/>
  <c r="AE442" i="6"/>
  <c r="AF442" i="6" s="1"/>
  <c r="BD303" i="6"/>
  <c r="BD288" i="6"/>
  <c r="BF288" i="6" s="1"/>
  <c r="BD280" i="6"/>
  <c r="BE280" i="6" s="1"/>
  <c r="AE318" i="6"/>
  <c r="AG318" i="6" s="1"/>
  <c r="AE315" i="6"/>
  <c r="AG315" i="6" s="1"/>
  <c r="BD313" i="6"/>
  <c r="BE313" i="6" s="1"/>
  <c r="BD293" i="6"/>
  <c r="BF293" i="6" s="1"/>
  <c r="BD308" i="6"/>
  <c r="BE308" i="6" s="1"/>
  <c r="AE301" i="6"/>
  <c r="AG301" i="6" s="1"/>
  <c r="BD299" i="6"/>
  <c r="BF299" i="6" s="1"/>
  <c r="BD294" i="6"/>
  <c r="AE293" i="6"/>
  <c r="AE289" i="6"/>
  <c r="AF289" i="6" s="1"/>
  <c r="AE288" i="6"/>
  <c r="AF288" i="6" s="1"/>
  <c r="AE285" i="6"/>
  <c r="AG285" i="6" s="1"/>
  <c r="AE280" i="6"/>
  <c r="AF280" i="6" s="1"/>
  <c r="AE277" i="6"/>
  <c r="AE273" i="6"/>
  <c r="AG273" i="6" s="1"/>
  <c r="AE255" i="6"/>
  <c r="AF255" i="6" s="1"/>
  <c r="BD248" i="6"/>
  <c r="BE248" i="6" s="1"/>
  <c r="AE314" i="6"/>
  <c r="AF314" i="6" s="1"/>
  <c r="BD295" i="6"/>
  <c r="BF295" i="6" s="1"/>
  <c r="BD287" i="6"/>
  <c r="BF287" i="6" s="1"/>
  <c r="AE305" i="6"/>
  <c r="AG305" i="6" s="1"/>
  <c r="AE304" i="6"/>
  <c r="AG304" i="6" s="1"/>
  <c r="BD300" i="6"/>
  <c r="BF300" i="6" s="1"/>
  <c r="AE299" i="6"/>
  <c r="AG299" i="6" s="1"/>
  <c r="BD296" i="6"/>
  <c r="BD292" i="6"/>
  <c r="BE292" i="6" s="1"/>
  <c r="BD311" i="6"/>
  <c r="BF311" i="6" s="1"/>
  <c r="BD305" i="6"/>
  <c r="BF305" i="6" s="1"/>
  <c r="BD312" i="6"/>
  <c r="BE312" i="6" s="1"/>
  <c r="AE309" i="6"/>
  <c r="AE308" i="6"/>
  <c r="AF308" i="6" s="1"/>
  <c r="AE300" i="6"/>
  <c r="AG300" i="6" s="1"/>
  <c r="AE290" i="6"/>
  <c r="AG290" i="6" s="1"/>
  <c r="BD286" i="6"/>
  <c r="BE286" i="6" s="1"/>
  <c r="BD278" i="6"/>
  <c r="BF278" i="6" s="1"/>
  <c r="AE274" i="6"/>
  <c r="AF274" i="6" s="1"/>
  <c r="AE257" i="6"/>
  <c r="AG257" i="6" s="1"/>
  <c r="AE242" i="6"/>
  <c r="AF242" i="6" s="1"/>
  <c r="BD279" i="6"/>
  <c r="BF279" i="6" s="1"/>
  <c r="AE269" i="6"/>
  <c r="AG269" i="6" s="1"/>
  <c r="AE254" i="6"/>
  <c r="AE251" i="6"/>
  <c r="AG251" i="6" s="1"/>
  <c r="AE245" i="6"/>
  <c r="AF245" i="6" s="1"/>
  <c r="BD241" i="6"/>
  <c r="BE241" i="6" s="1"/>
  <c r="BD289" i="6"/>
  <c r="BF289" i="6" s="1"/>
  <c r="BD275" i="6"/>
  <c r="BF275" i="6" s="1"/>
  <c r="AE263" i="6"/>
  <c r="AG263" i="6" s="1"/>
  <c r="AE253" i="6"/>
  <c r="AE246" i="6"/>
  <c r="AE240" i="6"/>
  <c r="AG240" i="6" s="1"/>
  <c r="AE235" i="6"/>
  <c r="AG235" i="6" s="1"/>
  <c r="AE226" i="6"/>
  <c r="AF226" i="6" s="1"/>
  <c r="AE203" i="6"/>
  <c r="AG203" i="6" s="1"/>
  <c r="BD277" i="6"/>
  <c r="BE277" i="6" s="1"/>
  <c r="BD273" i="6"/>
  <c r="BF273" i="6" s="1"/>
  <c r="BD247" i="6"/>
  <c r="BE247" i="6" s="1"/>
  <c r="BD243" i="6"/>
  <c r="BE243" i="6" s="1"/>
  <c r="AE268" i="6"/>
  <c r="AF268" i="6" s="1"/>
  <c r="AE261" i="6"/>
  <c r="AF261" i="6" s="1"/>
  <c r="BD271" i="6"/>
  <c r="BF271" i="6" s="1"/>
  <c r="AE265" i="6"/>
  <c r="AF265" i="6" s="1"/>
  <c r="AE260" i="6"/>
  <c r="AF260" i="6" s="1"/>
  <c r="AE258" i="6"/>
  <c r="AF258" i="6" s="1"/>
  <c r="AE228" i="6"/>
  <c r="AF228" i="6" s="1"/>
  <c r="AE219" i="6"/>
  <c r="AG219" i="6" s="1"/>
  <c r="AE225" i="6"/>
  <c r="AG225" i="6" s="1"/>
  <c r="BD218" i="6"/>
  <c r="BE218" i="6" s="1"/>
  <c r="AE215" i="6"/>
  <c r="AG215" i="6" s="1"/>
  <c r="AE241" i="6"/>
  <c r="AG241" i="6" s="1"/>
  <c r="BD229" i="6"/>
  <c r="BE229" i="6" s="1"/>
  <c r="AE249" i="6"/>
  <c r="AG249" i="6" s="1"/>
  <c r="AE239" i="6"/>
  <c r="AG239" i="6" s="1"/>
  <c r="AE216" i="6"/>
  <c r="AG216" i="6" s="1"/>
  <c r="BD225" i="6"/>
  <c r="BE225" i="6" s="1"/>
  <c r="BD222" i="6"/>
  <c r="BE222" i="6" s="1"/>
  <c r="BD216" i="6"/>
  <c r="BE216" i="6" s="1"/>
  <c r="AE231" i="6"/>
  <c r="AG231" i="6" s="1"/>
  <c r="AE229" i="6"/>
  <c r="BD224" i="6"/>
  <c r="BE224" i="6" s="1"/>
  <c r="AE224" i="6"/>
  <c r="AE223" i="6"/>
  <c r="AF223" i="6" s="1"/>
  <c r="AE221" i="6"/>
  <c r="AF221" i="6" s="1"/>
  <c r="AE217" i="6"/>
  <c r="AG217" i="6" s="1"/>
  <c r="AE211" i="6"/>
  <c r="AF211" i="6" s="1"/>
  <c r="AE207" i="6"/>
  <c r="AF207" i="6" s="1"/>
  <c r="BD206" i="6"/>
  <c r="BE206" i="6" s="1"/>
  <c r="AE236" i="6"/>
  <c r="AF236" i="6" s="1"/>
  <c r="AE218" i="6"/>
  <c r="AF218" i="6" s="1"/>
  <c r="AE213" i="6"/>
  <c r="AF213" i="6" s="1"/>
  <c r="AE208" i="6"/>
  <c r="AF208" i="6" s="1"/>
  <c r="C16" i="6"/>
  <c r="AE197" i="6"/>
  <c r="AG197" i="6" s="1"/>
  <c r="AE193" i="6"/>
  <c r="AG193" i="6" s="1"/>
  <c r="AE185" i="6"/>
  <c r="AG185" i="6" s="1"/>
  <c r="AE195" i="6"/>
  <c r="AG195" i="6" s="1"/>
  <c r="AE186" i="6"/>
  <c r="AF186" i="6" s="1"/>
  <c r="AE209" i="6"/>
  <c r="AG209" i="6" s="1"/>
  <c r="AE227" i="6"/>
  <c r="AG227" i="6" s="1"/>
  <c r="AE220" i="6"/>
  <c r="AG220" i="6" s="1"/>
  <c r="BD199" i="6"/>
  <c r="BE199" i="6" s="1"/>
  <c r="AE196" i="6"/>
  <c r="AF196" i="6" s="1"/>
  <c r="AE183" i="6"/>
  <c r="AG183" i="6" s="1"/>
  <c r="AE181" i="6"/>
  <c r="AF181" i="6" s="1"/>
  <c r="AE158" i="6"/>
  <c r="AF158" i="6" s="1"/>
  <c r="AE204" i="6"/>
  <c r="AG204" i="6" s="1"/>
  <c r="AE201" i="6"/>
  <c r="AG201" i="6" s="1"/>
  <c r="AE191" i="6"/>
  <c r="AF191" i="6" s="1"/>
  <c r="AE187" i="6"/>
  <c r="AG187" i="6" s="1"/>
  <c r="AE165" i="6"/>
  <c r="AG165" i="6" s="1"/>
  <c r="BD176" i="6"/>
  <c r="BE176" i="6" s="1"/>
  <c r="AE176" i="6"/>
  <c r="AF176" i="6" s="1"/>
  <c r="AE188" i="6"/>
  <c r="AG188" i="6" s="1"/>
  <c r="AE178" i="6"/>
  <c r="AG178" i="6" s="1"/>
  <c r="AE161" i="6"/>
  <c r="AG161" i="6" s="1"/>
  <c r="AE167" i="6"/>
  <c r="AG167" i="6" s="1"/>
  <c r="AE162" i="6"/>
  <c r="AG162" i="6" s="1"/>
  <c r="AE171" i="6"/>
  <c r="AF171" i="6" s="1"/>
  <c r="AE169" i="6"/>
  <c r="C18" i="6"/>
  <c r="BD166" i="6"/>
  <c r="BE166" i="6" s="1"/>
  <c r="C15" i="6"/>
  <c r="BD158" i="6"/>
  <c r="BE158" i="6" s="1"/>
  <c r="B26" i="6"/>
  <c r="BD169" i="6"/>
  <c r="BE169" i="6" s="1"/>
  <c r="BD163" i="6"/>
  <c r="BE163" i="6" s="1"/>
  <c r="BD161" i="6"/>
  <c r="BE161" i="6" s="1"/>
  <c r="BD159" i="6"/>
  <c r="BE159" i="6" s="1"/>
  <c r="BD173" i="6"/>
  <c r="BE173" i="6" s="1"/>
  <c r="AE160" i="6"/>
  <c r="AG160" i="6" s="1"/>
  <c r="BD155" i="6"/>
  <c r="BE155" i="6" s="1"/>
  <c r="AE154" i="6"/>
  <c r="AG154" i="6" s="1"/>
  <c r="BL154" i="6" s="1"/>
  <c r="AE139" i="6"/>
  <c r="AG139" i="6" s="1"/>
  <c r="BL139" i="6" s="1"/>
  <c r="AE159" i="6"/>
  <c r="AG159" i="6" s="1"/>
  <c r="BD154" i="6"/>
  <c r="BE154" i="6" s="1"/>
  <c r="BD139" i="6"/>
  <c r="BE139" i="6" s="1"/>
  <c r="AE130" i="6"/>
  <c r="AG130" i="6" s="1"/>
  <c r="BL130" i="6" s="1"/>
  <c r="AE126" i="6"/>
  <c r="AG126" i="6" s="1"/>
  <c r="BL126" i="6" s="1"/>
  <c r="BD137" i="6"/>
  <c r="BT137" i="6" s="1"/>
  <c r="BU137" i="6" s="1"/>
  <c r="AE142" i="6"/>
  <c r="AG142" i="6" s="1"/>
  <c r="BL142" i="6" s="1"/>
  <c r="AE144" i="6"/>
  <c r="AG144" i="6" s="1"/>
  <c r="BL144" i="6" s="1"/>
  <c r="BD143" i="6"/>
  <c r="BE143" i="6" s="1"/>
  <c r="BD135" i="6"/>
  <c r="BE135" i="6" s="1"/>
  <c r="AE129" i="6"/>
  <c r="AG129" i="6" s="1"/>
  <c r="BL129" i="6" s="1"/>
  <c r="AE127" i="6"/>
  <c r="AG127" i="6" s="1"/>
  <c r="BL127" i="6" s="1"/>
  <c r="AE125" i="6"/>
  <c r="AG125" i="6" s="1"/>
  <c r="BL125" i="6" s="1"/>
  <c r="BD117" i="6"/>
  <c r="BT117" i="6" s="1"/>
  <c r="BU117" i="6" s="1"/>
  <c r="BD113" i="6"/>
  <c r="BE113" i="6" s="1"/>
  <c r="BD109" i="6"/>
  <c r="BT109" i="6" s="1"/>
  <c r="BU109" i="6" s="1"/>
  <c r="AE105" i="6"/>
  <c r="AF105" i="6" s="1"/>
  <c r="AE97" i="6"/>
  <c r="AG97" i="6" s="1"/>
  <c r="BL97" i="6" s="1"/>
  <c r="BD150" i="6"/>
  <c r="BE150" i="6" s="1"/>
  <c r="AE145" i="6"/>
  <c r="AF145" i="6" s="1"/>
  <c r="BD144" i="6"/>
  <c r="BE144" i="6" s="1"/>
  <c r="AE122" i="6"/>
  <c r="AF122" i="6" s="1"/>
  <c r="AE131" i="6"/>
  <c r="AG131" i="6" s="1"/>
  <c r="BL131" i="6" s="1"/>
  <c r="AE123" i="6"/>
  <c r="AG123" i="6" s="1"/>
  <c r="BL123" i="6" s="1"/>
  <c r="C17" i="6"/>
  <c r="BD111" i="6"/>
  <c r="BD145" i="6"/>
  <c r="BE145" i="6" s="1"/>
  <c r="AE107" i="6"/>
  <c r="AG107" i="6" s="1"/>
  <c r="BL107" i="6" s="1"/>
  <c r="AE119" i="6"/>
  <c r="AG119" i="6" s="1"/>
  <c r="BL119" i="6" s="1"/>
  <c r="AE109" i="6"/>
  <c r="AF109" i="6" s="1"/>
  <c r="AE106" i="6"/>
  <c r="AF106" i="6" s="1"/>
  <c r="BD105" i="6"/>
  <c r="BT105" i="6" s="1"/>
  <c r="BU105" i="6" s="1"/>
  <c r="BD103" i="6"/>
  <c r="BE103" i="6" s="1"/>
  <c r="AE93" i="6"/>
  <c r="AG93" i="6" s="1"/>
  <c r="BL93" i="6" s="1"/>
  <c r="AE90" i="6"/>
  <c r="AF90" i="6" s="1"/>
  <c r="BD282" i="6"/>
  <c r="BF282" i="6" s="1"/>
  <c r="BD268" i="6"/>
  <c r="BE268" i="6" s="1"/>
  <c r="BD107" i="6"/>
  <c r="BE107" i="6" s="1"/>
  <c r="AE95" i="6"/>
  <c r="AG95" i="6" s="1"/>
  <c r="BL95" i="6" s="1"/>
  <c r="AE83" i="6"/>
  <c r="AG83" i="6" s="1"/>
  <c r="BL83" i="6" s="1"/>
  <c r="AE71" i="6"/>
  <c r="AG71" i="6" s="1"/>
  <c r="BL71" i="6" s="1"/>
  <c r="AE67" i="6"/>
  <c r="AF67" i="6" s="1"/>
  <c r="AE111" i="6"/>
  <c r="AG111" i="6" s="1"/>
  <c r="BL111" i="6" s="1"/>
  <c r="AE110" i="6"/>
  <c r="AG110" i="6" s="1"/>
  <c r="BL110" i="6" s="1"/>
  <c r="BD92" i="6"/>
  <c r="BE92" i="6" s="1"/>
  <c r="BD88" i="6"/>
  <c r="BE88" i="6" s="1"/>
  <c r="BD77" i="6"/>
  <c r="BE77" i="6" s="1"/>
  <c r="BD91" i="6"/>
  <c r="BT91" i="6" s="1"/>
  <c r="BU91" i="6" s="1"/>
  <c r="AE84" i="6"/>
  <c r="AF84" i="6" s="1"/>
  <c r="AE103" i="6"/>
  <c r="AE99" i="6"/>
  <c r="AG99" i="6" s="1"/>
  <c r="BL99" i="6" s="1"/>
  <c r="BD95" i="6"/>
  <c r="BT95" i="6" s="1"/>
  <c r="BU95" i="6" s="1"/>
  <c r="BD90" i="6"/>
  <c r="BT90" i="6" s="1"/>
  <c r="BU90" i="6" s="1"/>
  <c r="AE89" i="6"/>
  <c r="AG89" i="6" s="1"/>
  <c r="BL89" i="6" s="1"/>
  <c r="BD87" i="6"/>
  <c r="BE87" i="6" s="1"/>
  <c r="AE76" i="6"/>
  <c r="AF76" i="6" s="1"/>
  <c r="AE70" i="6"/>
  <c r="AF70" i="6" s="1"/>
  <c r="BD69" i="6"/>
  <c r="BE69" i="6" s="1"/>
  <c r="AE85" i="6"/>
  <c r="AF85" i="6" s="1"/>
  <c r="BD83" i="6"/>
  <c r="BT83" i="6" s="1"/>
  <c r="BU83" i="6" s="1"/>
  <c r="BD75" i="6"/>
  <c r="BE75" i="6" s="1"/>
  <c r="AE101" i="6"/>
  <c r="AG101" i="6" s="1"/>
  <c r="BL101" i="6" s="1"/>
  <c r="BD79" i="6"/>
  <c r="BE79" i="6" s="1"/>
  <c r="BD76" i="6"/>
  <c r="BE76" i="6" s="1"/>
  <c r="BD74" i="6"/>
  <c r="BT74" i="6" s="1"/>
  <c r="BU74" i="6" s="1"/>
  <c r="AE68" i="6"/>
  <c r="AG68" i="6" s="1"/>
  <c r="BL68" i="6" s="1"/>
  <c r="AE64" i="6"/>
  <c r="AG64" i="6" s="1"/>
  <c r="BL64" i="6" s="1"/>
  <c r="BD62" i="6"/>
  <c r="BE62" i="6" s="1"/>
  <c r="BD58" i="6"/>
  <c r="BE58" i="6" s="1"/>
  <c r="BD49" i="6"/>
  <c r="BE49" i="6" s="1"/>
  <c r="BD40" i="6"/>
  <c r="BE40" i="6" s="1"/>
  <c r="AE74" i="6"/>
  <c r="AG74" i="6" s="1"/>
  <c r="BL74" i="6" s="1"/>
  <c r="AE69" i="6"/>
  <c r="AG69" i="6" s="1"/>
  <c r="BL69" i="6" s="1"/>
  <c r="AE60" i="6"/>
  <c r="AG60" i="6" s="1"/>
  <c r="BL60" i="6" s="1"/>
  <c r="AE52" i="6"/>
  <c r="AG52" i="6" s="1"/>
  <c r="BL52" i="6" s="1"/>
  <c r="AE48" i="6"/>
  <c r="AF48" i="6" s="1"/>
  <c r="AE72" i="6"/>
  <c r="AF72" i="6" s="1"/>
  <c r="BD66" i="6"/>
  <c r="BT66" i="6" s="1"/>
  <c r="BU66" i="6" s="1"/>
  <c r="BD70" i="6"/>
  <c r="BT70" i="6" s="1"/>
  <c r="BU70" i="6" s="1"/>
  <c r="BD51" i="6"/>
  <c r="BD72" i="6"/>
  <c r="BT72" i="6" s="1"/>
  <c r="BU72" i="6" s="1"/>
  <c r="BD46" i="6"/>
  <c r="BE46" i="6" s="1"/>
  <c r="BD44" i="6"/>
  <c r="BE44" i="6" s="1"/>
  <c r="AE35" i="6"/>
  <c r="AG35" i="6" s="1"/>
  <c r="BL35" i="6" s="1"/>
  <c r="BD37" i="6"/>
  <c r="BT37" i="6" s="1"/>
  <c r="BU37" i="6" s="1"/>
  <c r="BW14" i="6" s="1"/>
  <c r="E25" i="6"/>
  <c r="BD50" i="6"/>
  <c r="BT50" i="6" s="1"/>
  <c r="BU50" i="6" s="1"/>
  <c r="AE54" i="6"/>
  <c r="AG54" i="6" s="1"/>
  <c r="BL54" i="6" s="1"/>
  <c r="AE46" i="6"/>
  <c r="AG46" i="6" s="1"/>
  <c r="BL46" i="6" s="1"/>
  <c r="BD33" i="6"/>
  <c r="BE33" i="6" s="1"/>
  <c r="AE29" i="6"/>
  <c r="AG29" i="6" s="1"/>
  <c r="BL29" i="6" s="1"/>
  <c r="AE17" i="6"/>
  <c r="AG17" i="6" s="1"/>
  <c r="BL17" i="6" s="1"/>
  <c r="BD14" i="6"/>
  <c r="BE14" i="6" s="1"/>
  <c r="BD52" i="6"/>
  <c r="BE52" i="6" s="1"/>
  <c r="AE37" i="6"/>
  <c r="AG37" i="6" s="1"/>
  <c r="BL37" i="6" s="1"/>
  <c r="BD29" i="6"/>
  <c r="BT29" i="6" s="1"/>
  <c r="BU29" i="6" s="1"/>
  <c r="AE27" i="6"/>
  <c r="AG27" i="6" s="1"/>
  <c r="BL27" i="6" s="1"/>
  <c r="BD16" i="6"/>
  <c r="BT16" i="6" s="1"/>
  <c r="BU16" i="6" s="1"/>
  <c r="AE26" i="6"/>
  <c r="AG26" i="6" s="1"/>
  <c r="BL26" i="6" s="1"/>
  <c r="AE13" i="6"/>
  <c r="AG13" i="6" s="1"/>
  <c r="BL13" i="6" s="1"/>
  <c r="BD9" i="6"/>
  <c r="BE9" i="6" s="1"/>
  <c r="BD7" i="6"/>
  <c r="BE7" i="6" s="1"/>
  <c r="AE31" i="6"/>
  <c r="AG31" i="6" s="1"/>
  <c r="BL31" i="6" s="1"/>
  <c r="AE6" i="6"/>
  <c r="AG6" i="6" s="1"/>
  <c r="BL6" i="6" s="1"/>
  <c r="C11" i="6"/>
  <c r="BD25" i="6"/>
  <c r="BT25" i="6" s="1"/>
  <c r="BU25" i="6" s="1"/>
  <c r="BD5" i="6"/>
  <c r="BE5" i="6" s="1"/>
  <c r="B27" i="6"/>
  <c r="C25" i="6"/>
  <c r="AE15" i="6"/>
  <c r="AG15" i="6" s="1"/>
  <c r="BL15" i="6" s="1"/>
  <c r="BD262" i="6"/>
  <c r="BE262" i="6" s="1"/>
  <c r="BD201" i="6"/>
  <c r="BE201" i="6" s="1"/>
  <c r="BD244" i="6"/>
  <c r="BE244" i="6" s="1"/>
  <c r="BD204" i="6"/>
  <c r="BE204" i="6" s="1"/>
  <c r="BD172" i="6"/>
  <c r="BE172" i="6" s="1"/>
  <c r="BD142" i="6"/>
  <c r="BD118" i="6"/>
  <c r="BD128" i="6"/>
  <c r="BE128" i="6" s="1"/>
  <c r="BD134" i="6"/>
  <c r="BT134" i="6" s="1"/>
  <c r="BU134" i="6" s="1"/>
  <c r="BD132" i="6"/>
  <c r="BE132" i="6" s="1"/>
  <c r="BD22" i="6"/>
  <c r="BT22" i="6" s="1"/>
  <c r="BU22" i="6" s="1"/>
  <c r="BD6" i="6"/>
  <c r="BT6" i="6" s="1"/>
  <c r="BU6" i="6" s="1"/>
  <c r="AE267" i="6"/>
  <c r="AG267" i="6" s="1"/>
  <c r="AE262" i="6"/>
  <c r="AF262" i="6" s="1"/>
  <c r="AE210" i="6"/>
  <c r="AG210" i="6" s="1"/>
  <c r="B18" i="6"/>
  <c r="B14" i="6"/>
  <c r="C23" i="6"/>
  <c r="C14" i="6"/>
  <c r="AE477" i="6"/>
  <c r="AF477" i="6" s="1"/>
  <c r="AE490" i="6"/>
  <c r="AG490" i="6" s="1"/>
  <c r="AE450" i="6"/>
  <c r="AF450" i="6" s="1"/>
  <c r="AE439" i="6"/>
  <c r="AF439" i="6" s="1"/>
  <c r="AE437" i="6"/>
  <c r="AF437" i="6" s="1"/>
  <c r="AE433" i="6"/>
  <c r="AF433" i="6" s="1"/>
  <c r="AE398" i="6"/>
  <c r="AG398" i="6" s="1"/>
  <c r="AG57" i="6"/>
  <c r="BL57" i="6" s="1"/>
  <c r="AF57" i="6"/>
  <c r="AE243" i="6"/>
  <c r="AG243" i="6" s="1"/>
  <c r="AE275" i="6"/>
  <c r="AF275" i="6" s="1"/>
  <c r="AE252" i="6"/>
  <c r="AF252" i="6" s="1"/>
  <c r="AE237" i="6"/>
  <c r="AF237" i="6" s="1"/>
  <c r="AF341" i="6"/>
  <c r="AE489" i="6"/>
  <c r="AG489" i="6" s="1"/>
  <c r="AE506" i="6"/>
  <c r="AF506" i="6" s="1"/>
  <c r="AE434" i="6"/>
  <c r="AF434" i="6" s="1"/>
  <c r="AE492" i="6"/>
  <c r="AG492" i="6" s="1"/>
  <c r="AE471" i="6"/>
  <c r="AG471" i="6" s="1"/>
  <c r="AE457" i="6"/>
  <c r="AG457" i="6" s="1"/>
  <c r="AE461" i="6"/>
  <c r="AF461" i="6" s="1"/>
  <c r="AE441" i="6"/>
  <c r="AE435" i="6"/>
  <c r="AG435" i="6" s="1"/>
  <c r="AE445" i="6"/>
  <c r="AG445" i="6" s="1"/>
  <c r="AE431" i="6"/>
  <c r="AG431" i="6" s="1"/>
  <c r="AE412" i="6"/>
  <c r="AF412" i="6" s="1"/>
  <c r="AE372" i="6"/>
  <c r="AG372" i="6" s="1"/>
  <c r="AE334" i="6"/>
  <c r="AF334" i="6" s="1"/>
  <c r="AE327" i="6"/>
  <c r="AG327" i="6" s="1"/>
  <c r="BD291" i="6"/>
  <c r="BF291" i="6" s="1"/>
  <c r="AE291" i="6"/>
  <c r="AF291" i="6" s="1"/>
  <c r="AE128" i="6"/>
  <c r="AG128" i="6" s="1"/>
  <c r="BL128" i="6" s="1"/>
  <c r="BD86" i="6"/>
  <c r="BT86" i="6" s="1"/>
  <c r="BU86" i="6" s="1"/>
  <c r="BD71" i="6"/>
  <c r="BT71" i="6" s="1"/>
  <c r="BU71" i="6" s="1"/>
  <c r="C26" i="6"/>
  <c r="B23" i="6"/>
  <c r="BD27" i="6"/>
  <c r="BE27" i="6" s="1"/>
  <c r="B17" i="6"/>
  <c r="BD19" i="6"/>
  <c r="BE19" i="6" s="1"/>
  <c r="BD82" i="6"/>
  <c r="BT82" i="6" s="1"/>
  <c r="BU82" i="6" s="1"/>
  <c r="AE458" i="6"/>
  <c r="AF458" i="6" s="1"/>
  <c r="AE383" i="6"/>
  <c r="AG383" i="6" s="1"/>
  <c r="AE370" i="6"/>
  <c r="AF370" i="6" s="1"/>
  <c r="AE177" i="6"/>
  <c r="AG177" i="6" s="1"/>
  <c r="AE163" i="6"/>
  <c r="AG163" i="6" s="1"/>
  <c r="C22" i="6"/>
  <c r="B21" i="6"/>
  <c r="BD99" i="6"/>
  <c r="BT99" i="6" s="1"/>
  <c r="BU99" i="6" s="1"/>
  <c r="AE40" i="6"/>
  <c r="AG40" i="6" s="1"/>
  <c r="BL40" i="6" s="1"/>
  <c r="C24" i="6"/>
  <c r="B24" i="6"/>
  <c r="C20" i="6"/>
  <c r="AE18" i="6"/>
  <c r="AG18" i="6" s="1"/>
  <c r="BL18" i="6" s="1"/>
  <c r="AE20" i="6"/>
  <c r="AG20" i="6" s="1"/>
  <c r="BL20" i="6" s="1"/>
  <c r="AF62" i="6"/>
  <c r="C19" i="6"/>
  <c r="AE462" i="6"/>
  <c r="AG462" i="6" s="1"/>
  <c r="AE416" i="6"/>
  <c r="AF416" i="6" s="1"/>
  <c r="AE417" i="6"/>
  <c r="AF417" i="6" s="1"/>
  <c r="AE381" i="6"/>
  <c r="AG381" i="6" s="1"/>
  <c r="BD307" i="6"/>
  <c r="BF307" i="6" s="1"/>
  <c r="BD211" i="6"/>
  <c r="BE211" i="6" s="1"/>
  <c r="BD190" i="6"/>
  <c r="BE190" i="6" s="1"/>
  <c r="AE179" i="6"/>
  <c r="AF179" i="6" s="1"/>
  <c r="AE175" i="6"/>
  <c r="AG175" i="6" s="1"/>
  <c r="AE33" i="6"/>
  <c r="AF33" i="6" s="1"/>
  <c r="B15" i="6"/>
  <c r="B13" i="6"/>
  <c r="AE7" i="6"/>
  <c r="AG7" i="6" s="1"/>
  <c r="BL7" i="6" s="1"/>
  <c r="BD13" i="6"/>
  <c r="BT13" i="6" s="1"/>
  <c r="BU13" i="6" s="1"/>
  <c r="C21" i="6"/>
  <c r="B25" i="6"/>
  <c r="AE453" i="6"/>
  <c r="AG453" i="6" s="1"/>
  <c r="AE405" i="6"/>
  <c r="AG405" i="6" s="1"/>
  <c r="AE205" i="6"/>
  <c r="AG205" i="6" s="1"/>
  <c r="AE147" i="6"/>
  <c r="AF147" i="6" s="1"/>
  <c r="AE120" i="6"/>
  <c r="AG120" i="6" s="1"/>
  <c r="BL120" i="6" s="1"/>
  <c r="AE96" i="6"/>
  <c r="AG96" i="6" s="1"/>
  <c r="BL96" i="6" s="1"/>
  <c r="BD48" i="6"/>
  <c r="AE25" i="6"/>
  <c r="AG25" i="6" s="1"/>
  <c r="BL25" i="6" s="1"/>
  <c r="B16" i="6"/>
  <c r="BD42" i="6"/>
  <c r="BT42" i="6" s="1"/>
  <c r="BU42" i="6" s="1"/>
  <c r="B11" i="6"/>
  <c r="AE11" i="6"/>
  <c r="AG11" i="6" s="1"/>
  <c r="BL11" i="6" s="1"/>
  <c r="B10" i="6"/>
  <c r="C10" i="6"/>
  <c r="B20" i="6"/>
  <c r="BD43" i="6"/>
  <c r="AF14" i="6"/>
  <c r="AE117" i="6"/>
  <c r="AG117" i="6" s="1"/>
  <c r="BL117" i="6" s="1"/>
  <c r="AE400" i="6"/>
  <c r="AG400" i="6" s="1"/>
  <c r="AE413" i="6"/>
  <c r="AG413" i="6" s="1"/>
  <c r="AE312" i="6"/>
  <c r="AF312" i="6" s="1"/>
  <c r="BD168" i="6"/>
  <c r="BE168" i="6" s="1"/>
  <c r="AE152" i="6"/>
  <c r="AG152" i="6" s="1"/>
  <c r="BL152" i="6" s="1"/>
  <c r="BD146" i="6"/>
  <c r="BE146" i="6" s="1"/>
  <c r="BD151" i="6"/>
  <c r="BE151" i="6" s="1"/>
  <c r="AE102" i="6"/>
  <c r="AG102" i="6" s="1"/>
  <c r="BL102" i="6" s="1"/>
  <c r="BD20" i="6"/>
  <c r="BE20" i="6" s="1"/>
  <c r="C9" i="6"/>
  <c r="AE24" i="6"/>
  <c r="AF24" i="6" s="1"/>
  <c r="B9" i="6"/>
  <c r="B19" i="6"/>
  <c r="AE22" i="6"/>
  <c r="AF22" i="6" s="1"/>
  <c r="B12" i="6"/>
  <c r="B22" i="6"/>
  <c r="C13" i="6"/>
  <c r="AE500" i="6"/>
  <c r="AG500" i="6" s="1"/>
  <c r="BD304" i="6"/>
  <c r="BF304" i="6" s="1"/>
  <c r="BD285" i="6"/>
  <c r="BF285" i="6" s="1"/>
  <c r="AE234" i="6"/>
  <c r="AG234" i="6" s="1"/>
  <c r="BD231" i="6"/>
  <c r="BE231" i="6" s="1"/>
  <c r="AE509" i="6"/>
  <c r="AG509" i="6" s="1"/>
  <c r="AE508" i="6"/>
  <c r="AG508" i="6" s="1"/>
  <c r="AE493" i="6"/>
  <c r="AF493" i="6" s="1"/>
  <c r="AE467" i="6"/>
  <c r="AF467" i="6" s="1"/>
  <c r="AE480" i="6"/>
  <c r="AF480" i="6" s="1"/>
  <c r="AE423" i="6"/>
  <c r="AG423" i="6" s="1"/>
  <c r="AE311" i="6"/>
  <c r="AE283" i="6"/>
  <c r="AG283" i="6" s="1"/>
  <c r="BD167" i="6"/>
  <c r="BE167" i="6" s="1"/>
  <c r="BD170" i="6"/>
  <c r="BE170" i="6" s="1"/>
  <c r="BD148" i="6"/>
  <c r="BE148" i="6" s="1"/>
  <c r="BD84" i="6"/>
  <c r="BE84" i="6" s="1"/>
  <c r="BD53" i="6"/>
  <c r="BE53" i="6" s="1"/>
  <c r="AE463" i="6"/>
  <c r="AG463" i="6" s="1"/>
  <c r="AE367" i="6"/>
  <c r="AG367" i="6" s="1"/>
  <c r="AE497" i="6"/>
  <c r="AG497" i="6" s="1"/>
  <c r="AE474" i="6"/>
  <c r="AF474" i="6" s="1"/>
  <c r="AE430" i="6"/>
  <c r="AG430" i="6" s="1"/>
  <c r="AE331" i="6"/>
  <c r="AG331" i="6" s="1"/>
  <c r="AE403" i="6"/>
  <c r="AG403" i="6" s="1"/>
  <c r="AE415" i="6"/>
  <c r="AG415" i="6" s="1"/>
  <c r="AE340" i="6"/>
  <c r="AG340" i="6" s="1"/>
  <c r="BD266" i="6"/>
  <c r="BE266" i="6" s="1"/>
  <c r="BD252" i="6"/>
  <c r="BE252" i="6" s="1"/>
  <c r="BD240" i="6"/>
  <c r="BE240" i="6" s="1"/>
  <c r="BD264" i="6"/>
  <c r="BE264" i="6" s="1"/>
  <c r="E27" i="6"/>
  <c r="G27" i="6" s="1"/>
  <c r="BD255" i="6"/>
  <c r="BE255" i="6" s="1"/>
  <c r="BD265" i="6"/>
  <c r="BE265" i="6" s="1"/>
  <c r="BD263" i="6"/>
  <c r="BE263" i="6" s="1"/>
  <c r="E10" i="6"/>
  <c r="BD253" i="6"/>
  <c r="BE253" i="6" s="1"/>
  <c r="BD249" i="6"/>
  <c r="BE249" i="6" s="1"/>
  <c r="BD239" i="6"/>
  <c r="BE239" i="6" s="1"/>
  <c r="BD205" i="6"/>
  <c r="BE205" i="6" s="1"/>
  <c r="BD187" i="6"/>
  <c r="BE187" i="6" s="1"/>
  <c r="BD267" i="6"/>
  <c r="BE267" i="6" s="1"/>
  <c r="BD251" i="6"/>
  <c r="BE251" i="6" s="1"/>
  <c r="BD242" i="6"/>
  <c r="BE242" i="6" s="1"/>
  <c r="BD269" i="6"/>
  <c r="BE269" i="6" s="1"/>
  <c r="BD245" i="6"/>
  <c r="BE245" i="6" s="1"/>
  <c r="BD221" i="6"/>
  <c r="BE221" i="6" s="1"/>
  <c r="BD232" i="6"/>
  <c r="BE232" i="6" s="1"/>
  <c r="E13" i="6"/>
  <c r="BD213" i="6"/>
  <c r="BE213" i="6" s="1"/>
  <c r="BD230" i="6"/>
  <c r="BE230" i="6" s="1"/>
  <c r="BD238" i="6"/>
  <c r="BE238" i="6" s="1"/>
  <c r="BD234" i="6"/>
  <c r="BE234" i="6" s="1"/>
  <c r="BD226" i="6"/>
  <c r="BE226" i="6" s="1"/>
  <c r="E9" i="6"/>
  <c r="BD233" i="6"/>
  <c r="BE233" i="6" s="1"/>
  <c r="BD217" i="6"/>
  <c r="BE217" i="6" s="1"/>
  <c r="BD214" i="6"/>
  <c r="BE214" i="6" s="1"/>
  <c r="BD210" i="6"/>
  <c r="BE210" i="6" s="1"/>
  <c r="BD209" i="6"/>
  <c r="BE209" i="6" s="1"/>
  <c r="BD227" i="6"/>
  <c r="BE227" i="6" s="1"/>
  <c r="BD194" i="6"/>
  <c r="BE194" i="6" s="1"/>
  <c r="BD193" i="6"/>
  <c r="BE193" i="6" s="1"/>
  <c r="BD189" i="6"/>
  <c r="BE189" i="6" s="1"/>
  <c r="BD185" i="6"/>
  <c r="BE185" i="6" s="1"/>
  <c r="BD215" i="6"/>
  <c r="BE215" i="6" s="1"/>
  <c r="BD208" i="6"/>
  <c r="BE208" i="6" s="1"/>
  <c r="BD203" i="6"/>
  <c r="BE203" i="6" s="1"/>
  <c r="BD202" i="6"/>
  <c r="BE202" i="6" s="1"/>
  <c r="BD200" i="6"/>
  <c r="BE200" i="6" s="1"/>
  <c r="BD195" i="6"/>
  <c r="BE195" i="6" s="1"/>
  <c r="E24" i="6"/>
  <c r="BD207" i="6"/>
  <c r="BE207" i="6" s="1"/>
  <c r="BD171" i="6"/>
  <c r="BE171" i="6" s="1"/>
  <c r="E23" i="6"/>
  <c r="G23" i="6" s="1"/>
  <c r="BD184" i="6"/>
  <c r="BE184" i="6" s="1"/>
  <c r="E26" i="6"/>
  <c r="E18" i="6"/>
  <c r="BD174" i="6"/>
  <c r="BE174" i="6" s="1"/>
  <c r="BD183" i="6"/>
  <c r="BE183" i="6" s="1"/>
  <c r="BD178" i="6"/>
  <c r="BE178" i="6" s="1"/>
  <c r="BD181" i="6"/>
  <c r="BE181" i="6" s="1"/>
  <c r="BD162" i="6"/>
  <c r="BE162" i="6" s="1"/>
  <c r="BD160" i="6"/>
  <c r="BE160" i="6" s="1"/>
  <c r="E15" i="6"/>
  <c r="BD192" i="6"/>
  <c r="BE192" i="6" s="1"/>
  <c r="E22" i="6"/>
  <c r="BD156" i="6"/>
  <c r="BE156" i="6" s="1"/>
  <c r="BD165" i="6"/>
  <c r="BE165" i="6" s="1"/>
  <c r="BD140" i="6"/>
  <c r="BE140" i="6" s="1"/>
  <c r="E11" i="6"/>
  <c r="E16" i="6"/>
  <c r="BD152" i="6"/>
  <c r="BE152" i="6" s="1"/>
  <c r="E12" i="6"/>
  <c r="G12" i="6" s="1"/>
  <c r="BD131" i="6"/>
  <c r="BE131" i="6" s="1"/>
  <c r="BD121" i="6"/>
  <c r="BE121" i="6" s="1"/>
  <c r="E20" i="6"/>
  <c r="E17" i="6"/>
  <c r="G17" i="6" s="1"/>
  <c r="E21" i="6"/>
  <c r="E19" i="6"/>
  <c r="G19" i="6" s="1"/>
  <c r="BD119" i="6"/>
  <c r="BE119" i="6" s="1"/>
  <c r="BD141" i="6"/>
  <c r="BT141" i="6" s="1"/>
  <c r="BU141" i="6" s="1"/>
  <c r="BD228" i="6"/>
  <c r="BE228" i="6" s="1"/>
  <c r="BD259" i="6"/>
  <c r="BE259" i="6" s="1"/>
  <c r="BD257" i="6"/>
  <c r="BE257" i="6" s="1"/>
  <c r="BD220" i="6"/>
  <c r="BE220" i="6" s="1"/>
  <c r="BD250" i="6"/>
  <c r="BE250" i="6" s="1"/>
  <c r="BD260" i="6"/>
  <c r="BE260" i="6" s="1"/>
  <c r="BD256" i="6"/>
  <c r="BE256" i="6" s="1"/>
  <c r="BD258" i="6"/>
  <c r="BE258" i="6" s="1"/>
  <c r="BD223" i="6"/>
  <c r="BE223" i="6" s="1"/>
  <c r="BD182" i="6"/>
  <c r="BE182" i="6" s="1"/>
  <c r="BD261" i="6"/>
  <c r="BE261" i="6" s="1"/>
  <c r="BE114" i="6"/>
  <c r="BD179" i="6"/>
  <c r="BE179" i="6" s="1"/>
  <c r="E14" i="6"/>
  <c r="BD270" i="6"/>
  <c r="BE270" i="6" s="1"/>
  <c r="BN54" i="6"/>
  <c r="BN41" i="6"/>
  <c r="BN33" i="6"/>
  <c r="BN39" i="6"/>
  <c r="BN48" i="6"/>
  <c r="BN55" i="6"/>
  <c r="BN81" i="6"/>
  <c r="BN107" i="6"/>
  <c r="BN92" i="6"/>
  <c r="BN91" i="6"/>
  <c r="BN109" i="6"/>
  <c r="BN135" i="6"/>
  <c r="BN127" i="6"/>
  <c r="BN157" i="6"/>
  <c r="BN108" i="6"/>
  <c r="BN124" i="6"/>
  <c r="BN140" i="6"/>
  <c r="BN7" i="6"/>
  <c r="BN31" i="6"/>
  <c r="BN58" i="6"/>
  <c r="BN42" i="6"/>
  <c r="BN53" i="6"/>
  <c r="BN46" i="6"/>
  <c r="BN52" i="6"/>
  <c r="BN59" i="6"/>
  <c r="BN90" i="6"/>
  <c r="BN115" i="6"/>
  <c r="BN105" i="6"/>
  <c r="BN95" i="6"/>
  <c r="BN117" i="6"/>
  <c r="BN143" i="6"/>
  <c r="BN139" i="6"/>
  <c r="BN94" i="6"/>
  <c r="BN110" i="6"/>
  <c r="BN126" i="6"/>
  <c r="BN142" i="6"/>
  <c r="BN23" i="6"/>
  <c r="BN21" i="6"/>
  <c r="BN10" i="6"/>
  <c r="BN6" i="6"/>
  <c r="BN47" i="6"/>
  <c r="BN36" i="6"/>
  <c r="BN65" i="6"/>
  <c r="BN56" i="6"/>
  <c r="BN61" i="6"/>
  <c r="BN89" i="6"/>
  <c r="BN97" i="6"/>
  <c r="BN67" i="6"/>
  <c r="BN121" i="6"/>
  <c r="BN125" i="6"/>
  <c r="BN129" i="6"/>
  <c r="BN145" i="6"/>
  <c r="BN96" i="6"/>
  <c r="BN112" i="6"/>
  <c r="BN128" i="6"/>
  <c r="BN147" i="6"/>
  <c r="BN13" i="6"/>
  <c r="BN15" i="6"/>
  <c r="BN18" i="6"/>
  <c r="BN22" i="6"/>
  <c r="BN34" i="6"/>
  <c r="BN40" i="6"/>
  <c r="BN74" i="6"/>
  <c r="BN63" i="6"/>
  <c r="BN68" i="6"/>
  <c r="BN62" i="6"/>
  <c r="BN72" i="6"/>
  <c r="BN71" i="6"/>
  <c r="BN111" i="6"/>
  <c r="BN133" i="6"/>
  <c r="BN137" i="6"/>
  <c r="BN149" i="6"/>
  <c r="BN98" i="6"/>
  <c r="BN114" i="6"/>
  <c r="BN130" i="6"/>
  <c r="BN152" i="6"/>
  <c r="BN25" i="6"/>
  <c r="BN20" i="6"/>
  <c r="BN24" i="6"/>
  <c r="BN37" i="6"/>
  <c r="BN51" i="6"/>
  <c r="BN57" i="6"/>
  <c r="BN64" i="6"/>
  <c r="BN73" i="6"/>
  <c r="BN66" i="6"/>
  <c r="BN76" i="6"/>
  <c r="BN75" i="6"/>
  <c r="BN103" i="6"/>
  <c r="BN141" i="6"/>
  <c r="BN146" i="6"/>
  <c r="BN153" i="6"/>
  <c r="BN100" i="6"/>
  <c r="BN116" i="6"/>
  <c r="BN132" i="6"/>
  <c r="BN155" i="6"/>
  <c r="BN9" i="6"/>
  <c r="BN32" i="6"/>
  <c r="BN26" i="6"/>
  <c r="BN43" i="6"/>
  <c r="BN12" i="6"/>
  <c r="BN60" i="6"/>
  <c r="BN69" i="6"/>
  <c r="BN86" i="6"/>
  <c r="BN78" i="6"/>
  <c r="BN80" i="6"/>
  <c r="BN79" i="6"/>
  <c r="BN113" i="6"/>
  <c r="BN144" i="6"/>
  <c r="BN150" i="6"/>
  <c r="BN148" i="6"/>
  <c r="BN102" i="6"/>
  <c r="BN118" i="6"/>
  <c r="BN134" i="6"/>
  <c r="BN158" i="6"/>
  <c r="BW137" i="6"/>
  <c r="BW131" i="6"/>
  <c r="BW123" i="6"/>
  <c r="BW115" i="6"/>
  <c r="BW138" i="6"/>
  <c r="BW132" i="6"/>
  <c r="BW124" i="6"/>
  <c r="BW135" i="6"/>
  <c r="BW133" i="6"/>
  <c r="BW125" i="6"/>
  <c r="BW136" i="6"/>
  <c r="BW126" i="6"/>
  <c r="BW141" i="6"/>
  <c r="BW127" i="6"/>
  <c r="BW119" i="6"/>
  <c r="BW111" i="6"/>
  <c r="BW103" i="6"/>
  <c r="BW142" i="6"/>
  <c r="BW134" i="6"/>
  <c r="BW128" i="6"/>
  <c r="BW120" i="6"/>
  <c r="BW139" i="6"/>
  <c r="BW129" i="6"/>
  <c r="BW121" i="6"/>
  <c r="BW113" i="6"/>
  <c r="BW105" i="6"/>
  <c r="BW140" i="6"/>
  <c r="BW130" i="6"/>
  <c r="BW122" i="6"/>
  <c r="BW114" i="6"/>
  <c r="BW106" i="6"/>
  <c r="BW98" i="6"/>
  <c r="BW91" i="6"/>
  <c r="BW89" i="6"/>
  <c r="BW87" i="6"/>
  <c r="BW85" i="6"/>
  <c r="BW83" i="6"/>
  <c r="BW81" i="6"/>
  <c r="BW79" i="6"/>
  <c r="BW77" i="6"/>
  <c r="BW75" i="6"/>
  <c r="BW73" i="6"/>
  <c r="BW71" i="6"/>
  <c r="BW69" i="6"/>
  <c r="BW67" i="6"/>
  <c r="BW102" i="6"/>
  <c r="BW100" i="6"/>
  <c r="BW95" i="6"/>
  <c r="BW118" i="6"/>
  <c r="BW108" i="6"/>
  <c r="BW97" i="6"/>
  <c r="BW94" i="6"/>
  <c r="BW92" i="6"/>
  <c r="BW116" i="6"/>
  <c r="BW117" i="6"/>
  <c r="BW107" i="6"/>
  <c r="BW101" i="6"/>
  <c r="BW99" i="6"/>
  <c r="BW104" i="6"/>
  <c r="BW112" i="6"/>
  <c r="BW90" i="6"/>
  <c r="BW86" i="6"/>
  <c r="BW82" i="6"/>
  <c r="BW78" i="6"/>
  <c r="BW74" i="6"/>
  <c r="BW110" i="6"/>
  <c r="BW109" i="6"/>
  <c r="BW96" i="6"/>
  <c r="BW88" i="6"/>
  <c r="BW84" i="6"/>
  <c r="BW93" i="6"/>
  <c r="BW80" i="6"/>
  <c r="BW76" i="6"/>
  <c r="BW63" i="6"/>
  <c r="BW60" i="6"/>
  <c r="BW70" i="6"/>
  <c r="BW66" i="6"/>
  <c r="BW57" i="6"/>
  <c r="BW65" i="6"/>
  <c r="BW62" i="6"/>
  <c r="BW61" i="6"/>
  <c r="BW68" i="6"/>
  <c r="BW59" i="6"/>
  <c r="BW72" i="6"/>
  <c r="BW64" i="6"/>
  <c r="BW56" i="6"/>
  <c r="BW52" i="6"/>
  <c r="BW45" i="6"/>
  <c r="BW43" i="6"/>
  <c r="BW55" i="6"/>
  <c r="BW42" i="6"/>
  <c r="BW47" i="6"/>
  <c r="BW41" i="6"/>
  <c r="BW38" i="6"/>
  <c r="BW50" i="6"/>
  <c r="BW49" i="6"/>
  <c r="BW46" i="6"/>
  <c r="BW39" i="6"/>
  <c r="BW54" i="6"/>
  <c r="BW44" i="6"/>
  <c r="BW58" i="6"/>
  <c r="BW48" i="6"/>
  <c r="BW40" i="6"/>
  <c r="BW53" i="6"/>
  <c r="BW51" i="6"/>
  <c r="BW8" i="6"/>
  <c r="BW27" i="6"/>
  <c r="BW16" i="6"/>
  <c r="BW20" i="6"/>
  <c r="BN49" i="6"/>
  <c r="BN28" i="6"/>
  <c r="BN45" i="6"/>
  <c r="BN14" i="6"/>
  <c r="BN70" i="6"/>
  <c r="BN30" i="6"/>
  <c r="BN77" i="6"/>
  <c r="BN99" i="6"/>
  <c r="BN84" i="6"/>
  <c r="BN83" i="6"/>
  <c r="BN93" i="6"/>
  <c r="BN123" i="6"/>
  <c r="BN151" i="6"/>
  <c r="BN154" i="6"/>
  <c r="BN104" i="6"/>
  <c r="BN120" i="6"/>
  <c r="BN136" i="6"/>
  <c r="BN50" i="6"/>
  <c r="BN35" i="6"/>
  <c r="BN29" i="6"/>
  <c r="BN16" i="6"/>
  <c r="BN44" i="6"/>
  <c r="BN38" i="6"/>
  <c r="BN85" i="6"/>
  <c r="BN82" i="6"/>
  <c r="BN88" i="6"/>
  <c r="BN87" i="6"/>
  <c r="BN101" i="6"/>
  <c r="BN131" i="6"/>
  <c r="BN119" i="6"/>
  <c r="BN156" i="6"/>
  <c r="BN106" i="6"/>
  <c r="BN122" i="6"/>
  <c r="BN138" i="6"/>
  <c r="BK6" i="6"/>
  <c r="BN8" i="6"/>
  <c r="BN5" i="6"/>
  <c r="BN27" i="6"/>
  <c r="BN11" i="6"/>
  <c r="BN17" i="6"/>
  <c r="AG282" i="6"/>
  <c r="AG194" i="6"/>
  <c r="AF348" i="6"/>
  <c r="AF79" i="6"/>
  <c r="BE133" i="6"/>
  <c r="AG477" i="6"/>
  <c r="BF280" i="6"/>
  <c r="AF204" i="6"/>
  <c r="BE28" i="6"/>
  <c r="BE47" i="6"/>
  <c r="AF28" i="6"/>
  <c r="AG496" i="6"/>
  <c r="BT35" i="6"/>
  <c r="BU35" i="6" s="1"/>
  <c r="AF502" i="6"/>
  <c r="AF160" i="6"/>
  <c r="AG230" i="6"/>
  <c r="BT102" i="6"/>
  <c r="BU102" i="6" s="1"/>
  <c r="BE95" i="6"/>
  <c r="AG349" i="6"/>
  <c r="BT124" i="6"/>
  <c r="BU124" i="6" s="1"/>
  <c r="G15" i="6"/>
  <c r="AF77" i="6"/>
  <c r="AF143" i="6"/>
  <c r="AF475" i="6"/>
  <c r="BT135" i="6"/>
  <c r="BU135" i="6" s="1"/>
  <c r="AF455" i="6"/>
  <c r="AG174" i="6"/>
  <c r="AF121" i="6"/>
  <c r="AF92" i="6"/>
  <c r="AF68" i="6"/>
  <c r="BE37" i="6"/>
  <c r="BT19" i="6"/>
  <c r="BU19" i="6" s="1"/>
  <c r="AF10" i="6"/>
  <c r="BE63" i="6"/>
  <c r="AF489" i="6"/>
  <c r="AF299" i="6"/>
  <c r="AG32" i="6"/>
  <c r="BL32" i="6" s="1"/>
  <c r="AF361" i="6"/>
  <c r="AF126" i="6"/>
  <c r="BE78" i="6"/>
  <c r="AF41" i="6"/>
  <c r="AG9" i="6"/>
  <c r="BL9" i="6" s="1"/>
  <c r="AG458" i="6"/>
  <c r="AF150" i="6"/>
  <c r="BE98" i="6"/>
  <c r="AG483" i="6"/>
  <c r="AG468" i="6"/>
  <c r="BT33" i="6"/>
  <c r="BU33" i="6" s="1"/>
  <c r="BE16" i="6"/>
  <c r="AG452" i="6"/>
  <c r="BT69" i="6"/>
  <c r="BU69" i="6" s="1"/>
  <c r="AF479" i="6"/>
  <c r="AF419" i="6"/>
  <c r="AF463" i="6"/>
  <c r="AF264" i="6"/>
  <c r="AF436" i="6"/>
  <c r="AG146" i="6"/>
  <c r="BL146" i="6" s="1"/>
  <c r="AG72" i="6"/>
  <c r="BL72" i="6" s="1"/>
  <c r="AG38" i="6"/>
  <c r="BL38" i="6" s="1"/>
  <c r="AF346" i="6"/>
  <c r="AG352" i="6"/>
  <c r="AG242" i="6"/>
  <c r="AF93" i="6"/>
  <c r="BF297" i="6"/>
  <c r="AG67" i="6"/>
  <c r="BL67" i="6" s="1"/>
  <c r="AG34" i="6"/>
  <c r="BL34" i="6" s="1"/>
  <c r="BT21" i="6"/>
  <c r="BU21" i="6" s="1"/>
  <c r="AF239" i="6"/>
  <c r="AF155" i="6"/>
  <c r="AF134" i="6"/>
  <c r="BT68" i="6"/>
  <c r="BU68" i="6" s="1"/>
  <c r="AF23" i="6"/>
  <c r="BE314" i="6"/>
  <c r="AF464" i="6"/>
  <c r="AF404" i="6"/>
  <c r="AF330" i="6"/>
  <c r="AG279" i="6"/>
  <c r="AF185" i="6"/>
  <c r="BE282" i="6"/>
  <c r="BT58" i="6"/>
  <c r="BU58" i="6" s="1"/>
  <c r="BT24" i="6"/>
  <c r="BU24" i="6" s="1"/>
  <c r="BW10" i="6" s="1"/>
  <c r="AF329" i="6"/>
  <c r="AG158" i="6"/>
  <c r="BL158" i="6" s="1"/>
  <c r="AG503" i="6"/>
  <c r="AG244" i="6"/>
  <c r="BE83" i="6"/>
  <c r="AF430" i="6"/>
  <c r="BE274" i="6"/>
  <c r="AG469" i="6"/>
  <c r="AG200" i="6"/>
  <c r="AG156" i="6"/>
  <c r="BL156" i="6" s="1"/>
  <c r="AF130" i="6"/>
  <c r="BE65" i="6"/>
  <c r="AF21" i="6"/>
  <c r="AG39" i="6"/>
  <c r="BL39" i="6" s="1"/>
  <c r="AF119" i="6"/>
  <c r="AF13" i="6"/>
  <c r="AF368" i="6"/>
  <c r="AF317" i="6"/>
  <c r="AF323" i="6"/>
  <c r="AG428" i="6"/>
  <c r="AG294" i="6"/>
  <c r="AG192" i="6"/>
  <c r="AF183" i="6"/>
  <c r="AF127" i="6"/>
  <c r="BE100" i="6"/>
  <c r="BE129" i="6"/>
  <c r="AF25" i="6"/>
  <c r="BT14" i="6"/>
  <c r="BU14" i="6" s="1"/>
  <c r="AF198" i="6"/>
  <c r="AG344" i="6"/>
  <c r="BE61" i="6"/>
  <c r="AG232" i="6"/>
  <c r="AG166" i="6"/>
  <c r="AG386" i="6"/>
  <c r="BT108" i="6"/>
  <c r="BU108" i="6" s="1"/>
  <c r="AF148" i="6"/>
  <c r="BE32" i="6"/>
  <c r="BE13" i="6"/>
  <c r="AF382" i="6"/>
  <c r="AF190" i="6"/>
  <c r="AF114" i="6"/>
  <c r="BT10" i="6"/>
  <c r="BU10" i="6" s="1"/>
  <c r="AF304" i="6"/>
  <c r="AF97" i="6"/>
  <c r="AF81" i="6"/>
  <c r="AF53" i="6"/>
  <c r="AF152" i="6"/>
  <c r="BE6" i="6"/>
  <c r="AF440" i="6"/>
  <c r="AG491" i="6"/>
  <c r="AF371" i="6"/>
  <c r="AF398" i="6"/>
  <c r="AF65" i="6"/>
  <c r="BE275" i="6"/>
  <c r="AF290" i="6"/>
  <c r="AF231" i="6"/>
  <c r="AF209" i="6"/>
  <c r="AF137" i="6"/>
  <c r="BE60" i="6"/>
  <c r="AG63" i="6"/>
  <c r="BL63" i="6" s="1"/>
  <c r="BT75" i="6"/>
  <c r="BU75" i="6" s="1"/>
  <c r="BE55" i="6"/>
  <c r="BT54" i="6"/>
  <c r="BU54" i="6" s="1"/>
  <c r="BW18" i="6" s="1"/>
  <c r="BE18" i="6"/>
  <c r="AF19" i="6"/>
  <c r="AG325" i="6"/>
  <c r="AG394" i="6"/>
  <c r="AF337" i="6"/>
  <c r="AF388" i="6"/>
  <c r="BF277" i="6"/>
  <c r="AG260" i="6"/>
  <c r="AF178" i="6"/>
  <c r="AF206" i="6"/>
  <c r="BE125" i="6"/>
  <c r="AF61" i="6"/>
  <c r="BE73" i="6"/>
  <c r="AF484" i="6"/>
  <c r="AF499" i="6"/>
  <c r="BE309" i="6"/>
  <c r="BE272" i="6"/>
  <c r="AF188" i="6"/>
  <c r="AF149" i="6"/>
  <c r="BE71" i="6"/>
  <c r="BE86" i="6"/>
  <c r="AF501" i="6"/>
  <c r="AG390" i="6"/>
  <c r="AF153" i="6"/>
  <c r="BE90" i="6"/>
  <c r="BT92" i="6"/>
  <c r="BU92" i="6" s="1"/>
  <c r="AF66" i="6"/>
  <c r="AG8" i="6"/>
  <c r="BL8" i="6" s="1"/>
  <c r="AG202" i="6"/>
  <c r="BT112" i="6"/>
  <c r="BU112" i="6" s="1"/>
  <c r="AG495" i="6"/>
  <c r="AF12" i="6"/>
  <c r="BT36" i="6"/>
  <c r="BU36" i="6" s="1"/>
  <c r="AF435" i="6"/>
  <c r="AF125" i="6"/>
  <c r="AG124" i="6"/>
  <c r="BL124" i="6" s="1"/>
  <c r="AG88" i="6"/>
  <c r="BL88" i="6" s="1"/>
  <c r="BE25" i="6"/>
  <c r="BE26" i="6"/>
  <c r="BT9" i="6"/>
  <c r="BU9" i="6" s="1"/>
  <c r="AF432" i="6"/>
  <c r="AG333" i="6"/>
  <c r="AG324" i="6"/>
  <c r="AG291" i="6"/>
  <c r="AG460" i="6"/>
  <c r="AF184" i="6"/>
  <c r="AF56" i="6"/>
  <c r="AG43" i="6"/>
  <c r="BL43" i="6" s="1"/>
  <c r="G21" i="6"/>
  <c r="AG482" i="6"/>
  <c r="AF216" i="6"/>
  <c r="AF55" i="6"/>
  <c r="AF481" i="6"/>
  <c r="AF444" i="6"/>
  <c r="AF272" i="6"/>
  <c r="AF151" i="6"/>
  <c r="AF35" i="6"/>
  <c r="BT15" i="6"/>
  <c r="BU15" i="6" s="1"/>
  <c r="AG506" i="6"/>
  <c r="AF135" i="6"/>
  <c r="AF59" i="6"/>
  <c r="AF51" i="6"/>
  <c r="BT46" i="6"/>
  <c r="BU46" i="6" s="1"/>
  <c r="AG321" i="6"/>
  <c r="AF321" i="6"/>
  <c r="AF476" i="6"/>
  <c r="AF326" i="6"/>
  <c r="AF301" i="6"/>
  <c r="AF423" i="6"/>
  <c r="BT80" i="6"/>
  <c r="BU80" i="6" s="1"/>
  <c r="AF300" i="6"/>
  <c r="BT101" i="6"/>
  <c r="BU101" i="6" s="1"/>
  <c r="AF86" i="6"/>
  <c r="BE74" i="6"/>
  <c r="AF129" i="6"/>
  <c r="BE123" i="6"/>
  <c r="BT123" i="6"/>
  <c r="BU123" i="6" s="1"/>
  <c r="AF487" i="6"/>
  <c r="AG145" i="6"/>
  <c r="BL145" i="6" s="1"/>
  <c r="BT120" i="6"/>
  <c r="BU120" i="6" s="1"/>
  <c r="AG218" i="6"/>
  <c r="AF364" i="6"/>
  <c r="AF182" i="6"/>
  <c r="AF30" i="6"/>
  <c r="AF40" i="6"/>
  <c r="AG113" i="6"/>
  <c r="BL113" i="6" s="1"/>
  <c r="AF113" i="6"/>
  <c r="BE285" i="6"/>
  <c r="AF354" i="6"/>
  <c r="AF140" i="6"/>
  <c r="AF395" i="6"/>
  <c r="BT104" i="6"/>
  <c r="BU104" i="6" s="1"/>
  <c r="AF254" i="6"/>
  <c r="AG254" i="6"/>
  <c r="AG250" i="6"/>
  <c r="AG424" i="6"/>
  <c r="AF424" i="6"/>
  <c r="AF246" i="6"/>
  <c r="AG246" i="6"/>
  <c r="AG345" i="6"/>
  <c r="AF345" i="6"/>
  <c r="AG408" i="6"/>
  <c r="AF408" i="6"/>
  <c r="AG224" i="6"/>
  <c r="AF224" i="6"/>
  <c r="AF107" i="6"/>
  <c r="AG319" i="6"/>
  <c r="AF319" i="6"/>
  <c r="AF426" i="6"/>
  <c r="AG426" i="6"/>
  <c r="AG443" i="6"/>
  <c r="AF443" i="6"/>
  <c r="AG360" i="6"/>
  <c r="AF360" i="6"/>
  <c r="AG228" i="6"/>
  <c r="AG253" i="6"/>
  <c r="AF253" i="6"/>
  <c r="AG164" i="6"/>
  <c r="AF164" i="6"/>
  <c r="AG104" i="6"/>
  <c r="BL104" i="6" s="1"/>
  <c r="AF104" i="6"/>
  <c r="AG136" i="6"/>
  <c r="BL136" i="6" s="1"/>
  <c r="AF136" i="6"/>
  <c r="BT122" i="6"/>
  <c r="BU122" i="6" s="1"/>
  <c r="BE122" i="6"/>
  <c r="AG49" i="6"/>
  <c r="BL49" i="6" s="1"/>
  <c r="AF49" i="6"/>
  <c r="AG392" i="6"/>
  <c r="AF392" i="6"/>
  <c r="AG256" i="6"/>
  <c r="AF256" i="6"/>
  <c r="BT138" i="6"/>
  <c r="BU138" i="6" s="1"/>
  <c r="BE138" i="6"/>
  <c r="AG248" i="6"/>
  <c r="AF248" i="6"/>
  <c r="AF257" i="6"/>
  <c r="BT118" i="6"/>
  <c r="BU118" i="6" s="1"/>
  <c r="BE118" i="6"/>
  <c r="AG284" i="6"/>
  <c r="AF284" i="6"/>
  <c r="AG355" i="6"/>
  <c r="AF355" i="6"/>
  <c r="BF310" i="6"/>
  <c r="BE310" i="6"/>
  <c r="AG389" i="6"/>
  <c r="AF389" i="6"/>
  <c r="BF301" i="6"/>
  <c r="BE301" i="6"/>
  <c r="AF418" i="6"/>
  <c r="AG418" i="6"/>
  <c r="AG356" i="6"/>
  <c r="AF356" i="6"/>
  <c r="AF222" i="6"/>
  <c r="AG222" i="6"/>
  <c r="AG170" i="6"/>
  <c r="AF170" i="6"/>
  <c r="AG171" i="6"/>
  <c r="AG133" i="6"/>
  <c r="BL133" i="6" s="1"/>
  <c r="AF133" i="6"/>
  <c r="BE126" i="6"/>
  <c r="AG103" i="6"/>
  <c r="BL103" i="6" s="1"/>
  <c r="AF103" i="6"/>
  <c r="AG48" i="6"/>
  <c r="BL48" i="6" s="1"/>
  <c r="AG353" i="6"/>
  <c r="AF353" i="6"/>
  <c r="AG456" i="6"/>
  <c r="AF456" i="6"/>
  <c r="AG297" i="6"/>
  <c r="AF297" i="6"/>
  <c r="AG132" i="6"/>
  <c r="BL132" i="6" s="1"/>
  <c r="AF132" i="6"/>
  <c r="AG448" i="6"/>
  <c r="AF448" i="6"/>
  <c r="BT110" i="6"/>
  <c r="BU110" i="6" s="1"/>
  <c r="BE110" i="6"/>
  <c r="AF465" i="6"/>
  <c r="AG465" i="6"/>
  <c r="BF303" i="6"/>
  <c r="BE303" i="6"/>
  <c r="AF427" i="6"/>
  <c r="AG374" i="6"/>
  <c r="AF374" i="6"/>
  <c r="BF296" i="6"/>
  <c r="BE296" i="6"/>
  <c r="AF238" i="6"/>
  <c r="AG238" i="6"/>
  <c r="BT142" i="6"/>
  <c r="BU142" i="6" s="1"/>
  <c r="BW37" i="6" s="1"/>
  <c r="BE142" i="6"/>
  <c r="AG369" i="6"/>
  <c r="AF369" i="6"/>
  <c r="AF110" i="6"/>
  <c r="AF421" i="6"/>
  <c r="AG451" i="6"/>
  <c r="AF451" i="6"/>
  <c r="BF298" i="6"/>
  <c r="BE298" i="6"/>
  <c r="AG309" i="6"/>
  <c r="AF309" i="6"/>
  <c r="AG229" i="6"/>
  <c r="AF229" i="6"/>
  <c r="AG169" i="6"/>
  <c r="AF169" i="6"/>
  <c r="AF141" i="6"/>
  <c r="AG45" i="6"/>
  <c r="BL45" i="6" s="1"/>
  <c r="AF45" i="6"/>
  <c r="AG47" i="6"/>
  <c r="BL47" i="6" s="1"/>
  <c r="AF47" i="6"/>
  <c r="AF293" i="6"/>
  <c r="AG293" i="6"/>
  <c r="BT43" i="6"/>
  <c r="BU43" i="6" s="1"/>
  <c r="BE43" i="6"/>
  <c r="AG397" i="6"/>
  <c r="AF397" i="6"/>
  <c r="AF328" i="6"/>
  <c r="AG328" i="6"/>
  <c r="AF305" i="6"/>
  <c r="AG233" i="6"/>
  <c r="AF233" i="6"/>
  <c r="AG384" i="6"/>
  <c r="AF384" i="6"/>
  <c r="AG116" i="6"/>
  <c r="BL116" i="6" s="1"/>
  <c r="AF116" i="6"/>
  <c r="BE111" i="6"/>
  <c r="BT111" i="6"/>
  <c r="BU111" i="6" s="1"/>
  <c r="BE127" i="6"/>
  <c r="BT127" i="6"/>
  <c r="BU127" i="6" s="1"/>
  <c r="BF294" i="6"/>
  <c r="BE294" i="6"/>
  <c r="AG50" i="6"/>
  <c r="BL50" i="6" s="1"/>
  <c r="AF50" i="6"/>
  <c r="AG5" i="6"/>
  <c r="AF5" i="6"/>
  <c r="BE23" i="6" l="1"/>
  <c r="AG507" i="6"/>
  <c r="AF42" i="6"/>
  <c r="AG336" i="6"/>
  <c r="AF225" i="6"/>
  <c r="AF296" i="6"/>
  <c r="AF108" i="6"/>
  <c r="AF101" i="6"/>
  <c r="BT49" i="6"/>
  <c r="BU49" i="6" s="1"/>
  <c r="AG213" i="6"/>
  <c r="BE306" i="6"/>
  <c r="AF58" i="6"/>
  <c r="AF401" i="6"/>
  <c r="AF363" i="6"/>
  <c r="AF259" i="6"/>
  <c r="BT56" i="6"/>
  <c r="BU56" i="6" s="1"/>
  <c r="BW19" i="6" s="1"/>
  <c r="AF270" i="6"/>
  <c r="AF303" i="6"/>
  <c r="AF210" i="6"/>
  <c r="AF396" i="6"/>
  <c r="BE8" i="6"/>
  <c r="AF322" i="6"/>
  <c r="BE276" i="6"/>
  <c r="AF87" i="6"/>
  <c r="AF485" i="6"/>
  <c r="AF118" i="6"/>
  <c r="BE59" i="6"/>
  <c r="AG298" i="6"/>
  <c r="AF91" i="6"/>
  <c r="AF413" i="6"/>
  <c r="AF219" i="6"/>
  <c r="AG223" i="6"/>
  <c r="AG76" i="6"/>
  <c r="BL76" i="6" s="1"/>
  <c r="BW9" i="6"/>
  <c r="AG252" i="6"/>
  <c r="BF313" i="6"/>
  <c r="AG439" i="6"/>
  <c r="AF287" i="6"/>
  <c r="AG334" i="6"/>
  <c r="AF177" i="6"/>
  <c r="BT85" i="6"/>
  <c r="BU85" i="6" s="1"/>
  <c r="AF100" i="6"/>
  <c r="BT116" i="6"/>
  <c r="BU116" i="6" s="1"/>
  <c r="AF44" i="6"/>
  <c r="BT45" i="6"/>
  <c r="BU45" i="6" s="1"/>
  <c r="BE302" i="6"/>
  <c r="AG393" i="6"/>
  <c r="AF168" i="6"/>
  <c r="BF281" i="6"/>
  <c r="AF138" i="6"/>
  <c r="BE39" i="6"/>
  <c r="AF189" i="6"/>
  <c r="AG173" i="6"/>
  <c r="AF144" i="6"/>
  <c r="AF342" i="6"/>
  <c r="AG274" i="6"/>
  <c r="AG212" i="6"/>
  <c r="BE293" i="6"/>
  <c r="BT76" i="6"/>
  <c r="BU76" i="6" s="1"/>
  <c r="AF73" i="6"/>
  <c r="AG226" i="6"/>
  <c r="BE287" i="6"/>
  <c r="AF83" i="6"/>
  <c r="AF139" i="6"/>
  <c r="G11" i="6"/>
  <c r="AF162" i="6"/>
  <c r="AG237" i="6"/>
  <c r="AG312" i="6"/>
  <c r="AG84" i="6"/>
  <c r="BL84" i="6" s="1"/>
  <c r="AF203" i="6"/>
  <c r="AG280" i="6"/>
  <c r="AF193" i="6"/>
  <c r="BE305" i="6"/>
  <c r="AG147" i="6"/>
  <c r="BL147" i="6" s="1"/>
  <c r="AF71" i="6"/>
  <c r="AG105" i="6"/>
  <c r="BL105" i="6" s="1"/>
  <c r="BE271" i="6"/>
  <c r="AG461" i="6"/>
  <c r="AF11" i="6"/>
  <c r="G9" i="6"/>
  <c r="AF241" i="6"/>
  <c r="AG196" i="6"/>
  <c r="AF285" i="6"/>
  <c r="AG24" i="6"/>
  <c r="BL24" i="6" s="1"/>
  <c r="AG172" i="6"/>
  <c r="AF165" i="6"/>
  <c r="AF6" i="6"/>
  <c r="AG302" i="6"/>
  <c r="AG437" i="6"/>
  <c r="AF159" i="6"/>
  <c r="AF365" i="6"/>
  <c r="AF197" i="6"/>
  <c r="AF163" i="6"/>
  <c r="AF187" i="6"/>
  <c r="AF381" i="6"/>
  <c r="AF74" i="6"/>
  <c r="BT84" i="6"/>
  <c r="BU84" i="6" s="1"/>
  <c r="BW26" i="6" s="1"/>
  <c r="BF308" i="6"/>
  <c r="BF312" i="6"/>
  <c r="AF466" i="6"/>
  <c r="AG207" i="6"/>
  <c r="AG442" i="6"/>
  <c r="AF18" i="6"/>
  <c r="AG467" i="6"/>
  <c r="AF69" i="6"/>
  <c r="AG265" i="6"/>
  <c r="AF78" i="6"/>
  <c r="AF46" i="6"/>
  <c r="BE289" i="6"/>
  <c r="BT103" i="6"/>
  <c r="BU103" i="6" s="1"/>
  <c r="AF429" i="6"/>
  <c r="AG433" i="6"/>
  <c r="AF215" i="6"/>
  <c r="AG266" i="6"/>
  <c r="BE109" i="6"/>
  <c r="BE105" i="6"/>
  <c r="BE22" i="6"/>
  <c r="AF500" i="6"/>
  <c r="BE72" i="6"/>
  <c r="AF27" i="6"/>
  <c r="AF54" i="6"/>
  <c r="AF123" i="6"/>
  <c r="AG70" i="6"/>
  <c r="BL70" i="6" s="1"/>
  <c r="BT106" i="6"/>
  <c r="BU106" i="6" s="1"/>
  <c r="BT34" i="6"/>
  <c r="BU34" i="6" s="1"/>
  <c r="BW13" i="6" s="1"/>
  <c r="AF508" i="6"/>
  <c r="BE12" i="6"/>
  <c r="AG80" i="6"/>
  <c r="BL80" i="6" s="1"/>
  <c r="AG275" i="6"/>
  <c r="AF338" i="6"/>
  <c r="AG410" i="6"/>
  <c r="AG320" i="6"/>
  <c r="AG106" i="6"/>
  <c r="BL106" i="6" s="1"/>
  <c r="BE315" i="6"/>
  <c r="AG450" i="6"/>
  <c r="BE290" i="6"/>
  <c r="AF473" i="6"/>
  <c r="AF271" i="6"/>
  <c r="AF154" i="6"/>
  <c r="AG261" i="6"/>
  <c r="AF405" i="6"/>
  <c r="AF372" i="6"/>
  <c r="AF399" i="6"/>
  <c r="AG370" i="6"/>
  <c r="AG245" i="6"/>
  <c r="BT30" i="6"/>
  <c r="BU30" i="6" s="1"/>
  <c r="BE130" i="6"/>
  <c r="BE136" i="6"/>
  <c r="AG385" i="6"/>
  <c r="AG262" i="6"/>
  <c r="BT31" i="6"/>
  <c r="BU31" i="6" s="1"/>
  <c r="BE42" i="6"/>
  <c r="AF488" i="6"/>
  <c r="AF112" i="6"/>
  <c r="AF157" i="6"/>
  <c r="AF357" i="6"/>
  <c r="AG292" i="6"/>
  <c r="AG310" i="6"/>
  <c r="AF471" i="6"/>
  <c r="BE97" i="6"/>
  <c r="AG447" i="6"/>
  <c r="AG416" i="6"/>
  <c r="BT81" i="6"/>
  <c r="BU81" i="6" s="1"/>
  <c r="BE134" i="6"/>
  <c r="BT11" i="6"/>
  <c r="BU11" i="6" s="1"/>
  <c r="AG474" i="6"/>
  <c r="AF492" i="6"/>
  <c r="AF36" i="6"/>
  <c r="BT41" i="6"/>
  <c r="BU41" i="6" s="1"/>
  <c r="AF98" i="6"/>
  <c r="AF161" i="6"/>
  <c r="AF509" i="6"/>
  <c r="AF332" i="6"/>
  <c r="AG314" i="6"/>
  <c r="AF343" i="6"/>
  <c r="AF504" i="6"/>
  <c r="AF15" i="6"/>
  <c r="AF454" i="6"/>
  <c r="AF243" i="6"/>
  <c r="BT115" i="6"/>
  <c r="BU115" i="6" s="1"/>
  <c r="AF350" i="6"/>
  <c r="AF201" i="6"/>
  <c r="AF406" i="6"/>
  <c r="AF383" i="6"/>
  <c r="AF422" i="6"/>
  <c r="AG402" i="6"/>
  <c r="AG289" i="6"/>
  <c r="BT88" i="6"/>
  <c r="BU88" i="6" s="1"/>
  <c r="AG295" i="6"/>
  <c r="AG221" i="6"/>
  <c r="AF490" i="6"/>
  <c r="AF267" i="6"/>
  <c r="AF453" i="6"/>
  <c r="AG109" i="6"/>
  <c r="BL109" i="6" s="1"/>
  <c r="BF286" i="6"/>
  <c r="AF387" i="6"/>
  <c r="AF227" i="6"/>
  <c r="AF247" i="6"/>
  <c r="BE57" i="6"/>
  <c r="BE117" i="6"/>
  <c r="AG75" i="6"/>
  <c r="BL75" i="6" s="1"/>
  <c r="AG412" i="6"/>
  <c r="AG278" i="6"/>
  <c r="G24" i="6"/>
  <c r="AG281" i="6"/>
  <c r="BF292" i="6"/>
  <c r="BE38" i="6"/>
  <c r="BT17" i="6"/>
  <c r="BU17" i="6" s="1"/>
  <c r="BW7" i="6" s="1"/>
  <c r="G13" i="6"/>
  <c r="BT131" i="6"/>
  <c r="BU131" i="6" s="1"/>
  <c r="BW32" i="6" s="1"/>
  <c r="AG434" i="6"/>
  <c r="AF316" i="6"/>
  <c r="AF234" i="6"/>
  <c r="AG179" i="6"/>
  <c r="BW28" i="6"/>
  <c r="BE67" i="6"/>
  <c r="AG82" i="6"/>
  <c r="BL82" i="6" s="1"/>
  <c r="BT20" i="6"/>
  <c r="BU20" i="6" s="1"/>
  <c r="BE96" i="6"/>
  <c r="BT52" i="6"/>
  <c r="BU52" i="6" s="1"/>
  <c r="AF431" i="6"/>
  <c r="AG122" i="6"/>
  <c r="BL122" i="6" s="1"/>
  <c r="AG268" i="6"/>
  <c r="AG115" i="6"/>
  <c r="BL115" i="6" s="1"/>
  <c r="BE64" i="6"/>
  <c r="G22" i="6"/>
  <c r="AG276" i="6"/>
  <c r="AG366" i="6"/>
  <c r="AF359" i="6"/>
  <c r="AG186" i="6"/>
  <c r="AF459" i="6"/>
  <c r="BE291" i="6"/>
  <c r="AF505" i="6"/>
  <c r="G18" i="6"/>
  <c r="G20" i="6"/>
  <c r="AF7" i="6"/>
  <c r="BF283" i="6"/>
  <c r="BE94" i="6"/>
  <c r="AF20" i="6"/>
  <c r="G14" i="6"/>
  <c r="BE307" i="6"/>
  <c r="AF376" i="6"/>
  <c r="BF284" i="6"/>
  <c r="AG176" i="6"/>
  <c r="AG480" i="6"/>
  <c r="AF391" i="6"/>
  <c r="BE299" i="6"/>
  <c r="AF117" i="6"/>
  <c r="BT53" i="6"/>
  <c r="BU53" i="6" s="1"/>
  <c r="BW17" i="6" s="1"/>
  <c r="BT89" i="6"/>
  <c r="BU89" i="6" s="1"/>
  <c r="AF29" i="6"/>
  <c r="AF307" i="6"/>
  <c r="BE304" i="6"/>
  <c r="BT5" i="6"/>
  <c r="BU5" i="6" s="1"/>
  <c r="BW5" i="6" s="1"/>
  <c r="AG236" i="6"/>
  <c r="BE279" i="6"/>
  <c r="AF510" i="6"/>
  <c r="AG90" i="6"/>
  <c r="BL90" i="6" s="1"/>
  <c r="AF313" i="6"/>
  <c r="AF339" i="6"/>
  <c r="AF64" i="6"/>
  <c r="AF111" i="6"/>
  <c r="AG449" i="6"/>
  <c r="AF486" i="6"/>
  <c r="AF415" i="6"/>
  <c r="AF99" i="6"/>
  <c r="AF249" i="6"/>
  <c r="AG308" i="6"/>
  <c r="BE300" i="6"/>
  <c r="AF52" i="6"/>
  <c r="BE82" i="6"/>
  <c r="AG407" i="6"/>
  <c r="AG420" i="6"/>
  <c r="BE91" i="6"/>
  <c r="AG211" i="6"/>
  <c r="AF445" i="6"/>
  <c r="AG258" i="6"/>
  <c r="BE288" i="6"/>
  <c r="BT140" i="6"/>
  <c r="BU140" i="6" s="1"/>
  <c r="BW35" i="6" s="1"/>
  <c r="AF205" i="6"/>
  <c r="AG181" i="6"/>
  <c r="AF195" i="6"/>
  <c r="BE29" i="6"/>
  <c r="AG378" i="6"/>
  <c r="AG306" i="6"/>
  <c r="AF273" i="6"/>
  <c r="BE273" i="6"/>
  <c r="AG85" i="6"/>
  <c r="BL85" i="6" s="1"/>
  <c r="AG362" i="6"/>
  <c r="AF263" i="6"/>
  <c r="BT44" i="6"/>
  <c r="BU44" i="6" s="1"/>
  <c r="BW15" i="6" s="1"/>
  <c r="AF377" i="6"/>
  <c r="AG446" i="6"/>
  <c r="AF358" i="6"/>
  <c r="AG180" i="6"/>
  <c r="AF199" i="6"/>
  <c r="AG498" i="6"/>
  <c r="BT139" i="6"/>
  <c r="BU139" i="6" s="1"/>
  <c r="BW34" i="6" s="1"/>
  <c r="BT121" i="6"/>
  <c r="BU121" i="6" s="1"/>
  <c r="AG255" i="6"/>
  <c r="BT62" i="6"/>
  <c r="BU62" i="6" s="1"/>
  <c r="BW21" i="6" s="1"/>
  <c r="AF17" i="6"/>
  <c r="AF128" i="6"/>
  <c r="AF269" i="6"/>
  <c r="AF331" i="6"/>
  <c r="AF60" i="6"/>
  <c r="AG425" i="6"/>
  <c r="AG493" i="6"/>
  <c r="AG417" i="6"/>
  <c r="AF340" i="6"/>
  <c r="G26" i="6"/>
  <c r="BT132" i="6"/>
  <c r="BU132" i="6" s="1"/>
  <c r="BW33" i="6" s="1"/>
  <c r="G10" i="6"/>
  <c r="AG94" i="6"/>
  <c r="BL94" i="6" s="1"/>
  <c r="AF94" i="6"/>
  <c r="AF375" i="6"/>
  <c r="E29" i="6"/>
  <c r="B29" i="6"/>
  <c r="G16" i="6"/>
  <c r="BT87" i="6"/>
  <c r="BU87" i="6" s="1"/>
  <c r="G25" i="6"/>
  <c r="AG33" i="6"/>
  <c r="BL33" i="6" s="1"/>
  <c r="AF379" i="6"/>
  <c r="AF400" i="6"/>
  <c r="AF217" i="6"/>
  <c r="BT7" i="6"/>
  <c r="BU7" i="6" s="1"/>
  <c r="AF347" i="6"/>
  <c r="BT40" i="6"/>
  <c r="BU40" i="6" s="1"/>
  <c r="AF175" i="6"/>
  <c r="AF351" i="6"/>
  <c r="BT79" i="6"/>
  <c r="BU79" i="6" s="1"/>
  <c r="AG414" i="6"/>
  <c r="AF283" i="6"/>
  <c r="AF235" i="6"/>
  <c r="AG288" i="6"/>
  <c r="BT113" i="6"/>
  <c r="BU113" i="6" s="1"/>
  <c r="AG409" i="6"/>
  <c r="BE50" i="6"/>
  <c r="AG286" i="6"/>
  <c r="AF315" i="6"/>
  <c r="BT77" i="6"/>
  <c r="BU77" i="6" s="1"/>
  <c r="AF89" i="6"/>
  <c r="BT119" i="6"/>
  <c r="BU119" i="6" s="1"/>
  <c r="AF96" i="6"/>
  <c r="BT27" i="6"/>
  <c r="BU27" i="6" s="1"/>
  <c r="BW11" i="6" s="1"/>
  <c r="BE311" i="6"/>
  <c r="BE278" i="6"/>
  <c r="AF131" i="6"/>
  <c r="AF457" i="6"/>
  <c r="AF335" i="6"/>
  <c r="AF142" i="6"/>
  <c r="AF95" i="6"/>
  <c r="AF470" i="6"/>
  <c r="AF102" i="6"/>
  <c r="AF120" i="6"/>
  <c r="BE295" i="6"/>
  <c r="AF411" i="6"/>
  <c r="AF37" i="6"/>
  <c r="AF367" i="6"/>
  <c r="AF380" i="6"/>
  <c r="AF220" i="6"/>
  <c r="AF497" i="6"/>
  <c r="AG494" i="6"/>
  <c r="BE70" i="6"/>
  <c r="AF277" i="6"/>
  <c r="AG277" i="6"/>
  <c r="AF373" i="6"/>
  <c r="BT107" i="6"/>
  <c r="BU107" i="6" s="1"/>
  <c r="BE137" i="6"/>
  <c r="BE99" i="6"/>
  <c r="AF327" i="6"/>
  <c r="AF403" i="6"/>
  <c r="AF26" i="6"/>
  <c r="C29" i="6"/>
  <c r="AF167" i="6"/>
  <c r="AF462" i="6"/>
  <c r="AF478" i="6"/>
  <c r="AF31" i="6"/>
  <c r="AG208" i="6"/>
  <c r="BE66" i="6"/>
  <c r="BW29" i="6"/>
  <c r="AF240" i="6"/>
  <c r="BT128" i="6"/>
  <c r="BU128" i="6" s="1"/>
  <c r="BW31" i="6" s="1"/>
  <c r="AG22" i="6"/>
  <c r="BL22" i="6" s="1"/>
  <c r="AF251" i="6"/>
  <c r="AG191" i="6"/>
  <c r="AF438" i="6"/>
  <c r="AF318" i="6"/>
  <c r="BE51" i="6"/>
  <c r="BT51" i="6"/>
  <c r="BU51" i="6" s="1"/>
  <c r="BE141" i="6"/>
  <c r="BE48" i="6"/>
  <c r="BT48" i="6"/>
  <c r="BU48" i="6" s="1"/>
  <c r="AG441" i="6"/>
  <c r="AF441" i="6"/>
  <c r="AG311" i="6"/>
  <c r="AF311" i="6"/>
  <c r="BW36" i="6"/>
  <c r="BW22" i="6"/>
  <c r="BW24" i="6"/>
  <c r="BL5" i="6"/>
  <c r="BW12" i="6" l="1"/>
  <c r="BW6" i="6"/>
  <c r="BW30" i="6"/>
  <c r="BW25" i="6"/>
  <c r="A32" i="6"/>
  <c r="G29" i="6"/>
  <c r="A38" i="6"/>
  <c r="K85" i="1" s="1"/>
  <c r="A41" i="6"/>
  <c r="K17" i="1" l="1"/>
  <c r="AI17" i="6" s="1"/>
  <c r="BF17" i="6" s="1"/>
  <c r="K49" i="1"/>
  <c r="AI49" i="6" s="1"/>
  <c r="BF49" i="6" s="1"/>
  <c r="K81" i="1"/>
  <c r="AI81" i="6" s="1"/>
  <c r="BF81" i="6" s="1"/>
  <c r="K114" i="1"/>
  <c r="K146" i="1"/>
  <c r="K178" i="1"/>
  <c r="AI178" i="6" s="1"/>
  <c r="BF178" i="6" s="1"/>
  <c r="K210" i="1"/>
  <c r="K242" i="1"/>
  <c r="AI242" i="6" s="1"/>
  <c r="BF242" i="6" s="1"/>
  <c r="K14" i="1"/>
  <c r="AI14" i="6" s="1"/>
  <c r="BF14" i="6" s="1"/>
  <c r="K54" i="1"/>
  <c r="AI54" i="6" s="1"/>
  <c r="BF54" i="6" s="1"/>
  <c r="K99" i="1"/>
  <c r="K143" i="1"/>
  <c r="AI143" i="6" s="1"/>
  <c r="BF143" i="6" s="1"/>
  <c r="K183" i="1"/>
  <c r="K227" i="1"/>
  <c r="K23" i="1"/>
  <c r="AI23" i="6" s="1"/>
  <c r="BF23" i="6" s="1"/>
  <c r="K168" i="1"/>
  <c r="AI168" i="6" s="1"/>
  <c r="BF168" i="6" s="1"/>
  <c r="K61" i="1"/>
  <c r="AI61" i="6" s="1"/>
  <c r="BF61" i="6" s="1"/>
  <c r="K13" i="1"/>
  <c r="AI13" i="6" s="1"/>
  <c r="BF13" i="6" s="1"/>
  <c r="K77" i="1"/>
  <c r="AI77" i="6" s="1"/>
  <c r="BF77" i="6" s="1"/>
  <c r="K142" i="1"/>
  <c r="K174" i="1"/>
  <c r="K206" i="1"/>
  <c r="AI206" i="6" s="1"/>
  <c r="BF206" i="6" s="1"/>
  <c r="K238" i="1"/>
  <c r="AI238" i="6" s="1"/>
  <c r="BF238" i="6" s="1"/>
  <c r="K6" i="1"/>
  <c r="AI6" i="6" s="1"/>
  <c r="BF6" i="6" s="1"/>
  <c r="K50" i="1"/>
  <c r="AI50" i="6" s="1"/>
  <c r="BF50" i="6" s="1"/>
  <c r="K95" i="1"/>
  <c r="K135" i="1"/>
  <c r="K179" i="1"/>
  <c r="K223" i="1"/>
  <c r="K11" i="1"/>
  <c r="AI11" i="6" s="1"/>
  <c r="BF11" i="6" s="1"/>
  <c r="K108" i="1"/>
  <c r="K21" i="1"/>
  <c r="AI21" i="6" s="1"/>
  <c r="BF21" i="6" s="1"/>
  <c r="K53" i="1"/>
  <c r="AI53" i="6" s="1"/>
  <c r="BF53" i="6" s="1"/>
  <c r="K86" i="1"/>
  <c r="AI85" i="6" s="1"/>
  <c r="BF85" i="6" s="1"/>
  <c r="K118" i="1"/>
  <c r="K150" i="1"/>
  <c r="K182" i="1"/>
  <c r="K214" i="1"/>
  <c r="AI214" i="6" s="1"/>
  <c r="BF214" i="6" s="1"/>
  <c r="K246" i="1"/>
  <c r="AI246" i="6" s="1"/>
  <c r="BF246" i="6" s="1"/>
  <c r="K18" i="1"/>
  <c r="AI18" i="6" s="1"/>
  <c r="BF18" i="6" s="1"/>
  <c r="K62" i="1"/>
  <c r="AI62" i="6" s="1"/>
  <c r="BF62" i="6" s="1"/>
  <c r="K103" i="1"/>
  <c r="K147" i="1"/>
  <c r="AI147" i="6" s="1"/>
  <c r="BF147" i="6" s="1"/>
  <c r="K191" i="1"/>
  <c r="AI191" i="6" s="1"/>
  <c r="BF191" i="6" s="1"/>
  <c r="K231" i="1"/>
  <c r="K43" i="1"/>
  <c r="AI43" i="6" s="1"/>
  <c r="BF43" i="6" s="1"/>
  <c r="K24" i="1"/>
  <c r="AI24" i="6" s="1"/>
  <c r="BF24" i="6" s="1"/>
  <c r="K29" i="1"/>
  <c r="AI29" i="6" s="1"/>
  <c r="BF29" i="6" s="1"/>
  <c r="K158" i="1"/>
  <c r="K45" i="1"/>
  <c r="AI45" i="6" s="1"/>
  <c r="BF45" i="6" s="1"/>
  <c r="K25" i="1"/>
  <c r="AI25" i="6" s="1"/>
  <c r="BF25" i="6" s="1"/>
  <c r="K57" i="1"/>
  <c r="AI57" i="6" s="1"/>
  <c r="BF57" i="6" s="1"/>
  <c r="K90" i="1"/>
  <c r="K122" i="1"/>
  <c r="AI122" i="6" s="1"/>
  <c r="BF122" i="6" s="1"/>
  <c r="K154" i="1"/>
  <c r="AI154" i="6" s="1"/>
  <c r="BF154" i="6" s="1"/>
  <c r="K186" i="1"/>
  <c r="AI186" i="6" s="1"/>
  <c r="BF186" i="6" s="1"/>
  <c r="K218" i="1"/>
  <c r="K250" i="1"/>
  <c r="K22" i="1"/>
  <c r="AI22" i="6" s="1"/>
  <c r="BF22" i="6" s="1"/>
  <c r="K66" i="1"/>
  <c r="AI66" i="6" s="1"/>
  <c r="BF66" i="6" s="1"/>
  <c r="K111" i="1"/>
  <c r="K151" i="1"/>
  <c r="K195" i="1"/>
  <c r="K243" i="1"/>
  <c r="AI243" i="6" s="1"/>
  <c r="BF243" i="6" s="1"/>
  <c r="K47" i="1"/>
  <c r="AI47" i="6" s="1"/>
  <c r="BF47" i="6" s="1"/>
  <c r="K30" i="1"/>
  <c r="AI30" i="6" s="1"/>
  <c r="BF30" i="6" s="1"/>
  <c r="K33" i="1"/>
  <c r="AI33" i="6" s="1"/>
  <c r="BF33" i="6" s="1"/>
  <c r="K65" i="1"/>
  <c r="AI65" i="6" s="1"/>
  <c r="BF65" i="6" s="1"/>
  <c r="K98" i="1"/>
  <c r="K130" i="1"/>
  <c r="K162" i="1"/>
  <c r="AI162" i="6" s="1"/>
  <c r="BF162" i="6" s="1"/>
  <c r="K194" i="1"/>
  <c r="AI194" i="6" s="1"/>
  <c r="BF194" i="6" s="1"/>
  <c r="K226" i="1"/>
  <c r="K258" i="1"/>
  <c r="K34" i="1"/>
  <c r="AI34" i="6" s="1"/>
  <c r="BF34" i="6" s="1"/>
  <c r="K78" i="1"/>
  <c r="AI78" i="6" s="1"/>
  <c r="BF78" i="6" s="1"/>
  <c r="K119" i="1"/>
  <c r="K163" i="1"/>
  <c r="AI163" i="6" s="1"/>
  <c r="BF163" i="6" s="1"/>
  <c r="K207" i="1"/>
  <c r="AI207" i="6" s="1"/>
  <c r="BF207" i="6" s="1"/>
  <c r="K259" i="1"/>
  <c r="AI259" i="6" s="1"/>
  <c r="BF259" i="6" s="1"/>
  <c r="K63" i="1"/>
  <c r="AI63" i="6" s="1"/>
  <c r="BF63" i="6" s="1"/>
  <c r="K126" i="1"/>
  <c r="K222" i="1"/>
  <c r="AI222" i="6" s="1"/>
  <c r="BF222" i="6" s="1"/>
  <c r="K254" i="1"/>
  <c r="K70" i="1"/>
  <c r="AI70" i="6" s="1"/>
  <c r="BF70" i="6" s="1"/>
  <c r="K115" i="1"/>
  <c r="K159" i="1"/>
  <c r="AI159" i="6" s="1"/>
  <c r="BF159" i="6" s="1"/>
  <c r="K199" i="1"/>
  <c r="AI199" i="6" s="1"/>
  <c r="BF199" i="6" s="1"/>
  <c r="K255" i="1"/>
  <c r="AI255" i="6" s="1"/>
  <c r="BF255" i="6" s="1"/>
  <c r="K55" i="1"/>
  <c r="AI55" i="6" s="1"/>
  <c r="BF55" i="6" s="1"/>
  <c r="K5" i="1"/>
  <c r="AI5" i="6" s="1"/>
  <c r="BF5" i="6" s="1"/>
  <c r="K37" i="1"/>
  <c r="AI37" i="6" s="1"/>
  <c r="BF37" i="6" s="1"/>
  <c r="K69" i="1"/>
  <c r="AI69" i="6" s="1"/>
  <c r="BF69" i="6" s="1"/>
  <c r="K102" i="1"/>
  <c r="AI102" i="6" s="1"/>
  <c r="BF102" i="6" s="1"/>
  <c r="K134" i="1"/>
  <c r="AI134" i="6" s="1"/>
  <c r="BF134" i="6" s="1"/>
  <c r="K166" i="1"/>
  <c r="AI166" i="6" s="1"/>
  <c r="BF166" i="6" s="1"/>
  <c r="K198" i="1"/>
  <c r="AI198" i="6" s="1"/>
  <c r="BF198" i="6" s="1"/>
  <c r="K230" i="1"/>
  <c r="K266" i="1"/>
  <c r="AI266" i="6" s="1"/>
  <c r="BF266" i="6" s="1"/>
  <c r="K38" i="1"/>
  <c r="AI38" i="6" s="1"/>
  <c r="BF38" i="6" s="1"/>
  <c r="K82" i="1"/>
  <c r="AI82" i="6" s="1"/>
  <c r="BF82" i="6" s="1"/>
  <c r="K127" i="1"/>
  <c r="K167" i="1"/>
  <c r="AI167" i="6" s="1"/>
  <c r="BF167" i="6" s="1"/>
  <c r="K211" i="1"/>
  <c r="AI211" i="6" s="1"/>
  <c r="BF211" i="6" s="1"/>
  <c r="K263" i="1"/>
  <c r="AI263" i="6" s="1"/>
  <c r="BF263" i="6" s="1"/>
  <c r="K92" i="1"/>
  <c r="K94" i="1"/>
  <c r="AI94" i="6" s="1"/>
  <c r="BF94" i="6" s="1"/>
  <c r="K190" i="1"/>
  <c r="AI190" i="6" s="1"/>
  <c r="BF190" i="6" s="1"/>
  <c r="K9" i="1"/>
  <c r="AI9" i="6" s="1"/>
  <c r="BF9" i="6" s="1"/>
  <c r="K41" i="1"/>
  <c r="AI41" i="6" s="1"/>
  <c r="BF41" i="6" s="1"/>
  <c r="K73" i="1"/>
  <c r="AI73" i="6" s="1"/>
  <c r="BF73" i="6" s="1"/>
  <c r="K106" i="1"/>
  <c r="AI106" i="6" s="1"/>
  <c r="BF106" i="6" s="1"/>
  <c r="K138" i="1"/>
  <c r="AI138" i="6" s="1"/>
  <c r="BF138" i="6" s="1"/>
  <c r="K170" i="1"/>
  <c r="K202" i="1"/>
  <c r="AI202" i="6" s="1"/>
  <c r="BF202" i="6" s="1"/>
  <c r="K234" i="1"/>
  <c r="K270" i="1"/>
  <c r="K46" i="1"/>
  <c r="AI46" i="6" s="1"/>
  <c r="BF46" i="6" s="1"/>
  <c r="K87" i="1"/>
  <c r="AI87" i="6" s="1"/>
  <c r="BF87" i="6" s="1"/>
  <c r="K131" i="1"/>
  <c r="AI131" i="6" s="1"/>
  <c r="BF131" i="6" s="1"/>
  <c r="K175" i="1"/>
  <c r="AI175" i="6" s="1"/>
  <c r="BF175" i="6" s="1"/>
  <c r="K215" i="1"/>
  <c r="AI215" i="6" s="1"/>
  <c r="BF215" i="6" s="1"/>
  <c r="K7" i="1"/>
  <c r="AI7" i="6" s="1"/>
  <c r="BF7" i="6" s="1"/>
  <c r="K104" i="1"/>
  <c r="AI104" i="6" s="1"/>
  <c r="BF104" i="6" s="1"/>
  <c r="K110" i="1"/>
  <c r="K39" i="1"/>
  <c r="AI39" i="6" s="1"/>
  <c r="BF39" i="6" s="1"/>
  <c r="K83" i="1"/>
  <c r="AI83" i="6" s="1"/>
  <c r="BF83" i="6" s="1"/>
  <c r="K236" i="1"/>
  <c r="AI236" i="6" s="1"/>
  <c r="BF236" i="6" s="1"/>
  <c r="K239" i="1"/>
  <c r="AI239" i="6" s="1"/>
  <c r="BF239" i="6" s="1"/>
  <c r="K15" i="1"/>
  <c r="AI15" i="6" s="1"/>
  <c r="BF15" i="6" s="1"/>
  <c r="K59" i="1"/>
  <c r="AI59" i="6" s="1"/>
  <c r="BF59" i="6" s="1"/>
  <c r="K140" i="1"/>
  <c r="AI140" i="6" s="1"/>
  <c r="BF140" i="6" s="1"/>
  <c r="K247" i="1"/>
  <c r="K27" i="1"/>
  <c r="AI27" i="6" s="1"/>
  <c r="BF27" i="6" s="1"/>
  <c r="K71" i="1"/>
  <c r="AI71" i="6" s="1"/>
  <c r="BF71" i="6" s="1"/>
  <c r="K172" i="1"/>
  <c r="AI172" i="6" s="1"/>
  <c r="BF172" i="6" s="1"/>
  <c r="K31" i="1"/>
  <c r="AI31" i="6" s="1"/>
  <c r="BF31" i="6" s="1"/>
  <c r="K75" i="1"/>
  <c r="AI75" i="6" s="1"/>
  <c r="BF75" i="6" s="1"/>
  <c r="K204" i="1"/>
  <c r="AI204" i="6" s="1"/>
  <c r="BF204" i="6" s="1"/>
  <c r="K10" i="1"/>
  <c r="AI10" i="6" s="1"/>
  <c r="BF10" i="6" s="1"/>
  <c r="K42" i="1"/>
  <c r="AI42" i="6" s="1"/>
  <c r="BF42" i="6" s="1"/>
  <c r="K74" i="1"/>
  <c r="AI74" i="6" s="1"/>
  <c r="BF74" i="6" s="1"/>
  <c r="K107" i="1"/>
  <c r="AI107" i="6" s="1"/>
  <c r="BF107" i="6" s="1"/>
  <c r="K139" i="1"/>
  <c r="AI139" i="6" s="1"/>
  <c r="BF139" i="6" s="1"/>
  <c r="K171" i="1"/>
  <c r="AI171" i="6" s="1"/>
  <c r="BF171" i="6" s="1"/>
  <c r="K203" i="1"/>
  <c r="K235" i="1"/>
  <c r="AI235" i="6" s="1"/>
  <c r="BF235" i="6" s="1"/>
  <c r="K267" i="1"/>
  <c r="K35" i="1"/>
  <c r="AI35" i="6" s="1"/>
  <c r="BF35" i="6" s="1"/>
  <c r="K67" i="1"/>
  <c r="AI67" i="6" s="1"/>
  <c r="BF67" i="6" s="1"/>
  <c r="K136" i="1"/>
  <c r="AI136" i="6" s="1"/>
  <c r="BF136" i="6" s="1"/>
  <c r="K12" i="1"/>
  <c r="AI12" i="6" s="1"/>
  <c r="BF12" i="6" s="1"/>
  <c r="K262" i="1"/>
  <c r="AI262" i="6" s="1"/>
  <c r="BF262" i="6" s="1"/>
  <c r="K26" i="1"/>
  <c r="AI26" i="6" s="1"/>
  <c r="BF26" i="6" s="1"/>
  <c r="K58" i="1"/>
  <c r="AI58" i="6" s="1"/>
  <c r="BF58" i="6" s="1"/>
  <c r="K91" i="1"/>
  <c r="AI91" i="6" s="1"/>
  <c r="BF91" i="6" s="1"/>
  <c r="K123" i="1"/>
  <c r="AI123" i="6" s="1"/>
  <c r="BF123" i="6" s="1"/>
  <c r="K155" i="1"/>
  <c r="AI155" i="6" s="1"/>
  <c r="BF155" i="6" s="1"/>
  <c r="K187" i="1"/>
  <c r="AI187" i="6" s="1"/>
  <c r="BF187" i="6" s="1"/>
  <c r="K219" i="1"/>
  <c r="AI219" i="6" s="1"/>
  <c r="BF219" i="6" s="1"/>
  <c r="K251" i="1"/>
  <c r="AI251" i="6" s="1"/>
  <c r="BF251" i="6" s="1"/>
  <c r="K19" i="1"/>
  <c r="AI19" i="6" s="1"/>
  <c r="BF19" i="6" s="1"/>
  <c r="K51" i="1"/>
  <c r="AI51" i="6" s="1"/>
  <c r="BF51" i="6" s="1"/>
  <c r="K88" i="1"/>
  <c r="AI88" i="6" s="1"/>
  <c r="BF88" i="6" s="1"/>
  <c r="K200" i="1"/>
  <c r="AI200" i="6" s="1"/>
  <c r="BF200" i="6" s="1"/>
  <c r="K232" i="1"/>
  <c r="AI232" i="6" s="1"/>
  <c r="BF232" i="6" s="1"/>
  <c r="K96" i="1"/>
  <c r="AI96" i="6" s="1"/>
  <c r="BF96" i="6" s="1"/>
  <c r="K128" i="1"/>
  <c r="AI128" i="6" s="1"/>
  <c r="BF128" i="6" s="1"/>
  <c r="K160" i="1"/>
  <c r="AI160" i="6" s="1"/>
  <c r="BF160" i="6" s="1"/>
  <c r="K192" i="1"/>
  <c r="AI192" i="6" s="1"/>
  <c r="BF192" i="6" s="1"/>
  <c r="K224" i="1"/>
  <c r="AI224" i="6" s="1"/>
  <c r="BF224" i="6" s="1"/>
  <c r="K260" i="1"/>
  <c r="AI260" i="6" s="1"/>
  <c r="BF260" i="6" s="1"/>
  <c r="K68" i="1"/>
  <c r="AI68" i="6" s="1"/>
  <c r="BF68" i="6" s="1"/>
  <c r="K100" i="1"/>
  <c r="AI100" i="6" s="1"/>
  <c r="BF100" i="6" s="1"/>
  <c r="K132" i="1"/>
  <c r="AI132" i="6" s="1"/>
  <c r="BF132" i="6" s="1"/>
  <c r="K164" i="1"/>
  <c r="AI164" i="6" s="1"/>
  <c r="BF164" i="6" s="1"/>
  <c r="K196" i="1"/>
  <c r="AI196" i="6" s="1"/>
  <c r="BF196" i="6" s="1"/>
  <c r="K228" i="1"/>
  <c r="AI228" i="6" s="1"/>
  <c r="BF228" i="6" s="1"/>
  <c r="K268" i="1"/>
  <c r="AI268" i="6" s="1"/>
  <c r="BF268" i="6" s="1"/>
  <c r="K133" i="1"/>
  <c r="AI133" i="6" s="1"/>
  <c r="BF133" i="6" s="1"/>
  <c r="K79" i="1"/>
  <c r="AI79" i="6" s="1"/>
  <c r="BF79" i="6" s="1"/>
  <c r="K112" i="1"/>
  <c r="AI112" i="6" s="1"/>
  <c r="BF112" i="6" s="1"/>
  <c r="K144" i="1"/>
  <c r="AI144" i="6" s="1"/>
  <c r="BF144" i="6" s="1"/>
  <c r="K176" i="1"/>
  <c r="AI176" i="6" s="1"/>
  <c r="BF176" i="6" s="1"/>
  <c r="K208" i="1"/>
  <c r="AI208" i="6" s="1"/>
  <c r="BF208" i="6" s="1"/>
  <c r="K240" i="1"/>
  <c r="K28" i="1"/>
  <c r="AI28" i="6" s="1"/>
  <c r="BF28" i="6" s="1"/>
  <c r="K116" i="1"/>
  <c r="AI116" i="6" s="1"/>
  <c r="BF116" i="6" s="1"/>
  <c r="K148" i="1"/>
  <c r="AI148" i="6" s="1"/>
  <c r="BF148" i="6" s="1"/>
  <c r="K180" i="1"/>
  <c r="AI180" i="6" s="1"/>
  <c r="BF180" i="6" s="1"/>
  <c r="K212" i="1"/>
  <c r="AI212" i="6" s="1"/>
  <c r="BF212" i="6" s="1"/>
  <c r="K244" i="1"/>
  <c r="AI244" i="6" s="1"/>
  <c r="BF244" i="6" s="1"/>
  <c r="K36" i="1"/>
  <c r="AI36" i="6" s="1"/>
  <c r="BF36" i="6" s="1"/>
  <c r="K120" i="1"/>
  <c r="AI120" i="6" s="1"/>
  <c r="BF120" i="6" s="1"/>
  <c r="K152" i="1"/>
  <c r="AI152" i="6" s="1"/>
  <c r="BF152" i="6" s="1"/>
  <c r="K184" i="1"/>
  <c r="AI184" i="6" s="1"/>
  <c r="BF184" i="6" s="1"/>
  <c r="K216" i="1"/>
  <c r="AI216" i="6" s="1"/>
  <c r="BF216" i="6" s="1"/>
  <c r="K248" i="1"/>
  <c r="AI248" i="6" s="1"/>
  <c r="BF248" i="6" s="1"/>
  <c r="K44" i="1"/>
  <c r="AI44" i="6" s="1"/>
  <c r="BF44" i="6" s="1"/>
  <c r="K124" i="1"/>
  <c r="AI124" i="6" s="1"/>
  <c r="BF124" i="6" s="1"/>
  <c r="K156" i="1"/>
  <c r="AI156" i="6" s="1"/>
  <c r="BF156" i="6" s="1"/>
  <c r="K188" i="1"/>
  <c r="AI188" i="6" s="1"/>
  <c r="BF188" i="6" s="1"/>
  <c r="K220" i="1"/>
  <c r="AI220" i="6" s="1"/>
  <c r="BF220" i="6" s="1"/>
  <c r="K256" i="1"/>
  <c r="AI256" i="6" s="1"/>
  <c r="BF256" i="6" s="1"/>
  <c r="K64" i="1"/>
  <c r="AI64" i="6" s="1"/>
  <c r="BF64" i="6" s="1"/>
  <c r="K16" i="1"/>
  <c r="AI16" i="6" s="1"/>
  <c r="BF16" i="6" s="1"/>
  <c r="K48" i="1"/>
  <c r="AI48" i="6" s="1"/>
  <c r="BF48" i="6" s="1"/>
  <c r="K189" i="1"/>
  <c r="AI189" i="6" s="1"/>
  <c r="BF189" i="6" s="1"/>
  <c r="K252" i="1"/>
  <c r="AI252" i="6" s="1"/>
  <c r="BF252" i="6" s="1"/>
  <c r="K20" i="1"/>
  <c r="AI20" i="6" s="1"/>
  <c r="BF20" i="6" s="1"/>
  <c r="K56" i="1"/>
  <c r="AI56" i="6" s="1"/>
  <c r="BF56" i="6" s="1"/>
  <c r="K233" i="1"/>
  <c r="AI233" i="6" s="1"/>
  <c r="BF233" i="6" s="1"/>
  <c r="K264" i="1"/>
  <c r="AI264" i="6" s="1"/>
  <c r="BF264" i="6" s="1"/>
  <c r="K32" i="1"/>
  <c r="AI32" i="6" s="1"/>
  <c r="BF32" i="6" s="1"/>
  <c r="K89" i="1"/>
  <c r="AI89" i="6" s="1"/>
  <c r="BF89" i="6" s="1"/>
  <c r="K109" i="1"/>
  <c r="AI109" i="6" s="1"/>
  <c r="BF109" i="6" s="1"/>
  <c r="K8" i="1"/>
  <c r="AI8" i="6" s="1"/>
  <c r="BF8" i="6" s="1"/>
  <c r="K40" i="1"/>
  <c r="AI40" i="6" s="1"/>
  <c r="BF40" i="6" s="1"/>
  <c r="K113" i="1"/>
  <c r="AI113" i="6" s="1"/>
  <c r="BF113" i="6" s="1"/>
  <c r="K97" i="1"/>
  <c r="AI97" i="6" s="1"/>
  <c r="BF97" i="6" s="1"/>
  <c r="K213" i="1"/>
  <c r="AI213" i="6" s="1"/>
  <c r="BF213" i="6" s="1"/>
  <c r="K72" i="1"/>
  <c r="AI72" i="6" s="1"/>
  <c r="BF72" i="6" s="1"/>
  <c r="K145" i="1"/>
  <c r="AI145" i="6" s="1"/>
  <c r="BF145" i="6" s="1"/>
  <c r="K76" i="1"/>
  <c r="AI76" i="6" s="1"/>
  <c r="BF76" i="6" s="1"/>
  <c r="K173" i="1"/>
  <c r="AI173" i="6" s="1"/>
  <c r="BF173" i="6" s="1"/>
  <c r="K80" i="1"/>
  <c r="AI80" i="6" s="1"/>
  <c r="BF80" i="6" s="1"/>
  <c r="K177" i="1"/>
  <c r="AI177" i="6" s="1"/>
  <c r="BF177" i="6" s="1"/>
  <c r="K101" i="1"/>
  <c r="AI101" i="6" s="1"/>
  <c r="BF101" i="6" s="1"/>
  <c r="K197" i="1"/>
  <c r="AI197" i="6" s="1"/>
  <c r="BF197" i="6" s="1"/>
  <c r="K52" i="1"/>
  <c r="AI52" i="6" s="1"/>
  <c r="BF52" i="6" s="1"/>
  <c r="K84" i="1"/>
  <c r="AI84" i="6" s="1"/>
  <c r="BF84" i="6" s="1"/>
  <c r="K137" i="1"/>
  <c r="AI137" i="6" s="1"/>
  <c r="BF137" i="6" s="1"/>
  <c r="K221" i="1"/>
  <c r="AI221" i="6" s="1"/>
  <c r="BF221" i="6" s="1"/>
  <c r="K60" i="1"/>
  <c r="AI60" i="6" s="1"/>
  <c r="BF60" i="6" s="1"/>
  <c r="K93" i="1"/>
  <c r="AI93" i="6" s="1"/>
  <c r="BF93" i="6" s="1"/>
  <c r="K149" i="1"/>
  <c r="AI149" i="6" s="1"/>
  <c r="BF149" i="6" s="1"/>
  <c r="K237" i="1"/>
  <c r="AI237" i="6" s="1"/>
  <c r="BF237" i="6" s="1"/>
  <c r="K117" i="1"/>
  <c r="AI117" i="6" s="1"/>
  <c r="BF117" i="6" s="1"/>
  <c r="K157" i="1"/>
  <c r="AI157" i="6" s="1"/>
  <c r="BF157" i="6" s="1"/>
  <c r="K201" i="1"/>
  <c r="AI201" i="6" s="1"/>
  <c r="BF201" i="6" s="1"/>
  <c r="K241" i="1"/>
  <c r="AI241" i="6" s="1"/>
  <c r="BF241" i="6" s="1"/>
  <c r="K125" i="1"/>
  <c r="AI125" i="6" s="1"/>
  <c r="BF125" i="6" s="1"/>
  <c r="K165" i="1"/>
  <c r="AI165" i="6" s="1"/>
  <c r="BF165" i="6" s="1"/>
  <c r="K205" i="1"/>
  <c r="AI205" i="6" s="1"/>
  <c r="BF205" i="6" s="1"/>
  <c r="K245" i="1"/>
  <c r="AI245" i="6" s="1"/>
  <c r="BF245" i="6" s="1"/>
  <c r="K129" i="1"/>
  <c r="AI129" i="6" s="1"/>
  <c r="BF129" i="6" s="1"/>
  <c r="K169" i="1"/>
  <c r="AI169" i="6" s="1"/>
  <c r="BF169" i="6" s="1"/>
  <c r="K209" i="1"/>
  <c r="AI209" i="6" s="1"/>
  <c r="BF209" i="6" s="1"/>
  <c r="K257" i="1"/>
  <c r="AI257" i="6" s="1"/>
  <c r="BF257" i="6" s="1"/>
  <c r="K105" i="1"/>
  <c r="AI105" i="6" s="1"/>
  <c r="BF105" i="6" s="1"/>
  <c r="K141" i="1"/>
  <c r="AI141" i="6" s="1"/>
  <c r="BF141" i="6" s="1"/>
  <c r="K181" i="1"/>
  <c r="AI181" i="6" s="1"/>
  <c r="BF181" i="6" s="1"/>
  <c r="K229" i="1"/>
  <c r="AI229" i="6" s="1"/>
  <c r="BF229" i="6" s="1"/>
  <c r="K121" i="1"/>
  <c r="AI121" i="6" s="1"/>
  <c r="BF121" i="6" s="1"/>
  <c r="K153" i="1"/>
  <c r="AI153" i="6" s="1"/>
  <c r="BF153" i="6" s="1"/>
  <c r="K185" i="1"/>
  <c r="AI185" i="6" s="1"/>
  <c r="BF185" i="6" s="1"/>
  <c r="K217" i="1"/>
  <c r="AI217" i="6" s="1"/>
  <c r="BF217" i="6" s="1"/>
  <c r="K249" i="1"/>
  <c r="AI249" i="6" s="1"/>
  <c r="BF249" i="6" s="1"/>
  <c r="K161" i="1"/>
  <c r="AI161" i="6" s="1"/>
  <c r="BF161" i="6" s="1"/>
  <c r="K193" i="1"/>
  <c r="AI193" i="6" s="1"/>
  <c r="BF193" i="6" s="1"/>
  <c r="K225" i="1"/>
  <c r="AI225" i="6" s="1"/>
  <c r="BF225" i="6" s="1"/>
  <c r="K265" i="1"/>
  <c r="AI265" i="6" s="1"/>
  <c r="BF265" i="6" s="1"/>
  <c r="K253" i="1"/>
  <c r="AI253" i="6" s="1"/>
  <c r="BF253" i="6" s="1"/>
  <c r="K261" i="1"/>
  <c r="AI261" i="6" s="1"/>
  <c r="BF261" i="6" s="1"/>
  <c r="K269" i="1"/>
  <c r="AI269" i="6" s="1"/>
  <c r="BF269" i="6" s="1"/>
  <c r="AI179" i="6"/>
  <c r="BF179" i="6" s="1"/>
  <c r="AI108" i="6"/>
  <c r="BF108" i="6" s="1"/>
  <c r="AI111" i="6"/>
  <c r="BF111" i="6" s="1"/>
  <c r="AI86" i="6"/>
  <c r="BF86" i="6" s="1"/>
  <c r="AI118" i="6"/>
  <c r="BF118" i="6" s="1"/>
  <c r="AI150" i="6"/>
  <c r="BF150" i="6" s="1"/>
  <c r="AI182" i="6"/>
  <c r="BF182" i="6" s="1"/>
  <c r="AI126" i="6"/>
  <c r="BF126" i="6" s="1"/>
  <c r="AI158" i="6"/>
  <c r="BF158" i="6" s="1"/>
  <c r="AI254" i="6"/>
  <c r="BF254" i="6" s="1"/>
  <c r="AI119" i="6"/>
  <c r="BF119" i="6" s="1"/>
  <c r="AI230" i="6"/>
  <c r="BF230" i="6" s="1"/>
  <c r="AI95" i="6"/>
  <c r="BF95" i="6" s="1"/>
  <c r="AI127" i="6"/>
  <c r="BF127" i="6" s="1"/>
  <c r="AI223" i="6"/>
  <c r="BF223" i="6" s="1"/>
  <c r="AI130" i="6"/>
  <c r="BF130" i="6" s="1"/>
  <c r="AI258" i="6"/>
  <c r="BF258" i="6" s="1"/>
  <c r="AI170" i="6"/>
  <c r="BF170" i="6" s="1"/>
  <c r="AI234" i="6"/>
  <c r="BF234" i="6" s="1"/>
  <c r="AI99" i="6"/>
  <c r="BF99" i="6" s="1"/>
  <c r="AI195" i="6"/>
  <c r="BF195" i="6" s="1"/>
  <c r="AI227" i="6"/>
  <c r="BF227" i="6" s="1"/>
  <c r="AI92" i="6"/>
  <c r="BF92" i="6" s="1"/>
  <c r="AI98" i="6"/>
  <c r="BF98" i="6" s="1"/>
  <c r="AI226" i="6"/>
  <c r="BF226" i="6" s="1"/>
  <c r="AI110" i="6"/>
  <c r="BF110" i="6" s="1"/>
  <c r="AI142" i="6"/>
  <c r="BF142" i="6" s="1"/>
  <c r="AI174" i="6"/>
  <c r="BF174" i="6" s="1"/>
  <c r="AI103" i="6"/>
  <c r="BF103" i="6" s="1"/>
  <c r="AI135" i="6"/>
  <c r="BF135" i="6" s="1"/>
  <c r="AI231" i="6"/>
  <c r="BF231" i="6" s="1"/>
  <c r="AI114" i="6"/>
  <c r="BF114" i="6" s="1"/>
  <c r="AI146" i="6"/>
  <c r="BF146" i="6" s="1"/>
  <c r="AI210" i="6"/>
  <c r="BF210" i="6" s="1"/>
  <c r="AI203" i="6"/>
  <c r="BF203" i="6" s="1"/>
  <c r="AI267" i="6"/>
  <c r="BF267" i="6" s="1"/>
  <c r="AI90" i="6"/>
  <c r="BF90" i="6" s="1"/>
  <c r="AI218" i="6"/>
  <c r="BF218" i="6" s="1"/>
  <c r="AI250" i="6"/>
  <c r="BF250" i="6" s="1"/>
  <c r="AI115" i="6"/>
  <c r="BF115" i="6" s="1"/>
  <c r="AI151" i="6"/>
  <c r="BF151" i="6" s="1"/>
  <c r="AI183" i="6"/>
  <c r="BF183" i="6" s="1"/>
  <c r="AI247" i="6"/>
  <c r="BF247" i="6" s="1"/>
  <c r="AI240" i="6"/>
  <c r="BF240" i="6" s="1"/>
  <c r="AI270" i="6"/>
  <c r="BF270" i="6" s="1"/>
  <c r="D25" i="6" l="1"/>
  <c r="F25" i="6" s="1"/>
  <c r="D22" i="6"/>
  <c r="F22" i="6" s="1"/>
  <c r="D24" i="6"/>
  <c r="F24" i="6" s="1"/>
  <c r="D21" i="6"/>
  <c r="F21" i="6" s="1"/>
  <c r="D14" i="6"/>
  <c r="F14" i="6" s="1"/>
  <c r="D13" i="6"/>
  <c r="F13" i="6" s="1"/>
  <c r="D17" i="6"/>
  <c r="F17" i="6" s="1"/>
  <c r="D23" i="6"/>
  <c r="F23" i="6" s="1"/>
  <c r="D10" i="6"/>
  <c r="F10" i="6" s="1"/>
  <c r="D11" i="6"/>
  <c r="F11" i="6" s="1"/>
  <c r="D18" i="6"/>
  <c r="F18" i="6" s="1"/>
  <c r="D19" i="6"/>
  <c r="F19" i="6" s="1"/>
  <c r="D26" i="6"/>
  <c r="F26" i="6" s="1"/>
  <c r="D20" i="6"/>
  <c r="F20" i="6" s="1"/>
  <c r="D27" i="6"/>
  <c r="F27" i="6" s="1"/>
  <c r="A35" i="6"/>
  <c r="A44" i="6" s="1"/>
  <c r="D12" i="6"/>
  <c r="F12" i="6" s="1"/>
  <c r="D9" i="6"/>
  <c r="D16" i="6"/>
  <c r="F16" i="6" s="1"/>
  <c r="D15" i="6"/>
  <c r="F15" i="6" s="1"/>
  <c r="D29" i="6" l="1"/>
  <c r="F9" i="6"/>
  <c r="F29" i="6" s="1"/>
</calcChain>
</file>

<file path=xl/sharedStrings.xml><?xml version="1.0" encoding="utf-8"?>
<sst xmlns="http://schemas.openxmlformats.org/spreadsheetml/2006/main" count="8540" uniqueCount="4330">
  <si>
    <t>Alimentos</t>
  </si>
  <si>
    <t>Adoçante</t>
  </si>
  <si>
    <t>Arroz (1kg)</t>
  </si>
  <si>
    <t>Arroz (2kg)</t>
  </si>
  <si>
    <t>Arroz (5kg)</t>
  </si>
  <si>
    <t>Atum</t>
  </si>
  <si>
    <t>Café (1kg)</t>
  </si>
  <si>
    <t>Cevada</t>
  </si>
  <si>
    <t>Feijão (1kg)</t>
  </si>
  <si>
    <t>Feijão (2kg)</t>
  </si>
  <si>
    <t>Lentilha (1kg)</t>
  </si>
  <si>
    <t>Maizena (200g)</t>
  </si>
  <si>
    <t>Maizena (500g)</t>
  </si>
  <si>
    <t>Miojo</t>
  </si>
  <si>
    <t>Mistura de Bolo</t>
  </si>
  <si>
    <t>Óleo</t>
  </si>
  <si>
    <t>Tomate Pelado (400g)</t>
  </si>
  <si>
    <t>Torrada</t>
  </si>
  <si>
    <t>Higiene</t>
  </si>
  <si>
    <t>Item</t>
  </si>
  <si>
    <t>kg/embalagem</t>
  </si>
  <si>
    <t>Água Sanitária (1L)</t>
  </si>
  <si>
    <t>Água Sanitária (2L)</t>
  </si>
  <si>
    <t>Água Sanitária (5L)</t>
  </si>
  <si>
    <t>Alvejante (1L)</t>
  </si>
  <si>
    <t>Alvejante (2L)</t>
  </si>
  <si>
    <t>Amaciante (2L)</t>
  </si>
  <si>
    <t>Amaciante (5L)</t>
  </si>
  <si>
    <t>Cotonete</t>
  </si>
  <si>
    <t>Desinfetante (1L)</t>
  </si>
  <si>
    <t>Desodorante</t>
  </si>
  <si>
    <t>Detergente</t>
  </si>
  <si>
    <t>Fraldas Geriátricas (20un)</t>
  </si>
  <si>
    <t>Fraldas Geriátricas (30un)</t>
  </si>
  <si>
    <t>Fraldas Infantis (16un)</t>
  </si>
  <si>
    <t>Fraldas Infantis (20un)</t>
  </si>
  <si>
    <t>Fraldas Infantis (24un)</t>
  </si>
  <si>
    <t>Fraldas Infantis (26un)</t>
  </si>
  <si>
    <t>Fraldas Infantis (46un)</t>
  </si>
  <si>
    <t>Papel Higiênico (12un)</t>
  </si>
  <si>
    <t>Papel Higiênico (16un)</t>
  </si>
  <si>
    <t>Papel Higiênico (24un)</t>
  </si>
  <si>
    <t>Papel Toalha (2un)</t>
  </si>
  <si>
    <t>Pasta de Dente (180g)</t>
  </si>
  <si>
    <t>Pasta de Dente (50g)</t>
  </si>
  <si>
    <t>Pasta de Dente (70g)</t>
  </si>
  <si>
    <t>Pasta de Dente (90g)</t>
  </si>
  <si>
    <t>Sabão em Barra (1un)</t>
  </si>
  <si>
    <t>Sabão Líquido (1L)</t>
  </si>
  <si>
    <t>Sabão em Pó (1kg)</t>
  </si>
  <si>
    <t>Sabão em Pó (2kg)</t>
  </si>
  <si>
    <t>Sabão em Pó (3kg)</t>
  </si>
  <si>
    <t>kg</t>
  </si>
  <si>
    <t>Qtde (S1)</t>
  </si>
  <si>
    <t>Qtde (S2)</t>
  </si>
  <si>
    <t>Qtde (tot)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</si>
  <si>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</si>
  <si>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</si>
  <si>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</si>
  <si>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</si>
  <si>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</si>
  <si>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</si>
  <si>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</si>
  <si>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</si>
  <si>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</si>
  <si>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</si>
  <si>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</si>
  <si>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</si>
  <si>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</si>
  <si>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</si>
  <si>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</si>
  <si>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</si>
  <si>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</si>
  <si>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</si>
  <si>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</si>
  <si>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</si>
  <si>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</si>
  <si>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</si>
  <si>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</si>
  <si>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</si>
  <si>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</si>
  <si>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Categorias</t>
  </si>
  <si>
    <t>Topo</t>
  </si>
  <si>
    <t>Cadastro</t>
  </si>
  <si>
    <t>Resumo</t>
  </si>
  <si>
    <t>Qtde (S3)</t>
  </si>
  <si>
    <t>Qtde (S4)</t>
  </si>
  <si>
    <t>Qtde (S5)</t>
  </si>
  <si>
    <t>Qtde (S6)</t>
  </si>
  <si>
    <t>Qtde (S7)</t>
  </si>
  <si>
    <t>Qtde (S8)</t>
  </si>
  <si>
    <t>Qtde (S9)</t>
  </si>
  <si>
    <t>Qtde (S10)</t>
  </si>
  <si>
    <t>Qtde (S11)</t>
  </si>
  <si>
    <t>Qtde (S12)</t>
  </si>
  <si>
    <t>Qtde (S13)</t>
  </si>
  <si>
    <t>Achocolatado (200g)</t>
  </si>
  <si>
    <t>Achocolatado (400g)</t>
  </si>
  <si>
    <t>Achocolatado (500g)</t>
  </si>
  <si>
    <t>Achocolatado (800g)</t>
  </si>
  <si>
    <t>Açúcar (1kg)</t>
  </si>
  <si>
    <t>Açúcar (2kg)</t>
  </si>
  <si>
    <t>Açúcar (5kg)</t>
  </si>
  <si>
    <t>Arroz integral (500g)</t>
  </si>
  <si>
    <t>Arroz integral (1kg)</t>
  </si>
  <si>
    <t>Café (250g)</t>
  </si>
  <si>
    <t>Café (500g)</t>
  </si>
  <si>
    <t>Creme de Leite</t>
  </si>
  <si>
    <t>Farinha de milho</t>
  </si>
  <si>
    <t>Farinha de trigo</t>
  </si>
  <si>
    <t>Farofa temperada</t>
  </si>
  <si>
    <t>Fuba (500g)</t>
  </si>
  <si>
    <t>Fuba (1kg)</t>
  </si>
  <si>
    <t>Leite condensado</t>
  </si>
  <si>
    <t>Lentilha (200g)</t>
  </si>
  <si>
    <t>Macarrão (500g)</t>
  </si>
  <si>
    <t>Milho conserva(Lata)</t>
  </si>
  <si>
    <t>Milho + ervilha</t>
  </si>
  <si>
    <t>Milho de pipoca</t>
  </si>
  <si>
    <t>Molho de Tomate (340g)</t>
  </si>
  <si>
    <t>Panetone</t>
  </si>
  <si>
    <t>Pão de Mel (500g)</t>
  </si>
  <si>
    <t>Pêssego em calda</t>
  </si>
  <si>
    <t>Sal (500g)</t>
  </si>
  <si>
    <t>Sal (1kg)</t>
  </si>
  <si>
    <t>Salsicha tipo Viena</t>
  </si>
  <si>
    <t xml:space="preserve">Sardinha </t>
  </si>
  <si>
    <t>Tempero pronto</t>
  </si>
  <si>
    <t>Amaciante (500mL)</t>
  </si>
  <si>
    <t>Desinfetante(500mL)</t>
  </si>
  <si>
    <t>Desinfetante (750mL)</t>
  </si>
  <si>
    <t>Desinfetante (2L)</t>
  </si>
  <si>
    <t>Esponja (1un)</t>
  </si>
  <si>
    <t>Esponja (3un)</t>
  </si>
  <si>
    <t>Esponja de aço</t>
  </si>
  <si>
    <t>Preço</t>
  </si>
  <si>
    <t>Desinfetante (300mL)</t>
  </si>
  <si>
    <t>Fraldas Infantis (34un)</t>
  </si>
  <si>
    <t>Atum (325g)</t>
  </si>
  <si>
    <t>Gelatina (35g)</t>
  </si>
  <si>
    <t>Goiabada (500g)</t>
  </si>
  <si>
    <t>Preço por produto</t>
  </si>
  <si>
    <t>Kg equivalente</t>
  </si>
  <si>
    <t>Preço x Qtde</t>
  </si>
  <si>
    <t>Algodão (50g)</t>
  </si>
  <si>
    <t>Esponja (4un)</t>
  </si>
  <si>
    <t>Feijão (500g)</t>
  </si>
  <si>
    <t>Molho de Tomate (440g)</t>
  </si>
  <si>
    <t>Atum (170g)</t>
  </si>
  <si>
    <t>Aveia (200g)</t>
  </si>
  <si>
    <t>Talco (100g)</t>
  </si>
  <si>
    <t>Sopão (200g)</t>
  </si>
  <si>
    <t>Bebida Láctea Chocolate (180mL)</t>
  </si>
  <si>
    <t>Desengordurante</t>
  </si>
  <si>
    <t>Desinfetante (5L)</t>
  </si>
  <si>
    <t>Caldo Knor</t>
  </si>
  <si>
    <t>Fraldas Infantis (14un)</t>
  </si>
  <si>
    <t>Farofa (300g)</t>
  </si>
  <si>
    <t>Farofa (500g)</t>
  </si>
  <si>
    <t>Guardanapo</t>
  </si>
  <si>
    <t>Goiabada (400g)</t>
  </si>
  <si>
    <t>Lâmina de Barbear (5un)</t>
  </si>
  <si>
    <t>Lâmina de Barbear (7un)</t>
  </si>
  <si>
    <t>Maionese (500g)</t>
  </si>
  <si>
    <t>Quantidade</t>
  </si>
  <si>
    <t>Qtde</t>
  </si>
  <si>
    <t>Qtde (S14)</t>
  </si>
  <si>
    <t>Qtde (S15)</t>
  </si>
  <si>
    <t>Absorvente (15un)</t>
  </si>
  <si>
    <t xml:space="preserve">Shampoo ou condicinador(200mL) </t>
  </si>
  <si>
    <t xml:space="preserve">Shampoo ou condicinador(400mL) </t>
  </si>
  <si>
    <t>Total</t>
  </si>
  <si>
    <t>Kg</t>
  </si>
  <si>
    <t>R$</t>
  </si>
  <si>
    <t>Total alimentos [kg]</t>
  </si>
  <si>
    <t>Total itens de higiene [kg]</t>
  </si>
  <si>
    <t>Preço Médio Alimentos [R$]</t>
  </si>
  <si>
    <t>Total Arrecadado [R$]</t>
  </si>
  <si>
    <t>Total [kg]</t>
  </si>
  <si>
    <t>Talco (200g)</t>
  </si>
  <si>
    <t>Fraldas Geriátricas (10un)</t>
  </si>
  <si>
    <t>Fraldas Geriátricas (18un)</t>
  </si>
  <si>
    <t>Fraldas Infantis (30un)</t>
  </si>
  <si>
    <t>Absorvente (08un)</t>
  </si>
  <si>
    <t>Absorvente (16un)</t>
  </si>
  <si>
    <t>Absorvente (32un)</t>
  </si>
  <si>
    <t>Absorvente (60un)</t>
  </si>
  <si>
    <t>Fraldas Infantis (50un)</t>
  </si>
  <si>
    <t>Fraldas Infantis (22un)</t>
  </si>
  <si>
    <t>Fraldas Infantis (32un)</t>
  </si>
  <si>
    <t>Multiuso (500mL)</t>
  </si>
  <si>
    <t>Macarrão (1kg)</t>
  </si>
  <si>
    <t>Azeite (500mL)</t>
  </si>
  <si>
    <t>Achocolatado</t>
  </si>
  <si>
    <t>Açúcar</t>
  </si>
  <si>
    <t>Arroz</t>
  </si>
  <si>
    <t>Arroz integral</t>
  </si>
  <si>
    <t>Aveia</t>
  </si>
  <si>
    <t>Azeite</t>
  </si>
  <si>
    <t>Bebida Láctea Chocolate</t>
  </si>
  <si>
    <t>Bolacha</t>
  </si>
  <si>
    <t>Café</t>
  </si>
  <si>
    <t>Coca-cola</t>
  </si>
  <si>
    <t>Doces</t>
  </si>
  <si>
    <t>Ervilha</t>
  </si>
  <si>
    <t>Ervilha conserva</t>
  </si>
  <si>
    <t>Extrato de tomate</t>
  </si>
  <si>
    <t>Farofa</t>
  </si>
  <si>
    <t>Feijão</t>
  </si>
  <si>
    <t>Fuba</t>
  </si>
  <si>
    <t>Gelatina</t>
  </si>
  <si>
    <t>Goiabada</t>
  </si>
  <si>
    <t>Grão de Bico</t>
  </si>
  <si>
    <t>Leite</t>
  </si>
  <si>
    <t>Leite em pó</t>
  </si>
  <si>
    <t>Lentilha</t>
  </si>
  <si>
    <t>Macarrão</t>
  </si>
  <si>
    <t>Macarrão LASANHA</t>
  </si>
  <si>
    <t>Maionese</t>
  </si>
  <si>
    <t>Maizena</t>
  </si>
  <si>
    <t>Milho conserva</t>
  </si>
  <si>
    <t>Pão de Mel</t>
  </si>
  <si>
    <t>Sal</t>
  </si>
  <si>
    <t>Sopa pronta</t>
  </si>
  <si>
    <t>Sopão</t>
  </si>
  <si>
    <t>Suco</t>
  </si>
  <si>
    <t>Tomate Pelado</t>
  </si>
  <si>
    <t>Vinagre</t>
  </si>
  <si>
    <t>aux</t>
  </si>
  <si>
    <t>un</t>
  </si>
  <si>
    <t>un/embalagem</t>
  </si>
  <si>
    <t>embalagens</t>
  </si>
  <si>
    <t>Absorvente</t>
  </si>
  <si>
    <t>Água Sanitária</t>
  </si>
  <si>
    <t>Alcool</t>
  </si>
  <si>
    <t>Álcool Gel</t>
  </si>
  <si>
    <t>Algodão</t>
  </si>
  <si>
    <t>Alvejante</t>
  </si>
  <si>
    <t>Amaciante</t>
  </si>
  <si>
    <t>Antisséptico</t>
  </si>
  <si>
    <t>Desinfetante</t>
  </si>
  <si>
    <t>Enxaguante bucal</t>
  </si>
  <si>
    <t>Esponja</t>
  </si>
  <si>
    <t>Fraldas Geriátricas</t>
  </si>
  <si>
    <t>Fraldas Infantis</t>
  </si>
  <si>
    <t>Lâmina de barbear</t>
  </si>
  <si>
    <t>Lâmina refil</t>
  </si>
  <si>
    <t>Lenços Umidecidos</t>
  </si>
  <si>
    <t>Multiuso</t>
  </si>
  <si>
    <t>Papel Higiênico</t>
  </si>
  <si>
    <t>Papel Toalha</t>
  </si>
  <si>
    <t>Pasta de Dente</t>
  </si>
  <si>
    <t>Sabão em Barra</t>
  </si>
  <si>
    <t>Sabão em Pó</t>
  </si>
  <si>
    <t>Sabão Líquido</t>
  </si>
  <si>
    <t>Sabonete Líquido</t>
  </si>
  <si>
    <t>Sabonetes</t>
  </si>
  <si>
    <t>Saco de Lixo</t>
  </si>
  <si>
    <t>Shampoo ou condicionador</t>
  </si>
  <si>
    <t>Talco</t>
  </si>
  <si>
    <t>Achocolatado (1kg)</t>
  </si>
  <si>
    <t>Goiabada (300g)</t>
  </si>
  <si>
    <t>Lentilha (500g)</t>
  </si>
  <si>
    <t>Farofa (250g)</t>
  </si>
  <si>
    <t>Achocolatado (700g)</t>
  </si>
  <si>
    <t>Álcool Gel (1L)</t>
  </si>
  <si>
    <t>Multiuso (750mL)</t>
  </si>
  <si>
    <t>Queijo ralado</t>
  </si>
  <si>
    <t>Sabonete (125g)</t>
  </si>
  <si>
    <t>Sabonete (84g)</t>
  </si>
  <si>
    <t>Suco concentrado</t>
  </si>
  <si>
    <t>Refrigerante (2L)</t>
  </si>
  <si>
    <t>Absorvente (36un)</t>
  </si>
  <si>
    <t>Miojo (500g)</t>
  </si>
  <si>
    <t>Polvilho antisséptico</t>
  </si>
  <si>
    <t>Miojo (80g)</t>
  </si>
  <si>
    <t>Cereal infantil</t>
  </si>
  <si>
    <t>Farinha de mandioca</t>
  </si>
  <si>
    <t>Leite de soja</t>
  </si>
  <si>
    <t>Molho de tomate</t>
  </si>
  <si>
    <t>Refrigerante</t>
  </si>
  <si>
    <t>Seleta de legumes</t>
  </si>
  <si>
    <t>Escova de dente</t>
  </si>
  <si>
    <t>Removedor de mancha</t>
  </si>
  <si>
    <t>Sabonete</t>
  </si>
  <si>
    <t>Tira manchas</t>
  </si>
  <si>
    <t>CB</t>
  </si>
  <si>
    <t>7896098902486</t>
  </si>
  <si>
    <t>Marca</t>
  </si>
  <si>
    <t>Qtde (S16)</t>
  </si>
  <si>
    <t>CadastroCB</t>
  </si>
  <si>
    <t>Ypê</t>
  </si>
  <si>
    <t>7891959014612</t>
  </si>
  <si>
    <t>União</t>
  </si>
  <si>
    <t>7896702324314</t>
  </si>
  <si>
    <t>Santa Izabel</t>
  </si>
  <si>
    <t>7893500018483</t>
  </si>
  <si>
    <t>Tio João</t>
  </si>
  <si>
    <t>7896110100043</t>
  </si>
  <si>
    <t>Sal Lebre</t>
  </si>
  <si>
    <t>7891150008502</t>
  </si>
  <si>
    <t>Omo</t>
  </si>
  <si>
    <t>7891035800214</t>
  </si>
  <si>
    <t>Veja</t>
  </si>
  <si>
    <t>7895000393527</t>
  </si>
  <si>
    <t>Qualitá</t>
  </si>
  <si>
    <t>7896098900215</t>
  </si>
  <si>
    <t>7896098900208</t>
  </si>
  <si>
    <t>7891035210006</t>
  </si>
  <si>
    <t>7896205788156</t>
  </si>
  <si>
    <t>Adria</t>
  </si>
  <si>
    <t>7896022200299</t>
  </si>
  <si>
    <t>Renata</t>
  </si>
  <si>
    <t>7896205754458</t>
  </si>
  <si>
    <t>Data</t>
  </si>
  <si>
    <t>7898080641298</t>
  </si>
  <si>
    <t>Nilza</t>
  </si>
  <si>
    <t>7896569405003</t>
  </si>
  <si>
    <t>lider</t>
  </si>
  <si>
    <t>7898215151685</t>
  </si>
  <si>
    <t>piracanjuba</t>
  </si>
  <si>
    <t>7898080640611</t>
  </si>
  <si>
    <t>italac</t>
  </si>
  <si>
    <t>7897380000217</t>
  </si>
  <si>
    <t>hercules</t>
  </si>
  <si>
    <t>7896238101137</t>
  </si>
  <si>
    <t>matilat</t>
  </si>
  <si>
    <t>7891030002354</t>
  </si>
  <si>
    <t>mococa</t>
  </si>
  <si>
    <t>7893500020134</t>
  </si>
  <si>
    <t>tio joao</t>
  </si>
  <si>
    <t>7896046400200</t>
  </si>
  <si>
    <t>rosalto</t>
  </si>
  <si>
    <t>7896290300189</t>
  </si>
  <si>
    <t>prato fino</t>
  </si>
  <si>
    <t>7896006762003</t>
  </si>
  <si>
    <t>camil</t>
  </si>
  <si>
    <t>7896901200013</t>
  </si>
  <si>
    <t>serrazul</t>
  </si>
  <si>
    <t>7896290300011</t>
  </si>
  <si>
    <t>7896046400194</t>
  </si>
  <si>
    <t>rosalito</t>
  </si>
  <si>
    <t>7891103202926</t>
  </si>
  <si>
    <t>carrefour</t>
  </si>
  <si>
    <t>8480017496201</t>
  </si>
  <si>
    <t>Dia</t>
  </si>
  <si>
    <t>7896046400262</t>
  </si>
  <si>
    <t>7896700711130</t>
  </si>
  <si>
    <t>safra azul</t>
  </si>
  <si>
    <t>7896086420350</t>
  </si>
  <si>
    <t>emporio sao joao</t>
  </si>
  <si>
    <t>7896046400149</t>
  </si>
  <si>
    <t>7896046400064</t>
  </si>
  <si>
    <t>rosalito preto</t>
  </si>
  <si>
    <t>7898957777013</t>
  </si>
  <si>
    <t>de luci</t>
  </si>
  <si>
    <t>7896417000015</t>
  </si>
  <si>
    <t>quatigua</t>
  </si>
  <si>
    <t>7896086421982</t>
  </si>
  <si>
    <t>7896086422231</t>
  </si>
  <si>
    <t>pateko</t>
  </si>
  <si>
    <t>7896200115360</t>
  </si>
  <si>
    <t>broto legal</t>
  </si>
  <si>
    <t>7896062602008</t>
  </si>
  <si>
    <t>solito</t>
  </si>
  <si>
    <t>7896555300046</t>
  </si>
  <si>
    <t>denadai</t>
  </si>
  <si>
    <t>7898116880035</t>
  </si>
  <si>
    <t>ubirana preto</t>
  </si>
  <si>
    <t>7896200115346</t>
  </si>
  <si>
    <t>7896200115773</t>
  </si>
  <si>
    <t>7896550720030</t>
  </si>
  <si>
    <t>vasconcelos</t>
  </si>
  <si>
    <t>7897500200015</t>
  </si>
  <si>
    <t>irano</t>
  </si>
  <si>
    <t>7896006744115</t>
  </si>
  <si>
    <t>7893500050315</t>
  </si>
  <si>
    <t>biju</t>
  </si>
  <si>
    <t>7896022200206</t>
  </si>
  <si>
    <t>renata</t>
  </si>
  <si>
    <t>7896763621155</t>
  </si>
  <si>
    <t>padre nosso</t>
  </si>
  <si>
    <t>7896763621094</t>
  </si>
  <si>
    <t>massas paulistas</t>
  </si>
  <si>
    <t>7896205722198</t>
  </si>
  <si>
    <t>basilar</t>
  </si>
  <si>
    <t>7896763621018</t>
  </si>
  <si>
    <t>massas paulista</t>
  </si>
  <si>
    <t>7896022200213</t>
  </si>
  <si>
    <t>7896022200152</t>
  </si>
  <si>
    <t>7896005281697</t>
  </si>
  <si>
    <t>dona benta</t>
  </si>
  <si>
    <t>7896205756407</t>
  </si>
  <si>
    <t>7896005286593</t>
  </si>
  <si>
    <t>7896022200282</t>
  </si>
  <si>
    <t>7896005286524</t>
  </si>
  <si>
    <t>8000139923524</t>
  </si>
  <si>
    <t>bary</t>
  </si>
  <si>
    <t>7896022200732</t>
  </si>
  <si>
    <t>galo</t>
  </si>
  <si>
    <t>7896763621001</t>
  </si>
  <si>
    <t>7896205722013</t>
  </si>
  <si>
    <t>7896022204495</t>
  </si>
  <si>
    <t>7896022200879</t>
  </si>
  <si>
    <t>7896005275399</t>
  </si>
  <si>
    <t>7896022203610</t>
  </si>
  <si>
    <t>7896205756360</t>
  </si>
  <si>
    <t>basila</t>
  </si>
  <si>
    <t>7896205722211</t>
  </si>
  <si>
    <t>7896763621223</t>
  </si>
  <si>
    <t>7891150024809</t>
  </si>
  <si>
    <t>rexona</t>
  </si>
  <si>
    <t>7891150034952</t>
  </si>
  <si>
    <t>7891024034750</t>
  </si>
  <si>
    <t>palmolive</t>
  </si>
  <si>
    <t>7896569405027</t>
  </si>
  <si>
    <t>7896090400300</t>
  </si>
  <si>
    <t>francis</t>
  </si>
  <si>
    <t>7891024111901</t>
  </si>
  <si>
    <t>7891150037878</t>
  </si>
  <si>
    <t>lux</t>
  </si>
  <si>
    <t>7891150043749</t>
  </si>
  <si>
    <t>7891024034880</t>
  </si>
  <si>
    <t>7891010877989</t>
  </si>
  <si>
    <t>johnsons</t>
  </si>
  <si>
    <t>7891010718725</t>
  </si>
  <si>
    <t>7891010877972</t>
  </si>
  <si>
    <t>jonhsons</t>
  </si>
  <si>
    <t>7891010921293</t>
  </si>
  <si>
    <t>7891024034798</t>
  </si>
  <si>
    <t>7891010690380</t>
  </si>
  <si>
    <t>7891150024823</t>
  </si>
  <si>
    <t>7896090400331</t>
  </si>
  <si>
    <t>7896512909794</t>
  </si>
  <si>
    <t>phebo</t>
  </si>
  <si>
    <t>7891010690397</t>
  </si>
  <si>
    <t>7891010690373</t>
  </si>
  <si>
    <t>7891010691448</t>
  </si>
  <si>
    <t>7891024034767</t>
  </si>
  <si>
    <t>7891150024816</t>
  </si>
  <si>
    <t>7891024034736</t>
  </si>
  <si>
    <t>7896512909770</t>
  </si>
  <si>
    <t>7891024034828</t>
  </si>
  <si>
    <t>7891024034781</t>
  </si>
  <si>
    <t>7891150024779</t>
  </si>
  <si>
    <t>7891150024793</t>
  </si>
  <si>
    <t>7898920223363</t>
  </si>
  <si>
    <t>pramesa</t>
  </si>
  <si>
    <t>7898902299263</t>
  </si>
  <si>
    <t>stella D'oro</t>
  </si>
  <si>
    <t>7896036095904</t>
  </si>
  <si>
    <t>pomarola</t>
  </si>
  <si>
    <t>7896025802490</t>
  </si>
  <si>
    <t>cepera</t>
  </si>
  <si>
    <t>7891528029498</t>
  </si>
  <si>
    <t>sorriso</t>
  </si>
  <si>
    <t>7891150049888</t>
  </si>
  <si>
    <t>closeup</t>
  </si>
  <si>
    <t>7891150049895</t>
  </si>
  <si>
    <t>7891037744356</t>
  </si>
  <si>
    <t>7891024132005</t>
  </si>
  <si>
    <t>colgate</t>
  </si>
  <si>
    <t>7891528030142</t>
  </si>
  <si>
    <t>7891024132128</t>
  </si>
  <si>
    <t>7891528038308</t>
  </si>
  <si>
    <t>7891022100372</t>
  </si>
  <si>
    <t>limpol</t>
  </si>
  <si>
    <t>7896733600050</t>
  </si>
  <si>
    <t>flora</t>
  </si>
  <si>
    <t>7896098900253</t>
  </si>
  <si>
    <t>ype</t>
  </si>
  <si>
    <t>7896098900239</t>
  </si>
  <si>
    <t>7897664130043</t>
  </si>
  <si>
    <t>minuano</t>
  </si>
  <si>
    <t>7898247780075</t>
  </si>
  <si>
    <t>concordia</t>
  </si>
  <si>
    <t>7896036090244</t>
  </si>
  <si>
    <t>liza</t>
  </si>
  <si>
    <t>7896018900035</t>
  </si>
  <si>
    <t>leve</t>
  </si>
  <si>
    <t>7891107101621</t>
  </si>
  <si>
    <t>soya</t>
  </si>
  <si>
    <t>7891528029504</t>
  </si>
  <si>
    <t>7896508200034</t>
  </si>
  <si>
    <t>alto alegre</t>
  </si>
  <si>
    <t>7896032501010</t>
  </si>
  <si>
    <t>da barra</t>
  </si>
  <si>
    <t>7896005202074</t>
  </si>
  <si>
    <t>7898234850019</t>
  </si>
  <si>
    <t>nita</t>
  </si>
  <si>
    <t>7806500773405</t>
  </si>
  <si>
    <t>cotidian</t>
  </si>
  <si>
    <t>7806500773603</t>
  </si>
  <si>
    <t>7899686700044</t>
  </si>
  <si>
    <t>uni</t>
  </si>
  <si>
    <t>7899686700051</t>
  </si>
  <si>
    <t>7896007544059</t>
  </si>
  <si>
    <t>intimus</t>
  </si>
  <si>
    <t>7896061915109</t>
  </si>
  <si>
    <t>sublime</t>
  </si>
  <si>
    <t>7896110007892</t>
  </si>
  <si>
    <t>sym</t>
  </si>
  <si>
    <t>7896110003740</t>
  </si>
  <si>
    <t>7896098903629</t>
  </si>
  <si>
    <t>7896098900109</t>
  </si>
  <si>
    <t>7896022205140</t>
  </si>
  <si>
    <t>7891962036984</t>
  </si>
  <si>
    <t>bauduco</t>
  </si>
  <si>
    <t>7891095028344</t>
  </si>
  <si>
    <t>yoki</t>
  </si>
  <si>
    <t>7896244138875</t>
  </si>
  <si>
    <t>garça</t>
  </si>
  <si>
    <t>7891965120345</t>
  </si>
  <si>
    <t>hikari</t>
  </si>
  <si>
    <t>7622300999506</t>
  </si>
  <si>
    <t>fresh</t>
  </si>
  <si>
    <t>7622210655622</t>
  </si>
  <si>
    <t>tang</t>
  </si>
  <si>
    <t>7622300861261</t>
  </si>
  <si>
    <t>7622300861223</t>
  </si>
  <si>
    <t>7622300861919</t>
  </si>
  <si>
    <t>7622300861308</t>
  </si>
  <si>
    <t>7896043350553</t>
  </si>
  <si>
    <t>sukest</t>
  </si>
  <si>
    <t>7896043350454</t>
  </si>
  <si>
    <t>7896043350478</t>
  </si>
  <si>
    <t>7896043350515</t>
  </si>
  <si>
    <t>7896706300550</t>
  </si>
  <si>
    <t>chokilar</t>
  </si>
  <si>
    <t>7896072005080</t>
  </si>
  <si>
    <t>nuky</t>
  </si>
  <si>
    <t>7891000009437</t>
  </si>
  <si>
    <t>nescau</t>
  </si>
  <si>
    <t>7898930141015</t>
  </si>
  <si>
    <t>stella d'oro</t>
  </si>
  <si>
    <t>7896102501018</t>
  </si>
  <si>
    <t>quero</t>
  </si>
  <si>
    <t>7896102501155</t>
  </si>
  <si>
    <t>7898905153289</t>
  </si>
  <si>
    <t>bonare</t>
  </si>
  <si>
    <t>7898905153012</t>
  </si>
  <si>
    <t>070330728509</t>
  </si>
  <si>
    <t>bic</t>
  </si>
  <si>
    <t>7897217400180</t>
  </si>
  <si>
    <t>jadefrog</t>
  </si>
  <si>
    <t>7897517209025</t>
  </si>
  <si>
    <t>fugini</t>
  </si>
  <si>
    <t>7896089011357</t>
  </si>
  <si>
    <t>pilao</t>
  </si>
  <si>
    <t>7897217400326</t>
  </si>
  <si>
    <t>7891150021228</t>
  </si>
  <si>
    <t>surf</t>
  </si>
  <si>
    <t>7896105500094</t>
  </si>
  <si>
    <t>candura</t>
  </si>
  <si>
    <t>7896384801431</t>
  </si>
  <si>
    <t>itavex</t>
  </si>
  <si>
    <t>7896733600197</t>
  </si>
  <si>
    <t>7896534400323</t>
  </si>
  <si>
    <t>globo</t>
  </si>
  <si>
    <t>7896005271377</t>
  </si>
  <si>
    <t>petybon</t>
  </si>
  <si>
    <t>7896894900013</t>
  </si>
  <si>
    <t>caravelas</t>
  </si>
  <si>
    <t>7891910000197</t>
  </si>
  <si>
    <t>uniao</t>
  </si>
  <si>
    <t>7896534700010</t>
  </si>
  <si>
    <t>sm</t>
  </si>
  <si>
    <t>7896005208151</t>
  </si>
  <si>
    <t>7891022638004</t>
  </si>
  <si>
    <t>7896733600111</t>
  </si>
  <si>
    <t>Flora</t>
  </si>
  <si>
    <t>7896733600128</t>
  </si>
  <si>
    <t>7897664130319</t>
  </si>
  <si>
    <t>7897664130012</t>
  </si>
  <si>
    <t>7897664130036</t>
  </si>
  <si>
    <t>7896097600024</t>
  </si>
  <si>
    <t>bufalo</t>
  </si>
  <si>
    <t>7891022639001</t>
  </si>
  <si>
    <t>7896098900840</t>
  </si>
  <si>
    <t>Ype</t>
  </si>
  <si>
    <t>7896527700751</t>
  </si>
  <si>
    <t>triex</t>
  </si>
  <si>
    <t>7897664130029</t>
  </si>
  <si>
    <t>7896527700782</t>
  </si>
  <si>
    <t>7896098900277</t>
  </si>
  <si>
    <t>7891022637007</t>
  </si>
  <si>
    <t>7896098900222</t>
  </si>
  <si>
    <t>7891022640007</t>
  </si>
  <si>
    <t>7896733600135</t>
  </si>
  <si>
    <t>7896527700485</t>
  </si>
  <si>
    <t>7896527700515</t>
  </si>
  <si>
    <t>7896461824087</t>
  </si>
  <si>
    <t>varex</t>
  </si>
  <si>
    <t>7896098904688</t>
  </si>
  <si>
    <t>7896105500018</t>
  </si>
  <si>
    <t>7896090126040</t>
  </si>
  <si>
    <t>assim</t>
  </si>
  <si>
    <t>7896056405233</t>
  </si>
  <si>
    <t>urca</t>
  </si>
  <si>
    <t>7891150021242</t>
  </si>
  <si>
    <t>7896056404571</t>
  </si>
  <si>
    <t>7891150055117</t>
  </si>
  <si>
    <t>brilhante</t>
  </si>
  <si>
    <t>7896097600017</t>
  </si>
  <si>
    <t>7896098903612</t>
  </si>
  <si>
    <t>7896105500186</t>
  </si>
  <si>
    <t>7898009350010</t>
  </si>
  <si>
    <t>pro lar</t>
  </si>
  <si>
    <t>7896384801417</t>
  </si>
  <si>
    <t>7896527700386</t>
  </si>
  <si>
    <t>TRIEx</t>
  </si>
  <si>
    <t>7896040703710</t>
  </si>
  <si>
    <t>casa e perfume</t>
  </si>
  <si>
    <t>7896733600760</t>
  </si>
  <si>
    <t>7897664100022</t>
  </si>
  <si>
    <t>7896098906118</t>
  </si>
  <si>
    <t>7896056406001</t>
  </si>
  <si>
    <t>7896056400870</t>
  </si>
  <si>
    <t>7891035210433</t>
  </si>
  <si>
    <t>veja</t>
  </si>
  <si>
    <t>7891035209000</t>
  </si>
  <si>
    <t>7891242211506</t>
  </si>
  <si>
    <t>uau</t>
  </si>
  <si>
    <t>7896098900857</t>
  </si>
  <si>
    <t>7891242211308</t>
  </si>
  <si>
    <t>7896527700218</t>
  </si>
  <si>
    <t>7891035216206</t>
  </si>
  <si>
    <t>7896056402751</t>
  </si>
  <si>
    <t>7896056401228</t>
  </si>
  <si>
    <t>7896056401112</t>
  </si>
  <si>
    <t>7898080641311</t>
  </si>
  <si>
    <t>nilza</t>
  </si>
  <si>
    <t>7898080640628</t>
  </si>
  <si>
    <t>7898080640635</t>
  </si>
  <si>
    <t>7896283800184</t>
  </si>
  <si>
    <t>jussara max</t>
  </si>
  <si>
    <t>7898080642097</t>
  </si>
  <si>
    <t>7896283800221</t>
  </si>
  <si>
    <t>jussara</t>
  </si>
  <si>
    <t>7898215151678</t>
  </si>
  <si>
    <t>7898080641304</t>
  </si>
  <si>
    <t>17898080641318</t>
  </si>
  <si>
    <t>7896109801005</t>
  </si>
  <si>
    <t>guarani</t>
  </si>
  <si>
    <t>7896109800022</t>
  </si>
  <si>
    <t>7896109800039</t>
  </si>
  <si>
    <t>7891959009922</t>
  </si>
  <si>
    <t>7896070900158</t>
  </si>
  <si>
    <t>serra da gama</t>
  </si>
  <si>
    <t>7897005100087</t>
  </si>
  <si>
    <t>kinino</t>
  </si>
  <si>
    <t>7896256050141</t>
  </si>
  <si>
    <t>kodillar</t>
  </si>
  <si>
    <t>7898957983094</t>
  </si>
  <si>
    <t>sei la</t>
  </si>
  <si>
    <t>8480017336323</t>
  </si>
  <si>
    <t>dia</t>
  </si>
  <si>
    <t>7891000071397</t>
  </si>
  <si>
    <t>ninho</t>
  </si>
  <si>
    <t>7897001010403</t>
  </si>
  <si>
    <t>suavit</t>
  </si>
  <si>
    <t>2820593100028</t>
  </si>
  <si>
    <t>roda dagua</t>
  </si>
  <si>
    <t>7896110003900</t>
  </si>
  <si>
    <t>personal</t>
  </si>
  <si>
    <t>7896026838245</t>
  </si>
  <si>
    <t>paloma</t>
  </si>
  <si>
    <t>7896110094700</t>
  </si>
  <si>
    <t>7896110091440</t>
  </si>
  <si>
    <t>7896104998557</t>
  </si>
  <si>
    <t>mili bianco</t>
  </si>
  <si>
    <t>7896110005874</t>
  </si>
  <si>
    <t>7896110000176</t>
  </si>
  <si>
    <t>7899686700020</t>
  </si>
  <si>
    <t>7896239300362</t>
  </si>
  <si>
    <t>igor</t>
  </si>
  <si>
    <t>7898215151692</t>
  </si>
  <si>
    <t>pira</t>
  </si>
  <si>
    <t>7898187830052</t>
  </si>
  <si>
    <t>santa isabel</t>
  </si>
  <si>
    <t>7893500020318</t>
  </si>
  <si>
    <t>meu biju</t>
  </si>
  <si>
    <t>7896062699947</t>
  </si>
  <si>
    <t>7896550720603</t>
  </si>
  <si>
    <t>4r</t>
  </si>
  <si>
    <t>7896006711162</t>
  </si>
  <si>
    <t>pop</t>
  </si>
  <si>
    <t>7896230400139</t>
  </si>
  <si>
    <t>albaruska</t>
  </si>
  <si>
    <t>7896006715153</t>
  </si>
  <si>
    <t>tche</t>
  </si>
  <si>
    <t>7896046400033</t>
  </si>
  <si>
    <t>7896086419774</t>
  </si>
  <si>
    <t>7896022200534</t>
  </si>
  <si>
    <t>7896022202989</t>
  </si>
  <si>
    <t>7896022205478</t>
  </si>
  <si>
    <t>7896205756391</t>
  </si>
  <si>
    <t>7896022200176</t>
  </si>
  <si>
    <t>7896022200145</t>
  </si>
  <si>
    <t>7896022203443</t>
  </si>
  <si>
    <t>7896022200572</t>
  </si>
  <si>
    <t>7896022200039</t>
  </si>
  <si>
    <t>7896022200480</t>
  </si>
  <si>
    <t>7896022200626</t>
  </si>
  <si>
    <t>7896205722068</t>
  </si>
  <si>
    <t>7896763621056</t>
  </si>
  <si>
    <t>paulista</t>
  </si>
  <si>
    <t>7896022200350</t>
  </si>
  <si>
    <t>7896022200435</t>
  </si>
  <si>
    <t>7896022200022</t>
  </si>
  <si>
    <t>7896763625030</t>
  </si>
  <si>
    <t>7896022201326</t>
  </si>
  <si>
    <t>7896022200169</t>
  </si>
  <si>
    <t>7896022200275</t>
  </si>
  <si>
    <t>7896038305193</t>
  </si>
  <si>
    <t>tio urbano</t>
  </si>
  <si>
    <t>7896005286579</t>
  </si>
  <si>
    <t>7896022200756</t>
  </si>
  <si>
    <t>7898951850064</t>
  </si>
  <si>
    <t>7896022200268</t>
  </si>
  <si>
    <t>7896006711155</t>
  </si>
  <si>
    <t>7897136323331</t>
  </si>
  <si>
    <t>7 povos</t>
  </si>
  <si>
    <t>7896555300145</t>
  </si>
  <si>
    <t>7898916153032</t>
  </si>
  <si>
    <t>divino</t>
  </si>
  <si>
    <t>7898116880066</t>
  </si>
  <si>
    <t>ubirama</t>
  </si>
  <si>
    <t>7898957777068</t>
  </si>
  <si>
    <t>serra paulista</t>
  </si>
  <si>
    <t>7896022205225</t>
  </si>
  <si>
    <t>7896048300720</t>
  </si>
  <si>
    <t>pacaembu</t>
  </si>
  <si>
    <t>7896089012460</t>
  </si>
  <si>
    <t>caboclo</t>
  </si>
  <si>
    <t>7891021007429</t>
  </si>
  <si>
    <t>melita</t>
  </si>
  <si>
    <t>7896085051968</t>
  </si>
  <si>
    <t>nikito</t>
  </si>
  <si>
    <t>7896058256895</t>
  </si>
  <si>
    <t>salpet</t>
  </si>
  <si>
    <t>7891000241356</t>
  </si>
  <si>
    <t>passatempo</t>
  </si>
  <si>
    <t>7896998705217</t>
  </si>
  <si>
    <t>newbread</t>
  </si>
  <si>
    <t>7896085052163</t>
  </si>
  <si>
    <t>zabet</t>
  </si>
  <si>
    <t>x</t>
  </si>
  <si>
    <t>7896085052071</t>
  </si>
  <si>
    <t>7896022205157</t>
  </si>
  <si>
    <t>7891962050072</t>
  </si>
  <si>
    <t>recheadinho</t>
  </si>
  <si>
    <t>c</t>
  </si>
  <si>
    <t>7896011100234</t>
  </si>
  <si>
    <t>7896998705200</t>
  </si>
  <si>
    <t>7896022205201</t>
  </si>
  <si>
    <t>7896022204648</t>
  </si>
  <si>
    <t>7896022204891</t>
  </si>
  <si>
    <t>7896085051975</t>
  </si>
  <si>
    <t>7898176550350</t>
  </si>
  <si>
    <t>fofinho</t>
  </si>
  <si>
    <t>7896998705309</t>
  </si>
  <si>
    <t>7891000140307</t>
  </si>
  <si>
    <t>7896051130291</t>
  </si>
  <si>
    <t>itambe</t>
  </si>
  <si>
    <t>7891000142202</t>
  </si>
  <si>
    <t>7898215152439</t>
  </si>
  <si>
    <t>7898080640369</t>
  </si>
  <si>
    <t>7898080641694</t>
  </si>
  <si>
    <t>7898080641823</t>
  </si>
  <si>
    <t>7897217400296</t>
  </si>
  <si>
    <t>7896049528512</t>
  </si>
  <si>
    <t>7891095200467</t>
  </si>
  <si>
    <t>7898187830021</t>
  </si>
  <si>
    <t>7898930141084</t>
  </si>
  <si>
    <t>7896048300966</t>
  </si>
  <si>
    <t>7896051130093</t>
  </si>
  <si>
    <t>7891965220441</t>
  </si>
  <si>
    <t>7896183300173</t>
  </si>
  <si>
    <t>7891095100552</t>
  </si>
  <si>
    <t>7896334200550</t>
  </si>
  <si>
    <t>7500435117791</t>
  </si>
  <si>
    <t>7500435122191</t>
  </si>
  <si>
    <t>7506339391329</t>
  </si>
  <si>
    <t>7898138781921</t>
  </si>
  <si>
    <t>7891095200450</t>
  </si>
  <si>
    <t>7896102509410</t>
  </si>
  <si>
    <t>7896098900710</t>
  </si>
  <si>
    <t>7896040704625</t>
  </si>
  <si>
    <t>7891024034743</t>
  </si>
  <si>
    <t>7891024029817</t>
  </si>
  <si>
    <t>7891010032906</t>
  </si>
  <si>
    <t>7891150033955</t>
  </si>
  <si>
    <t>7891000101506</t>
  </si>
  <si>
    <t>7896026839242</t>
  </si>
  <si>
    <t>7891024134702</t>
  </si>
  <si>
    <t>7891150003217</t>
  </si>
  <si>
    <t>7891150039490</t>
  </si>
  <si>
    <t>7896290300141</t>
  </si>
  <si>
    <t>7896159010013</t>
  </si>
  <si>
    <t>7896102502961</t>
  </si>
  <si>
    <t>7891079000229</t>
  </si>
  <si>
    <t>7894321240923</t>
  </si>
  <si>
    <t>7896280400707</t>
  </si>
  <si>
    <t>7896051130116</t>
  </si>
  <si>
    <t>7896372000013</t>
  </si>
  <si>
    <t>7896097607252</t>
  </si>
  <si>
    <t>7891022101256</t>
  </si>
  <si>
    <t>7896020160076</t>
  </si>
  <si>
    <t>7896550750020</t>
  </si>
  <si>
    <t>7896110100029</t>
  </si>
  <si>
    <t>7891095300488</t>
  </si>
  <si>
    <t>7896280400110</t>
  </si>
  <si>
    <t>7891010610302</t>
  </si>
  <si>
    <t>7891024134610</t>
  </si>
  <si>
    <t>7891150042483</t>
  </si>
  <si>
    <t>7896238400018</t>
  </si>
  <si>
    <t>7896097400228</t>
  </si>
  <si>
    <t>7896706303834</t>
  </si>
  <si>
    <t>7891000001080</t>
  </si>
  <si>
    <t>7896036094983</t>
  </si>
  <si>
    <t>7898905153258</t>
  </si>
  <si>
    <t>7896114900014</t>
  </si>
  <si>
    <t>7896061990076</t>
  </si>
  <si>
    <t>7891024034712</t>
  </si>
  <si>
    <t>7896098900956</t>
  </si>
  <si>
    <t>7899686700211</t>
  </si>
  <si>
    <t>7898045701111</t>
  </si>
  <si>
    <t>7896256600223</t>
  </si>
  <si>
    <t>Ketchup (400g)</t>
  </si>
  <si>
    <t>Tapioca (1kg)</t>
  </si>
  <si>
    <t>7896036095003</t>
  </si>
  <si>
    <t>tarantela</t>
  </si>
  <si>
    <t>7891080170591</t>
  </si>
  <si>
    <t>primor</t>
  </si>
  <si>
    <t>7891528031132</t>
  </si>
  <si>
    <t>7896022200381</t>
  </si>
  <si>
    <t>7891032015215</t>
  </si>
  <si>
    <t>7506339391305</t>
  </si>
  <si>
    <t>7896110005638</t>
  </si>
  <si>
    <t>7896061918445</t>
  </si>
  <si>
    <t>7896005400029</t>
  </si>
  <si>
    <t>7891167021013</t>
  </si>
  <si>
    <t>7898061120019</t>
  </si>
  <si>
    <t>7896593100011</t>
  </si>
  <si>
    <t>7897001050430</t>
  </si>
  <si>
    <t>7898930141039</t>
  </si>
  <si>
    <t>7896086420312</t>
  </si>
  <si>
    <t>7896100013018</t>
  </si>
  <si>
    <t>7891051040403</t>
  </si>
  <si>
    <t>7897517206086</t>
  </si>
  <si>
    <t>7899686700013</t>
  </si>
  <si>
    <t>7896022203870</t>
  </si>
  <si>
    <t>7896104994320</t>
  </si>
  <si>
    <t>7896036090619</t>
  </si>
  <si>
    <t>7896079820037</t>
  </si>
  <si>
    <t>Bombom de Cereja (94g)</t>
  </si>
  <si>
    <t>7896070902503</t>
  </si>
  <si>
    <t>7891000243152</t>
  </si>
  <si>
    <t>7898323450014</t>
  </si>
  <si>
    <t>7896183300319</t>
  </si>
  <si>
    <t>7501001109653</t>
  </si>
  <si>
    <t>7896035210001</t>
  </si>
  <si>
    <t>7896051130109</t>
  </si>
  <si>
    <t>7896036091326</t>
  </si>
  <si>
    <t>Polenta (500g)</t>
  </si>
  <si>
    <t>Molho de Tomate (300g)</t>
  </si>
  <si>
    <t>Fraldas Infantis (40un)</t>
  </si>
  <si>
    <t>7896069511327</t>
  </si>
  <si>
    <t>Siamar</t>
  </si>
  <si>
    <t>7896006711117</t>
  </si>
  <si>
    <t>Camilo</t>
  </si>
  <si>
    <t>7896292300545</t>
  </si>
  <si>
    <t>Predilecta</t>
  </si>
  <si>
    <t>7896110091846</t>
  </si>
  <si>
    <t>Personal</t>
  </si>
  <si>
    <t>7896104995280</t>
  </si>
  <si>
    <t>Mili</t>
  </si>
  <si>
    <t>7891024132104</t>
  </si>
  <si>
    <t>Colgate</t>
  </si>
  <si>
    <t>7896090403158</t>
  </si>
  <si>
    <t>Francis</t>
  </si>
  <si>
    <t>7896012800355</t>
  </si>
  <si>
    <t>POMPOM</t>
  </si>
  <si>
    <t>7896007548408</t>
  </si>
  <si>
    <t>huggies</t>
  </si>
  <si>
    <t>7896104995044</t>
  </si>
  <si>
    <t>7891051028791</t>
  </si>
  <si>
    <t>Probak</t>
  </si>
  <si>
    <t>4005808530878</t>
  </si>
  <si>
    <t>Nivea</t>
  </si>
  <si>
    <t>7897516700011</t>
  </si>
  <si>
    <t>Sao Carlos</t>
  </si>
  <si>
    <t>7896098901717</t>
  </si>
  <si>
    <t>7891095300389</t>
  </si>
  <si>
    <t>7897517209056</t>
  </si>
  <si>
    <t>7896593100028</t>
  </si>
  <si>
    <t>7891024036839</t>
  </si>
  <si>
    <t>7896061990403</t>
  </si>
  <si>
    <t>7896022204211</t>
  </si>
  <si>
    <t>7896083800155</t>
  </si>
  <si>
    <t>7891080803918</t>
  </si>
  <si>
    <t>7897664140196</t>
  </si>
  <si>
    <t>7891080147951</t>
  </si>
  <si>
    <t>7898905153630</t>
  </si>
  <si>
    <t>7896036096062</t>
  </si>
  <si>
    <t>7896550750013</t>
  </si>
  <si>
    <t>7892020200194</t>
  </si>
  <si>
    <t>7896099100348</t>
  </si>
  <si>
    <t>7896273900023</t>
  </si>
  <si>
    <t>7891150044616</t>
  </si>
  <si>
    <t>7891528038612</t>
  </si>
  <si>
    <t>7896292311282</t>
  </si>
  <si>
    <t>7897517209001</t>
  </si>
  <si>
    <t>7896292300507</t>
  </si>
  <si>
    <t>000098767335</t>
  </si>
  <si>
    <t>08965507</t>
  </si>
  <si>
    <t>7896275970574</t>
  </si>
  <si>
    <t>7891300908676</t>
  </si>
  <si>
    <t>7896230400238</t>
  </si>
  <si>
    <t>7500435121736</t>
  </si>
  <si>
    <t>7793100111143</t>
  </si>
  <si>
    <t>7891024132371</t>
  </si>
  <si>
    <t>7897664113022</t>
  </si>
  <si>
    <t>7896527701185</t>
  </si>
  <si>
    <t>7891024034804</t>
  </si>
  <si>
    <t>7891010973483</t>
  </si>
  <si>
    <t>7891167021020</t>
  </si>
  <si>
    <t>7896901200235</t>
  </si>
  <si>
    <t>7898285310579</t>
  </si>
  <si>
    <t>7891150048478</t>
  </si>
  <si>
    <t>7896416200201</t>
  </si>
  <si>
    <t>7896098900925</t>
  </si>
  <si>
    <t>7891024110300</t>
  </si>
  <si>
    <t>l</t>
  </si>
  <si>
    <t>7896012800379</t>
  </si>
  <si>
    <t>h</t>
  </si>
  <si>
    <t>7896527701468</t>
  </si>
  <si>
    <t>s</t>
  </si>
  <si>
    <t>095188794506</t>
  </si>
  <si>
    <t>7898925255208</t>
  </si>
  <si>
    <t>d</t>
  </si>
  <si>
    <t>7891024120705</t>
  </si>
  <si>
    <t>7891079000434</t>
  </si>
  <si>
    <t>j</t>
  </si>
  <si>
    <t>7896102502183</t>
  </si>
  <si>
    <t>ç4</t>
  </si>
  <si>
    <t>7896290300295</t>
  </si>
  <si>
    <t>ds</t>
  </si>
  <si>
    <t>as</t>
  </si>
  <si>
    <t>6105500186</t>
  </si>
  <si>
    <t>7896292303003</t>
  </si>
  <si>
    <t>k4</t>
  </si>
  <si>
    <t>7896901200143</t>
  </si>
  <si>
    <t>mn</t>
  </si>
  <si>
    <t>7898309100100</t>
  </si>
  <si>
    <t>fd</t>
  </si>
  <si>
    <t>7896706300680</t>
  </si>
  <si>
    <t>sad s</t>
  </si>
  <si>
    <t>7897517206178</t>
  </si>
  <si>
    <t>sd</t>
  </si>
  <si>
    <t>7891032015307</t>
  </si>
  <si>
    <t>szc</t>
  </si>
  <si>
    <t>7898327431262</t>
  </si>
  <si>
    <t>s4</t>
  </si>
  <si>
    <t>7896048300027</t>
  </si>
  <si>
    <t>fda</t>
  </si>
  <si>
    <t>z</t>
  </si>
  <si>
    <t>7891030002033</t>
  </si>
  <si>
    <t>zdv</t>
  </si>
  <si>
    <t>7896048284648</t>
  </si>
  <si>
    <t>adf</t>
  </si>
  <si>
    <t>7896104995754</t>
  </si>
  <si>
    <t>afcd</t>
  </si>
  <si>
    <t>7896012801819</t>
  </si>
  <si>
    <t>czx</t>
  </si>
  <si>
    <t>7896012802045</t>
  </si>
  <si>
    <t>7896104993774</t>
  </si>
  <si>
    <t>7896527700379</t>
  </si>
  <si>
    <t>7896527702021</t>
  </si>
  <si>
    <t>cz</t>
  </si>
  <si>
    <t>7891528020600</t>
  </si>
  <si>
    <t>ad</t>
  </si>
  <si>
    <t>7891024112861</t>
  </si>
  <si>
    <t>sa</t>
  </si>
  <si>
    <t>7896012800874</t>
  </si>
  <si>
    <t>ads</t>
  </si>
  <si>
    <t>7891080147814</t>
  </si>
  <si>
    <t>7898215152484</t>
  </si>
  <si>
    <t>7897664140226</t>
  </si>
  <si>
    <t>adds</t>
  </si>
  <si>
    <t>7896645720471</t>
  </si>
  <si>
    <t>dsf</t>
  </si>
  <si>
    <t>sad</t>
  </si>
  <si>
    <t>7896110094694</t>
  </si>
  <si>
    <t>7891080000119</t>
  </si>
  <si>
    <t>xc</t>
  </si>
  <si>
    <t>7791293035017</t>
  </si>
  <si>
    <t>17898080640632</t>
  </si>
  <si>
    <t>sdf</t>
  </si>
  <si>
    <t>7896205722044</t>
  </si>
  <si>
    <t>7897664110304</t>
  </si>
  <si>
    <t>sd44</t>
  </si>
  <si>
    <t>7896012800836</t>
  </si>
  <si>
    <t>sdfd</t>
  </si>
  <si>
    <t>7896050427354</t>
  </si>
  <si>
    <t>7896114990022</t>
  </si>
  <si>
    <t>7896069511297</t>
  </si>
  <si>
    <t>Qtde (S17)</t>
  </si>
  <si>
    <t>Qtde (S18)</t>
  </si>
  <si>
    <t>Qtde (ex)</t>
  </si>
  <si>
    <t>Bairro</t>
  </si>
  <si>
    <t>Kibe (500g)</t>
  </si>
  <si>
    <t>Fio Dental</t>
  </si>
  <si>
    <t>Cuscuz (500g)</t>
  </si>
  <si>
    <t>Água de Coco (2L)</t>
  </si>
  <si>
    <t>Salgadinho (50g)</t>
  </si>
  <si>
    <t>Granulado (1kg)</t>
  </si>
  <si>
    <t>Cappuccino (20g)</t>
  </si>
  <si>
    <t>Granulado (130g)</t>
  </si>
  <si>
    <t>Maionese (200g)</t>
  </si>
  <si>
    <t>Sabonete (180 g)</t>
  </si>
  <si>
    <t>Maionese (300g)</t>
  </si>
  <si>
    <t>Uva Passa (100g)</t>
  </si>
  <si>
    <t>Ervilha Seca (500g)</t>
  </si>
  <si>
    <t>Azeitona (100g)</t>
  </si>
  <si>
    <t>Aveia (500g)</t>
  </si>
  <si>
    <t>Maionese (250g)</t>
  </si>
  <si>
    <t>Brilho Alumínio (2L)</t>
  </si>
  <si>
    <t>Creme de Cebola em Pó (68g)</t>
  </si>
  <si>
    <t>Chá (10un)</t>
  </si>
  <si>
    <t>Cookie (400g)</t>
  </si>
  <si>
    <t>Farinha de Mandioca (1kg)</t>
  </si>
  <si>
    <t>Maria Mole (50g)</t>
  </si>
  <si>
    <t>Sazon (60g)</t>
  </si>
  <si>
    <t>Fósforo (40un)</t>
  </si>
  <si>
    <t>Fermento (100g)</t>
  </si>
  <si>
    <t>Mingau (230g)</t>
  </si>
  <si>
    <t>Canjica (500g)</t>
  </si>
  <si>
    <t>Azeite (200mL)</t>
  </si>
  <si>
    <t>Coco Ralado (100g)</t>
  </si>
  <si>
    <t>Maionese (400g)</t>
  </si>
  <si>
    <t>Achocolatado (300g)</t>
  </si>
  <si>
    <t>Leite em Pó (200g)</t>
  </si>
  <si>
    <t>Leite de Coco (200mL)</t>
  </si>
  <si>
    <t>Molho de Tomate (260g)</t>
  </si>
  <si>
    <t>Sopa de Cebola (38g)</t>
  </si>
  <si>
    <t>Multiuso (200ml)</t>
  </si>
  <si>
    <t>Tapioca (500g)</t>
  </si>
  <si>
    <t>SBP</t>
  </si>
  <si>
    <t>Azeitona (270g)</t>
  </si>
  <si>
    <t>Farofa (150g)</t>
  </si>
  <si>
    <t>Algodão (25g)</t>
  </si>
  <si>
    <t>Batata Palha (120g)</t>
  </si>
  <si>
    <t>Maionese (700g)</t>
  </si>
  <si>
    <t>Pão de Mel (240g)</t>
  </si>
  <si>
    <t>Sal Grosso (1kg)</t>
  </si>
  <si>
    <t>Azeitona (160g)</t>
  </si>
  <si>
    <t>Sabão Líquido (5L)</t>
  </si>
  <si>
    <t>Azeitona (120g)</t>
  </si>
  <si>
    <t>Azeitona (150g)</t>
  </si>
  <si>
    <t>Azeitona (1kg)</t>
  </si>
  <si>
    <t>Cappuccino (200g)</t>
  </si>
  <si>
    <t>Chá (100g)</t>
  </si>
  <si>
    <t>Chá (12g)</t>
  </si>
  <si>
    <t>Chá (22,5g)</t>
  </si>
  <si>
    <t>Doce de Abóbora (220g)</t>
  </si>
  <si>
    <t>Farinha de Kibe (500g)</t>
  </si>
  <si>
    <t>Gelatina (30g)</t>
  </si>
  <si>
    <t>Granulado (150g)</t>
  </si>
  <si>
    <t>Granulado (500g)</t>
  </si>
  <si>
    <t>Leite em Pó (500g)</t>
  </si>
  <si>
    <t>Macarrão (200g)</t>
  </si>
  <si>
    <t>Maionese (1kg)</t>
  </si>
  <si>
    <t>Nozes (200g)</t>
  </si>
  <si>
    <t>Orégano (10g)</t>
  </si>
  <si>
    <t>Palmito (300g)</t>
  </si>
  <si>
    <t>Palmito (500g)</t>
  </si>
  <si>
    <t>Palmito (530g)</t>
  </si>
  <si>
    <t>Panetone (80g)</t>
  </si>
  <si>
    <t>Pão de Mel (200g)</t>
  </si>
  <si>
    <t>Polenta (1kg)</t>
  </si>
  <si>
    <t>Polvilho (1kg)</t>
  </si>
  <si>
    <t>Refrigerante (1L)</t>
  </si>
  <si>
    <t>Sagu (150g)</t>
  </si>
  <si>
    <t>Sagu (250g)</t>
  </si>
  <si>
    <t>Sagu (500g)</t>
  </si>
  <si>
    <t>Sardinha (125g)</t>
  </si>
  <si>
    <t/>
  </si>
  <si>
    <t>Absorvente (80un)</t>
  </si>
  <si>
    <t>Alvejante (500mL)</t>
  </si>
  <si>
    <t>Amaciante(2L)</t>
  </si>
  <si>
    <t>Band Aid (10un)</t>
  </si>
  <si>
    <t>Band Aid (40un)</t>
  </si>
  <si>
    <t>Brilho Alumínio (500mL)</t>
  </si>
  <si>
    <t>Condicionador (200mL)</t>
  </si>
  <si>
    <t>Condicionador (400mL)</t>
  </si>
  <si>
    <t>Detergente (5L)</t>
  </si>
  <si>
    <t>Detergente (6un)</t>
  </si>
  <si>
    <t>Fósforo (50un)</t>
  </si>
  <si>
    <t>Fraldas Infantis (28un)</t>
  </si>
  <si>
    <t>Fraldas Infantis (38un)</t>
  </si>
  <si>
    <t>Fraldas Infantis (44un)</t>
  </si>
  <si>
    <t>Fraldas Infantis (48un)</t>
  </si>
  <si>
    <t>Fraldas Infantis (52un)</t>
  </si>
  <si>
    <t>Fraldas Infantis (58un)</t>
  </si>
  <si>
    <t>Fraldas Infantis (60un)</t>
  </si>
  <si>
    <t>Fraldas Infantis (12un)</t>
  </si>
  <si>
    <t>Multiuso (1L)</t>
  </si>
  <si>
    <t>Sabão Líquido (2L)</t>
  </si>
  <si>
    <t>Sabão Líquido (3L)</t>
  </si>
  <si>
    <t>Sabonete (3un)</t>
  </si>
  <si>
    <t>Sabonete (85g)</t>
  </si>
  <si>
    <t xml:space="preserve">Shampoo (400mL) </t>
  </si>
  <si>
    <t>7896104996454</t>
  </si>
  <si>
    <t>llhj</t>
  </si>
  <si>
    <t>7896021623914</t>
  </si>
  <si>
    <t>ert</t>
  </si>
  <si>
    <t>7891037744257</t>
  </si>
  <si>
    <t>dfd</t>
  </si>
  <si>
    <t>7891024032732</t>
  </si>
  <si>
    <t>knihj</t>
  </si>
  <si>
    <t>7896012800829</t>
  </si>
  <si>
    <t>ss</t>
  </si>
  <si>
    <t>7896102502312</t>
  </si>
  <si>
    <t>rgg</t>
  </si>
  <si>
    <t>7894321711263</t>
  </si>
  <si>
    <t>toddy</t>
  </si>
  <si>
    <t>7896224836098</t>
  </si>
  <si>
    <t>kk</t>
  </si>
  <si>
    <t>7891000247785</t>
  </si>
  <si>
    <t>dd</t>
  </si>
  <si>
    <t>7896034610017</t>
  </si>
  <si>
    <t>7896061990069</t>
  </si>
  <si>
    <t>ee</t>
  </si>
  <si>
    <t>7891000053508</t>
  </si>
  <si>
    <t>7896007548514</t>
  </si>
  <si>
    <t>k</t>
  </si>
  <si>
    <t>7896104994313</t>
  </si>
  <si>
    <t>a</t>
  </si>
  <si>
    <t>7896277400055</t>
  </si>
  <si>
    <t>7896490500013</t>
  </si>
  <si>
    <t>7896104994306</t>
  </si>
  <si>
    <t>7894321811789</t>
  </si>
  <si>
    <t>7891150049925</t>
  </si>
  <si>
    <t>7891040198726</t>
  </si>
  <si>
    <t>7896314707697</t>
  </si>
  <si>
    <t>7891024184509</t>
  </si>
  <si>
    <t>7891150060241</t>
  </si>
  <si>
    <t>7896239300478</t>
  </si>
  <si>
    <t>7896090400010</t>
  </si>
  <si>
    <t>7896110002255</t>
  </si>
  <si>
    <t>aq</t>
  </si>
  <si>
    <t>7896007545094</t>
  </si>
  <si>
    <t>7896280400394</t>
  </si>
  <si>
    <t>7896110008653</t>
  </si>
  <si>
    <t>7896072093636</t>
  </si>
  <si>
    <t>7896098900741</t>
  </si>
  <si>
    <t>7891035285158</t>
  </si>
  <si>
    <t>7891000066607</t>
  </si>
  <si>
    <t>7896098902042</t>
  </si>
  <si>
    <t>7891024038536</t>
  </si>
  <si>
    <t>7896000594198</t>
  </si>
  <si>
    <t>7896534400200</t>
  </si>
  <si>
    <t>7893500020158</t>
  </si>
  <si>
    <t>7898288820044</t>
  </si>
  <si>
    <t>7894650004463</t>
  </si>
  <si>
    <t>7896040706889</t>
  </si>
  <si>
    <t>7896102502299</t>
  </si>
  <si>
    <t>f</t>
  </si>
  <si>
    <t>7891150060272</t>
  </si>
  <si>
    <t>7891079000427</t>
  </si>
  <si>
    <t>g</t>
  </si>
  <si>
    <t>7702018874729</t>
  </si>
  <si>
    <t>7891528016498</t>
  </si>
  <si>
    <t>17896569405000</t>
  </si>
  <si>
    <t>7892020200095</t>
  </si>
  <si>
    <t>7896036094976</t>
  </si>
  <si>
    <t>7896036097335</t>
  </si>
  <si>
    <t>7891000066560</t>
  </si>
  <si>
    <t>7891000086193</t>
  </si>
  <si>
    <t>bono</t>
  </si>
  <si>
    <t>7896098906866</t>
  </si>
  <si>
    <t>7896110007700</t>
  </si>
  <si>
    <t>q</t>
  </si>
  <si>
    <t>ll</t>
  </si>
  <si>
    <t>7896098900802</t>
  </si>
  <si>
    <t>7896001004504</t>
  </si>
  <si>
    <t>7897380000767</t>
  </si>
  <si>
    <t>7891024037393</t>
  </si>
  <si>
    <t>4005900521897</t>
  </si>
  <si>
    <t>7891051026773</t>
  </si>
  <si>
    <t>natori</t>
  </si>
  <si>
    <t>7898116880028</t>
  </si>
  <si>
    <t>7896110003221</t>
  </si>
  <si>
    <t>070330709485</t>
  </si>
  <si>
    <t>4005900380982</t>
  </si>
  <si>
    <t>7891095007165</t>
  </si>
  <si>
    <t>7896056401549</t>
  </si>
  <si>
    <t>xurca</t>
  </si>
  <si>
    <t>7891203010605</t>
  </si>
  <si>
    <t>Bisnaguinha (300g)</t>
  </si>
  <si>
    <t>7897140100010</t>
  </si>
  <si>
    <t>7896005286555</t>
  </si>
  <si>
    <t>7891965120154</t>
  </si>
  <si>
    <t>7896283800429</t>
  </si>
  <si>
    <t>7896230400443</t>
  </si>
  <si>
    <t>7891079001561</t>
  </si>
  <si>
    <t>7891038009300</t>
  </si>
  <si>
    <t>ww</t>
  </si>
  <si>
    <t>7891150043084</t>
  </si>
  <si>
    <t>tht</t>
  </si>
  <si>
    <t>7898405750049</t>
  </si>
  <si>
    <t>7891172421174</t>
  </si>
  <si>
    <t>eet</t>
  </si>
  <si>
    <t>7896022200121</t>
  </si>
  <si>
    <t>u6ruy</t>
  </si>
  <si>
    <t>7897190306462</t>
  </si>
  <si>
    <t>ysrjtudk</t>
  </si>
  <si>
    <t>7891000100103</t>
  </si>
  <si>
    <t>3rg</t>
  </si>
  <si>
    <t>7896102589122</t>
  </si>
  <si>
    <t>ryj</t>
  </si>
  <si>
    <t>7896090403141</t>
  </si>
  <si>
    <t>sryj</t>
  </si>
  <si>
    <t>7896005281710</t>
  </si>
  <si>
    <t>rv</t>
  </si>
  <si>
    <t>7622300989446</t>
  </si>
  <si>
    <t>oreo</t>
  </si>
  <si>
    <t>7896384801196</t>
  </si>
  <si>
    <t>etw</t>
  </si>
  <si>
    <t>7896022201852</t>
  </si>
  <si>
    <t>7897217400142</t>
  </si>
  <si>
    <t>7891528112534</t>
  </si>
  <si>
    <t>7891528038810</t>
  </si>
  <si>
    <t>7891024034965</t>
  </si>
  <si>
    <t>7896098900604</t>
  </si>
  <si>
    <t>7891150046368</t>
  </si>
  <si>
    <t>7894321711478</t>
  </si>
  <si>
    <t>7896089010916</t>
  </si>
  <si>
    <t>Caboclo</t>
  </si>
  <si>
    <t>7891095200207</t>
  </si>
  <si>
    <t>Yoki</t>
  </si>
  <si>
    <t>7898949924197</t>
  </si>
  <si>
    <t>Vasconcelos</t>
  </si>
  <si>
    <t>Suco (1,5L)</t>
  </si>
  <si>
    <t>Barra de Cereal (4un)</t>
  </si>
  <si>
    <t>Pão de Mel (300g)</t>
  </si>
  <si>
    <t>Papel Toalha (12un)</t>
  </si>
  <si>
    <t>Cereal (120g)</t>
  </si>
  <si>
    <t>Pão de Forma (500g)</t>
  </si>
  <si>
    <t>Sabonete (8un)</t>
  </si>
  <si>
    <t>Fraldas Infantis (36un)</t>
  </si>
  <si>
    <t>7891024039243</t>
  </si>
  <si>
    <t>7896098900482</t>
  </si>
  <si>
    <t>7896417000077</t>
  </si>
  <si>
    <t>7891035285189</t>
  </si>
  <si>
    <t>7896098902912</t>
  </si>
  <si>
    <t>7891150049949</t>
  </si>
  <si>
    <t>7896098900451</t>
  </si>
  <si>
    <t>7896079431127</t>
  </si>
  <si>
    <t>7896022201890</t>
  </si>
  <si>
    <t>7896056405868</t>
  </si>
  <si>
    <t>7896527701642</t>
  </si>
  <si>
    <t>7898080640673</t>
  </si>
  <si>
    <t>7898949924333</t>
  </si>
  <si>
    <t>7897721410095</t>
  </si>
  <si>
    <t>7896036098288</t>
  </si>
  <si>
    <t>7892020200231</t>
  </si>
  <si>
    <t>7891150044623</t>
  </si>
  <si>
    <t>7891024110409</t>
  </si>
  <si>
    <t>7897664171718</t>
  </si>
  <si>
    <t>7896061915307</t>
  </si>
  <si>
    <t>7896098904664</t>
  </si>
  <si>
    <t>7896183302429</t>
  </si>
  <si>
    <t>7891150058552</t>
  </si>
  <si>
    <t>7898949924081</t>
  </si>
  <si>
    <t>7896627935336</t>
  </si>
  <si>
    <t>7896622713021</t>
  </si>
  <si>
    <t>7896080900148</t>
  </si>
  <si>
    <t>7899567245220</t>
  </si>
  <si>
    <t>7898080640185</t>
  </si>
  <si>
    <t>7896012800362</t>
  </si>
  <si>
    <t>7891000251904</t>
  </si>
  <si>
    <t>7509546060835</t>
  </si>
  <si>
    <t>7500435000840</t>
  </si>
  <si>
    <t>7891024024485</t>
  </si>
  <si>
    <t>7891150046375</t>
  </si>
  <si>
    <t>7898919411962</t>
  </si>
  <si>
    <t>7897664172234</t>
  </si>
  <si>
    <t>7896098905401</t>
  </si>
  <si>
    <t>7896292308077</t>
  </si>
  <si>
    <t>7896006748830</t>
  </si>
  <si>
    <t>7896002360326</t>
  </si>
  <si>
    <t>7891000067178</t>
  </si>
  <si>
    <t>7500435106627</t>
  </si>
  <si>
    <t>7896069511877</t>
  </si>
  <si>
    <t>7891024127605</t>
  </si>
  <si>
    <t>7891528012582</t>
  </si>
  <si>
    <t>7896090400317</t>
  </si>
  <si>
    <t>7896401100325</t>
  </si>
  <si>
    <t>7898187830014</t>
  </si>
  <si>
    <t>7892300026629</t>
  </si>
  <si>
    <t>7896292311091</t>
  </si>
  <si>
    <t>7896401100042</t>
  </si>
  <si>
    <t>7896674700017</t>
  </si>
  <si>
    <t>7896300300369</t>
  </si>
  <si>
    <t>7891022080025</t>
  </si>
  <si>
    <t>7891150060463</t>
  </si>
  <si>
    <t>7896005801826</t>
  </si>
  <si>
    <t>7896205755349</t>
  </si>
  <si>
    <t>7891024026434</t>
  </si>
  <si>
    <t>7896098901137</t>
  </si>
  <si>
    <t>7896001045446</t>
  </si>
  <si>
    <t>7896098900499</t>
  </si>
  <si>
    <t>7891150061880</t>
  </si>
  <si>
    <t>7896104995778</t>
  </si>
  <si>
    <t>Mili Vita</t>
  </si>
  <si>
    <t>7896012800843</t>
  </si>
  <si>
    <t>Bigfral</t>
  </si>
  <si>
    <t>7896534400064</t>
  </si>
  <si>
    <t>Globo</t>
  </si>
  <si>
    <t>7500435117845</t>
  </si>
  <si>
    <t>Pampers</t>
  </si>
  <si>
    <t>7793940463006</t>
  </si>
  <si>
    <t>fyjf</t>
  </si>
  <si>
    <t>7896327514114</t>
  </si>
  <si>
    <t>fcdfghijhgh</t>
  </si>
  <si>
    <t>7896327501275</t>
  </si>
  <si>
    <t>apti</t>
  </si>
  <si>
    <t>7896327512646</t>
  </si>
  <si>
    <t>aohjgf</t>
  </si>
  <si>
    <t>7896327512622</t>
  </si>
  <si>
    <t>dfegrfdc</t>
  </si>
  <si>
    <t>7896117100350</t>
  </si>
  <si>
    <t>nfchghjk</t>
  </si>
  <si>
    <t>7896012801826</t>
  </si>
  <si>
    <t>7896007546787</t>
  </si>
  <si>
    <t>7896007548415</t>
  </si>
  <si>
    <t>7898080640833</t>
  </si>
  <si>
    <t>7891010087722</t>
  </si>
  <si>
    <t>7891024110201</t>
  </si>
  <si>
    <t>7896022200961</t>
  </si>
  <si>
    <t>7891022854244</t>
  </si>
  <si>
    <t>7891035249433</t>
  </si>
  <si>
    <t>7891150057630</t>
  </si>
  <si>
    <t>7896022201913</t>
  </si>
  <si>
    <t>7891962051338</t>
  </si>
  <si>
    <t>7891962000268</t>
  </si>
  <si>
    <t>7892222300500</t>
  </si>
  <si>
    <t>7898957777020</t>
  </si>
  <si>
    <t>7896104993736</t>
  </si>
  <si>
    <t>7897664171701</t>
  </si>
  <si>
    <t>7506339363883</t>
  </si>
  <si>
    <t>7896048200051</t>
  </si>
  <si>
    <t>7891150049871</t>
  </si>
  <si>
    <t>7500435127370</t>
  </si>
  <si>
    <t>7891528038001</t>
  </si>
  <si>
    <t>7891010925543</t>
  </si>
  <si>
    <t>7896005232705</t>
  </si>
  <si>
    <t>7891024035245</t>
  </si>
  <si>
    <t>7891150060456</t>
  </si>
  <si>
    <t>7898341250832</t>
  </si>
  <si>
    <t>7891024008799</t>
  </si>
  <si>
    <t>7891024035825</t>
  </si>
  <si>
    <t>7501009222743</t>
  </si>
  <si>
    <t>7896006716112</t>
  </si>
  <si>
    <t>7896205756377</t>
  </si>
  <si>
    <t>7891150057388</t>
  </si>
  <si>
    <t>7891024035511</t>
  </si>
  <si>
    <t>7891000379103</t>
  </si>
  <si>
    <t xml:space="preserve">      7891051026773</t>
  </si>
  <si>
    <t>070330709003</t>
  </si>
  <si>
    <t>7896066317595</t>
  </si>
  <si>
    <t>7896022201906</t>
  </si>
  <si>
    <t>7894650004265</t>
  </si>
  <si>
    <t>7894650013908</t>
  </si>
  <si>
    <t>7891177816869</t>
  </si>
  <si>
    <t>7891024194249</t>
  </si>
  <si>
    <t>7896098904671</t>
  </si>
  <si>
    <t>7896183300180</t>
  </si>
  <si>
    <t>7891035800344</t>
  </si>
  <si>
    <t>7896527700355</t>
  </si>
  <si>
    <t>7896098900628</t>
  </si>
  <si>
    <t>7896022202996</t>
  </si>
  <si>
    <t>7891000070673</t>
  </si>
  <si>
    <t>7896104995693</t>
  </si>
  <si>
    <t>7891172145124</t>
  </si>
  <si>
    <t>7891150025301</t>
  </si>
  <si>
    <t>7891010035976</t>
  </si>
  <si>
    <t>7896090100026</t>
  </si>
  <si>
    <t>7500435011266</t>
  </si>
  <si>
    <t>7897664171770</t>
  </si>
  <si>
    <t>7891024035139</t>
  </si>
  <si>
    <t>7896098900475</t>
  </si>
  <si>
    <t>7896527700768</t>
  </si>
  <si>
    <t>7891024186244</t>
  </si>
  <si>
    <t>7509546067858</t>
  </si>
  <si>
    <t>7898327431286</t>
  </si>
  <si>
    <t>7896110007427</t>
  </si>
  <si>
    <t>7898080640413</t>
  </si>
  <si>
    <t>7891528038568</t>
  </si>
  <si>
    <t>7896527700898</t>
  </si>
  <si>
    <t>7896104995761</t>
  </si>
  <si>
    <t>7891150059870</t>
  </si>
  <si>
    <t>7891150060296</t>
  </si>
  <si>
    <t>7896006701118</t>
  </si>
  <si>
    <t>7891528008592</t>
  </si>
  <si>
    <t>070330727878</t>
  </si>
  <si>
    <t>070330732339</t>
  </si>
  <si>
    <t>7891035215339</t>
  </si>
  <si>
    <t>7891024194607</t>
  </si>
  <si>
    <t>7896007540617</t>
  </si>
  <si>
    <t>7894321811819</t>
  </si>
  <si>
    <t>7891000113608</t>
  </si>
  <si>
    <t>7506195132043</t>
  </si>
  <si>
    <t>pasta de dente (70g)</t>
  </si>
  <si>
    <t>7898009350317</t>
  </si>
  <si>
    <t>7896056401044</t>
  </si>
  <si>
    <t>7897664171732</t>
  </si>
  <si>
    <t>sabonete (85g)</t>
  </si>
  <si>
    <t>7896005208182</t>
  </si>
  <si>
    <t>7896205744046</t>
  </si>
  <si>
    <t>7891024028995</t>
  </si>
  <si>
    <t>7897664172067</t>
  </si>
  <si>
    <t>7897721410071</t>
  </si>
  <si>
    <t>7896256050158</t>
  </si>
  <si>
    <t>7898931019023</t>
  </si>
  <si>
    <t>7891010793463</t>
  </si>
  <si>
    <t>7891010704780</t>
  </si>
  <si>
    <t>7898247780266</t>
  </si>
  <si>
    <t>7896102593051</t>
  </si>
  <si>
    <t>7898080640925</t>
  </si>
  <si>
    <t>7898285310524</t>
  </si>
  <si>
    <t>7896056402485</t>
  </si>
  <si>
    <t>7894650002698</t>
  </si>
  <si>
    <t>7897664171725</t>
  </si>
  <si>
    <t>7891150060302</t>
  </si>
  <si>
    <t>7501009224174</t>
  </si>
  <si>
    <t>7896117600195</t>
  </si>
  <si>
    <t>7891024037157</t>
  </si>
  <si>
    <t>7896021622009</t>
  </si>
  <si>
    <t>7898016971000</t>
  </si>
  <si>
    <t>7896048284785</t>
  </si>
  <si>
    <t>7896500100011</t>
  </si>
  <si>
    <t>7891035285257</t>
  </si>
  <si>
    <t>7896075300625</t>
  </si>
  <si>
    <t>7896110004648</t>
  </si>
  <si>
    <t>7897217400500</t>
  </si>
  <si>
    <t>7896460400237</t>
  </si>
  <si>
    <t>7896327514138</t>
  </si>
  <si>
    <t>7896102589146</t>
  </si>
  <si>
    <t>7896733610646</t>
  </si>
  <si>
    <t>7896372400110</t>
  </si>
  <si>
    <t>7896036095041</t>
  </si>
  <si>
    <t>7894321811758</t>
  </si>
  <si>
    <t>7891037006324</t>
  </si>
  <si>
    <t>7896622711911</t>
  </si>
  <si>
    <t>7891150058903</t>
  </si>
  <si>
    <t>7896036095119</t>
  </si>
  <si>
    <t>7896098900949</t>
  </si>
  <si>
    <t>7896490290587</t>
  </si>
  <si>
    <t>7896183302436</t>
  </si>
  <si>
    <t>7891024038246</t>
  </si>
  <si>
    <t>7898342050240</t>
  </si>
  <si>
    <t>7891024034200</t>
  </si>
  <si>
    <t>7896140600018</t>
  </si>
  <si>
    <t>7896102592993</t>
  </si>
  <si>
    <t>7897900314008</t>
  </si>
  <si>
    <t>7501009222729</t>
  </si>
  <si>
    <t>7891150060289</t>
  </si>
  <si>
    <t>aa</t>
  </si>
  <si>
    <t>7891040001187</t>
  </si>
  <si>
    <t>7896098900369</t>
  </si>
  <si>
    <t>ojh</t>
  </si>
  <si>
    <t>7891150021235</t>
  </si>
  <si>
    <t>zz</t>
  </si>
  <si>
    <t>7791293034997</t>
  </si>
  <si>
    <t>7898341430777</t>
  </si>
  <si>
    <t>hhy</t>
  </si>
  <si>
    <t>7897645100140</t>
  </si>
  <si>
    <t>7894900558029</t>
  </si>
  <si>
    <t>7896733600746</t>
  </si>
  <si>
    <t>7896075300946</t>
  </si>
  <si>
    <t>7896005218013</t>
  </si>
  <si>
    <t>7891203057525</t>
  </si>
  <si>
    <t>7897664171756</t>
  </si>
  <si>
    <t>sabonete albany</t>
  </si>
  <si>
    <t>7891032015222</t>
  </si>
  <si>
    <t>Olé</t>
  </si>
  <si>
    <t>7894650004494</t>
  </si>
  <si>
    <t>7896733600630</t>
  </si>
  <si>
    <t>qq</t>
  </si>
  <si>
    <t>ppp</t>
  </si>
  <si>
    <t>4296436400064</t>
  </si>
  <si>
    <t>jug</t>
  </si>
  <si>
    <t>7891079001028</t>
  </si>
  <si>
    <t>t5t</t>
  </si>
  <si>
    <t>7897001040028</t>
  </si>
  <si>
    <t>yug</t>
  </si>
  <si>
    <t>7896104994290</t>
  </si>
  <si>
    <t>gyyu</t>
  </si>
  <si>
    <t>7895000318612</t>
  </si>
  <si>
    <t>7898215152002</t>
  </si>
  <si>
    <t>dfksfd</t>
  </si>
  <si>
    <t>17896283800228</t>
  </si>
  <si>
    <t>jiikok</t>
  </si>
  <si>
    <t>7896200116398</t>
  </si>
  <si>
    <t>7897217400364</t>
  </si>
  <si>
    <t>7897190306370</t>
  </si>
  <si>
    <t>7898295300256</t>
  </si>
  <si>
    <t>7896185310576</t>
  </si>
  <si>
    <t>7891035285172</t>
  </si>
  <si>
    <t>7896102588101</t>
  </si>
  <si>
    <t>7898564982480</t>
  </si>
  <si>
    <t>7896219700038</t>
  </si>
  <si>
    <t>7891172432019</t>
  </si>
  <si>
    <t>7891150019249</t>
  </si>
  <si>
    <t>7891965220069</t>
  </si>
  <si>
    <t>7506339358247</t>
  </si>
  <si>
    <t>7891024116128</t>
  </si>
  <si>
    <t>7896020160052</t>
  </si>
  <si>
    <t>7891032015154</t>
  </si>
  <si>
    <t>7896283800238</t>
  </si>
  <si>
    <t>7898215151890</t>
  </si>
  <si>
    <t>7896238101564</t>
  </si>
  <si>
    <t>7891150016750</t>
  </si>
  <si>
    <t>3083681026122</t>
  </si>
  <si>
    <t>070330712379</t>
  </si>
  <si>
    <t>7891095006984</t>
  </si>
  <si>
    <t>7896070121034</t>
  </si>
  <si>
    <t>7896022204174</t>
  </si>
  <si>
    <t>7896097600307</t>
  </si>
  <si>
    <t>7891150058910</t>
  </si>
  <si>
    <t>7891035285264</t>
  </si>
  <si>
    <t>7891024135310</t>
  </si>
  <si>
    <t>knkn</t>
  </si>
  <si>
    <t>7896102582123</t>
  </si>
  <si>
    <t>jijij</t>
  </si>
  <si>
    <t>7891024035580</t>
  </si>
  <si>
    <t>jjjj</t>
  </si>
  <si>
    <t>7891010610241</t>
  </si>
  <si>
    <t>llll</t>
  </si>
  <si>
    <t>7793940466007</t>
  </si>
  <si>
    <t>lll</t>
  </si>
  <si>
    <t>7898080640376</t>
  </si>
  <si>
    <t>p</t>
  </si>
  <si>
    <t>7891000112946</t>
  </si>
  <si>
    <t>o</t>
  </si>
  <si>
    <t>7891150037601</t>
  </si>
  <si>
    <t>7896007549382</t>
  </si>
  <si>
    <t>7896082803850</t>
  </si>
  <si>
    <t>7896069517473</t>
  </si>
  <si>
    <t>Farofa (400g)</t>
  </si>
  <si>
    <t>kkk</t>
  </si>
  <si>
    <t>7897517209278</t>
  </si>
  <si>
    <t>ddd</t>
  </si>
  <si>
    <t>7896006755517</t>
  </si>
  <si>
    <t>mm</t>
  </si>
  <si>
    <t>78924529</t>
  </si>
  <si>
    <t>pp</t>
  </si>
  <si>
    <t>7898949924555</t>
  </si>
  <si>
    <t>cc</t>
  </si>
  <si>
    <t>mmm</t>
  </si>
  <si>
    <t>3083681015676</t>
  </si>
  <si>
    <t>sss</t>
  </si>
  <si>
    <t>7898902299331</t>
  </si>
  <si>
    <t>7891095100934</t>
  </si>
  <si>
    <t>7891095217458</t>
  </si>
  <si>
    <t>7891150058651</t>
  </si>
  <si>
    <t>7896527700638</t>
  </si>
  <si>
    <t>oooo</t>
  </si>
  <si>
    <t>7896527700904</t>
  </si>
  <si>
    <t>7896416600018</t>
  </si>
  <si>
    <t>oo</t>
  </si>
  <si>
    <t>7896098904732</t>
  </si>
  <si>
    <t>aaa</t>
  </si>
  <si>
    <t>7896062602091</t>
  </si>
  <si>
    <t>7891150026025</t>
  </si>
  <si>
    <t>Sabonete (75g)</t>
  </si>
  <si>
    <t>7896075301448</t>
  </si>
  <si>
    <t>7894321826011</t>
  </si>
  <si>
    <t>7896005272060</t>
  </si>
  <si>
    <t>Bolo (450g)</t>
  </si>
  <si>
    <t>7898085944899</t>
  </si>
  <si>
    <t>La Flore</t>
  </si>
  <si>
    <t>7896000711601</t>
  </si>
  <si>
    <t>7896036094969</t>
  </si>
  <si>
    <t>7790070218216</t>
  </si>
  <si>
    <t>7896012878316</t>
  </si>
  <si>
    <t>Fraldas Geriátricas (16un)</t>
  </si>
  <si>
    <t>7896052600236</t>
  </si>
  <si>
    <t>7898215151937</t>
  </si>
  <si>
    <t>7891150059924</t>
  </si>
  <si>
    <t>7896098906132</t>
  </si>
  <si>
    <t>7891024037973</t>
  </si>
  <si>
    <t>7891150060449</t>
  </si>
  <si>
    <t>7891024035351</t>
  </si>
  <si>
    <t>7891095200399</t>
  </si>
  <si>
    <t>7896205788040</t>
  </si>
  <si>
    <t>iii</t>
  </si>
  <si>
    <t>7509546074382</t>
  </si>
  <si>
    <t>7500435113823</t>
  </si>
  <si>
    <t>7500435121743</t>
  </si>
  <si>
    <t>7501009224082</t>
  </si>
  <si>
    <t>7791293032368</t>
  </si>
  <si>
    <t>çç</t>
  </si>
  <si>
    <t>7891150061897</t>
  </si>
  <si>
    <t>7891000118962</t>
  </si>
  <si>
    <t>7891000811504</t>
  </si>
  <si>
    <t>ok</t>
  </si>
  <si>
    <t>7896000725264</t>
  </si>
  <si>
    <t>7891150050594</t>
  </si>
  <si>
    <t>7891991014113</t>
  </si>
  <si>
    <t>7896283800559</t>
  </si>
  <si>
    <t>7891150062016</t>
  </si>
  <si>
    <t>kKK</t>
  </si>
  <si>
    <t>7891150061859</t>
  </si>
  <si>
    <t>7896098900727</t>
  </si>
  <si>
    <t>7896104993750</t>
  </si>
  <si>
    <t>ooo</t>
  </si>
  <si>
    <t>7891000250822</t>
  </si>
  <si>
    <t>n</t>
  </si>
  <si>
    <t>7896079431158</t>
  </si>
  <si>
    <t>7896109800015</t>
  </si>
  <si>
    <t>7893500020110</t>
  </si>
  <si>
    <t>7899686700068</t>
  </si>
  <si>
    <t>7898138781778</t>
  </si>
  <si>
    <t>baby</t>
  </si>
  <si>
    <t>7891150059917</t>
  </si>
  <si>
    <t>sadasd</t>
  </si>
  <si>
    <t>7891024035559</t>
  </si>
  <si>
    <t>ddada</t>
  </si>
  <si>
    <t>7898085944905</t>
  </si>
  <si>
    <t>7896022204150</t>
  </si>
  <si>
    <t>asdasd</t>
  </si>
  <si>
    <t>7891965120178</t>
  </si>
  <si>
    <t>dff</t>
  </si>
  <si>
    <t>7891024035528</t>
  </si>
  <si>
    <t>ghjh</t>
  </si>
  <si>
    <t>7898080640017</t>
  </si>
  <si>
    <t>sads</t>
  </si>
  <si>
    <t>7501009224037</t>
  </si>
  <si>
    <t>asdf</t>
  </si>
  <si>
    <t>7896006718499</t>
  </si>
  <si>
    <t>hjkkik</t>
  </si>
  <si>
    <t>7895000327935</t>
  </si>
  <si>
    <t>hhuuk</t>
  </si>
  <si>
    <t>7897041300014</t>
  </si>
  <si>
    <t>iikool</t>
  </si>
  <si>
    <t>7895000473038</t>
  </si>
  <si>
    <t>hjjjk</t>
  </si>
  <si>
    <t>7895000319015</t>
  </si>
  <si>
    <t>extra</t>
  </si>
  <si>
    <t>7896062699961</t>
  </si>
  <si>
    <t>jikoko</t>
  </si>
  <si>
    <t>7895000327706</t>
  </si>
  <si>
    <t>sajdaj</t>
  </si>
  <si>
    <t>7895000343294</t>
  </si>
  <si>
    <t>rtrtyt</t>
  </si>
  <si>
    <t>7895000318995</t>
  </si>
  <si>
    <t>qualita</t>
  </si>
  <si>
    <t>7895000318834</t>
  </si>
  <si>
    <t>7895000318544</t>
  </si>
  <si>
    <t>joko</t>
  </si>
  <si>
    <t>7895000327478</t>
  </si>
  <si>
    <t>ikoko</t>
  </si>
  <si>
    <t>7897500200077</t>
  </si>
  <si>
    <t>huko</t>
  </si>
  <si>
    <t>7896280400028</t>
  </si>
  <si>
    <t>gyghu</t>
  </si>
  <si>
    <t>7891024029824</t>
  </si>
  <si>
    <t>jji</t>
  </si>
  <si>
    <t>7896645742770</t>
  </si>
  <si>
    <t>fgyh</t>
  </si>
  <si>
    <t>7896009500152</t>
  </si>
  <si>
    <t>kokol</t>
  </si>
  <si>
    <t>3023470010017</t>
  </si>
  <si>
    <t>St Michel</t>
  </si>
  <si>
    <t>17898080641295</t>
  </si>
  <si>
    <t>8710908853302</t>
  </si>
  <si>
    <t>oolok</t>
  </si>
  <si>
    <t>7891095006878</t>
  </si>
  <si>
    <t>jjikik</t>
  </si>
  <si>
    <t>7891024026458</t>
  </si>
  <si>
    <t>uhuki</t>
  </si>
  <si>
    <t>7898080640956</t>
  </si>
  <si>
    <t>uhuhuj</t>
  </si>
  <si>
    <t>7891035215001</t>
  </si>
  <si>
    <t>gtij</t>
  </si>
  <si>
    <t>7891150043091</t>
  </si>
  <si>
    <t>ikik</t>
  </si>
  <si>
    <t>7896012878101</t>
  </si>
  <si>
    <t>hyhujij</t>
  </si>
  <si>
    <t>7896185312419</t>
  </si>
  <si>
    <t>ggyhu</t>
  </si>
  <si>
    <t>7896089013337</t>
  </si>
  <si>
    <t>yghi</t>
  </si>
  <si>
    <t>7622300999346</t>
  </si>
  <si>
    <t>ftfth</t>
  </si>
  <si>
    <t>7894900093056</t>
  </si>
  <si>
    <t>hyhuj</t>
  </si>
  <si>
    <t>7891167011748</t>
  </si>
  <si>
    <t>huhhu</t>
  </si>
  <si>
    <t>7891528038629</t>
  </si>
  <si>
    <t>huhuj</t>
  </si>
  <si>
    <t>7896090400324</t>
  </si>
  <si>
    <t>uji</t>
  </si>
  <si>
    <t>7891024035504</t>
  </si>
  <si>
    <t>hujk</t>
  </si>
  <si>
    <t>7895000327959</t>
  </si>
  <si>
    <t>bb</t>
  </si>
  <si>
    <t>7895000343317</t>
  </si>
  <si>
    <t>bh</t>
  </si>
  <si>
    <t>7896064900102</t>
  </si>
  <si>
    <t>7895000318490</t>
  </si>
  <si>
    <t>bjb</t>
  </si>
  <si>
    <t>7895000330515</t>
  </si>
  <si>
    <t>b</t>
  </si>
  <si>
    <t>7895000330522</t>
  </si>
  <si>
    <t>hh</t>
  </si>
  <si>
    <t>4005900522016</t>
  </si>
  <si>
    <t>7895000319022</t>
  </si>
  <si>
    <t>7895000318568</t>
  </si>
  <si>
    <t xml:space="preserve">kb </t>
  </si>
  <si>
    <t>7891051007178</t>
  </si>
  <si>
    <t>7793940563003</t>
  </si>
  <si>
    <t>uhvu</t>
  </si>
  <si>
    <t>7895000347988</t>
  </si>
  <si>
    <t>rgr</t>
  </si>
  <si>
    <t>7896098901915</t>
  </si>
  <si>
    <t>tfrtyji</t>
  </si>
  <si>
    <t>7896079441119</t>
  </si>
  <si>
    <t>ygyhi</t>
  </si>
  <si>
    <t>7896007544042</t>
  </si>
  <si>
    <t>7896098903681</t>
  </si>
  <si>
    <t>uijij</t>
  </si>
  <si>
    <t>sda</t>
  </si>
  <si>
    <t>7896238101083</t>
  </si>
  <si>
    <t>gjk</t>
  </si>
  <si>
    <t>47896283800250</t>
  </si>
  <si>
    <t>Leite (6un)</t>
  </si>
  <si>
    <t>Jussara</t>
  </si>
  <si>
    <t>7891528038827</t>
  </si>
  <si>
    <t>7891035249228</t>
  </si>
  <si>
    <t>uhj</t>
  </si>
  <si>
    <t>7791293034980</t>
  </si>
  <si>
    <t>gdgfh</t>
  </si>
  <si>
    <t>7896012877586</t>
  </si>
  <si>
    <t>huj</t>
  </si>
  <si>
    <t>7506339391312</t>
  </si>
  <si>
    <t>gj</t>
  </si>
  <si>
    <t>7896035731384</t>
  </si>
  <si>
    <t>ggjh</t>
  </si>
  <si>
    <t>7896102502305</t>
  </si>
  <si>
    <t>fghj</t>
  </si>
  <si>
    <t>7895000330539</t>
  </si>
  <si>
    <t>7891024031377</t>
  </si>
  <si>
    <t>hjj</t>
  </si>
  <si>
    <t>7896023402210</t>
  </si>
  <si>
    <t>ghj</t>
  </si>
  <si>
    <t>7898226513410</t>
  </si>
  <si>
    <t>hj</t>
  </si>
  <si>
    <t>7896212500192</t>
  </si>
  <si>
    <t>7896051130123</t>
  </si>
  <si>
    <t>jhkhj</t>
  </si>
  <si>
    <t>7891000070765</t>
  </si>
  <si>
    <t>huoik</t>
  </si>
  <si>
    <t>7897001050034</t>
  </si>
  <si>
    <t>hjgjh</t>
  </si>
  <si>
    <t xml:space="preserve">  7891024035511</t>
  </si>
  <si>
    <t>hk</t>
  </si>
  <si>
    <t>7896051131038</t>
  </si>
  <si>
    <t>hkkj</t>
  </si>
  <si>
    <t>7898080640024</t>
  </si>
  <si>
    <t>asd</t>
  </si>
  <si>
    <t>7896012878453</t>
  </si>
  <si>
    <t>7896007549672</t>
  </si>
  <si>
    <t>fjh</t>
  </si>
  <si>
    <t>7897664172074</t>
  </si>
  <si>
    <t>hjk</t>
  </si>
  <si>
    <t>7896098901328</t>
  </si>
  <si>
    <t>hgj</t>
  </si>
  <si>
    <t>Bolo (400g)</t>
  </si>
  <si>
    <t>7898080640031</t>
  </si>
  <si>
    <t>hhj</t>
  </si>
  <si>
    <t>7896005217023</t>
  </si>
  <si>
    <t>asda</t>
  </si>
  <si>
    <t>7896012800744</t>
  </si>
  <si>
    <t>huhu</t>
  </si>
  <si>
    <t>7898234850125</t>
  </si>
  <si>
    <t>hui</t>
  </si>
  <si>
    <t>7891035285394</t>
  </si>
  <si>
    <t>hhjj</t>
  </si>
  <si>
    <t>7896098900994</t>
  </si>
  <si>
    <t>jiko</t>
  </si>
  <si>
    <t>7891150054530</t>
  </si>
  <si>
    <t>asddf</t>
  </si>
  <si>
    <t>7891150001947</t>
  </si>
  <si>
    <t>ades</t>
  </si>
  <si>
    <t>7897217400494</t>
  </si>
  <si>
    <t>dfg</t>
  </si>
  <si>
    <t>7891150055780</t>
  </si>
  <si>
    <t>jhk</t>
  </si>
  <si>
    <t>7891000056615</t>
  </si>
  <si>
    <t>jikik</t>
  </si>
  <si>
    <t>7896098901182</t>
  </si>
  <si>
    <t>hhuj</t>
  </si>
  <si>
    <t>7896292321236</t>
  </si>
  <si>
    <t>7896412800863</t>
  </si>
  <si>
    <t>37896185312717</t>
  </si>
  <si>
    <t>sasdas</t>
  </si>
  <si>
    <t>7896011906874</t>
  </si>
  <si>
    <t>7896099100256</t>
  </si>
  <si>
    <t>dghh</t>
  </si>
  <si>
    <t>7895000407330</t>
  </si>
  <si>
    <t>jklkl</t>
  </si>
  <si>
    <t>7897041300038</t>
  </si>
  <si>
    <t>ijkl</t>
  </si>
  <si>
    <t>7896183210106</t>
  </si>
  <si>
    <t>ikl</t>
  </si>
  <si>
    <t>7893500018469</t>
  </si>
  <si>
    <t>jk</t>
  </si>
  <si>
    <t>7891048061695</t>
  </si>
  <si>
    <t>jkjk</t>
  </si>
  <si>
    <t>78926523</t>
  </si>
  <si>
    <t>fgf</t>
  </si>
  <si>
    <t>7895000376261</t>
  </si>
  <si>
    <t>7895000318445</t>
  </si>
  <si>
    <t>fgh</t>
  </si>
  <si>
    <t>7896023402128</t>
  </si>
  <si>
    <t>7891150043732</t>
  </si>
  <si>
    <t>lkl</t>
  </si>
  <si>
    <t>7791293035222</t>
  </si>
  <si>
    <t>7895000413256</t>
  </si>
  <si>
    <t>hghjhjk</t>
  </si>
  <si>
    <t>7895000318636</t>
  </si>
  <si>
    <t>7891024039939</t>
  </si>
  <si>
    <t>hjkl</t>
  </si>
  <si>
    <t>7896205756384</t>
  </si>
  <si>
    <t>hhkjk</t>
  </si>
  <si>
    <t>7899686700037</t>
  </si>
  <si>
    <t>jkl</t>
  </si>
  <si>
    <t>7891024195307</t>
  </si>
  <si>
    <t>dghj</t>
  </si>
  <si>
    <t>7896098902394</t>
  </si>
  <si>
    <t>jhjjk</t>
  </si>
  <si>
    <t>7891000102626</t>
  </si>
  <si>
    <t>dgfhg</t>
  </si>
  <si>
    <t>7891024177846</t>
  </si>
  <si>
    <t>jhjjklk</t>
  </si>
  <si>
    <t>7897721410002</t>
  </si>
  <si>
    <t>sada</t>
  </si>
  <si>
    <t>7896036090602</t>
  </si>
  <si>
    <t>7896023402135</t>
  </si>
  <si>
    <t>7500435122764</t>
  </si>
  <si>
    <t>wqeq</t>
  </si>
  <si>
    <t>7896011906881</t>
  </si>
  <si>
    <t>7891048061770</t>
  </si>
  <si>
    <t>7896046900212</t>
  </si>
  <si>
    <t>lçk</t>
  </si>
  <si>
    <t>7891150057647</t>
  </si>
  <si>
    <t>7891040221073</t>
  </si>
  <si>
    <t>7891350033595</t>
  </si>
  <si>
    <t>kl</t>
  </si>
  <si>
    <t>7896036095126</t>
  </si>
  <si>
    <t>7896102517200</t>
  </si>
  <si>
    <t>vv</t>
  </si>
  <si>
    <t>7898949924517</t>
  </si>
  <si>
    <t>7896036094921</t>
  </si>
  <si>
    <t>7896461802016</t>
  </si>
  <si>
    <t>4005900521972</t>
  </si>
  <si>
    <t>xx</t>
  </si>
  <si>
    <t>070330717527</t>
  </si>
  <si>
    <t>78936508</t>
  </si>
  <si>
    <t>7895000347810</t>
  </si>
  <si>
    <t>7895000327485</t>
  </si>
  <si>
    <t>7896098903827</t>
  </si>
  <si>
    <t>732783036906</t>
  </si>
  <si>
    <t>7895000319060</t>
  </si>
  <si>
    <t>nn</t>
  </si>
  <si>
    <t>7894321711171</t>
  </si>
  <si>
    <t>7891048061800</t>
  </si>
  <si>
    <t>000098720200</t>
  </si>
  <si>
    <t>7895000327942</t>
  </si>
  <si>
    <t>7898932034049</t>
  </si>
  <si>
    <t>7895000475322</t>
  </si>
  <si>
    <t>7898215151913</t>
  </si>
  <si>
    <t>7702010631207</t>
  </si>
  <si>
    <t>7896083800025</t>
  </si>
  <si>
    <t>7896097607221</t>
  </si>
  <si>
    <t>7896022204181</t>
  </si>
  <si>
    <t>7896061990090</t>
  </si>
  <si>
    <t>3083681080803</t>
  </si>
  <si>
    <t>7896090400041</t>
  </si>
  <si>
    <t>7898951850071</t>
  </si>
  <si>
    <t>7891025101604</t>
  </si>
  <si>
    <t>7896079431110</t>
  </si>
  <si>
    <t>7896894900082</t>
  </si>
  <si>
    <t>7895000474790</t>
  </si>
  <si>
    <t>7895000327874</t>
  </si>
  <si>
    <t>7896914002550</t>
  </si>
  <si>
    <t>7891048050620</t>
  </si>
  <si>
    <t>7898080640772</t>
  </si>
  <si>
    <t>7896098900987</t>
  </si>
  <si>
    <t>7891150058897</t>
  </si>
  <si>
    <t>7896083800032</t>
  </si>
  <si>
    <t>7898959127021</t>
  </si>
  <si>
    <t>7896007941254</t>
  </si>
  <si>
    <t>7896049508514</t>
  </si>
  <si>
    <t>7896012878446</t>
  </si>
  <si>
    <t>jj</t>
  </si>
  <si>
    <t>7898234850804</t>
  </si>
  <si>
    <t>AS</t>
  </si>
  <si>
    <t>7791293025872</t>
  </si>
  <si>
    <t>7896104998311</t>
  </si>
  <si>
    <t>7500435122788</t>
  </si>
  <si>
    <t>7891035209901</t>
  </si>
  <si>
    <t>7898080640239</t>
  </si>
  <si>
    <t>7896098900468</t>
  </si>
  <si>
    <t>xzc</t>
  </si>
  <si>
    <t>7891010247522</t>
  </si>
  <si>
    <t>7896070121072</t>
  </si>
  <si>
    <t>7891150058873</t>
  </si>
  <si>
    <t>8056304680075</t>
  </si>
  <si>
    <t>7891040128082</t>
  </si>
  <si>
    <t>7891035285165</t>
  </si>
  <si>
    <t>7891024171400</t>
  </si>
  <si>
    <t>7891010247409</t>
  </si>
  <si>
    <t>7896025803855</t>
  </si>
  <si>
    <t>7898234850958</t>
  </si>
  <si>
    <t>7891134002151</t>
  </si>
  <si>
    <t>7896098901267</t>
  </si>
  <si>
    <t>7891150058446</t>
  </si>
  <si>
    <t>7891095010707</t>
  </si>
  <si>
    <t>7898027654114</t>
  </si>
  <si>
    <t>7896697200259</t>
  </si>
  <si>
    <t>7896022200138</t>
  </si>
  <si>
    <t>7891150057470</t>
  </si>
  <si>
    <t>7891150028449</t>
  </si>
  <si>
    <t>7898234850132</t>
  </si>
  <si>
    <t>7893500018452</t>
  </si>
  <si>
    <t>7891150008137</t>
  </si>
  <si>
    <t>7891150046054</t>
  </si>
  <si>
    <t>7898925255277</t>
  </si>
  <si>
    <t>7898016970157</t>
  </si>
  <si>
    <t>7898234850156</t>
  </si>
  <si>
    <t>7896097600048</t>
  </si>
  <si>
    <t>070330734395</t>
  </si>
  <si>
    <t>7896058505054</t>
  </si>
  <si>
    <t>Jujuba (500g)</t>
  </si>
  <si>
    <t>7896022202972</t>
  </si>
  <si>
    <t>7891167023017</t>
  </si>
  <si>
    <t>7891962052571</t>
  </si>
  <si>
    <t>7897001040325</t>
  </si>
  <si>
    <t>4005808257584</t>
  </si>
  <si>
    <t>7896102502688</t>
  </si>
  <si>
    <t>7896005803288</t>
  </si>
  <si>
    <t>7896048281005</t>
  </si>
  <si>
    <t>7896036095898</t>
  </si>
  <si>
    <t>7891010247423</t>
  </si>
  <si>
    <t>7891203057501</t>
  </si>
  <si>
    <t>7897217400272</t>
  </si>
  <si>
    <t>7891010247386</t>
  </si>
  <si>
    <t>7896102584998</t>
  </si>
  <si>
    <t>7891010035631</t>
  </si>
  <si>
    <t>7891079001011</t>
  </si>
  <si>
    <t>7898080641427</t>
  </si>
  <si>
    <t>7896046900236</t>
  </si>
  <si>
    <t>7896292310742</t>
  </si>
  <si>
    <t>7898234850170</t>
  </si>
  <si>
    <t>7896007547418</t>
  </si>
  <si>
    <t>7891024114865</t>
  </si>
  <si>
    <t>7891010247447</t>
  </si>
  <si>
    <t>7891024110508</t>
  </si>
  <si>
    <t>7891024194102</t>
  </si>
  <si>
    <t>7896005272022</t>
  </si>
  <si>
    <t>7896205722204</t>
  </si>
  <si>
    <t>7891000582305</t>
  </si>
  <si>
    <t>7891999948908</t>
  </si>
  <si>
    <t>7898085944875</t>
  </si>
  <si>
    <t>7896022200060</t>
  </si>
  <si>
    <t>7896000724564</t>
  </si>
  <si>
    <t>7896036096079</t>
  </si>
  <si>
    <t>7897664171749</t>
  </si>
  <si>
    <t>7898080641618</t>
  </si>
  <si>
    <t>4005808719280</t>
  </si>
  <si>
    <t>7891528051604</t>
  </si>
  <si>
    <t>7898931019030</t>
  </si>
  <si>
    <t>789005232705</t>
  </si>
  <si>
    <t>7891010247454</t>
  </si>
  <si>
    <t>7898080640222</t>
  </si>
  <si>
    <t>7896005206539</t>
  </si>
  <si>
    <t>7898080641571</t>
  </si>
  <si>
    <t>WW</t>
  </si>
  <si>
    <t>7898309100117</t>
  </si>
  <si>
    <t>7891035285332</t>
  </si>
  <si>
    <t>7896482100016</t>
  </si>
  <si>
    <t>7891150019560</t>
  </si>
  <si>
    <t>7891167021402</t>
  </si>
  <si>
    <t>XX</t>
  </si>
  <si>
    <t>7891035261206</t>
  </si>
  <si>
    <t>Panetone (400g)</t>
  </si>
  <si>
    <t>Panetone (500g)</t>
  </si>
  <si>
    <t>Hidratante (200mL)</t>
  </si>
  <si>
    <t>Sabonete (90g)</t>
  </si>
  <si>
    <t>Sabonete (150g)</t>
  </si>
  <si>
    <t>7898080641847</t>
  </si>
  <si>
    <t>Achocolatado (1,1kg)</t>
  </si>
  <si>
    <t>7891000253069</t>
  </si>
  <si>
    <t>Achocolatado (100g)</t>
  </si>
  <si>
    <t>7896032501690</t>
  </si>
  <si>
    <t>7896072005257</t>
  </si>
  <si>
    <t>7891000061190</t>
  </si>
  <si>
    <t>7896706300918</t>
  </si>
  <si>
    <t>7898901872016</t>
  </si>
  <si>
    <t>7897309408322</t>
  </si>
  <si>
    <t>7897005101299</t>
  </si>
  <si>
    <t>7898407350315</t>
  </si>
  <si>
    <t>8480017335432</t>
  </si>
  <si>
    <t>7896327512509</t>
  </si>
  <si>
    <t>8480017061409</t>
  </si>
  <si>
    <t>7891910020065</t>
  </si>
  <si>
    <t>7896699500005</t>
  </si>
  <si>
    <t>7898187830038</t>
  </si>
  <si>
    <t>7898206500010</t>
  </si>
  <si>
    <t>7898206500027</t>
  </si>
  <si>
    <t>7898497686042</t>
  </si>
  <si>
    <t>7891103183867</t>
  </si>
  <si>
    <t>8480017335852</t>
  </si>
  <si>
    <t>7896680100160</t>
  </si>
  <si>
    <t>7896894900075</t>
  </si>
  <si>
    <t>8480017801852</t>
  </si>
  <si>
    <t>7897893300026</t>
  </si>
  <si>
    <t>7895000319039</t>
  </si>
  <si>
    <t>7897893300057</t>
  </si>
  <si>
    <t>sta rita</t>
  </si>
  <si>
    <t>7896461822632</t>
  </si>
  <si>
    <t>7898255671556</t>
  </si>
  <si>
    <t>facilita</t>
  </si>
  <si>
    <t>7898462401120</t>
  </si>
  <si>
    <t>7896527700508</t>
  </si>
  <si>
    <t>7897000800548</t>
  </si>
  <si>
    <t>8480017336477</t>
  </si>
  <si>
    <t>7898462400703</t>
  </si>
  <si>
    <t>7896105500179</t>
  </si>
  <si>
    <t>8480017345646</t>
  </si>
  <si>
    <t>7898462402462</t>
  </si>
  <si>
    <t>7896075910466</t>
  </si>
  <si>
    <t>7896098900390</t>
  </si>
  <si>
    <t>ypê</t>
  </si>
  <si>
    <t>7896098900406</t>
  </si>
  <si>
    <t>7896098901489</t>
  </si>
  <si>
    <t>7896105500483</t>
  </si>
  <si>
    <t>7895000410422</t>
  </si>
  <si>
    <t>7896098902493</t>
  </si>
  <si>
    <t>7896098903032</t>
  </si>
  <si>
    <t>7896336012243</t>
  </si>
  <si>
    <t>Amendoim (27g)</t>
  </si>
  <si>
    <t>Mendorato</t>
  </si>
  <si>
    <t>8480017357625</t>
  </si>
  <si>
    <t>7896280402336</t>
  </si>
  <si>
    <t>Amido de Milho (500g)</t>
  </si>
  <si>
    <t>Zilio</t>
  </si>
  <si>
    <t>7896086420336</t>
  </si>
  <si>
    <t>7898274520040</t>
  </si>
  <si>
    <t>7897082400087</t>
  </si>
  <si>
    <t>7898270911965</t>
  </si>
  <si>
    <t>7896011900025</t>
  </si>
  <si>
    <t>7896022200312</t>
  </si>
  <si>
    <t>máximo</t>
  </si>
  <si>
    <t>7897034500117</t>
  </si>
  <si>
    <t>7897082400018</t>
  </si>
  <si>
    <t>7897165800018</t>
  </si>
  <si>
    <t>7898949924074</t>
  </si>
  <si>
    <t>7896276010057</t>
  </si>
  <si>
    <t>7891103202933</t>
  </si>
  <si>
    <t>7891103202957</t>
  </si>
  <si>
    <t>7897134300082</t>
  </si>
  <si>
    <t>7893500083160</t>
  </si>
  <si>
    <t>Arroz Doce (175g)</t>
  </si>
  <si>
    <t>7896901200457</t>
  </si>
  <si>
    <t>7891167011731</t>
  </si>
  <si>
    <t>7891167011779</t>
  </si>
  <si>
    <t>7894321821108</t>
  </si>
  <si>
    <t>7894321822020</t>
  </si>
  <si>
    <t>7894321824505</t>
  </si>
  <si>
    <t>7898943163042</t>
  </si>
  <si>
    <t>7898943163059</t>
  </si>
  <si>
    <t>7896114900489</t>
  </si>
  <si>
    <t>7891167011724</t>
  </si>
  <si>
    <t>7891167012103</t>
  </si>
  <si>
    <t>7891000102640</t>
  </si>
  <si>
    <t>Aveia (170g)</t>
  </si>
  <si>
    <t>Nestle</t>
  </si>
  <si>
    <t>7891095028337</t>
  </si>
  <si>
    <t>7894321219820</t>
  </si>
  <si>
    <t>7894321219721</t>
  </si>
  <si>
    <t>7891095100958</t>
  </si>
  <si>
    <t>7896057800556</t>
  </si>
  <si>
    <t>7898195526503</t>
  </si>
  <si>
    <t>7896183003470</t>
  </si>
  <si>
    <t>7897765601350</t>
  </si>
  <si>
    <t>7899801000479</t>
  </si>
  <si>
    <t>7896206905965</t>
  </si>
  <si>
    <t>7898953302127</t>
  </si>
  <si>
    <t>7898647930476</t>
  </si>
  <si>
    <t>7898598810261</t>
  </si>
  <si>
    <t>7898076910834</t>
  </si>
  <si>
    <t>Azeitona (50g)</t>
  </si>
  <si>
    <t>7896451911025</t>
  </si>
  <si>
    <t>dociele</t>
  </si>
  <si>
    <t>7896104865453</t>
  </si>
  <si>
    <t>Barra de Cereal (1un)</t>
  </si>
  <si>
    <t>ritter</t>
  </si>
  <si>
    <t>7891095008902</t>
  </si>
  <si>
    <t>7898908069075</t>
  </si>
  <si>
    <t>Batata Palha (400g)</t>
  </si>
  <si>
    <t>7896051162094</t>
  </si>
  <si>
    <t>7894321722016</t>
  </si>
  <si>
    <t>toddynho</t>
  </si>
  <si>
    <t>7898416780028</t>
  </si>
  <si>
    <t>Cassini</t>
  </si>
  <si>
    <t>7896481033414</t>
  </si>
  <si>
    <t>Fabitos</t>
  </si>
  <si>
    <t>7896727901750</t>
  </si>
  <si>
    <t>-</t>
  </si>
  <si>
    <t>7898363001054</t>
  </si>
  <si>
    <t>Bolo (100g)</t>
  </si>
  <si>
    <t>Biscoitan</t>
  </si>
  <si>
    <t>7891048062517</t>
  </si>
  <si>
    <t>Bolo (380g)</t>
  </si>
  <si>
    <t>Dr. Oetker</t>
  </si>
  <si>
    <t>7896022204198</t>
  </si>
  <si>
    <t>7896022205447</t>
  </si>
  <si>
    <t>7896064205542</t>
  </si>
  <si>
    <t>7896327501251</t>
  </si>
  <si>
    <t>7891048070284</t>
  </si>
  <si>
    <t>dr oetker</t>
  </si>
  <si>
    <t>7896565701277</t>
  </si>
  <si>
    <t>Bucha (1un)</t>
  </si>
  <si>
    <t>7892222310257</t>
  </si>
  <si>
    <t>7896054600289</t>
  </si>
  <si>
    <t>7896046900021</t>
  </si>
  <si>
    <t>7891018000105</t>
  </si>
  <si>
    <t>7896089016215</t>
  </si>
  <si>
    <t>7896238101397</t>
  </si>
  <si>
    <t>7896722300015</t>
  </si>
  <si>
    <t>e</t>
  </si>
  <si>
    <t>7897374100091</t>
  </si>
  <si>
    <t>7898948796030</t>
  </si>
  <si>
    <t>7896005800188</t>
  </si>
  <si>
    <t>7896416600070</t>
  </si>
  <si>
    <t>7896089011470</t>
  </si>
  <si>
    <t>7896362900040</t>
  </si>
  <si>
    <t>7891000306703</t>
  </si>
  <si>
    <t>7896019205115</t>
  </si>
  <si>
    <t>7896005800683</t>
  </si>
  <si>
    <t>7891000253540</t>
  </si>
  <si>
    <t>7891150012318</t>
  </si>
  <si>
    <t>7891132008957</t>
  </si>
  <si>
    <t>Caldo Verde (17g)</t>
  </si>
  <si>
    <t>7891095100293</t>
  </si>
  <si>
    <t>7896069510276</t>
  </si>
  <si>
    <t>7896229600212</t>
  </si>
  <si>
    <t>7896635501271</t>
  </si>
  <si>
    <t>7898931140390</t>
  </si>
  <si>
    <t>7891000012109</t>
  </si>
  <si>
    <t>7896024801104</t>
  </si>
  <si>
    <t>7891098000163</t>
  </si>
  <si>
    <t>7896072382570</t>
  </si>
  <si>
    <t>7896328210138</t>
  </si>
  <si>
    <t>7891098010421</t>
  </si>
  <si>
    <t>7891048036044</t>
  </si>
  <si>
    <t>Chá (15un)</t>
  </si>
  <si>
    <t>7891098038456</t>
  </si>
  <si>
    <t>Chá (250g)</t>
  </si>
  <si>
    <t>Mate Leão</t>
  </si>
  <si>
    <t>7891098000040</t>
  </si>
  <si>
    <t>Chá (40g)</t>
  </si>
  <si>
    <t>matte leão</t>
  </si>
  <si>
    <t>7891008101959</t>
  </si>
  <si>
    <t>7622300990732</t>
  </si>
  <si>
    <t xml:space="preserve">club social </t>
  </si>
  <si>
    <t>7622210641151</t>
  </si>
  <si>
    <t>7896004400013</t>
  </si>
  <si>
    <t>7891150037366</t>
  </si>
  <si>
    <t>seda</t>
  </si>
  <si>
    <t>7891095003822</t>
  </si>
  <si>
    <t>7896069572229</t>
  </si>
  <si>
    <t>siamar</t>
  </si>
  <si>
    <t>7891000120101</t>
  </si>
  <si>
    <t>7891000126905</t>
  </si>
  <si>
    <t>7895000360116</t>
  </si>
  <si>
    <t>7896051114024</t>
  </si>
  <si>
    <t>7896283800245</t>
  </si>
  <si>
    <t>7898080641366</t>
  </si>
  <si>
    <t>8480017547958</t>
  </si>
  <si>
    <t>7898215151784</t>
  </si>
  <si>
    <t>7892300000698</t>
  </si>
  <si>
    <t>7896223702615</t>
  </si>
  <si>
    <t>xodomilho</t>
  </si>
  <si>
    <t>7899449499444</t>
  </si>
  <si>
    <t>7896097604046</t>
  </si>
  <si>
    <t>7891024194652</t>
  </si>
  <si>
    <t>pinho sol</t>
  </si>
  <si>
    <t>7891035249013</t>
  </si>
  <si>
    <t>7897664140011</t>
  </si>
  <si>
    <t>7896040706230</t>
  </si>
  <si>
    <t>7896097607238</t>
  </si>
  <si>
    <t>7896097607344</t>
  </si>
  <si>
    <t>7897664140745</t>
  </si>
  <si>
    <t>7898956287681</t>
  </si>
  <si>
    <t>7899449499758</t>
  </si>
  <si>
    <t>7891022100990</t>
  </si>
  <si>
    <t>7891022101492</t>
  </si>
  <si>
    <t>7891024019887</t>
  </si>
  <si>
    <t>8480017346100</t>
  </si>
  <si>
    <t>7896524740064</t>
  </si>
  <si>
    <t>78924321</t>
  </si>
  <si>
    <t>7896512909848</t>
  </si>
  <si>
    <t>7909189012688</t>
  </si>
  <si>
    <t>7909189041428</t>
  </si>
  <si>
    <t>7898548810303</t>
  </si>
  <si>
    <t>78925342</t>
  </si>
  <si>
    <t>7791293034973</t>
  </si>
  <si>
    <t>7891177816852</t>
  </si>
  <si>
    <t>7892940000041</t>
  </si>
  <si>
    <t>7898587778503</t>
  </si>
  <si>
    <t>8480017099877</t>
  </si>
  <si>
    <t>8480017170323</t>
  </si>
  <si>
    <t>Detergente (1L)</t>
  </si>
  <si>
    <t>7895000343270</t>
  </si>
  <si>
    <t>7896180782088</t>
  </si>
  <si>
    <t>Doce de Leite (250g)</t>
  </si>
  <si>
    <t>Aurea</t>
  </si>
  <si>
    <t>7896825203008</t>
  </si>
  <si>
    <t>Doce de Leite (300g)</t>
  </si>
  <si>
    <t>7896331100372</t>
  </si>
  <si>
    <t>7896434920471</t>
  </si>
  <si>
    <t>Triangulo</t>
  </si>
  <si>
    <t>7897190305250</t>
  </si>
  <si>
    <t>KissFree</t>
  </si>
  <si>
    <t>7896292300965</t>
  </si>
  <si>
    <t>7896041154054</t>
  </si>
  <si>
    <t>7896292313712</t>
  </si>
  <si>
    <t>2013499004983</t>
  </si>
  <si>
    <t>7891095100361</t>
  </si>
  <si>
    <t>7891010040017</t>
  </si>
  <si>
    <t>7891055337301</t>
  </si>
  <si>
    <t>7897823853332</t>
  </si>
  <si>
    <t>7898575561582</t>
  </si>
  <si>
    <t>7898634472644</t>
  </si>
  <si>
    <t>7899360201812</t>
  </si>
  <si>
    <t>pop dente</t>
  </si>
  <si>
    <t>7899360201867</t>
  </si>
  <si>
    <t>7899360201881</t>
  </si>
  <si>
    <t>7898631228138</t>
  </si>
  <si>
    <t>7500435134415</t>
  </si>
  <si>
    <t>7891055805701</t>
  </si>
  <si>
    <t>7898634472668</t>
  </si>
  <si>
    <t>blu</t>
  </si>
  <si>
    <t>7891010919061</t>
  </si>
  <si>
    <t>johnson</t>
  </si>
  <si>
    <t>7898185410065</t>
  </si>
  <si>
    <t>7891528038476</t>
  </si>
  <si>
    <t>7891022100938</t>
  </si>
  <si>
    <t>bom bril</t>
  </si>
  <si>
    <t>7891040001316</t>
  </si>
  <si>
    <t>7891040128730</t>
  </si>
  <si>
    <t>7896021620050</t>
  </si>
  <si>
    <t>7896001004566</t>
  </si>
  <si>
    <t>7896314707765</t>
  </si>
  <si>
    <t>7898460932084</t>
  </si>
  <si>
    <t>7898497684888</t>
  </si>
  <si>
    <t>7896036097816</t>
  </si>
  <si>
    <t>7891095028351</t>
  </si>
  <si>
    <t>Farinha de Aveia (170g)</t>
  </si>
  <si>
    <t>7896635502605</t>
  </si>
  <si>
    <t>7898905879028</t>
  </si>
  <si>
    <t>7896229600335</t>
  </si>
  <si>
    <t>7891095300372</t>
  </si>
  <si>
    <t>7896199600069</t>
  </si>
  <si>
    <t>7896199600335</t>
  </si>
  <si>
    <t>7896256050097</t>
  </si>
  <si>
    <t>7896280400042</t>
  </si>
  <si>
    <t>7896460466059</t>
  </si>
  <si>
    <t>7896864400376</t>
  </si>
  <si>
    <t>7898221690031</t>
  </si>
  <si>
    <t>7896117600027</t>
  </si>
  <si>
    <t>7898923665023</t>
  </si>
  <si>
    <t>Farinha de Milho (450g)</t>
  </si>
  <si>
    <t>Fecularia Rosa</t>
  </si>
  <si>
    <t>7894321632032</t>
  </si>
  <si>
    <t>7896635500793</t>
  </si>
  <si>
    <t>7896697200143</t>
  </si>
  <si>
    <t>7898349720481</t>
  </si>
  <si>
    <t>7898932426042</t>
  </si>
  <si>
    <t>8480017018953</t>
  </si>
  <si>
    <t>7896223702738</t>
  </si>
  <si>
    <t>7896365220084</t>
  </si>
  <si>
    <t>7891095400423</t>
  </si>
  <si>
    <t>7896280400059</t>
  </si>
  <si>
    <t>7896002362085</t>
  </si>
  <si>
    <t>7891080000256</t>
  </si>
  <si>
    <t>7896254305519</t>
  </si>
  <si>
    <t>7896425400258</t>
  </si>
  <si>
    <t>7896185610744</t>
  </si>
  <si>
    <t>7891000099032</t>
  </si>
  <si>
    <t>7898932426073</t>
  </si>
  <si>
    <t>Farinha Láctea (230g)</t>
  </si>
  <si>
    <t>Maratá</t>
  </si>
  <si>
    <t>7896460400152</t>
  </si>
  <si>
    <t>dobá</t>
  </si>
  <si>
    <t>7896460400015</t>
  </si>
  <si>
    <t>7896199600656</t>
  </si>
  <si>
    <t>7896280402015</t>
  </si>
  <si>
    <t>7891965123209</t>
  </si>
  <si>
    <t>7896069518180</t>
  </si>
  <si>
    <t>8480017337283</t>
  </si>
  <si>
    <t>7898912222039</t>
  </si>
  <si>
    <t>Farofa de Mandioca (400g)</t>
  </si>
  <si>
    <t>7896046400088</t>
  </si>
  <si>
    <t>7896046400392</t>
  </si>
  <si>
    <t>7896079480965</t>
  </si>
  <si>
    <t>7896086422347</t>
  </si>
  <si>
    <t>7896200115575</t>
  </si>
  <si>
    <t>7898448100023</t>
  </si>
  <si>
    <t>7898948796016</t>
  </si>
  <si>
    <t>7897713110101</t>
  </si>
  <si>
    <t>7896439100168</t>
  </si>
  <si>
    <t>7896233280646</t>
  </si>
  <si>
    <t>7897702100120</t>
  </si>
  <si>
    <t>7898053200019</t>
  </si>
  <si>
    <t>7896086422422</t>
  </si>
  <si>
    <t>7896503500047</t>
  </si>
  <si>
    <t>7896680100023</t>
  </si>
  <si>
    <t>7897500200022</t>
  </si>
  <si>
    <t>7891095100477</t>
  </si>
  <si>
    <t>7896006748885</t>
  </si>
  <si>
    <t>7896602900175</t>
  </si>
  <si>
    <t>7896006797944</t>
  </si>
  <si>
    <t>Camil</t>
  </si>
  <si>
    <t>7896006797920</t>
  </si>
  <si>
    <t>7896037514824</t>
  </si>
  <si>
    <t>Feijoada (430g)</t>
  </si>
  <si>
    <t>7896081805299</t>
  </si>
  <si>
    <t>8480017136183</t>
  </si>
  <si>
    <t>7896184800177</t>
  </si>
  <si>
    <t>Flocos de Arroz (500g)</t>
  </si>
  <si>
    <t>flocão</t>
  </si>
  <si>
    <t>7896184800184</t>
  </si>
  <si>
    <t>nutritva</t>
  </si>
  <si>
    <t>7500435106573</t>
  </si>
  <si>
    <t>pampers</t>
  </si>
  <si>
    <t>7896280400127</t>
  </si>
  <si>
    <t>7896229600151</t>
  </si>
  <si>
    <t>7896365220121</t>
  </si>
  <si>
    <t>santa therezinha</t>
  </si>
  <si>
    <t>8480017337290</t>
  </si>
  <si>
    <t>7891095200184</t>
  </si>
  <si>
    <t>7898172860569</t>
  </si>
  <si>
    <t>Gaze</t>
  </si>
  <si>
    <t>Neve</t>
  </si>
  <si>
    <t>7891048050668</t>
  </si>
  <si>
    <t>Gelatina (20g)</t>
  </si>
  <si>
    <t>7622300859817</t>
  </si>
  <si>
    <t>7891048047095</t>
  </si>
  <si>
    <t>7891048050606</t>
  </si>
  <si>
    <t>7891048050637</t>
  </si>
  <si>
    <t>7891048050644</t>
  </si>
  <si>
    <t>7896005218044</t>
  </si>
  <si>
    <t>7897190306288</t>
  </si>
  <si>
    <t>7897362250067</t>
  </si>
  <si>
    <t>7622300286088</t>
  </si>
  <si>
    <t>7622300859978</t>
  </si>
  <si>
    <t>7896327514121</t>
  </si>
  <si>
    <t>7897005102067</t>
  </si>
  <si>
    <t>7898937469396</t>
  </si>
  <si>
    <t>Glicerina (250g)</t>
  </si>
  <si>
    <t>7897977910332</t>
  </si>
  <si>
    <t>Goiabada (200g)</t>
  </si>
  <si>
    <t>Amore</t>
  </si>
  <si>
    <t>7896235800149</t>
  </si>
  <si>
    <t>7897977903716</t>
  </si>
  <si>
    <t>7898174634571</t>
  </si>
  <si>
    <t>7898174634588</t>
  </si>
  <si>
    <t>7898045700336</t>
  </si>
  <si>
    <t>7896235800156</t>
  </si>
  <si>
    <t>7896292330207</t>
  </si>
  <si>
    <t>7896072646856</t>
  </si>
  <si>
    <t>7891095100538</t>
  </si>
  <si>
    <t>7895000329854</t>
  </si>
  <si>
    <t>Grão de Bico (500g)</t>
  </si>
  <si>
    <t>3083681038057</t>
  </si>
  <si>
    <t>7891150058880</t>
  </si>
  <si>
    <t>7897517209179</t>
  </si>
  <si>
    <t>7896006750734</t>
  </si>
  <si>
    <t>7897517209155</t>
  </si>
  <si>
    <t>7896061934285</t>
  </si>
  <si>
    <t>7896061934582</t>
  </si>
  <si>
    <t>7891150032248</t>
  </si>
  <si>
    <t>7897042007141</t>
  </si>
  <si>
    <t>7897042009848</t>
  </si>
  <si>
    <t>7898504530443</t>
  </si>
  <si>
    <t>vermont</t>
  </si>
  <si>
    <t>7891010931551</t>
  </si>
  <si>
    <t>Hidratante (400mL)</t>
  </si>
  <si>
    <t>Johnson`s</t>
  </si>
  <si>
    <t>7897042007257</t>
  </si>
  <si>
    <t>cd</t>
  </si>
  <si>
    <t>7896605212879</t>
  </si>
  <si>
    <t>7898083101560</t>
  </si>
  <si>
    <t>7896102502770</t>
  </si>
  <si>
    <t>7891965120642</t>
  </si>
  <si>
    <t>7896280400066</t>
  </si>
  <si>
    <t>7702018037803</t>
  </si>
  <si>
    <t>7702018118823</t>
  </si>
  <si>
    <t>7891000076217</t>
  </si>
  <si>
    <t>7896183202187</t>
  </si>
  <si>
    <t>7891097001024</t>
  </si>
  <si>
    <t>Parmalat</t>
  </si>
  <si>
    <t>7898215151708</t>
  </si>
  <si>
    <t>7896238101687</t>
  </si>
  <si>
    <t>7896256604962</t>
  </si>
  <si>
    <t>tirol</t>
  </si>
  <si>
    <t>7896283800528</t>
  </si>
  <si>
    <t>7891000065440</t>
  </si>
  <si>
    <t>7896028014494</t>
  </si>
  <si>
    <t>7896047801013</t>
  </si>
  <si>
    <t>7896048705730</t>
  </si>
  <si>
    <t>7898080640550</t>
  </si>
  <si>
    <t>7898949763017</t>
  </si>
  <si>
    <t>7898309100070</t>
  </si>
  <si>
    <t>7891000249475</t>
  </si>
  <si>
    <t>7891025111405</t>
  </si>
  <si>
    <t>7891000071625</t>
  </si>
  <si>
    <t>2002900003547</t>
  </si>
  <si>
    <t>Lentilha (300g)</t>
  </si>
  <si>
    <t>Nenhuma</t>
  </si>
  <si>
    <t>7896006715191</t>
  </si>
  <si>
    <t>7896006750758</t>
  </si>
  <si>
    <t>7896256050189</t>
  </si>
  <si>
    <t>7896527702236</t>
  </si>
  <si>
    <t>7891022848106</t>
  </si>
  <si>
    <t>7891035210242</t>
  </si>
  <si>
    <t>7891242457058</t>
  </si>
  <si>
    <t>7895000334872</t>
  </si>
  <si>
    <t>7891035224003</t>
  </si>
  <si>
    <t>7896098900178</t>
  </si>
  <si>
    <t>3253581235812</t>
  </si>
  <si>
    <t>Loção Pós-Barba</t>
  </si>
  <si>
    <t>7891035502231</t>
  </si>
  <si>
    <t>poliflor</t>
  </si>
  <si>
    <t>7896205722105</t>
  </si>
  <si>
    <t>7896022200800</t>
  </si>
  <si>
    <t>7896022204266</t>
  </si>
  <si>
    <t>7896196062587</t>
  </si>
  <si>
    <t>7896070155237</t>
  </si>
  <si>
    <t>7898901438021</t>
  </si>
  <si>
    <t>7896022203580</t>
  </si>
  <si>
    <t>7896022204846</t>
  </si>
  <si>
    <t>7896205744053</t>
  </si>
  <si>
    <t>7896239820020</t>
  </si>
  <si>
    <t>7896412800856</t>
  </si>
  <si>
    <t>8076809539821</t>
  </si>
  <si>
    <t>8076809545440</t>
  </si>
  <si>
    <t>7896239810113</t>
  </si>
  <si>
    <t>7896205722037</t>
  </si>
  <si>
    <t>7898951850118</t>
  </si>
  <si>
    <t>7896022200220</t>
  </si>
  <si>
    <t>7896193800113</t>
  </si>
  <si>
    <t>7896193800229</t>
  </si>
  <si>
    <t>7896041190274</t>
  </si>
  <si>
    <t>7896054903151</t>
  </si>
  <si>
    <t>7896102509434</t>
  </si>
  <si>
    <t>7897005103859</t>
  </si>
  <si>
    <t>7897517205508</t>
  </si>
  <si>
    <t>7896036091340</t>
  </si>
  <si>
    <t>7896102509205</t>
  </si>
  <si>
    <t>Maionese (270g)</t>
  </si>
  <si>
    <t>Quero</t>
  </si>
  <si>
    <t>7894000010014</t>
  </si>
  <si>
    <t>7896706300642</t>
  </si>
  <si>
    <t>7891095003570</t>
  </si>
  <si>
    <t>7894000010021</t>
  </si>
  <si>
    <t>7896080851068</t>
  </si>
  <si>
    <t>7897052910356</t>
  </si>
  <si>
    <t>7898407352197</t>
  </si>
  <si>
    <t>7896005212936</t>
  </si>
  <si>
    <t>7896022205409</t>
  </si>
  <si>
    <t>7896005278314</t>
  </si>
  <si>
    <t>7896205788408</t>
  </si>
  <si>
    <t>7896102517132</t>
  </si>
  <si>
    <t>2820102501155</t>
  </si>
  <si>
    <t>8480017335128</t>
  </si>
  <si>
    <t>7896102582239</t>
  </si>
  <si>
    <t>7891095002672</t>
  </si>
  <si>
    <t>7891095029723</t>
  </si>
  <si>
    <t>7892300030114</t>
  </si>
  <si>
    <t>7896116900784</t>
  </si>
  <si>
    <t>7896256050196</t>
  </si>
  <si>
    <t>7896280400011</t>
  </si>
  <si>
    <t>7896365220145</t>
  </si>
  <si>
    <t>santa terezinha</t>
  </si>
  <si>
    <t>7896635501356</t>
  </si>
  <si>
    <t>7897005100094</t>
  </si>
  <si>
    <t>7891000812006</t>
  </si>
  <si>
    <t>Maggi</t>
  </si>
  <si>
    <t>7891079000212</t>
  </si>
  <si>
    <t>7891079000243</t>
  </si>
  <si>
    <t>7891079000410</t>
  </si>
  <si>
    <t>7891079001004</t>
  </si>
  <si>
    <t>7891079011775</t>
  </si>
  <si>
    <t>7891079012970</t>
  </si>
  <si>
    <t>7896011117003</t>
  </si>
  <si>
    <t>7896022202101</t>
  </si>
  <si>
    <t>7896022203122</t>
  </si>
  <si>
    <t>7896022203849</t>
  </si>
  <si>
    <t>7896545501071</t>
  </si>
  <si>
    <t>7891048061756</t>
  </si>
  <si>
    <t>7891048061787</t>
  </si>
  <si>
    <t>7896032500983</t>
  </si>
  <si>
    <t>7898234850811</t>
  </si>
  <si>
    <t>7898427313307</t>
  </si>
  <si>
    <t>ProCooking</t>
  </si>
  <si>
    <t>7896005280911</t>
  </si>
  <si>
    <t>7896327511267</t>
  </si>
  <si>
    <t>7897517206772</t>
  </si>
  <si>
    <t>Molho 4 Queijos (300g)</t>
  </si>
  <si>
    <t>7898095751814</t>
  </si>
  <si>
    <t>allselection</t>
  </si>
  <si>
    <t>7896181501671</t>
  </si>
  <si>
    <t>asteca</t>
  </si>
  <si>
    <t>7898902299485</t>
  </si>
  <si>
    <t>stella doro</t>
  </si>
  <si>
    <t>7898929590626</t>
  </si>
  <si>
    <t>7899659900099</t>
  </si>
  <si>
    <t>7896036095645</t>
  </si>
  <si>
    <t>elefante</t>
  </si>
  <si>
    <t>7896069576258</t>
  </si>
  <si>
    <t>7891300908218</t>
  </si>
  <si>
    <t>7896036097328</t>
  </si>
  <si>
    <t>7896102502534</t>
  </si>
  <si>
    <t>7896102584066</t>
  </si>
  <si>
    <t>7898045701753</t>
  </si>
  <si>
    <t>7898099661560</t>
  </si>
  <si>
    <t>7898269780831</t>
  </si>
  <si>
    <t>7896036095102</t>
  </si>
  <si>
    <t>7896102502657</t>
  </si>
  <si>
    <t>7896036000298</t>
  </si>
  <si>
    <t>7898152996929</t>
  </si>
  <si>
    <t>7896292307544</t>
  </si>
  <si>
    <t>Molho Yakisoba (300g)</t>
  </si>
  <si>
    <t>7897001040417</t>
  </si>
  <si>
    <t>Mostarda (190g)</t>
  </si>
  <si>
    <t>7896102509144</t>
  </si>
  <si>
    <t>Mostarda (200g)</t>
  </si>
  <si>
    <t>7891150022027</t>
  </si>
  <si>
    <t>7891035215193</t>
  </si>
  <si>
    <t>7891089065669</t>
  </si>
  <si>
    <t>7898949924371</t>
  </si>
  <si>
    <t>7897001010601</t>
  </si>
  <si>
    <t>7891118013753</t>
  </si>
  <si>
    <t>7896058503128</t>
  </si>
  <si>
    <t>yogurte 100</t>
  </si>
  <si>
    <t>7898291990079</t>
  </si>
  <si>
    <t>7897176312357</t>
  </si>
  <si>
    <t>7896050427552</t>
  </si>
  <si>
    <t>7896021623389</t>
  </si>
  <si>
    <t>Pano de limpeza (5un)</t>
  </si>
  <si>
    <t>limppano</t>
  </si>
  <si>
    <t>7896026800051</t>
  </si>
  <si>
    <t>7896026850155</t>
  </si>
  <si>
    <t>7896061916106</t>
  </si>
  <si>
    <t>7896076000388</t>
  </si>
  <si>
    <t>7896076000548</t>
  </si>
  <si>
    <t>7896026850148</t>
  </si>
  <si>
    <t>7898233004192</t>
  </si>
  <si>
    <t>7896914000709</t>
  </si>
  <si>
    <t>7891172422379</t>
  </si>
  <si>
    <t>8480017345707</t>
  </si>
  <si>
    <t>7896061915208</t>
  </si>
  <si>
    <t>7891103194061</t>
  </si>
  <si>
    <t>7896076000951</t>
  </si>
  <si>
    <t>7898955352168</t>
  </si>
  <si>
    <t>8480017142368</t>
  </si>
  <si>
    <t>8480017062222</t>
  </si>
  <si>
    <t>7896026800822</t>
  </si>
  <si>
    <t>7896053411626</t>
  </si>
  <si>
    <t>7896061917257</t>
  </si>
  <si>
    <t>7896076000760</t>
  </si>
  <si>
    <t>8480017064554</t>
  </si>
  <si>
    <t>7896026800815</t>
  </si>
  <si>
    <t>duetto</t>
  </si>
  <si>
    <t>7890310111595</t>
  </si>
  <si>
    <t>7891024027424</t>
  </si>
  <si>
    <t>7891024131909</t>
  </si>
  <si>
    <t>7891528038025</t>
  </si>
  <si>
    <t>7500435115940</t>
  </si>
  <si>
    <t>oral b</t>
  </si>
  <si>
    <t>7898422744335</t>
  </si>
  <si>
    <t>7896041108064</t>
  </si>
  <si>
    <t>7896041108057</t>
  </si>
  <si>
    <t>7898466103747</t>
  </si>
  <si>
    <t>5283000302984</t>
  </si>
  <si>
    <t>maxim's</t>
  </si>
  <si>
    <t>7898466103778</t>
  </si>
  <si>
    <t>Patê de Presunto (100g)</t>
  </si>
  <si>
    <t>Anglo</t>
  </si>
  <si>
    <t>7891167015043</t>
  </si>
  <si>
    <t>7891032016106</t>
  </si>
  <si>
    <t>7896040900119</t>
  </si>
  <si>
    <t>7896367800239</t>
  </si>
  <si>
    <t>7896481600012</t>
  </si>
  <si>
    <t>7896536500021</t>
  </si>
  <si>
    <t>7896536500038</t>
  </si>
  <si>
    <t>7896536500342</t>
  </si>
  <si>
    <t>7891095002207</t>
  </si>
  <si>
    <t>7897781600054</t>
  </si>
  <si>
    <t>7897781600061</t>
  </si>
  <si>
    <t>7894321631011</t>
  </si>
  <si>
    <t>polentina</t>
  </si>
  <si>
    <t>8005725004267</t>
  </si>
  <si>
    <t>7896280400509</t>
  </si>
  <si>
    <t>Polvilho (500g)</t>
  </si>
  <si>
    <t>8480017043955</t>
  </si>
  <si>
    <t>7896035921136</t>
  </si>
  <si>
    <t>amafil</t>
  </si>
  <si>
    <t>7896280400189</t>
  </si>
  <si>
    <t>zilio</t>
  </si>
  <si>
    <t>7891095300631</t>
  </si>
  <si>
    <t>Polvilho Doce (500g)</t>
  </si>
  <si>
    <t>7896066900049</t>
  </si>
  <si>
    <t>Pregadores (10un)</t>
  </si>
  <si>
    <t>4005808858200</t>
  </si>
  <si>
    <t>7896327500629</t>
  </si>
  <si>
    <t>Pudim (40g)</t>
  </si>
  <si>
    <t>7891999970053</t>
  </si>
  <si>
    <t>7896238100017</t>
  </si>
  <si>
    <t>7897974400041</t>
  </si>
  <si>
    <t>7898908947014</t>
  </si>
  <si>
    <t>7891991001342</t>
  </si>
  <si>
    <t>425253523</t>
  </si>
  <si>
    <t>Plenitud</t>
  </si>
  <si>
    <t>7896728308718</t>
  </si>
  <si>
    <t>7896241900017</t>
  </si>
  <si>
    <t>7898948339220</t>
  </si>
  <si>
    <t>7898929286208</t>
  </si>
  <si>
    <t>7891150040960</t>
  </si>
  <si>
    <t>7891134006272</t>
  </si>
  <si>
    <t>7896060401320</t>
  </si>
  <si>
    <t>7897751900214</t>
  </si>
  <si>
    <t>7898506877263</t>
  </si>
  <si>
    <t>4005900521934</t>
  </si>
  <si>
    <t>7891024035320</t>
  </si>
  <si>
    <t>7891024114001</t>
  </si>
  <si>
    <t>7891024035047</t>
  </si>
  <si>
    <t>7891176117486</t>
  </si>
  <si>
    <t>7898085944882</t>
  </si>
  <si>
    <t>7891024034996</t>
  </si>
  <si>
    <t>7891150059849</t>
  </si>
  <si>
    <t>7891024028100</t>
  </si>
  <si>
    <t>7891024034910</t>
  </si>
  <si>
    <t>7896512921789</t>
  </si>
  <si>
    <t>7899846028742</t>
  </si>
  <si>
    <t>7898422746759</t>
  </si>
  <si>
    <t>7899089488877</t>
  </si>
  <si>
    <t>7899563827758</t>
  </si>
  <si>
    <t>7908079500410</t>
  </si>
  <si>
    <t>7898226510051</t>
  </si>
  <si>
    <t>7898945194334</t>
  </si>
  <si>
    <t>7891095300495</t>
  </si>
  <si>
    <t>7896101711012</t>
  </si>
  <si>
    <t>8480017337436</t>
  </si>
  <si>
    <t>7896392200042</t>
  </si>
  <si>
    <t>7896430500059</t>
  </si>
  <si>
    <t>7896027920017</t>
  </si>
  <si>
    <t>7896256042375</t>
  </si>
  <si>
    <t>7896341130260</t>
  </si>
  <si>
    <t>7898088790523</t>
  </si>
  <si>
    <t>7896031232083</t>
  </si>
  <si>
    <t>7896037515074</t>
  </si>
  <si>
    <t>7898430866999</t>
  </si>
  <si>
    <t>7891167023024</t>
  </si>
  <si>
    <t>7896117100367</t>
  </si>
  <si>
    <t>7894321811147</t>
  </si>
  <si>
    <t>7891167036871</t>
  </si>
  <si>
    <t>Sardinha (250g)</t>
  </si>
  <si>
    <t>gomes da costa</t>
  </si>
  <si>
    <t>7894321811277</t>
  </si>
  <si>
    <t>Coqueiro</t>
  </si>
  <si>
    <t>5600395032416</t>
  </si>
  <si>
    <t>Sardinha (80g)</t>
  </si>
  <si>
    <t>7891167021082</t>
  </si>
  <si>
    <t>7895000318506</t>
  </si>
  <si>
    <t>7896292313736</t>
  </si>
  <si>
    <t>7897517209292</t>
  </si>
  <si>
    <t>7898929590565</t>
  </si>
  <si>
    <t>8480017335135</t>
  </si>
  <si>
    <t>7896102505016</t>
  </si>
  <si>
    <t>7898930141060</t>
  </si>
  <si>
    <t>7891150017375</t>
  </si>
  <si>
    <t>7896283003059</t>
  </si>
  <si>
    <t>Soja (500g)</t>
  </si>
  <si>
    <t>7898186560141</t>
  </si>
  <si>
    <t>7891095010134</t>
  </si>
  <si>
    <t>Sopa (196g)</t>
  </si>
  <si>
    <t>7897005102937</t>
  </si>
  <si>
    <t>7891000049891</t>
  </si>
  <si>
    <t>maggi</t>
  </si>
  <si>
    <t>7891000097694</t>
  </si>
  <si>
    <t>7891150027305</t>
  </si>
  <si>
    <t>7896327514312</t>
  </si>
  <si>
    <t>7891095010684</t>
  </si>
  <si>
    <t>7896000593719</t>
  </si>
  <si>
    <t>7896000596079</t>
  </si>
  <si>
    <t>7898341430043</t>
  </si>
  <si>
    <t>7622210696328</t>
  </si>
  <si>
    <t>7622300861186</t>
  </si>
  <si>
    <t>7622300861346</t>
  </si>
  <si>
    <t>7891132000999</t>
  </si>
  <si>
    <t>7891132006052</t>
  </si>
  <si>
    <t>7898215152798</t>
  </si>
  <si>
    <t>7896000555359</t>
  </si>
  <si>
    <t>Maguary</t>
  </si>
  <si>
    <t>7896097745800</t>
  </si>
  <si>
    <t>7896179500013</t>
  </si>
  <si>
    <t>7896000554369</t>
  </si>
  <si>
    <t>7898234880542</t>
  </si>
  <si>
    <t>7895000430062</t>
  </si>
  <si>
    <t>7896069574551</t>
  </si>
  <si>
    <t>7898994081623</t>
  </si>
  <si>
    <t>7891132019281</t>
  </si>
  <si>
    <t>Sazon</t>
  </si>
  <si>
    <t>7891132009459</t>
  </si>
  <si>
    <t>Ajinomoto</t>
  </si>
  <si>
    <t>7898011390035</t>
  </si>
  <si>
    <t>7891132019038</t>
  </si>
  <si>
    <t>7896280400868</t>
  </si>
  <si>
    <t>7898937202207</t>
  </si>
  <si>
    <t>7897118400555</t>
  </si>
  <si>
    <t>Salermo</t>
  </si>
  <si>
    <t>7898152990064</t>
  </si>
  <si>
    <t>8480017089090</t>
  </si>
  <si>
    <t>7891089071257</t>
  </si>
  <si>
    <t>7891962006239</t>
  </si>
  <si>
    <t>7891962037875</t>
  </si>
  <si>
    <t>7898912727145</t>
  </si>
  <si>
    <t>Torrada (100g)</t>
  </si>
  <si>
    <t>7891962000251</t>
  </si>
  <si>
    <t>Torrada (160g)</t>
  </si>
  <si>
    <t>Bauduco</t>
  </si>
  <si>
    <t>7891095400751</t>
  </si>
  <si>
    <t>Trigo para Kibe (500g)</t>
  </si>
  <si>
    <t>7896069511617</t>
  </si>
  <si>
    <t>7896206934200</t>
  </si>
  <si>
    <t>7891035051272</t>
  </si>
  <si>
    <t>Vanish</t>
  </si>
  <si>
    <t>7896048284778</t>
  </si>
  <si>
    <t>7896090500208</t>
  </si>
  <si>
    <t>7896090500215</t>
  </si>
  <si>
    <t>7896090500901</t>
  </si>
  <si>
    <t>7898949840053</t>
  </si>
  <si>
    <t>7891144000109</t>
  </si>
  <si>
    <t>Extrato de Tomate (190g)</t>
  </si>
  <si>
    <t>Vanish (400g)</t>
  </si>
  <si>
    <t>7896292306585</t>
  </si>
  <si>
    <t>7891150059856</t>
  </si>
  <si>
    <t>7896114311803</t>
  </si>
  <si>
    <t>7501001104191</t>
  </si>
  <si>
    <t>7500435138710</t>
  </si>
  <si>
    <t>Escova de Dente (5un)</t>
  </si>
  <si>
    <t>7896086422552</t>
  </si>
  <si>
    <t>7896569405492</t>
  </si>
  <si>
    <t>7891024132906</t>
  </si>
  <si>
    <t>78923409</t>
  </si>
  <si>
    <t>7891030300207</t>
  </si>
  <si>
    <t>7896419422013</t>
  </si>
  <si>
    <t>7898921282215</t>
  </si>
  <si>
    <t>7891176117349</t>
  </si>
  <si>
    <t>7896102500608</t>
  </si>
  <si>
    <t>7898138782553</t>
  </si>
  <si>
    <t>7897190306387</t>
  </si>
  <si>
    <t>7896223709423</t>
  </si>
  <si>
    <t>7898009355091</t>
  </si>
  <si>
    <t>7896185312303</t>
  </si>
  <si>
    <t>7891010247485</t>
  </si>
  <si>
    <t>7896009301049</t>
  </si>
  <si>
    <t>7898944856035</t>
  </si>
  <si>
    <t>7896012800751</t>
  </si>
  <si>
    <t>7891176117509</t>
  </si>
  <si>
    <t>7896239820525</t>
  </si>
  <si>
    <t>7896239821119</t>
  </si>
  <si>
    <t>7896044928539</t>
  </si>
  <si>
    <t>7891350034646</t>
  </si>
  <si>
    <t>7891350033670</t>
  </si>
  <si>
    <t>4005900036759</t>
  </si>
  <si>
    <t>78924338</t>
  </si>
  <si>
    <t>7896051164272</t>
  </si>
  <si>
    <t>7896069580668</t>
  </si>
  <si>
    <t>7500435132718</t>
  </si>
  <si>
    <t>7898474841365</t>
  </si>
  <si>
    <t>7500435106580</t>
  </si>
  <si>
    <t>7891350034578</t>
  </si>
  <si>
    <t>7891350033083</t>
  </si>
  <si>
    <t>7897516700103</t>
  </si>
  <si>
    <t>7891167011755</t>
  </si>
  <si>
    <t>7500435125826</t>
  </si>
  <si>
    <t>7891962047379</t>
  </si>
  <si>
    <t>7891035285448</t>
  </si>
  <si>
    <t>7896051115038</t>
  </si>
  <si>
    <t>7896007547685</t>
  </si>
  <si>
    <t>7896007546459</t>
  </si>
  <si>
    <t>7898080641830</t>
  </si>
  <si>
    <t>7898949924258</t>
  </si>
  <si>
    <t>78924345</t>
  </si>
  <si>
    <t>7891010247478</t>
  </si>
  <si>
    <t>7891150063556</t>
  </si>
  <si>
    <t>Sabão em Pó (850g)</t>
  </si>
  <si>
    <t>7896512909831</t>
  </si>
  <si>
    <t>CB (cadastro único)</t>
  </si>
  <si>
    <t>7899700800354</t>
  </si>
  <si>
    <t>7896007512317</t>
  </si>
  <si>
    <t>7891022848069</t>
  </si>
  <si>
    <t>7896090500055</t>
  </si>
  <si>
    <t>7891010031633</t>
  </si>
  <si>
    <t>Fraldas Infantis (8un)</t>
  </si>
  <si>
    <t>Bolinho (35g)</t>
  </si>
  <si>
    <t>Shampoo (175 mL)</t>
  </si>
  <si>
    <t>Macarrão (300g)</t>
  </si>
  <si>
    <t>7891079000250</t>
  </si>
  <si>
    <t>Nissin Lamen</t>
  </si>
  <si>
    <t>7891024035191</t>
  </si>
  <si>
    <t>Lux</t>
  </si>
  <si>
    <t>7500435106597</t>
  </si>
  <si>
    <t>7896005218075</t>
  </si>
  <si>
    <t>7896051114086</t>
  </si>
  <si>
    <t>Itambé</t>
  </si>
  <si>
    <t>Seda</t>
  </si>
  <si>
    <t>7896283800542</t>
  </si>
  <si>
    <t>7896002360234</t>
  </si>
  <si>
    <t>Pullman</t>
  </si>
  <si>
    <t>7896040701402</t>
  </si>
  <si>
    <t>Casa</t>
  </si>
  <si>
    <t>7896460400121</t>
  </si>
  <si>
    <t>Dobá</t>
  </si>
  <si>
    <t>4005900036728</t>
  </si>
  <si>
    <t>7891010576509</t>
  </si>
  <si>
    <t>Carefree</t>
  </si>
  <si>
    <t>7896417000039</t>
  </si>
  <si>
    <t>Quatiguá</t>
  </si>
  <si>
    <t>7896061990120</t>
  </si>
  <si>
    <t>Babysec</t>
  </si>
  <si>
    <t>7896227100011</t>
  </si>
  <si>
    <t>Nonita</t>
  </si>
  <si>
    <t>7896000727527</t>
  </si>
  <si>
    <t>Niely Gold</t>
  </si>
  <si>
    <t>Palmolive</t>
  </si>
  <si>
    <t>7891962053226</t>
  </si>
  <si>
    <t>7891150064898</t>
  </si>
  <si>
    <t>Cif</t>
  </si>
  <si>
    <t>7891150034075</t>
  </si>
  <si>
    <t>Dove</t>
  </si>
  <si>
    <t>7898951850088</t>
  </si>
  <si>
    <t>7891024027226</t>
  </si>
  <si>
    <t>Protex</t>
  </si>
  <si>
    <t>7891000248768</t>
  </si>
  <si>
    <t>Nestlé</t>
  </si>
  <si>
    <t>7500435125420</t>
  </si>
  <si>
    <t>Pantene</t>
  </si>
  <si>
    <t>7897217400456</t>
  </si>
  <si>
    <t>Jadefrog</t>
  </si>
  <si>
    <t>7891010926960</t>
  </si>
  <si>
    <t>Johnson &amp; Johnson</t>
  </si>
  <si>
    <t>7891172432736</t>
  </si>
  <si>
    <t>7897158701575</t>
  </si>
  <si>
    <t>Gota Dourada</t>
  </si>
  <si>
    <t>7899700801030</t>
  </si>
  <si>
    <t>Little Baby</t>
  </si>
  <si>
    <t>7891000277928</t>
  </si>
  <si>
    <t xml:space="preserve">Bono Nestlé </t>
  </si>
  <si>
    <t>7898920918511</t>
  </si>
  <si>
    <t>Finíssimo</t>
  </si>
  <si>
    <t>7891000118818</t>
  </si>
  <si>
    <t>Nesfit Nestlé</t>
  </si>
  <si>
    <t>7506306233362</t>
  </si>
  <si>
    <t>Axe</t>
  </si>
  <si>
    <t>7891962051048</t>
  </si>
  <si>
    <t>Visconti</t>
  </si>
  <si>
    <t>7896490290693</t>
  </si>
  <si>
    <t>Frisco</t>
  </si>
  <si>
    <t>7896056402607</t>
  </si>
  <si>
    <t>Urca</t>
  </si>
  <si>
    <t>7500435132589</t>
  </si>
  <si>
    <t>7891150061392</t>
  </si>
  <si>
    <t>7891150054646</t>
  </si>
  <si>
    <t>7896049528505</t>
  </si>
  <si>
    <t>7896044994794</t>
  </si>
  <si>
    <t>7898054954140</t>
  </si>
  <si>
    <t>7891010704773</t>
  </si>
  <si>
    <t>Sempre Livre</t>
  </si>
  <si>
    <t>7896062601063</t>
  </si>
  <si>
    <t>Solito</t>
  </si>
  <si>
    <t>7891103210389</t>
  </si>
  <si>
    <t>7896005272121</t>
  </si>
  <si>
    <t>8480017335104</t>
  </si>
  <si>
    <t>7891010247393</t>
  </si>
  <si>
    <t>7896235800187</t>
  </si>
  <si>
    <t>7896369614063</t>
  </si>
  <si>
    <t>7896417000053</t>
  </si>
  <si>
    <t>7891150064331</t>
  </si>
  <si>
    <t>7891095029716</t>
  </si>
  <si>
    <t>7896089012880</t>
  </si>
  <si>
    <t>7896085864186</t>
  </si>
  <si>
    <t>7896012878439</t>
  </si>
  <si>
    <t>7896235353225</t>
  </si>
  <si>
    <t>7891150061354</t>
  </si>
  <si>
    <t>7896256050677</t>
  </si>
  <si>
    <t>7898944856257</t>
  </si>
  <si>
    <t>7898919411900</t>
  </si>
  <si>
    <t>7622300861957</t>
  </si>
  <si>
    <t>7898919412471</t>
  </si>
  <si>
    <t>7791293022567</t>
  </si>
  <si>
    <t>7891024182475</t>
  </si>
  <si>
    <t>7896022206130</t>
  </si>
  <si>
    <t>7891150064577</t>
  </si>
  <si>
    <t>7891150000971</t>
  </si>
  <si>
    <t>7891134006982</t>
  </si>
  <si>
    <t>Alma de flores</t>
  </si>
  <si>
    <t>7896012800768</t>
  </si>
  <si>
    <t>pom pom</t>
  </si>
  <si>
    <t>7896058257236</t>
  </si>
  <si>
    <t>Arcor</t>
  </si>
  <si>
    <t>7891150063785</t>
  </si>
  <si>
    <t>7891000253182</t>
  </si>
  <si>
    <t>7896098902417</t>
  </si>
  <si>
    <t>7898931019047</t>
  </si>
  <si>
    <t>Hipopo</t>
  </si>
  <si>
    <t>7896104996393</t>
  </si>
  <si>
    <t>7896061995842</t>
  </si>
  <si>
    <t>7896007510788</t>
  </si>
  <si>
    <t>Fraldas Infantis (42un)</t>
  </si>
  <si>
    <t>7898924154649</t>
  </si>
  <si>
    <t>7896021624614</t>
  </si>
  <si>
    <t>7897005101473</t>
  </si>
  <si>
    <t>7897077100077</t>
  </si>
  <si>
    <t>7897167100024</t>
  </si>
  <si>
    <t>7897077100121</t>
  </si>
  <si>
    <t>7898003870019</t>
  </si>
  <si>
    <t>7896021315406</t>
  </si>
  <si>
    <t>7897351150040</t>
  </si>
  <si>
    <t>7896425400241</t>
  </si>
  <si>
    <t>7793100151224</t>
  </si>
  <si>
    <t>7896046900014</t>
  </si>
  <si>
    <t>7891176117455</t>
  </si>
  <si>
    <t>7896007540631</t>
  </si>
  <si>
    <t>7891150066908</t>
  </si>
  <si>
    <t>7896036097410</t>
  </si>
  <si>
    <t>7891134004261</t>
  </si>
  <si>
    <t>7500435132732</t>
  </si>
  <si>
    <t>7899700801016</t>
  </si>
  <si>
    <t>7891150062382</t>
  </si>
  <si>
    <t>7891134004186</t>
  </si>
  <si>
    <t>7896045099993</t>
  </si>
  <si>
    <t>Chá (32g)</t>
  </si>
  <si>
    <t>3083681080926</t>
  </si>
  <si>
    <t>7896569400848</t>
  </si>
  <si>
    <t>7891024184608</t>
  </si>
  <si>
    <t>7891150064966</t>
  </si>
  <si>
    <t>7908056200234</t>
  </si>
  <si>
    <t>7893454714264</t>
  </si>
  <si>
    <t>7897005100070</t>
  </si>
  <si>
    <t>7891079000205</t>
  </si>
  <si>
    <t>7896206904418</t>
  </si>
  <si>
    <t>7898902299133</t>
  </si>
  <si>
    <t>7896280402367</t>
  </si>
  <si>
    <t>7896117600065</t>
  </si>
  <si>
    <t>7891024135020</t>
  </si>
  <si>
    <t>7896242200048</t>
  </si>
  <si>
    <t>7897270833338</t>
  </si>
  <si>
    <t>7896906600108</t>
  </si>
  <si>
    <t>7896022206147</t>
  </si>
  <si>
    <t>7891167023055</t>
  </si>
  <si>
    <t>7898045700206</t>
  </si>
  <si>
    <t>7896497202033</t>
  </si>
  <si>
    <t>7896319900017</t>
  </si>
  <si>
    <t>7891150053403</t>
  </si>
  <si>
    <t>Desodorante Spray (02un)</t>
  </si>
  <si>
    <t>7896097607214</t>
  </si>
  <si>
    <t>7891010579616</t>
  </si>
  <si>
    <t>7896280402350</t>
  </si>
  <si>
    <t>7896102500493</t>
  </si>
  <si>
    <t>7891350032857</t>
  </si>
  <si>
    <t>7896064487825</t>
  </si>
  <si>
    <t>7896064473040</t>
  </si>
  <si>
    <t>7896049527799</t>
  </si>
  <si>
    <t>7898585290823</t>
  </si>
  <si>
    <t>7897190306363</t>
  </si>
  <si>
    <t>7898124620029</t>
  </si>
  <si>
    <t>7898234850026</t>
  </si>
  <si>
    <t>7500435122184</t>
  </si>
  <si>
    <t>4005900455901</t>
  </si>
  <si>
    <t>7506306233355</t>
  </si>
  <si>
    <t>7891150039285</t>
  </si>
  <si>
    <t>7891010800048</t>
  </si>
  <si>
    <t>7897751901648</t>
  </si>
  <si>
    <t>cloy</t>
  </si>
  <si>
    <t>7896423469820</t>
  </si>
  <si>
    <t>M&amp;M</t>
  </si>
  <si>
    <t>7896026800709</t>
  </si>
  <si>
    <t>7898474841228</t>
  </si>
  <si>
    <t>Tok Bothanico</t>
  </si>
  <si>
    <t>7891150008960</t>
  </si>
  <si>
    <t>7702018874781</t>
  </si>
  <si>
    <t>gilette</t>
  </si>
  <si>
    <t>7891150043008</t>
  </si>
  <si>
    <t>Fraldas Infantis (56un)</t>
  </si>
  <si>
    <t>Torrada (120g)</t>
  </si>
  <si>
    <t>Sabonete (80g)</t>
  </si>
  <si>
    <t>7896044942009</t>
  </si>
  <si>
    <t>4005808257591</t>
  </si>
  <si>
    <t>7896003701425</t>
  </si>
  <si>
    <t>Marilan</t>
  </si>
  <si>
    <t>7896012878323</t>
  </si>
  <si>
    <t>7500435132794</t>
  </si>
  <si>
    <t>7898931019016</t>
  </si>
  <si>
    <t>7891024010617</t>
  </si>
  <si>
    <t>7896000722577</t>
  </si>
  <si>
    <t>7891010041366</t>
  </si>
  <si>
    <t>7891172432026</t>
  </si>
  <si>
    <t>78923454</t>
  </si>
  <si>
    <t>Rexona</t>
  </si>
  <si>
    <t>7891024161821</t>
  </si>
  <si>
    <t>7891150060555</t>
  </si>
  <si>
    <t>7896040706162</t>
  </si>
  <si>
    <t>7896102582222</t>
  </si>
  <si>
    <t>7896005807569</t>
  </si>
  <si>
    <t>7891024120804</t>
  </si>
  <si>
    <t>7891024027523</t>
  </si>
  <si>
    <t>7891150055193</t>
  </si>
  <si>
    <t>7891150055162</t>
  </si>
  <si>
    <t>7891010247416</t>
  </si>
  <si>
    <t>Johnson's</t>
  </si>
  <si>
    <t>7896000725226</t>
  </si>
  <si>
    <t>7509546076591</t>
  </si>
  <si>
    <t>7891150059863</t>
  </si>
  <si>
    <t>7891024034019</t>
  </si>
  <si>
    <t>7500435127240</t>
  </si>
  <si>
    <t>7891150060531</t>
  </si>
  <si>
    <t>7896005801529</t>
  </si>
  <si>
    <t>3 corações</t>
  </si>
  <si>
    <t>7509546065465</t>
  </si>
  <si>
    <t>7896102514025</t>
  </si>
  <si>
    <t>7891024038703</t>
  </si>
  <si>
    <t>7891024139325</t>
  </si>
  <si>
    <t>78935068</t>
  </si>
  <si>
    <t>7891010503024</t>
  </si>
  <si>
    <t>sempre livre</t>
  </si>
  <si>
    <t>7896000722508</t>
  </si>
  <si>
    <t>Gold</t>
  </si>
  <si>
    <t>7896000722515</t>
  </si>
  <si>
    <t>7896056400016</t>
  </si>
  <si>
    <t>7896102500530</t>
  </si>
  <si>
    <t>7891024110355</t>
  </si>
  <si>
    <t>7891024042267</t>
  </si>
  <si>
    <t>7891010030452</t>
  </si>
  <si>
    <t>7891176117974</t>
  </si>
  <si>
    <t>7891150055872</t>
  </si>
  <si>
    <t>7891134004018</t>
  </si>
  <si>
    <t>7896098901311</t>
  </si>
  <si>
    <t>Tixan</t>
  </si>
  <si>
    <t>7896058503135</t>
  </si>
  <si>
    <t>Dori</t>
  </si>
  <si>
    <t>7896007546077</t>
  </si>
  <si>
    <t>Intimus</t>
  </si>
  <si>
    <t>7891150060517</t>
  </si>
  <si>
    <t>Brilhante</t>
  </si>
  <si>
    <t>7891150044654</t>
  </si>
  <si>
    <t>7896089013641</t>
  </si>
  <si>
    <t>Pilão</t>
  </si>
  <si>
    <t>7891350034639</t>
  </si>
  <si>
    <t>Monange</t>
  </si>
  <si>
    <t>7891010247430</t>
  </si>
  <si>
    <t>7891000255742</t>
  </si>
  <si>
    <t>Nestlé (Nesfit)</t>
  </si>
  <si>
    <t>7891035990601</t>
  </si>
  <si>
    <t>7891150054363</t>
  </si>
  <si>
    <t>7891010504038</t>
  </si>
  <si>
    <t>7896022204228</t>
  </si>
  <si>
    <t>7500435138703</t>
  </si>
  <si>
    <t>Oral-B</t>
  </si>
  <si>
    <t>7896040704632</t>
  </si>
  <si>
    <t>Casa e Perfumaria</t>
  </si>
  <si>
    <t>7896098900826</t>
  </si>
  <si>
    <t>7898924155295</t>
  </si>
  <si>
    <t>BigRoger</t>
  </si>
  <si>
    <t>7896057801010</t>
  </si>
  <si>
    <t>Galo de Barcelos</t>
  </si>
  <si>
    <t>7896058257250</t>
  </si>
  <si>
    <t>7896185312716</t>
  </si>
  <si>
    <t>7896006751113</t>
  </si>
  <si>
    <t>7891150064737</t>
  </si>
  <si>
    <t>7898919412037</t>
  </si>
  <si>
    <t>7898920918184</t>
  </si>
  <si>
    <t>7891024036204</t>
  </si>
  <si>
    <t>7500435127363</t>
  </si>
  <si>
    <t>7500435106610</t>
  </si>
  <si>
    <t>7891962052588</t>
  </si>
  <si>
    <t>Corrida</t>
  </si>
  <si>
    <t>8480017334893</t>
  </si>
  <si>
    <t>7896007510764</t>
  </si>
  <si>
    <t>7896007510771</t>
  </si>
  <si>
    <t>7896894900068</t>
  </si>
  <si>
    <t>070330703629</t>
  </si>
  <si>
    <t>7891150001961</t>
  </si>
  <si>
    <t>7896069518296</t>
  </si>
  <si>
    <t>7896148101265</t>
  </si>
  <si>
    <t>7898006381000</t>
  </si>
  <si>
    <t>7898006380157</t>
  </si>
  <si>
    <t>7896098905746</t>
  </si>
  <si>
    <t>7891040001408</t>
  </si>
  <si>
    <t>7896102502671</t>
  </si>
  <si>
    <t>7500435132725</t>
  </si>
  <si>
    <t>4005900648433</t>
  </si>
  <si>
    <t>4005900122186</t>
  </si>
  <si>
    <t>4005900521910</t>
  </si>
  <si>
    <t>7897751900238</t>
  </si>
  <si>
    <t>7891150064317</t>
  </si>
  <si>
    <t>7896569405034</t>
  </si>
  <si>
    <t>7898931140550</t>
  </si>
  <si>
    <t>7896025801172</t>
  </si>
  <si>
    <t>7896094910959</t>
  </si>
  <si>
    <t>7896736200059</t>
  </si>
  <si>
    <t>7896090403226</t>
  </si>
  <si>
    <t>7622300286057</t>
  </si>
  <si>
    <t>7891024115848</t>
  </si>
  <si>
    <t>7891150048553</t>
  </si>
  <si>
    <t>7899700801023</t>
  </si>
  <si>
    <t>7500435125475</t>
  </si>
  <si>
    <t>Pudim (50g)</t>
  </si>
  <si>
    <t>7897173098599</t>
  </si>
  <si>
    <t>7896239300423</t>
  </si>
  <si>
    <t>7896631900078</t>
  </si>
  <si>
    <t>7891024038437</t>
  </si>
  <si>
    <t>7891024034156</t>
  </si>
  <si>
    <t>7891010039783</t>
  </si>
  <si>
    <t>7896102583182</t>
  </si>
  <si>
    <t>7896005401279</t>
  </si>
  <si>
    <t>dafruta</t>
  </si>
  <si>
    <t>7891035209406</t>
  </si>
  <si>
    <t>7897396500046</t>
  </si>
  <si>
    <t>daflora</t>
  </si>
  <si>
    <t>7896901900654</t>
  </si>
  <si>
    <t>7891242457614</t>
  </si>
  <si>
    <t>7898924154441</t>
  </si>
  <si>
    <t>7891150043923</t>
  </si>
  <si>
    <t>7891176117493</t>
  </si>
  <si>
    <t>7501007499758</t>
  </si>
  <si>
    <t>7891350034622</t>
  </si>
  <si>
    <t>7891134007255</t>
  </si>
  <si>
    <t>7891079013236</t>
  </si>
  <si>
    <t>talharim</t>
  </si>
  <si>
    <t>7891150066779</t>
  </si>
  <si>
    <t xml:space="preserve">sabao em po </t>
  </si>
  <si>
    <t>7891150066588</t>
  </si>
  <si>
    <t xml:space="preserve">sabao </t>
  </si>
  <si>
    <t>Suco (1L)</t>
  </si>
  <si>
    <t>7622300807399</t>
  </si>
  <si>
    <t>Lacta</t>
  </si>
  <si>
    <t>7500435107754</t>
  </si>
  <si>
    <t>7891150042278</t>
  </si>
  <si>
    <t>7891024038420</t>
  </si>
  <si>
    <t>7791293032436</t>
  </si>
  <si>
    <t>Kit Shampoo e Condicionador</t>
  </si>
  <si>
    <t>Suco (900 mL)</t>
  </si>
  <si>
    <t>Pasta de Dente (140g)</t>
  </si>
  <si>
    <t>Gelatina (12g)</t>
  </si>
  <si>
    <t>Pasta de Dente (30g)</t>
  </si>
  <si>
    <t>Sabão em Pó (800g)</t>
  </si>
  <si>
    <t>Lenços Umedecidos (48 un)</t>
  </si>
  <si>
    <t>7896022200244</t>
  </si>
  <si>
    <t>7891959009915</t>
  </si>
  <si>
    <t>7896000597205</t>
  </si>
  <si>
    <t>7896005800546</t>
  </si>
  <si>
    <t>Cafe</t>
  </si>
  <si>
    <t>7891965220403</t>
  </si>
  <si>
    <t>7896000711168</t>
  </si>
  <si>
    <t>Surf</t>
  </si>
  <si>
    <t>75054434</t>
  </si>
  <si>
    <t>7896012878729</t>
  </si>
  <si>
    <t>7896022200794</t>
  </si>
  <si>
    <t>7891024035535</t>
  </si>
  <si>
    <t>7896114301118</t>
  </si>
  <si>
    <t>7896116900128</t>
  </si>
  <si>
    <t>7896183301019</t>
  </si>
  <si>
    <t>7898497685458</t>
  </si>
  <si>
    <t>7896635500700</t>
  </si>
  <si>
    <t>7896635501097</t>
  </si>
  <si>
    <t>7898497680255</t>
  </si>
  <si>
    <t>7891150058309</t>
  </si>
  <si>
    <t>7891024036143</t>
  </si>
  <si>
    <t xml:space="preserve"> 7891910000197</t>
  </si>
  <si>
    <t>7896090403127</t>
  </si>
  <si>
    <t>4005900527073</t>
  </si>
  <si>
    <t>7891024042274</t>
  </si>
  <si>
    <t>7896050427361</t>
  </si>
  <si>
    <t>7896292306561</t>
  </si>
  <si>
    <t>7891150067066</t>
  </si>
  <si>
    <t>7891150041837</t>
  </si>
  <si>
    <t>7896098902011</t>
  </si>
  <si>
    <t>7891991015929</t>
  </si>
  <si>
    <t>Antartica</t>
  </si>
  <si>
    <t>7896280400134</t>
  </si>
  <si>
    <t>7891024032312</t>
  </si>
  <si>
    <t>7791293035215</t>
  </si>
  <si>
    <t>Suave</t>
  </si>
  <si>
    <t>7500435127264</t>
  </si>
  <si>
    <t>Always</t>
  </si>
  <si>
    <t>7896007550043</t>
  </si>
  <si>
    <t>7896007547913</t>
  </si>
  <si>
    <t>Huggies</t>
  </si>
  <si>
    <t>4005900662071</t>
  </si>
  <si>
    <t>7891024068120</t>
  </si>
  <si>
    <t>Sorriso</t>
  </si>
  <si>
    <t>7501007413921</t>
  </si>
  <si>
    <t>7896007550050</t>
  </si>
  <si>
    <t>7891150064324</t>
  </si>
  <si>
    <t>7896327513117</t>
  </si>
  <si>
    <t>Apti</t>
  </si>
  <si>
    <t>7891242211186</t>
  </si>
  <si>
    <t>UAU</t>
  </si>
  <si>
    <t>7891024010563</t>
  </si>
  <si>
    <t>Confort</t>
  </si>
  <si>
    <t>7896512909787</t>
  </si>
  <si>
    <t>7591083017823</t>
  </si>
  <si>
    <t>7896770900083</t>
  </si>
  <si>
    <t>7896290300318</t>
  </si>
  <si>
    <t>Prato Fino</t>
  </si>
  <si>
    <t>7893500038931</t>
  </si>
  <si>
    <t>Biju</t>
  </si>
  <si>
    <t>7896090403233</t>
  </si>
  <si>
    <t>7896003703795</t>
  </si>
  <si>
    <t>Pit Stop</t>
  </si>
  <si>
    <t>7896056402744</t>
  </si>
  <si>
    <t>7622210592668</t>
  </si>
  <si>
    <t>Trakinas</t>
  </si>
  <si>
    <t>7891150066793</t>
  </si>
  <si>
    <t>7622300172947</t>
  </si>
  <si>
    <t>Royal</t>
  </si>
  <si>
    <t>7896050427521</t>
  </si>
  <si>
    <t>Village</t>
  </si>
  <si>
    <t>7891010503031</t>
  </si>
  <si>
    <t>7891024041420</t>
  </si>
  <si>
    <t>7891024040157</t>
  </si>
  <si>
    <t>Pacaembu</t>
  </si>
  <si>
    <t>7896116900807</t>
  </si>
  <si>
    <t>8480017195050</t>
  </si>
  <si>
    <t>7899846037874</t>
  </si>
  <si>
    <t>7898641720714</t>
  </si>
  <si>
    <t>7894000050737</t>
  </si>
  <si>
    <t>7896292307780</t>
  </si>
  <si>
    <t>7896689600104</t>
  </si>
  <si>
    <t>Caracol</t>
  </si>
  <si>
    <t>7896292313705</t>
  </si>
  <si>
    <t>Só Fruta</t>
  </si>
  <si>
    <t>7891103195532</t>
  </si>
  <si>
    <t>Carrefour</t>
  </si>
  <si>
    <t>7896076000715</t>
  </si>
  <si>
    <t>Fancy</t>
  </si>
  <si>
    <t>Nissin</t>
  </si>
  <si>
    <t>7891079006009</t>
  </si>
  <si>
    <t>7896011102436</t>
  </si>
  <si>
    <t>Parati</t>
  </si>
  <si>
    <t>7896327514183</t>
  </si>
  <si>
    <t>7896706301113</t>
  </si>
  <si>
    <t>7896708200100</t>
  </si>
  <si>
    <t>7897005102074</t>
  </si>
  <si>
    <t>7891167031685</t>
  </si>
  <si>
    <t>751320003126</t>
  </si>
  <si>
    <t>7894321822129</t>
  </si>
  <si>
    <t>7896327512660</t>
  </si>
  <si>
    <t>7896527701178</t>
  </si>
  <si>
    <t>7896069511167</t>
  </si>
  <si>
    <t>7896117600102</t>
  </si>
  <si>
    <t>Farinha de Milho Temperada (350g)</t>
  </si>
  <si>
    <t>Deusa</t>
  </si>
  <si>
    <t>7899092700232</t>
  </si>
  <si>
    <t>Farofa (200g)</t>
  </si>
  <si>
    <t>Receita da Vovó Augusta</t>
  </si>
  <si>
    <t>7891095200870</t>
  </si>
  <si>
    <t>7896117600133</t>
  </si>
  <si>
    <t>7896025522930</t>
  </si>
  <si>
    <t>Marco Boni</t>
  </si>
  <si>
    <t>7896214401206</t>
  </si>
  <si>
    <t>Biscoitos Juvi's</t>
  </si>
  <si>
    <t>7896003706635</t>
  </si>
  <si>
    <t>7898292885534</t>
  </si>
  <si>
    <t>Hershey's</t>
  </si>
  <si>
    <t>7898172290021</t>
  </si>
  <si>
    <t>Cricil</t>
  </si>
  <si>
    <t>7896048300423</t>
  </si>
  <si>
    <t>7896706301120</t>
  </si>
  <si>
    <t>Neilar</t>
  </si>
  <si>
    <t>7898623460058</t>
  </si>
  <si>
    <t>7891103195327</t>
  </si>
  <si>
    <t>7896369126610</t>
  </si>
  <si>
    <t>.</t>
  </si>
  <si>
    <t>7897042013753</t>
  </si>
  <si>
    <t>7791293033235</t>
  </si>
  <si>
    <t>7891962018546</t>
  </si>
  <si>
    <t>7898931663158</t>
  </si>
  <si>
    <t>7898949840060</t>
  </si>
  <si>
    <t>7896005279489</t>
  </si>
  <si>
    <t>7891055111604</t>
  </si>
  <si>
    <t>7896072911268</t>
  </si>
  <si>
    <t>7897721410019</t>
  </si>
  <si>
    <t>2027900003007</t>
  </si>
  <si>
    <t>Chocotone (90g)</t>
  </si>
  <si>
    <t>7896292306578</t>
  </si>
  <si>
    <t>7896048282484</t>
  </si>
  <si>
    <t>Castelo</t>
  </si>
  <si>
    <t>7896117600768</t>
  </si>
  <si>
    <t>7897001050096</t>
  </si>
  <si>
    <t>Purity</t>
  </si>
  <si>
    <t>7898043744011</t>
  </si>
  <si>
    <t>7896341130826</t>
  </si>
  <si>
    <t>Torcida</t>
  </si>
  <si>
    <t>7891150066571</t>
  </si>
  <si>
    <t>7899801001162</t>
  </si>
  <si>
    <t>7891000026182</t>
  </si>
  <si>
    <t>Sopa Pronta (200g)</t>
  </si>
  <si>
    <t>7898961512013</t>
  </si>
  <si>
    <t>,</t>
  </si>
  <si>
    <t>7896058257182</t>
  </si>
  <si>
    <t>Tortuguita</t>
  </si>
  <si>
    <t>7897751902102</t>
  </si>
  <si>
    <t>Piracanjuba</t>
  </si>
  <si>
    <t>7898641720707</t>
  </si>
  <si>
    <t>7896105500070</t>
  </si>
  <si>
    <t>7898360980321</t>
  </si>
  <si>
    <t>7891022854336</t>
  </si>
  <si>
    <t>4549131313703</t>
  </si>
  <si>
    <t>Molho Curry (210g)</t>
  </si>
  <si>
    <t>8480017509161</t>
  </si>
  <si>
    <t>7896183305109</t>
  </si>
  <si>
    <t>7896001004511</t>
  </si>
  <si>
    <t>7896005804391</t>
  </si>
  <si>
    <t>7897005101282</t>
  </si>
  <si>
    <t>7896763623241</t>
  </si>
  <si>
    <t>7896089404494</t>
  </si>
  <si>
    <t>7896022205744</t>
  </si>
  <si>
    <t>7896051130055</t>
  </si>
  <si>
    <t>7898941912390</t>
  </si>
  <si>
    <t>7896185310750</t>
  </si>
  <si>
    <t>Achocolatado (1L)</t>
  </si>
  <si>
    <t>7891000582107</t>
  </si>
  <si>
    <t>7896005400043</t>
  </si>
  <si>
    <t>7898370100467</t>
  </si>
  <si>
    <t>7896280401933</t>
  </si>
  <si>
    <t>7896635502421</t>
  </si>
  <si>
    <t>Batata Palha (200g)</t>
  </si>
  <si>
    <t>Leite em Pó (1kg)</t>
  </si>
  <si>
    <t>Goiabada (250g)</t>
  </si>
  <si>
    <t>Achocolatado (900g)</t>
  </si>
  <si>
    <t>7896894900167</t>
  </si>
  <si>
    <t>7896098900819</t>
  </si>
  <si>
    <t>7898908436419</t>
  </si>
  <si>
    <t>7898215152330</t>
  </si>
  <si>
    <t>7896066767284</t>
  </si>
  <si>
    <t>7896213000011</t>
  </si>
  <si>
    <t>8480017136398</t>
  </si>
  <si>
    <t>7896114901738</t>
  </si>
  <si>
    <t>7891000284117</t>
  </si>
  <si>
    <t>7896068422259</t>
  </si>
  <si>
    <t>7896057800464</t>
  </si>
  <si>
    <t>7896140600063</t>
  </si>
  <si>
    <t>7896022200305</t>
  </si>
  <si>
    <t>7898004140029</t>
  </si>
  <si>
    <t>7896239841117</t>
  </si>
  <si>
    <t>7891018000679</t>
  </si>
  <si>
    <t>7896689600036</t>
  </si>
  <si>
    <t>7896283800191</t>
  </si>
  <si>
    <t>7898665611524</t>
  </si>
  <si>
    <t>7896090703609</t>
  </si>
  <si>
    <t>7896031224088</t>
  </si>
  <si>
    <t>7898962794067</t>
  </si>
  <si>
    <t>7896408440806</t>
  </si>
  <si>
    <t>7898749613161</t>
  </si>
  <si>
    <t>7898349720023</t>
  </si>
  <si>
    <t>7892300000933</t>
  </si>
  <si>
    <t>7896072052015</t>
  </si>
  <si>
    <t>7891048052365</t>
  </si>
  <si>
    <t>7896053410100</t>
  </si>
  <si>
    <t>7898377450404</t>
  </si>
  <si>
    <t>7896094906495</t>
  </si>
  <si>
    <t>7896292304420</t>
  </si>
  <si>
    <t>7896901200419</t>
  </si>
  <si>
    <t>7896527702724</t>
  </si>
  <si>
    <t>7896235100058</t>
  </si>
  <si>
    <t>7891021001946</t>
  </si>
  <si>
    <t>7891079006016</t>
  </si>
  <si>
    <t>7898075642941</t>
  </si>
  <si>
    <t>8480017641397</t>
  </si>
  <si>
    <t>7891965220427</t>
  </si>
  <si>
    <t>7891095006557</t>
  </si>
  <si>
    <t>7896283002229</t>
  </si>
  <si>
    <t>7894876003578</t>
  </si>
  <si>
    <t>7896022203146</t>
  </si>
  <si>
    <t>7896395725207</t>
  </si>
  <si>
    <t>7898380261004</t>
  </si>
  <si>
    <t>7892840808013</t>
  </si>
  <si>
    <t>7898114700151</t>
  </si>
  <si>
    <t>7898958074319</t>
  </si>
  <si>
    <t>7896699306058</t>
  </si>
  <si>
    <t>3083681026108</t>
  </si>
  <si>
    <t>7896292340503</t>
  </si>
  <si>
    <t>7896048284792</t>
  </si>
  <si>
    <t>7891024037058</t>
  </si>
  <si>
    <t>7892300006690</t>
  </si>
  <si>
    <t>7896018700369</t>
  </si>
  <si>
    <t>7899846020463</t>
  </si>
  <si>
    <t>7897750782156</t>
  </si>
  <si>
    <t>7896524726457</t>
  </si>
  <si>
    <t>7897534821514</t>
  </si>
  <si>
    <t>7891022848052</t>
  </si>
  <si>
    <t>7891048046616</t>
  </si>
  <si>
    <t>7894000000350</t>
  </si>
  <si>
    <t>7891032013259</t>
  </si>
  <si>
    <t>7897173003722</t>
  </si>
  <si>
    <t>7891048051054</t>
  </si>
  <si>
    <t>7898909769028</t>
  </si>
  <si>
    <t>7896273900191</t>
  </si>
  <si>
    <t>7898947566177</t>
  </si>
  <si>
    <t>7898052000825</t>
  </si>
  <si>
    <t>7896007545100</t>
  </si>
  <si>
    <t>7898140020049</t>
  </si>
  <si>
    <t>7896086422507</t>
  </si>
  <si>
    <t>7896193800106</t>
  </si>
  <si>
    <t>7898953924084</t>
  </si>
  <si>
    <t>7896034630442</t>
  </si>
  <si>
    <t>7891024002490</t>
  </si>
  <si>
    <t>7898910095376</t>
  </si>
  <si>
    <t>7891022101249</t>
  </si>
  <si>
    <t>7896102517149</t>
  </si>
  <si>
    <t>7896024800404</t>
  </si>
  <si>
    <t>7891095154241</t>
  </si>
  <si>
    <t>7897751901679</t>
  </si>
  <si>
    <t>7898605842728</t>
  </si>
  <si>
    <t>Querosene (1L)</t>
  </si>
  <si>
    <t>Sabonete (200g)</t>
  </si>
  <si>
    <t>Amido de Milho (150g)</t>
  </si>
  <si>
    <t>Sabonete (100g)</t>
  </si>
  <si>
    <t>Sabonete (180g)</t>
  </si>
  <si>
    <t>Milho de Pipoca (200g)</t>
  </si>
  <si>
    <t>Açúcar (300g)</t>
  </si>
  <si>
    <t>Caldo Galinha (50g)</t>
  </si>
  <si>
    <t>Fraldas Infantis (7un)</t>
  </si>
  <si>
    <t>Leite (1L)</t>
  </si>
  <si>
    <t>Desinfetante (1,75L)</t>
  </si>
  <si>
    <t>7891522017125</t>
  </si>
  <si>
    <t>7896091620011</t>
  </si>
  <si>
    <t>7891000079515</t>
  </si>
  <si>
    <t>8480017059048</t>
  </si>
  <si>
    <t>7898634470060</t>
  </si>
  <si>
    <t>7891522017132</t>
  </si>
  <si>
    <t>7896007548477</t>
  </si>
  <si>
    <t>7500435132749</t>
  </si>
  <si>
    <t>7896007514311</t>
  </si>
  <si>
    <t>7898556033756</t>
  </si>
  <si>
    <t>7898556035644</t>
  </si>
  <si>
    <t>7898556033749</t>
  </si>
  <si>
    <t>7896770900250</t>
  </si>
  <si>
    <t>7896770979300</t>
  </si>
  <si>
    <t>7896770979881</t>
  </si>
  <si>
    <t>7896007547173</t>
  </si>
  <si>
    <t>7896007547210</t>
  </si>
  <si>
    <t>7896012801895</t>
  </si>
  <si>
    <t>7898916153018</t>
  </si>
  <si>
    <t>7891024037362</t>
  </si>
  <si>
    <t>7896009301032</t>
  </si>
  <si>
    <t>7891150025998</t>
  </si>
  <si>
    <t>7896013405511</t>
  </si>
  <si>
    <t>7500435014359</t>
  </si>
  <si>
    <t>7896461800111</t>
  </si>
  <si>
    <t>7896098905203</t>
  </si>
  <si>
    <t>7891700080415</t>
  </si>
  <si>
    <t>7896283512452</t>
  </si>
  <si>
    <t>7896028030654</t>
  </si>
  <si>
    <t>8480017596741</t>
  </si>
  <si>
    <t>7898994081630</t>
  </si>
  <si>
    <t>7896069530458</t>
  </si>
  <si>
    <t>7896079480910</t>
  </si>
  <si>
    <t>7896708200117</t>
  </si>
  <si>
    <t>7896090405626</t>
  </si>
  <si>
    <t>7896775100259</t>
  </si>
  <si>
    <t>7896069528400</t>
  </si>
  <si>
    <t>7891103200403</t>
  </si>
  <si>
    <t>7896256050165</t>
  </si>
  <si>
    <t>7896327514190</t>
  </si>
  <si>
    <t>7898378360337</t>
  </si>
  <si>
    <t>7891132007554</t>
  </si>
  <si>
    <t>7898215152347</t>
  </si>
  <si>
    <t>7895000414352</t>
  </si>
  <si>
    <t>7898003250040</t>
  </si>
  <si>
    <t>7898994011408</t>
  </si>
  <si>
    <t>7896005272107</t>
  </si>
  <si>
    <t>7891098000026</t>
  </si>
  <si>
    <t>7898489510270</t>
  </si>
  <si>
    <t>7896300300390</t>
  </si>
  <si>
    <t>7891089440558</t>
  </si>
  <si>
    <t>7898039680569</t>
  </si>
  <si>
    <t>7896733601569</t>
  </si>
  <si>
    <t>7896000597212</t>
  </si>
  <si>
    <t>7896048200105</t>
  </si>
  <si>
    <t>7891962053189</t>
  </si>
  <si>
    <t>7896003702415</t>
  </si>
  <si>
    <t>7891024040379</t>
  </si>
  <si>
    <t>7891150063617</t>
  </si>
  <si>
    <t>7898080259783</t>
  </si>
  <si>
    <t>7896680100016</t>
  </si>
  <si>
    <t>7897005102357</t>
  </si>
  <si>
    <t>7898943163066</t>
  </si>
  <si>
    <t>7897565300019</t>
  </si>
  <si>
    <t>7898416521133</t>
  </si>
  <si>
    <t>7897751900450</t>
  </si>
  <si>
    <t>7898277710950</t>
  </si>
  <si>
    <t>7891134001703</t>
  </si>
  <si>
    <t>7896292306530</t>
  </si>
  <si>
    <t>7891024028353</t>
  </si>
  <si>
    <t>7896085086212</t>
  </si>
  <si>
    <t>7896048300270</t>
  </si>
  <si>
    <t>7899686700624</t>
  </si>
  <si>
    <t>7898075643177</t>
  </si>
  <si>
    <t>7891021001885</t>
  </si>
  <si>
    <t>7896423470697</t>
  </si>
  <si>
    <t>7898380260267</t>
  </si>
  <si>
    <t>7898224531966</t>
  </si>
  <si>
    <t>7896098900918</t>
  </si>
  <si>
    <t>7896004400327</t>
  </si>
  <si>
    <t>7891150038561</t>
  </si>
  <si>
    <t>7896072006001</t>
  </si>
  <si>
    <t>7896097604015</t>
  </si>
  <si>
    <t>7891132000449</t>
  </si>
  <si>
    <t>7896278600225</t>
  </si>
  <si>
    <t>7896354100861</t>
  </si>
  <si>
    <t>7896680100153</t>
  </si>
  <si>
    <t>7898099393492</t>
  </si>
  <si>
    <t>7891910020096</t>
  </si>
  <si>
    <t>8480017335159</t>
  </si>
  <si>
    <t>7896185600127</t>
  </si>
  <si>
    <t>7896534401085</t>
  </si>
  <si>
    <t>7891024008621</t>
  </si>
  <si>
    <t>8480017335036</t>
  </si>
  <si>
    <t>7899686700617</t>
  </si>
  <si>
    <t>7897664130302</t>
  </si>
  <si>
    <t>7898462400192</t>
  </si>
  <si>
    <t>7891132019731</t>
  </si>
  <si>
    <t>7896111301166</t>
  </si>
  <si>
    <t>8480017572769</t>
  </si>
  <si>
    <t>7891132006373</t>
  </si>
  <si>
    <t>Sazon (37,5g)</t>
  </si>
  <si>
    <t>7896292006003</t>
  </si>
  <si>
    <t>Pudim (30g)</t>
  </si>
  <si>
    <t>742832445481</t>
  </si>
  <si>
    <t>7896085086229</t>
  </si>
  <si>
    <t>7896683402827</t>
  </si>
  <si>
    <t>7622300859930</t>
  </si>
  <si>
    <t>7896097600031</t>
  </si>
  <si>
    <t>7896524726518</t>
  </si>
  <si>
    <t>7897510301504</t>
  </si>
  <si>
    <t>7898497680354</t>
  </si>
  <si>
    <t>7896048284631</t>
  </si>
  <si>
    <t>8480017026651</t>
  </si>
  <si>
    <t>7896339810334</t>
  </si>
  <si>
    <t>8480017078025</t>
  </si>
  <si>
    <t>7896070181052</t>
  </si>
  <si>
    <t>7896327501060</t>
  </si>
  <si>
    <t>7896232111026</t>
  </si>
  <si>
    <t>7896205752331</t>
  </si>
  <si>
    <t>7898124620012</t>
  </si>
  <si>
    <t>7896005800010</t>
  </si>
  <si>
    <t>7896205757091</t>
  </si>
  <si>
    <t>7896051115014</t>
  </si>
  <si>
    <t>7622210762894</t>
  </si>
  <si>
    <t>7896327514169</t>
  </si>
  <si>
    <t>7896405100079</t>
  </si>
  <si>
    <t>7891098038333</t>
  </si>
  <si>
    <t>7896116900647</t>
  </si>
  <si>
    <t>7898912222015</t>
  </si>
  <si>
    <t>7896022204204</t>
  </si>
  <si>
    <t>7898165600011</t>
  </si>
  <si>
    <t>7891000584804</t>
  </si>
  <si>
    <t>7898948796092</t>
  </si>
  <si>
    <t>7891040221059</t>
  </si>
  <si>
    <t>7891150063457</t>
  </si>
  <si>
    <t>8480017026675</t>
  </si>
  <si>
    <t>622300861919</t>
  </si>
  <si>
    <t>7896046400217</t>
  </si>
  <si>
    <t>7896035950044</t>
  </si>
  <si>
    <t>7897005100216</t>
  </si>
  <si>
    <t>7896097600239</t>
  </si>
  <si>
    <t>7898944856059</t>
  </si>
  <si>
    <t>7909189101535</t>
  </si>
  <si>
    <t>7622300119652</t>
  </si>
  <si>
    <t>Fermento (250g)</t>
  </si>
  <si>
    <t>7891095001392</t>
  </si>
  <si>
    <t>7896292303669</t>
  </si>
  <si>
    <t>7896036095669</t>
  </si>
  <si>
    <t>8480017160676</t>
  </si>
  <si>
    <t>7896080820255</t>
  </si>
  <si>
    <t>7896032580015</t>
  </si>
  <si>
    <t>7896062699978</t>
  </si>
  <si>
    <t>7896185312396</t>
  </si>
  <si>
    <t>7896102501308</t>
  </si>
  <si>
    <t>7898943163011</t>
  </si>
  <si>
    <t>7896114900274</t>
  </si>
  <si>
    <t>7898311159967</t>
  </si>
  <si>
    <t>8480017081001</t>
  </si>
  <si>
    <t>7896292306622</t>
  </si>
  <si>
    <t>7896272004180</t>
  </si>
  <si>
    <t>7896036097069</t>
  </si>
  <si>
    <t>7896248100885</t>
  </si>
  <si>
    <t>7896760960578</t>
  </si>
  <si>
    <t>7891528041544</t>
  </si>
  <si>
    <t>Pasta de dente (180g)</t>
  </si>
  <si>
    <t>7896635501103</t>
  </si>
  <si>
    <t>7896425511374</t>
  </si>
  <si>
    <t>7897751900184</t>
  </si>
  <si>
    <t>8480017179883</t>
  </si>
  <si>
    <t>7896098901083</t>
  </si>
  <si>
    <t>8480017336460</t>
  </si>
  <si>
    <t>7896022204259</t>
  </si>
  <si>
    <t>7894321219523</t>
  </si>
  <si>
    <t>8480017183835</t>
  </si>
  <si>
    <t>7899846020654</t>
  </si>
  <si>
    <t>Creme (400ml)</t>
  </si>
  <si>
    <t>7909189041404</t>
  </si>
  <si>
    <t>Desodorante (80ml)</t>
  </si>
  <si>
    <t>78924352</t>
  </si>
  <si>
    <t>7891132005918</t>
  </si>
  <si>
    <t>7896058592139</t>
  </si>
  <si>
    <t>7896064202947</t>
  </si>
  <si>
    <t>Bolo pronto (250g)</t>
  </si>
  <si>
    <t>7897785300622</t>
  </si>
  <si>
    <t>Cocada (300g)</t>
  </si>
  <si>
    <t>7896069530588</t>
  </si>
  <si>
    <t>Suspiro (70g)</t>
  </si>
  <si>
    <t>Amendoim (500g)</t>
  </si>
  <si>
    <t>Absorvente (10un)</t>
  </si>
  <si>
    <t>Batata Palha (140g)</t>
  </si>
  <si>
    <t>Sopão (160g)</t>
  </si>
  <si>
    <t>Bolo (300g)</t>
  </si>
  <si>
    <t>Vinagre (200ml)</t>
  </si>
  <si>
    <t>Granulado (50g)</t>
  </si>
  <si>
    <t>Perfume (100ml)</t>
  </si>
  <si>
    <t>Shampoo + condicionador (400 + 200)</t>
  </si>
  <si>
    <t>Sabão liquido (450ml)</t>
  </si>
  <si>
    <t>Gelatina (50g)</t>
  </si>
  <si>
    <t>Feijão caixa (490g)</t>
  </si>
  <si>
    <t>Achocolatado (600g)</t>
  </si>
  <si>
    <t>Suco concentrado (1L)</t>
  </si>
  <si>
    <t>Farinha de Arroz (1kg)</t>
  </si>
  <si>
    <t>Pasta de dente (100g)</t>
  </si>
  <si>
    <t>7896036036051</t>
  </si>
  <si>
    <t>7898916153025</t>
  </si>
  <si>
    <t>7891024134429</t>
  </si>
  <si>
    <t>7896283000065</t>
  </si>
  <si>
    <t>7896062604002</t>
  </si>
  <si>
    <t>7896000594686</t>
  </si>
  <si>
    <t>8480017092670</t>
  </si>
  <si>
    <t>7891103035845</t>
  </si>
  <si>
    <t>7896110004679</t>
  </si>
  <si>
    <t>7891000253083</t>
  </si>
  <si>
    <t>7891242161580</t>
  </si>
  <si>
    <t>7896006716402</t>
  </si>
  <si>
    <t>7891048050682</t>
  </si>
  <si>
    <t>7896072093704</t>
  </si>
  <si>
    <t>7898951850217</t>
  </si>
  <si>
    <t>7891150041424</t>
  </si>
  <si>
    <t>8480017183637</t>
  </si>
  <si>
    <t>7891103191268</t>
  </si>
  <si>
    <t>7891134001963</t>
  </si>
  <si>
    <t>7898085944691</t>
  </si>
  <si>
    <t>7891150038189</t>
  </si>
  <si>
    <t>7891010247515</t>
  </si>
  <si>
    <t>7896098906156</t>
  </si>
  <si>
    <t>7899601709374</t>
  </si>
  <si>
    <t>7899601715320</t>
  </si>
  <si>
    <t>7891103206597</t>
  </si>
  <si>
    <t>7898239260745</t>
  </si>
  <si>
    <t>8480017073082</t>
  </si>
  <si>
    <t>7896289900581</t>
  </si>
  <si>
    <t>7893500045434</t>
  </si>
  <si>
    <t>7898945194679</t>
  </si>
  <si>
    <t>7891095030736</t>
  </si>
  <si>
    <t>7891095008919</t>
  </si>
  <si>
    <t>7896036096437</t>
  </si>
  <si>
    <t>7898510050188</t>
  </si>
  <si>
    <t>7891021005586</t>
  </si>
  <si>
    <t>7898908593310</t>
  </si>
  <si>
    <t>7891080149290</t>
  </si>
  <si>
    <t>7896327512721</t>
  </si>
  <si>
    <t>7898427310023</t>
  </si>
  <si>
    <t>7898239260721</t>
  </si>
  <si>
    <t>7896292301351</t>
  </si>
  <si>
    <t>7891150033801</t>
  </si>
  <si>
    <t>7896005281673</t>
  </si>
  <si>
    <t>7898308730216</t>
  </si>
  <si>
    <t>7898949924272</t>
  </si>
  <si>
    <t>7896327514176</t>
  </si>
  <si>
    <t>7897005102050</t>
  </si>
  <si>
    <t>7506309805498</t>
  </si>
  <si>
    <t>7896336002763</t>
  </si>
  <si>
    <t>7622210762962</t>
  </si>
  <si>
    <t>7791293032498</t>
  </si>
  <si>
    <t>7898623955820</t>
  </si>
  <si>
    <t>7898623955813</t>
  </si>
  <si>
    <t>7896046400248</t>
  </si>
  <si>
    <t>7896673000118</t>
  </si>
  <si>
    <t>7897292610672</t>
  </si>
  <si>
    <t>7896327512691</t>
  </si>
  <si>
    <t>7898627190029</t>
  </si>
  <si>
    <t>7898909755014</t>
  </si>
  <si>
    <t>7891024008560</t>
  </si>
  <si>
    <t>7891103054136</t>
  </si>
  <si>
    <t>7891040219438</t>
  </si>
  <si>
    <t>7891022851038</t>
  </si>
  <si>
    <t>7896733600739</t>
  </si>
  <si>
    <t>7898462402271</t>
  </si>
  <si>
    <t>8480017479792</t>
  </si>
  <si>
    <t>7891965612932</t>
  </si>
  <si>
    <t>7898918343394</t>
  </si>
  <si>
    <t>7896365220176</t>
  </si>
  <si>
    <t>7896423703962</t>
  </si>
  <si>
    <t>7896412804113</t>
  </si>
  <si>
    <t>7896336011437</t>
  </si>
  <si>
    <t>7896292001800</t>
  </si>
  <si>
    <t>7898406781301</t>
  </si>
  <si>
    <t>7896111425183</t>
  </si>
  <si>
    <t>7891167021037</t>
  </si>
  <si>
    <t>7896054904745</t>
  </si>
  <si>
    <t>7896000530325</t>
  </si>
  <si>
    <t>7896069530618</t>
  </si>
  <si>
    <t>7897005102814</t>
  </si>
  <si>
    <t>7897751902065</t>
  </si>
  <si>
    <t>8480017136831</t>
  </si>
  <si>
    <t>7898533021479</t>
  </si>
  <si>
    <t>7891035285318</t>
  </si>
  <si>
    <t>7891055803004</t>
  </si>
  <si>
    <t>7891132008704</t>
  </si>
  <si>
    <t>7896009301063</t>
  </si>
  <si>
    <t>7891048046623</t>
  </si>
  <si>
    <t>7896026800068</t>
  </si>
  <si>
    <t>7896004400075</t>
  </si>
  <si>
    <t>7896110083254</t>
  </si>
  <si>
    <t>7896025801066</t>
  </si>
  <si>
    <t>7891079000311</t>
  </si>
  <si>
    <t>7896292311107</t>
  </si>
  <si>
    <t>7896280401599</t>
  </si>
  <si>
    <t>7896116900937</t>
  </si>
  <si>
    <t>7622300861148</t>
  </si>
  <si>
    <t>7891000035634</t>
  </si>
  <si>
    <t>7891103200021</t>
  </si>
  <si>
    <t>7896002360982</t>
  </si>
  <si>
    <t>7896206935023</t>
  </si>
  <si>
    <t>7898926906147</t>
  </si>
  <si>
    <t>7891965120253</t>
  </si>
  <si>
    <t>7897088603079</t>
  </si>
  <si>
    <t>7896280400073</t>
  </si>
  <si>
    <t>7896102501551</t>
  </si>
  <si>
    <t>040232772306</t>
  </si>
  <si>
    <t>7896341130079</t>
  </si>
  <si>
    <t>7896069518418</t>
  </si>
  <si>
    <t>7896097607313</t>
  </si>
  <si>
    <t>7898462400017</t>
  </si>
  <si>
    <t>7891528041599</t>
  </si>
  <si>
    <t>7891350002409</t>
  </si>
  <si>
    <t>7896090400034</t>
  </si>
  <si>
    <t>7896076001033</t>
  </si>
  <si>
    <t>7898957777044</t>
  </si>
  <si>
    <t>7896069574100</t>
  </si>
  <si>
    <t>7891158100253</t>
  </si>
  <si>
    <t>7896035210087</t>
  </si>
  <si>
    <t>7896102582130</t>
  </si>
  <si>
    <t>7896292006034</t>
  </si>
  <si>
    <t>7891031409558</t>
  </si>
  <si>
    <t>3083680004572</t>
  </si>
  <si>
    <t>Adoçante (100mL)</t>
  </si>
  <si>
    <t>Água Tônica (237mL)</t>
  </si>
  <si>
    <t>Batata Palha (1kg)</t>
  </si>
  <si>
    <t>Bife Vegetal (400g)</t>
  </si>
  <si>
    <t>Caixa de Bombons (300g)</t>
  </si>
  <si>
    <t>Cevada (500g)</t>
  </si>
  <si>
    <t>Creme de Leite (200g)</t>
  </si>
  <si>
    <t>Erva-Doce (40g)</t>
  </si>
  <si>
    <t>Ervilha Sachê (300g)</t>
  </si>
  <si>
    <t>Ervilha Lata (300g)</t>
  </si>
  <si>
    <t>Espumante (660mL)</t>
  </si>
  <si>
    <t>Gatorade (500mL)</t>
  </si>
  <si>
    <t>Grão de Bico (300g)</t>
  </si>
  <si>
    <t>Leite (12un)</t>
  </si>
  <si>
    <t>Leite Condensado (400g)</t>
  </si>
  <si>
    <t>Milho e Ervilha (200g)</t>
  </si>
  <si>
    <t>Milho Conserva (500g)</t>
  </si>
  <si>
    <t>Milho de Pipoca (500g)</t>
  </si>
  <si>
    <t>Mistura para Bolo (450g)</t>
  </si>
  <si>
    <t>Mistura para Bolo (300g)</t>
  </si>
  <si>
    <t>Mistura para Bolo (400g)</t>
  </si>
  <si>
    <t>Mistura para Empanar (300g)</t>
  </si>
  <si>
    <t>Molho de Tomate (130g)</t>
  </si>
  <si>
    <t>Molho de Tomate (190g)</t>
  </si>
  <si>
    <t>Molho de Tomate (400g)</t>
  </si>
  <si>
    <t>Molho de Tomate (520g)</t>
  </si>
  <si>
    <t>Molho de Tomate (680g)</t>
  </si>
  <si>
    <t>Molho de Tomate (2kg)</t>
  </si>
  <si>
    <t>Óleo (900mL)</t>
  </si>
  <si>
    <t>Patê de Carne (100g)</t>
  </si>
  <si>
    <t>Patê de Peru (100g)</t>
  </si>
  <si>
    <t>Patê de Sardinha (150g)</t>
  </si>
  <si>
    <t>Patê de Sardinha (170g)</t>
  </si>
  <si>
    <t>Pêssego em Calda (500g)</t>
  </si>
  <si>
    <t>Pipoca de Microondas (100g)</t>
  </si>
  <si>
    <t>Pipoca de Microondas (50g)</t>
  </si>
  <si>
    <t>Pipoca Doce (100g)</t>
  </si>
  <si>
    <t>Polvilho Doce (1kg)</t>
  </si>
  <si>
    <t>Proteína Texturizada (250g)</t>
  </si>
  <si>
    <t>Salsicha Lata (200g)</t>
  </si>
  <si>
    <t>Sardinha (165g)</t>
  </si>
  <si>
    <t>Suco Concentrado (1L)</t>
  </si>
  <si>
    <t>Suco Concentrado (500mL)</t>
  </si>
  <si>
    <t>Tempero Pronto (500g)</t>
  </si>
  <si>
    <t>Tempero Pronto (300g)</t>
  </si>
  <si>
    <t>Tomate Picado (400g)</t>
  </si>
  <si>
    <t>Abacaxi em Calda (820g)</t>
  </si>
  <si>
    <t>Abacaxi em Calda (830g)</t>
  </si>
  <si>
    <t>Açúcar (500g)</t>
  </si>
  <si>
    <t>Amido de Milho (200g)</t>
  </si>
  <si>
    <t>Bala Pacote (150g)</t>
  </si>
  <si>
    <t>Bala de Goma (20g)</t>
  </si>
  <si>
    <t>Base para Sorvete (80g)</t>
  </si>
  <si>
    <t>Bebida Láctea Baunilha (200mL)</t>
  </si>
  <si>
    <t>Bebida Láctea Chocolate (1L)</t>
  </si>
  <si>
    <t>Chocolate Bis (126g)</t>
  </si>
  <si>
    <t>Bolo de Caneca (70g)</t>
  </si>
  <si>
    <t>Bolo Pronto (250g)</t>
  </si>
  <si>
    <t>Café Solúvel (50g)</t>
  </si>
  <si>
    <t>Caldo de Carne (19g)</t>
  </si>
  <si>
    <t>Caldo Knorr (114g)</t>
  </si>
  <si>
    <t>Cereal Infantil (230g)</t>
  </si>
  <si>
    <t>Chocolate Barra (100g)</t>
  </si>
  <si>
    <t>Chocolate Barra (41,5g)</t>
  </si>
  <si>
    <t>Club Social (1un)</t>
  </si>
  <si>
    <t>Club Social (6un)</t>
  </si>
  <si>
    <t>Coco Ralado (50g)</t>
  </si>
  <si>
    <t>Doce de Leite (400g)</t>
  </si>
  <si>
    <t>Bala Pacote (200g)</t>
  </si>
  <si>
    <t>Bala Pacote (250g)</t>
  </si>
  <si>
    <t>Bala Pacote (300g)</t>
  </si>
  <si>
    <t>Bala Pacote (600g)</t>
  </si>
  <si>
    <t>Bala Pacote (70g)</t>
  </si>
  <si>
    <t>Extrato de Tomate (140g)</t>
  </si>
  <si>
    <t>Extrato de Tomate (130g)</t>
  </si>
  <si>
    <t>Extrato de Tomate (280g)</t>
  </si>
  <si>
    <t>Extrato de Tomate (320g)</t>
  </si>
  <si>
    <t>Extrato de Tomate (340g)</t>
  </si>
  <si>
    <t>Extrato de Tomate (375g)</t>
  </si>
  <si>
    <t>Extrato de Tomate (400g)</t>
  </si>
  <si>
    <t>Extrato de Tomate (520g)</t>
  </si>
  <si>
    <t>Farinha de Mandioca (300g)</t>
  </si>
  <si>
    <t>Farinha de Mandioca (500g)</t>
  </si>
  <si>
    <t>Farinha de Rosca (500g)</t>
  </si>
  <si>
    <t>Farinha de Trigo (1kg)</t>
  </si>
  <si>
    <t>Farinha Láctea (210g)</t>
  </si>
  <si>
    <t>Farinha de Milho (500g)</t>
  </si>
  <si>
    <t>Farofa de Mandioca (250g)</t>
  </si>
  <si>
    <t>Feijão de Caixa (490g)</t>
  </si>
  <si>
    <t>Feijão de Caixa (380g)</t>
  </si>
  <si>
    <t>Feijoada Enlatada (830g)</t>
  </si>
  <si>
    <t>Filtro de Café (30un)</t>
  </si>
  <si>
    <t>Figo em Calda (850g)</t>
  </si>
  <si>
    <t>Flocos de Milho (500g)</t>
  </si>
  <si>
    <t>Fuba (5kg)</t>
  </si>
  <si>
    <t>Geléia de Damasco (230g)</t>
  </si>
  <si>
    <t>Geléia de Goiaba (100g)</t>
  </si>
  <si>
    <t>Grão de Bico (80g)</t>
  </si>
  <si>
    <t>Ketchup (1kg)</t>
  </si>
  <si>
    <t>Leite de Soja (1L)</t>
  </si>
  <si>
    <t>Leite em Pó (280g)</t>
  </si>
  <si>
    <t>Leite em Pó (300g)</t>
  </si>
  <si>
    <t>Leite em Pó (400g)</t>
  </si>
  <si>
    <t>Leite em Pó (800g)</t>
  </si>
  <si>
    <t>M&amp;M (45g)</t>
  </si>
  <si>
    <t>Massa Lasanha (200g)</t>
  </si>
  <si>
    <t>Massa Lasanha (500g)</t>
  </si>
  <si>
    <t>Milho Conserva (230g)</t>
  </si>
  <si>
    <t>Lentilha (380g)</t>
  </si>
  <si>
    <t>Molho de Pimenta (150mL)</t>
  </si>
  <si>
    <t>Molho de Pimenta (200mL)</t>
  </si>
  <si>
    <t>Molho de Tomate (390g)</t>
  </si>
  <si>
    <t>Óleo (200mL)</t>
  </si>
  <si>
    <t>Bala Pacote (500g)</t>
  </si>
  <si>
    <t>Patê de Presunto (150g)</t>
  </si>
  <si>
    <t>Polvilho Azedo (500g)</t>
  </si>
  <si>
    <t>Queijo Ralado (50g)</t>
  </si>
  <si>
    <t>Refrigerante (1,5L)</t>
  </si>
  <si>
    <t>Refrigerante (2,5L)</t>
  </si>
  <si>
    <t>Refrigerante (3L)</t>
  </si>
  <si>
    <t>Refrigerante Lata (350mL)</t>
  </si>
  <si>
    <t>Salsicha Tipo Viena (200g)</t>
  </si>
  <si>
    <t>Seleta de Legumes (200g)</t>
  </si>
  <si>
    <t>Seleta de Legumes (280g)</t>
  </si>
  <si>
    <t>Seleta de Legumes (300g)</t>
  </si>
  <si>
    <t>Sopa Pronta (500g)</t>
  </si>
  <si>
    <t>Soja Pronta (500g)</t>
  </si>
  <si>
    <t>Sopa Sachê (17g)</t>
  </si>
  <si>
    <t>Suco (390mL)</t>
  </si>
  <si>
    <t>Suco Sachê (10g)</t>
  </si>
  <si>
    <t>Tempero Pronto (60g)</t>
  </si>
  <si>
    <t>Torrada (142g)</t>
  </si>
  <si>
    <t>Vinagre (200mL)</t>
  </si>
  <si>
    <t>Vinagre (750mL)</t>
  </si>
  <si>
    <t>Absorvente (20un)</t>
  </si>
  <si>
    <t>Absorvente (40un)</t>
  </si>
  <si>
    <t>Álcool (1L)</t>
  </si>
  <si>
    <t>Álcool (500mL)</t>
  </si>
  <si>
    <t>Álcool Gel (500mL)</t>
  </si>
  <si>
    <t>Amaciante (900mL)</t>
  </si>
  <si>
    <t>Antisséptico (100mL)</t>
  </si>
  <si>
    <t>Antisséptico (440mL)</t>
  </si>
  <si>
    <t>Bob (8un)</t>
  </si>
  <si>
    <t>Cloro Ativo (5L)</t>
  </si>
  <si>
    <t>Cloro Ativo (500mL)</t>
  </si>
  <si>
    <t>Condicionador (350mL)</t>
  </si>
  <si>
    <t>Condicionador (325mL)</t>
  </si>
  <si>
    <t>Creme (400mL)</t>
  </si>
  <si>
    <t>Desengordurante (500mL)</t>
  </si>
  <si>
    <t>Desodorante Creme</t>
  </si>
  <si>
    <t>Desodorante Rollon</t>
  </si>
  <si>
    <t>Desodorante Spray</t>
  </si>
  <si>
    <t>Detergente (500mL)</t>
  </si>
  <si>
    <t xml:space="preserve">Detergente Concentrado </t>
  </si>
  <si>
    <t>Enxaguante Bucal (250mL)</t>
  </si>
  <si>
    <t>Enxaguante Bucal (350mL)</t>
  </si>
  <si>
    <t>Enxaguante Bucal (500mL)</t>
  </si>
  <si>
    <t>Escova de Dente (1un)</t>
  </si>
  <si>
    <t>Escova de Dente (2un)</t>
  </si>
  <si>
    <t>Escova de Dente (3un)</t>
  </si>
  <si>
    <t>Escova de Dente (4un)</t>
  </si>
  <si>
    <t>Fósforo (200un)</t>
  </si>
  <si>
    <t>Fraldas Geriátricas (24un)</t>
  </si>
  <si>
    <t>Fraldas Infantis (18un)</t>
  </si>
  <si>
    <t>Fraldas Infantis (70un)</t>
  </si>
  <si>
    <t>Fraldas Geriátricas (9un)</t>
  </si>
  <si>
    <t>Hidratante (150mL)</t>
  </si>
  <si>
    <t>Hidratante (500mL)</t>
  </si>
  <si>
    <t>Hidratante para Cabelo (300mL)</t>
  </si>
  <si>
    <t>Lâmina de Barbear (1un)</t>
  </si>
  <si>
    <t>Lâmina de Barbear (2un)</t>
  </si>
  <si>
    <t>Lâmina de Barbear (3un)</t>
  </si>
  <si>
    <t>Lâmina de Barbear (4un)</t>
  </si>
  <si>
    <t>Lâmina de Barbear (8un)</t>
  </si>
  <si>
    <t>Lâmina Refil (2un)</t>
  </si>
  <si>
    <t>Lâmina Refil (4un)</t>
  </si>
  <si>
    <t>Lâmina Refil (5un)</t>
  </si>
  <si>
    <t>Lava Roupas em Pó (1kg)</t>
  </si>
  <si>
    <t>Lenços de Papel (50un)</t>
  </si>
  <si>
    <t>Lava Roupas Líquido (900mL)</t>
  </si>
  <si>
    <t>Lenços Papel (100un)</t>
  </si>
  <si>
    <t>Lenços Umedecidos (75un)</t>
  </si>
  <si>
    <t>Limpador (1L)</t>
  </si>
  <si>
    <t>Limpador (2L)</t>
  </si>
  <si>
    <t>Limpador (500mL)</t>
  </si>
  <si>
    <t>Lustra Móveis (200mL)</t>
  </si>
  <si>
    <t>Multiuso (450mL)</t>
  </si>
  <si>
    <t>Pano de Limpeza (5un)</t>
  </si>
  <si>
    <t>Papel Higiênico (4un)</t>
  </si>
  <si>
    <t>Papel Higiênico (8un)</t>
  </si>
  <si>
    <t>Papel Manteiga (7,5m)</t>
  </si>
  <si>
    <t>Pasta de Dente (100g)</t>
  </si>
  <si>
    <t>Fósforo Pacote 10 Caixas (40un)</t>
  </si>
  <si>
    <t>Pasta de Dente Pacote 3 Unidades (70g)</t>
  </si>
  <si>
    <t>Multiuso Pacote 3 Unidades (500mL)</t>
  </si>
  <si>
    <t>Perfume (100mL)</t>
  </si>
  <si>
    <t>Perfume de Bebê (500 mL)</t>
  </si>
  <si>
    <t>Polvilho Antisséptico (100g)</t>
  </si>
  <si>
    <t>Protetor Solar (400mL)</t>
  </si>
  <si>
    <t>Querosene (500mL)</t>
  </si>
  <si>
    <t>Querosene (900mL)</t>
  </si>
  <si>
    <t>Roupa Íntima Descartável</t>
  </si>
  <si>
    <t>Sabão em Barra (5un)</t>
  </si>
  <si>
    <t>Sabao em Pó (1,6kg)</t>
  </si>
  <si>
    <t>Sabão em Pó (2,8kg)</t>
  </si>
  <si>
    <t>Sabão em Pó (400g)</t>
  </si>
  <si>
    <t>Sabão Líquido (450mL)</t>
  </si>
  <si>
    <t>Sabonete (4un)</t>
  </si>
  <si>
    <t>Sabonete (6un)</t>
  </si>
  <si>
    <t>Sabonete Líquido (200mL)</t>
  </si>
  <si>
    <t>Sabonete Líquido (250mL)</t>
  </si>
  <si>
    <t>Sabonete Líquido (500mL)</t>
  </si>
  <si>
    <t>Saco de Lixo 15L (100un)</t>
  </si>
  <si>
    <t>Saco de Lixo 15L (20un)</t>
  </si>
  <si>
    <t>Saco de Lixo 100L (5un)</t>
  </si>
  <si>
    <t>Saco de Lixo 15L (6un)</t>
  </si>
  <si>
    <t>Sanitizante para Tecidos e Roupas (800g)</t>
  </si>
  <si>
    <t>Shampoo (250mL)</t>
  </si>
  <si>
    <t>Shampoo (325mL)</t>
  </si>
  <si>
    <t>Shampoo (300mL)</t>
  </si>
  <si>
    <t>Shampoo (500mL)</t>
  </si>
  <si>
    <t>Shampoo e Condicionador (325mL)</t>
  </si>
  <si>
    <t>Tira Manchas (450g)</t>
  </si>
  <si>
    <t>Tira Manchas (450mL)</t>
  </si>
  <si>
    <t>Arroz Integral (1kg)</t>
  </si>
  <si>
    <t>Arroz Integral (500g)</t>
  </si>
  <si>
    <t>Creme Hidratante (150mL)</t>
  </si>
  <si>
    <t>Desinfetante (500mL)</t>
  </si>
  <si>
    <t>Detergente 5L</t>
  </si>
  <si>
    <t xml:space="preserve">Detergente Concentrado (500mL) </t>
  </si>
  <si>
    <t>Feijão Caixa (380g)</t>
  </si>
  <si>
    <t>Feijão Caixa (490g)</t>
  </si>
  <si>
    <t>Fósforo Pacote (40un)</t>
  </si>
  <si>
    <t>Fósforo Pacote 10 Caixas (50un)</t>
  </si>
  <si>
    <t>Fraldas Geriátricas (7un)</t>
  </si>
  <si>
    <t>Fraldas Geriátricas (8un)</t>
  </si>
  <si>
    <t>Lenços Umedecidos (48un)</t>
  </si>
  <si>
    <t>Lustra Móveis</t>
  </si>
  <si>
    <t>Multiuso Pacote 3un (500mL)</t>
  </si>
  <si>
    <t>Pasta de Dente Pacote 3 Unidades (70g )</t>
  </si>
  <si>
    <t>sabao em Pó (2kg)</t>
  </si>
  <si>
    <t>Saco de Lixo  100L (5un)</t>
  </si>
  <si>
    <t>Sanitizante p/ Tecidos e Roupas (800g)</t>
  </si>
  <si>
    <t>Sopa Pronta (196g)</t>
  </si>
  <si>
    <t>Tempero Pronto(300g)</t>
  </si>
  <si>
    <t>padua</t>
  </si>
  <si>
    <t>Biscoito de Polvilho Doce (100g)</t>
  </si>
  <si>
    <t>Biscoito de Polvinho Doce (300g)</t>
  </si>
  <si>
    <t>Biscoito de Polvilho Salgado (100g)</t>
  </si>
  <si>
    <t>Biscoito de Polvinho Salgado (300g)</t>
  </si>
  <si>
    <t>Biscoito de Polvinho Salgado (100g)</t>
  </si>
  <si>
    <t>Amaciante (1L)</t>
  </si>
  <si>
    <t>K</t>
  </si>
  <si>
    <t>Bolacha Doce Recheio (100g)</t>
  </si>
  <si>
    <t>Bolacha Doce Recheio (110g)</t>
  </si>
  <si>
    <t>Bolacha Doce Recheio (112g)</t>
  </si>
  <si>
    <t>Bolacha Doce Recheio (115g)</t>
  </si>
  <si>
    <t>Bolacha Doce Recheio (120g)</t>
  </si>
  <si>
    <t>Bolacha Doce Recheio (126g)</t>
  </si>
  <si>
    <t>Bolacha Doce Recheio (130g)</t>
  </si>
  <si>
    <t>Bolacha Doce Recheio (135g)</t>
  </si>
  <si>
    <t>Bolacha Doce Recheio (140g)</t>
  </si>
  <si>
    <t>Bolacha Salg Recheio (100g)</t>
  </si>
  <si>
    <t>Bolacha Doce Recheio (145g)</t>
  </si>
  <si>
    <t>Bolacha Doce Recheio (150g)</t>
  </si>
  <si>
    <t>Bolacha Doce Recheio (160g)</t>
  </si>
  <si>
    <t>Bolacha Doce Recheio (250g)</t>
  </si>
  <si>
    <t>Bolacha Doce Recheio (375g)</t>
  </si>
  <si>
    <t>Bolacha Doce Recheio (80g)</t>
  </si>
  <si>
    <t>Bolacha Doce Recheio (90g)</t>
  </si>
  <si>
    <t>Biscoito Doce (140g)</t>
  </si>
  <si>
    <t>Biscoito Doce (170g)</t>
  </si>
  <si>
    <t>Biscoito Doce (200g)</t>
  </si>
  <si>
    <t>Biscoito Doce (330g)</t>
  </si>
  <si>
    <t>Biscoito Doce (360g)</t>
  </si>
  <si>
    <t>Biscoito Doce (375g)</t>
  </si>
  <si>
    <t>Biscoito Doce (400g)</t>
  </si>
  <si>
    <t>Biscoito Doce (500g)</t>
  </si>
  <si>
    <t>Biscoito Doce (60g)</t>
  </si>
  <si>
    <t>Biscoito Doce (90g)</t>
  </si>
  <si>
    <t>Biscoito Doce (300g)</t>
  </si>
  <si>
    <t>Biscoito Salgado (110g)</t>
  </si>
  <si>
    <t>Biscoito Salgado (140g)</t>
  </si>
  <si>
    <t>Biscoito Salgado (145g)</t>
  </si>
  <si>
    <t>Biscoito Salgado (80g)</t>
  </si>
  <si>
    <t>Bolacha Salg Recheio (110g)</t>
  </si>
  <si>
    <t>Bolacha Salg Recheio (140g)</t>
  </si>
  <si>
    <t>Bolacha Salg Recheio (145g)</t>
  </si>
  <si>
    <t>Bolacha Salg Recheio (80g)</t>
  </si>
  <si>
    <t>Biscoito Salgado (100g)</t>
  </si>
  <si>
    <t>Biscoito Salgado (126g)</t>
  </si>
  <si>
    <t>Biscoito Salgado (150g)</t>
  </si>
  <si>
    <t>Biscoito Salgado (160g)</t>
  </si>
  <si>
    <t>Biscoito Salgado (170g)</t>
  </si>
  <si>
    <t>Biscoito Salgado (200g)</t>
  </si>
  <si>
    <t>Biscoito Salgado (27g)</t>
  </si>
  <si>
    <t>Biscoito Salgado (360g)</t>
  </si>
  <si>
    <t>Biscoito Salgado (375g)</t>
  </si>
  <si>
    <t>Biscoito Salgado (400g)</t>
  </si>
  <si>
    <t>Biscoito Salgado (500g)</t>
  </si>
  <si>
    <t>Biscoito Salgado (90g)</t>
  </si>
  <si>
    <t>Mercados</t>
  </si>
  <si>
    <t>Limpa Vidros</t>
  </si>
  <si>
    <t>R$ 19.90</t>
  </si>
  <si>
    <t>R$ 7.99</t>
  </si>
  <si>
    <t>R$ 7.39</t>
  </si>
  <si>
    <t>7896003738506</t>
  </si>
  <si>
    <t>Suco Sachê (25g)</t>
  </si>
  <si>
    <t xml:space="preserve">7899567245220 </t>
  </si>
  <si>
    <t>Salsicha (300g)</t>
  </si>
  <si>
    <t xml:space="preserve">7896102502183 </t>
  </si>
  <si>
    <t>7891000086216</t>
  </si>
  <si>
    <t>7896036098974</t>
  </si>
  <si>
    <t>7896062699848</t>
  </si>
  <si>
    <t xml:space="preserve">7896086420350 </t>
  </si>
  <si>
    <t>Molho de Tomate (320g)</t>
  </si>
  <si>
    <t xml:space="preserve">7897664171725 </t>
  </si>
  <si>
    <t>7509546657509</t>
  </si>
  <si>
    <t>Pasta de Dente (120g)</t>
  </si>
  <si>
    <t>7896012880180</t>
  </si>
  <si>
    <t>7896003738520</t>
  </si>
  <si>
    <t>Biscoito Doce (350g)</t>
  </si>
  <si>
    <t>7898016970508</t>
  </si>
  <si>
    <t>Saco de Lixo 50L (10un)</t>
  </si>
  <si>
    <t>7899686701683</t>
  </si>
  <si>
    <t>7896003738872</t>
  </si>
  <si>
    <t>7896615213002</t>
  </si>
  <si>
    <t>7896622711904</t>
  </si>
  <si>
    <t>7896058253917</t>
  </si>
  <si>
    <t>7898448100078</t>
  </si>
  <si>
    <t>7897713110033</t>
  </si>
  <si>
    <t>7896038321032</t>
  </si>
  <si>
    <t>7891000060421</t>
  </si>
  <si>
    <t>7896058251197</t>
  </si>
  <si>
    <t>4891445800814</t>
  </si>
  <si>
    <t>7896040707978</t>
  </si>
  <si>
    <t>7891018003205</t>
  </si>
  <si>
    <t>7896569405010</t>
  </si>
  <si>
    <t>7898949763062</t>
  </si>
  <si>
    <t>7896497200824</t>
  </si>
  <si>
    <t xml:space="preserve">7896292303003
</t>
  </si>
  <si>
    <t>7896036097809</t>
  </si>
  <si>
    <t>7891203021106</t>
  </si>
  <si>
    <t>7899674017116</t>
  </si>
  <si>
    <t>7891150059900</t>
  </si>
  <si>
    <t>7896000717658</t>
  </si>
  <si>
    <t>7500435126199</t>
  </si>
  <si>
    <t>7896007551316</t>
  </si>
  <si>
    <t>7500435132800</t>
  </si>
  <si>
    <t>7891010009618</t>
  </si>
  <si>
    <t>7896007550890</t>
  </si>
  <si>
    <t>7896022203115</t>
  </si>
  <si>
    <t>Absorvente (30un)</t>
  </si>
  <si>
    <t xml:space="preserve">7622300807283
</t>
  </si>
  <si>
    <t>Chocolate (126g)</t>
  </si>
  <si>
    <t xml:space="preserve">7898080641311
</t>
  </si>
  <si>
    <t xml:space="preserve">7898902299379
</t>
  </si>
  <si>
    <t>Ervilha Lata (280g)</t>
  </si>
  <si>
    <t xml:space="preserve">7896062699978 
</t>
  </si>
  <si>
    <t xml:space="preserve">7898280080149
</t>
  </si>
  <si>
    <t>7896697200501</t>
  </si>
  <si>
    <t xml:space="preserve">7891962008387
</t>
  </si>
  <si>
    <t xml:space="preserve">7898901872016
</t>
  </si>
  <si>
    <t>7897190304604</t>
  </si>
  <si>
    <t>7891167040403</t>
  </si>
  <si>
    <t xml:space="preserve">7896005218075
</t>
  </si>
  <si>
    <t>Gelatina (25g)</t>
  </si>
  <si>
    <t xml:space="preserve">7891150080089
</t>
  </si>
  <si>
    <t>7897895800333</t>
  </si>
  <si>
    <t>7622300990701</t>
  </si>
  <si>
    <t>7898902299379</t>
  </si>
  <si>
    <t>7898902245307</t>
  </si>
  <si>
    <t>7898280080149</t>
  </si>
  <si>
    <t>Bolacha Salg (144g)</t>
  </si>
  <si>
    <t>Atum Lata (140g)</t>
  </si>
  <si>
    <t xml:space="preserve">7891150057104
</t>
  </si>
  <si>
    <t>Desodorante (90g)</t>
  </si>
  <si>
    <t>Saco de Lixo 30L (50un)</t>
  </si>
  <si>
    <t xml:space="preserve">7891010247454
</t>
  </si>
  <si>
    <t xml:space="preserve">7896005202074 </t>
  </si>
  <si>
    <t>7896206905330</t>
  </si>
  <si>
    <t>Azeitona (280g)</t>
  </si>
  <si>
    <t>*</t>
  </si>
  <si>
    <t>Desodorante Spray (55g)</t>
  </si>
  <si>
    <t>7896003738551</t>
  </si>
  <si>
    <t>Bolacha Maizena (350g)</t>
  </si>
  <si>
    <t>5890508200034</t>
  </si>
  <si>
    <t>7899686700235</t>
  </si>
  <si>
    <t>Hastes Flexíveis (75un)</t>
  </si>
  <si>
    <t>1 caixa com 75un</t>
  </si>
  <si>
    <t>Desodorante Creme (55g)</t>
  </si>
  <si>
    <t>Galassi Jardim Bandeirantes</t>
  </si>
  <si>
    <t>Galassi Jardim São Vicente</t>
  </si>
  <si>
    <t>Galassi Ponte Preta</t>
  </si>
  <si>
    <t>Supermercado Guará</t>
  </si>
  <si>
    <t>7896038365050</t>
  </si>
  <si>
    <t>7896256050301</t>
  </si>
  <si>
    <t>7896057800051</t>
  </si>
  <si>
    <t>7891150065598</t>
  </si>
  <si>
    <t>Shampoo (425mL)</t>
  </si>
  <si>
    <t>7891150086456</t>
  </si>
  <si>
    <t>Lava Roupas em Pó (800g)</t>
  </si>
  <si>
    <t>7896048285799</t>
  </si>
  <si>
    <t>Vinagre (2L)</t>
  </si>
  <si>
    <t>7896292312166</t>
  </si>
  <si>
    <t>7898931140062</t>
  </si>
  <si>
    <t>7896061920318</t>
  </si>
  <si>
    <t>7891048038062</t>
  </si>
  <si>
    <t>7896076000333</t>
  </si>
  <si>
    <t>7896036099506</t>
  </si>
  <si>
    <t>7898902299720</t>
  </si>
  <si>
    <t>7896286618373</t>
  </si>
  <si>
    <t>7896053412425</t>
  </si>
  <si>
    <t>7896080870243</t>
  </si>
  <si>
    <t>7891203058171</t>
  </si>
  <si>
    <t>Biscoito Maisena (400g)</t>
  </si>
  <si>
    <t>Panco</t>
  </si>
  <si>
    <t>7891150063440</t>
  </si>
  <si>
    <t>7896283522635</t>
  </si>
  <si>
    <t>DaBarra</t>
  </si>
  <si>
    <t>7898474844724</t>
  </si>
  <si>
    <t>7896405106279</t>
  </si>
  <si>
    <t>7891024174210]</t>
  </si>
  <si>
    <t>Shampoo (350mL)</t>
  </si>
  <si>
    <t>7891000538500]</t>
  </si>
  <si>
    <t>7891024174715</t>
  </si>
  <si>
    <t>7896098902264</t>
  </si>
  <si>
    <t>7896405100048</t>
  </si>
  <si>
    <t>7896086419880</t>
  </si>
  <si>
    <t>VAAAAAIIIIIIII NATTTAALLLLLL CAMPINAS</t>
  </si>
  <si>
    <t>7896584300246</t>
  </si>
  <si>
    <t>7898014490022</t>
  </si>
  <si>
    <t>7896005218051</t>
  </si>
  <si>
    <t>7896292312197</t>
  </si>
  <si>
    <t>7896327512615</t>
  </si>
  <si>
    <t>7896053410353</t>
  </si>
  <si>
    <t>7896053410605</t>
  </si>
  <si>
    <t>7896193800335</t>
  </si>
  <si>
    <t xml:space="preserve">Amido de milho (500g) </t>
  </si>
  <si>
    <t>7896584300352</t>
  </si>
  <si>
    <t>7891000284933</t>
  </si>
  <si>
    <t>Leite em Pó (380g)</t>
  </si>
  <si>
    <t>Leite Ninho</t>
  </si>
  <si>
    <t>7896405100062</t>
  </si>
  <si>
    <t>70330729858</t>
  </si>
  <si>
    <t>Aparelho Barbear (2un)</t>
  </si>
  <si>
    <t>Bic</t>
  </si>
  <si>
    <t>7891000077924</t>
  </si>
  <si>
    <t>7896405100147</t>
  </si>
  <si>
    <t>896451256406</t>
  </si>
  <si>
    <t>7896022205171</t>
  </si>
  <si>
    <t>7896014500024</t>
  </si>
  <si>
    <t>7896256070101</t>
  </si>
  <si>
    <t>7891144000710</t>
  </si>
  <si>
    <t>7896327514152</t>
  </si>
  <si>
    <t>Sabão em Pó (420g)</t>
  </si>
  <si>
    <t>7896098909805</t>
  </si>
  <si>
    <t>7896056406513</t>
  </si>
  <si>
    <t>7896056401136</t>
  </si>
  <si>
    <t>7896183310066</t>
  </si>
  <si>
    <t>7896090404438</t>
  </si>
  <si>
    <t>Desodorante (50g)</t>
  </si>
  <si>
    <t>7891176117608</t>
  </si>
  <si>
    <t>7898474844489</t>
  </si>
  <si>
    <t>7898474840306</t>
  </si>
  <si>
    <t>Condicionador (500mL)</t>
  </si>
  <si>
    <t>Tok Bothânico</t>
  </si>
  <si>
    <t>7896584300031</t>
  </si>
  <si>
    <t>7896022205188</t>
  </si>
  <si>
    <t>7891008116632</t>
  </si>
  <si>
    <t>Bombons sortidos (250g)</t>
  </si>
  <si>
    <t>Garoto</t>
  </si>
  <si>
    <t>7896405105210</t>
  </si>
  <si>
    <t>7891962032450</t>
  </si>
  <si>
    <t>7596647514169</t>
  </si>
  <si>
    <t>7896102501872</t>
  </si>
  <si>
    <t>7622210592750</t>
  </si>
  <si>
    <t>7896286618366</t>
  </si>
  <si>
    <t>7896235100027</t>
  </si>
  <si>
    <t>7897517209407</t>
  </si>
  <si>
    <t>Ervilha Lata (200g)</t>
  </si>
  <si>
    <t>Fugini</t>
  </si>
  <si>
    <t>7896071025133</t>
  </si>
  <si>
    <t>7891203058188</t>
  </si>
  <si>
    <t>7891203021137</t>
  </si>
  <si>
    <t>7896005270622</t>
  </si>
  <si>
    <t>7896053411213</t>
  </si>
  <si>
    <t>7898474844700</t>
  </si>
  <si>
    <t>7896183301545</t>
  </si>
  <si>
    <t>7896085123009</t>
  </si>
  <si>
    <t>7891150086555</t>
  </si>
  <si>
    <t>7896098905258</t>
  </si>
  <si>
    <t>7908324402681</t>
  </si>
  <si>
    <t>7896056405165</t>
  </si>
  <si>
    <t>7896007542482</t>
  </si>
  <si>
    <t>7896527701062</t>
  </si>
  <si>
    <t>7896901200150</t>
  </si>
  <si>
    <t>7896185312723</t>
  </si>
  <si>
    <t>7896045030019</t>
  </si>
  <si>
    <t>Chimarrão (500g)</t>
  </si>
  <si>
    <t>7896036092859</t>
  </si>
  <si>
    <t>7896244712341</t>
  </si>
  <si>
    <t>7896292312159</t>
  </si>
  <si>
    <t>7896062602015</t>
  </si>
  <si>
    <t>7891000352175</t>
  </si>
  <si>
    <t>Achocolatado (370g)</t>
  </si>
  <si>
    <t>7896053410209</t>
  </si>
  <si>
    <t>Papel Higiênico (44uni)</t>
  </si>
  <si>
    <t>7891000305195</t>
  </si>
  <si>
    <t>7896110094618</t>
  </si>
  <si>
    <t>7896080870274</t>
  </si>
  <si>
    <t>2820022207052</t>
  </si>
  <si>
    <t>Bolacha Doce Recheada (122g)</t>
  </si>
  <si>
    <t>7898099810029</t>
  </si>
  <si>
    <t>7891176117479</t>
  </si>
  <si>
    <t>7896110010847</t>
  </si>
  <si>
    <t>7908032300576</t>
  </si>
  <si>
    <t>Lenços Umedecidos (40un)</t>
  </si>
  <si>
    <t>7896005275382</t>
  </si>
  <si>
    <t>7898215151722</t>
  </si>
  <si>
    <t>7891032014621</t>
  </si>
  <si>
    <t>Leite Condensado (395g)</t>
  </si>
  <si>
    <t>7892840819507</t>
  </si>
  <si>
    <t>7891700206921</t>
  </si>
  <si>
    <t>7896584300079</t>
  </si>
  <si>
    <t>7891203050458</t>
  </si>
  <si>
    <t>7891098038401</t>
  </si>
  <si>
    <t xml:space="preserve">Chá </t>
  </si>
  <si>
    <t>leão</t>
  </si>
  <si>
    <t>7891000650523</t>
  </si>
  <si>
    <t>7891048038031</t>
  </si>
  <si>
    <t>7896045011117</t>
  </si>
  <si>
    <t>7896292333000</t>
  </si>
  <si>
    <t>7896014500178</t>
  </si>
  <si>
    <t>7896454100068</t>
  </si>
  <si>
    <t>7891999004871</t>
  </si>
  <si>
    <t>7896185311108</t>
  </si>
  <si>
    <t>Savegnago Taquaral</t>
  </si>
  <si>
    <t>7896090100118</t>
  </si>
  <si>
    <t>esponja lã de aço</t>
  </si>
  <si>
    <t>45g</t>
  </si>
  <si>
    <t>602883174238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</si>
</sst>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&quot;R$&quot;\ #,##0.00"/>
  </numFmts>
  <fonts count="15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E6000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9CC2E5"/>
      </left>
      <right/>
      <top style="thin">
        <color rgb="FF9CC2E5"/>
      </top>
      <bottom style="thin">
        <color rgb="FF9CC2E5"/>
      </bottom>
      <diagonal/>
    </border>
    <border>
      <left/>
      <right/>
      <top style="thin">
        <color rgb="FF9CC2E5"/>
      </top>
      <bottom style="thin">
        <color rgb="FF9CC2E5"/>
      </bottom>
      <diagonal/>
    </border>
    <border>
      <left/>
      <right style="thin">
        <color rgb="FF9CC2E5"/>
      </right>
      <top style="thin">
        <color rgb="FF9CC2E5"/>
      </top>
      <bottom style="thin">
        <color rgb="FF9CC2E5"/>
      </bottom>
      <diagonal/>
    </border>
    <border>
      <left/>
      <right/>
      <top style="thin">
        <color rgb="FF9CC2E5"/>
      </top>
      <bottom/>
      <diagonal/>
    </border>
    <border>
      <left/>
      <right/>
      <top/>
      <bottom style="thin">
        <color rgb="FF9CC2E5"/>
      </bottom>
      <diagonal/>
    </border>
    <border>
      <left style="thin">
        <color rgb="FF9CC2E5"/>
      </left>
      <right/>
      <top style="thin">
        <color rgb="FF9CC2E5"/>
      </top>
      <bottom/>
      <diagonal/>
    </border>
    <border>
      <left/>
      <right style="thin">
        <color rgb="FF9CC2E5"/>
      </right>
      <top style="thin">
        <color rgb="FF9CC2E5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4" tint="0.39997558519241921"/>
      </bottom>
      <diagonal/>
    </border>
    <border>
      <left style="thin">
        <color auto="1"/>
      </left>
      <right/>
      <top style="thin">
        <color auto="1"/>
      </top>
      <bottom style="thin">
        <color theme="4" tint="0.3999755851924192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4">
    <xf numFmtId="0" fontId="0" fillId="0" borderId="0" xfId="0"/>
    <xf numFmtId="0" fontId="0" fillId="0" borderId="1" xfId="0" applyBorder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right"/>
    </xf>
    <xf numFmtId="0" fontId="2" fillId="2" borderId="1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3" fillId="0" borderId="0" xfId="1"/>
    <xf numFmtId="0" fontId="5" fillId="0" borderId="0" xfId="0" applyFont="1"/>
    <xf numFmtId="0" fontId="3" fillId="0" borderId="0" xfId="1" applyFill="1" applyBorder="1"/>
    <xf numFmtId="0" fontId="0" fillId="0" borderId="5" xfId="0" applyBorder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right"/>
    </xf>
    <xf numFmtId="0" fontId="0" fillId="0" borderId="6" xfId="0" applyBorder="1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2" fontId="8" fillId="0" borderId="0" xfId="1" applyNumberFormat="1" applyFont="1"/>
    <xf numFmtId="0" fontId="2" fillId="4" borderId="8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9" fillId="0" borderId="0" xfId="0" applyFont="1"/>
    <xf numFmtId="0" fontId="0" fillId="0" borderId="1" xfId="0" applyBorder="1"/>
    <xf numFmtId="49" fontId="0" fillId="0" borderId="0" xfId="0" applyNumberFormat="1"/>
    <xf numFmtId="0" fontId="4" fillId="2" borderId="1" xfId="1" applyFont="1" applyFill="1" applyBorder="1" applyAlignment="1"/>
    <xf numFmtId="0" fontId="10" fillId="0" borderId="0" xfId="0" applyFont="1"/>
    <xf numFmtId="0" fontId="0" fillId="0" borderId="1" xfId="0" applyBorder="1" applyAlignment="1">
      <alignment wrapText="1"/>
    </xf>
    <xf numFmtId="0" fontId="11" fillId="0" borderId="0" xfId="0" applyFont="1"/>
    <xf numFmtId="0" fontId="0" fillId="0" borderId="10" xfId="0" applyBorder="1" applyAlignment="1">
      <alignment horizontal="center"/>
    </xf>
    <xf numFmtId="164" fontId="0" fillId="0" borderId="0" xfId="0" applyNumberFormat="1"/>
    <xf numFmtId="0" fontId="0" fillId="5" borderId="11" xfId="0" applyFill="1" applyBorder="1" applyAlignment="1">
      <alignment horizontal="left"/>
    </xf>
    <xf numFmtId="22" fontId="0" fillId="5" borderId="12" xfId="0" applyNumberFormat="1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7" fillId="6" borderId="14" xfId="0" applyFont="1" applyFill="1" applyBorder="1" applyAlignment="1">
      <alignment horizontal="center"/>
    </xf>
    <xf numFmtId="0" fontId="13" fillId="0" borderId="15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49" fontId="13" fillId="0" borderId="16" xfId="0" applyNumberFormat="1" applyFont="1" applyBorder="1"/>
    <xf numFmtId="0" fontId="13" fillId="0" borderId="17" xfId="0" applyFont="1" applyBorder="1"/>
    <xf numFmtId="0" fontId="13" fillId="0" borderId="18" xfId="0" applyFont="1" applyBorder="1"/>
    <xf numFmtId="49" fontId="13" fillId="7" borderId="16" xfId="0" applyNumberFormat="1" applyFont="1" applyFill="1" applyBorder="1"/>
    <xf numFmtId="0" fontId="13" fillId="7" borderId="17" xfId="0" applyFont="1" applyFill="1" applyBorder="1"/>
    <xf numFmtId="0" fontId="13" fillId="7" borderId="18" xfId="0" applyFont="1" applyFill="1" applyBorder="1"/>
    <xf numFmtId="0" fontId="7" fillId="0" borderId="17" xfId="0" applyFont="1" applyBorder="1"/>
    <xf numFmtId="0" fontId="7" fillId="7" borderId="17" xfId="0" applyFont="1" applyFill="1" applyBorder="1"/>
    <xf numFmtId="0" fontId="7" fillId="0" borderId="18" xfId="0" applyFont="1" applyBorder="1"/>
    <xf numFmtId="0" fontId="13" fillId="0" borderId="19" xfId="0" applyFont="1" applyBorder="1"/>
    <xf numFmtId="0" fontId="7" fillId="0" borderId="0" xfId="0" applyFont="1" applyAlignment="1">
      <alignment horizontal="left"/>
    </xf>
    <xf numFmtId="0" fontId="13" fillId="0" borderId="20" xfId="0" applyFont="1" applyBorder="1"/>
    <xf numFmtId="49" fontId="13" fillId="0" borderId="21" xfId="0" applyNumberFormat="1" applyFont="1" applyBorder="1"/>
    <xf numFmtId="0" fontId="13" fillId="0" borderId="22" xfId="0" applyFont="1" applyBorder="1"/>
    <xf numFmtId="0" fontId="7" fillId="0" borderId="0" xfId="0" applyFont="1" applyAlignment="1">
      <alignment horizontal="left" vertical="center"/>
    </xf>
    <xf numFmtId="0" fontId="7" fillId="0" borderId="20" xfId="0" applyFont="1" applyBorder="1"/>
    <xf numFmtId="0" fontId="12" fillId="0" borderId="17" xfId="0" applyFont="1" applyBorder="1"/>
    <xf numFmtId="0" fontId="13" fillId="0" borderId="0" xfId="0" applyFont="1"/>
    <xf numFmtId="0" fontId="7" fillId="0" borderId="20" xfId="0" applyFont="1" applyBorder="1" applyAlignment="1">
      <alignment horizontal="left"/>
    </xf>
    <xf numFmtId="0" fontId="7" fillId="0" borderId="17" xfId="0" applyFont="1" applyBorder="1" applyAlignment="1">
      <alignment horizontal="left"/>
    </xf>
    <xf numFmtId="0" fontId="7" fillId="0" borderId="0" xfId="0" applyFont="1"/>
    <xf numFmtId="0" fontId="7" fillId="6" borderId="17" xfId="0" applyFont="1" applyFill="1" applyBorder="1" applyAlignment="1">
      <alignment horizontal="left"/>
    </xf>
    <xf numFmtId="0" fontId="13" fillId="0" borderId="14" xfId="0" applyFont="1" applyBorder="1"/>
    <xf numFmtId="0" fontId="13" fillId="0" borderId="23" xfId="0" applyFont="1" applyBorder="1"/>
    <xf numFmtId="0" fontId="13" fillId="7" borderId="20" xfId="0" applyFont="1" applyFill="1" applyBorder="1"/>
    <xf numFmtId="0" fontId="7" fillId="0" borderId="17" xfId="0" applyFont="1" applyBorder="1" applyAlignment="1">
      <alignment horizontal="left" vertical="center"/>
    </xf>
    <xf numFmtId="0" fontId="7" fillId="7" borderId="0" xfId="0" applyFont="1" applyFill="1"/>
    <xf numFmtId="0" fontId="7" fillId="0" borderId="20" xfId="0" applyFont="1" applyBorder="1" applyAlignment="1">
      <alignment horizontal="left" vertical="center"/>
    </xf>
    <xf numFmtId="0" fontId="7" fillId="0" borderId="14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49" fontId="13" fillId="8" borderId="16" xfId="0" applyNumberFormat="1" applyFont="1" applyFill="1" applyBorder="1"/>
    <xf numFmtId="0" fontId="0" fillId="9" borderId="1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49" fontId="0" fillId="9" borderId="24" xfId="0" applyNumberFormat="1" applyFill="1" applyBorder="1"/>
    <xf numFmtId="0" fontId="0" fillId="9" borderId="25" xfId="0" applyFill="1" applyBorder="1"/>
    <xf numFmtId="0" fontId="0" fillId="9" borderId="26" xfId="0" applyFill="1" applyBorder="1"/>
    <xf numFmtId="0" fontId="7" fillId="10" borderId="14" xfId="0" applyFont="1" applyFill="1" applyBorder="1" applyAlignment="1">
      <alignment horizontal="center"/>
    </xf>
    <xf numFmtId="0" fontId="13" fillId="9" borderId="15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49" fontId="13" fillId="8" borderId="16" xfId="0" applyNumberFormat="1" applyFont="1" applyFill="1" applyBorder="1" applyAlignment="1">
      <alignment wrapText="1"/>
    </xf>
    <xf numFmtId="49" fontId="0" fillId="9" borderId="24" xfId="0" applyNumberFormat="1" applyFill="1" applyBorder="1" applyAlignment="1">
      <alignment wrapText="1"/>
    </xf>
    <xf numFmtId="0" fontId="1" fillId="0" borderId="0" xfId="0" applyFont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165" fontId="13" fillId="0" borderId="14" xfId="0" applyNumberFormat="1" applyFont="1" applyBorder="1" applyAlignment="1">
      <alignment horizontal="center" vertical="center"/>
    </xf>
    <xf numFmtId="165" fontId="13" fillId="9" borderId="14" xfId="0" applyNumberFormat="1" applyFont="1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165" fontId="0" fillId="9" borderId="3" xfId="0" applyNumberFormat="1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49" fontId="0" fillId="10" borderId="24" xfId="0" applyNumberFormat="1" applyFill="1" applyBorder="1" applyAlignment="1">
      <alignment wrapText="1"/>
    </xf>
    <xf numFmtId="0" fontId="0" fillId="10" borderId="25" xfId="0" applyFill="1" applyBorder="1"/>
    <xf numFmtId="0" fontId="0" fillId="10" borderId="26" xfId="0" applyFill="1" applyBorder="1"/>
    <xf numFmtId="0" fontId="6" fillId="2" borderId="3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4" fillId="2" borderId="29" xfId="1" applyFont="1" applyFill="1" applyBorder="1" applyAlignment="1">
      <alignment horizontal="left"/>
    </xf>
    <xf numFmtId="0" fontId="2" fillId="2" borderId="29" xfId="1" applyFont="1" applyFill="1" applyBorder="1" applyAlignment="1">
      <alignment horizontal="left"/>
    </xf>
    <xf numFmtId="0" fontId="0" fillId="0" borderId="1" xfId="0" applyBorder="1" applyAlignment="1">
      <alignment horizontal="center" vertical="center"/>
    </xf>
    <xf numFmtId="0" fontId="4" fillId="2" borderId="0" xfId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2" borderId="30" xfId="0" applyFont="1" applyFill="1" applyBorder="1" applyAlignment="1">
      <alignment horizontal="center"/>
    </xf>
    <xf numFmtId="0" fontId="2" fillId="2" borderId="31" xfId="0" applyFont="1" applyFill="1" applyBorder="1" applyAlignment="1">
      <alignment horizontal="center"/>
    </xf>
    <xf numFmtId="0" fontId="2" fillId="2" borderId="32" xfId="0" applyFont="1" applyFill="1" applyBorder="1" applyAlignment="1">
      <alignment horizontal="center"/>
    </xf>
    <xf numFmtId="0" fontId="2" fillId="2" borderId="33" xfId="0" applyFont="1" applyFill="1" applyBorder="1" applyAlignment="1">
      <alignment horizontal="center"/>
    </xf>
    <xf numFmtId="0" fontId="2" fillId="2" borderId="34" xfId="0" applyFont="1" applyFill="1" applyBorder="1" applyAlignment="1">
      <alignment horizontal="center"/>
    </xf>
    <xf numFmtId="0" fontId="2" fillId="2" borderId="35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4" fillId="2" borderId="0" xfId="1" applyFont="1" applyFill="1" applyAlignment="1">
      <alignment horizontal="left"/>
    </xf>
  </cellXfs>
  <cellStyles count="2">
    <cellStyle name="Hiperlink" xfId="1" builtinId="8"/>
    <cellStyle name="Normal" xfId="0" builtinId="0"/>
  </cellStyles>
  <dxfs count="100">
    <dxf>
      <font>
        <b val="0"/>
        <i val="0"/>
        <strike val="0"/>
        <u val="none"/>
        <sz val="11"/>
        <color theme="1"/>
        <name val="Calibri"/>
      </font>
      <fill>
        <patternFill patternType="none"/>
      </fill>
      <border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u val="none"/>
        <sz val="11"/>
        <color theme="1"/>
        <name val="Calibri"/>
      </font>
      <fill>
        <patternFill patternType="none"/>
      </fill>
      <border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u val="none"/>
        <sz val="11"/>
        <color theme="1"/>
        <name val="Calibri"/>
      </font>
      <numFmt numFmtId="30" formatCode="@"/>
      <fill>
        <patternFill patternType="none"/>
      </fill>
      <border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/>
      </fill>
    </dxf>
    <dxf>
      <font>
        <b val="0"/>
        <i val="0"/>
        <strike val="0"/>
        <u val="none"/>
        <sz val="11"/>
        <color theme="1"/>
        <name val="Calibri"/>
      </font>
      <fill>
        <patternFill patternType="none"/>
      </fill>
      <alignment horizontal="center" vertical="center" textRotation="0" wrapText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u val="none"/>
        <sz val="11"/>
        <color theme="1"/>
        <name val="Calibri"/>
      </font>
      <fill>
        <patternFill patternType="none"/>
      </fill>
      <alignment horizontal="center" vertical="center" textRotation="0" wrapText="0" shrinkToFit="0" readingOrder="0"/>
      <border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u val="none"/>
        <sz val="11"/>
        <color rgb="FF000000"/>
        <name val="Calibri"/>
      </font>
      <fill>
        <patternFill patternType="solid">
          <fgColor rgb="FFDDEBF7"/>
          <bgColor rgb="FFDDEBF7"/>
        </patternFill>
      </fill>
      <alignment horizontal="center" vertical="bottom" textRotation="0" wrapText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top style="thin">
          <color auto="1"/>
        </top>
        <bottom style="thin">
          <color rgb="FF000000"/>
        </bottom>
      </border>
    </dxf>
    <dxf>
      <border>
        <bottom style="thin">
          <color auto="1"/>
        </bottom>
      </border>
    </dxf>
    <dxf>
      <fill>
        <patternFill patternType="none"/>
      </fill>
      <alignment horizontal="center" vertical="center" textRotation="0" wrapText="0" shrinkToFit="0" readingOrder="0"/>
      <border>
        <left style="thin">
          <color auto="1"/>
        </left>
        <right style="thin">
          <color auto="1"/>
        </right>
        <top/>
        <bottom/>
      </border>
    </dxf>
    <dxf>
      <numFmt numFmtId="0" formatCode="General"/>
      <fill>
        <patternFill patternType="none"/>
      </fill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bottom" textRotation="0" wrapText="0" shrinkToFit="0" readingOrder="0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bottom" textRotation="0" wrapText="0" shrinkToFit="0" readingOrder="0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</dxf>
    <dxf>
      <border>
        <bottom style="thin">
          <color auto="1"/>
        </bottom>
      </border>
    </dxf>
    <dxf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shrinkToFit="0" readingOrder="0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shrinkToFit="0" readingOrder="0"/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>
        <right style="medium">
          <color auto="1"/>
        </right>
        <top style="thin">
          <color auto="1"/>
        </top>
      </border>
    </dxf>
    <dxf>
      <alignment horizontal="center" vertical="bottom" textRotation="0" wrapText="0" shrinkToFit="0" readingOrder="0"/>
    </dxf>
    <dxf>
      <border>
        <bottom style="thin">
          <color auto="1"/>
        </bottom>
      </border>
    </dxf>
    <dxf>
      <font>
        <b/>
        <i val="0"/>
        <strike val="0"/>
        <u val="none"/>
        <sz val="11"/>
        <color theme="0"/>
        <name val="Calibri"/>
      </font>
      <fill>
        <patternFill patternType="solid">
          <bgColor rgb="FFE60000"/>
        </patternFill>
      </fill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shrinkToFit="0" readingOrder="0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shrinkToFit="0" readingOrder="0"/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>
        <left style="medium">
          <color auto="1"/>
        </left>
        <right style="medium">
          <color auto="1"/>
        </right>
        <top style="thin">
          <color auto="1"/>
        </top>
      </border>
    </dxf>
    <dxf>
      <alignment horizontal="center" vertical="bottom" textRotation="0" wrapText="0" shrinkToFit="0" readingOrder="0"/>
    </dxf>
    <dxf>
      <border>
        <bottom style="thin">
          <color auto="1"/>
        </bottom>
      </border>
    </dxf>
    <dxf>
      <font>
        <b/>
        <i val="0"/>
        <strike val="0"/>
        <u val="none"/>
        <sz val="11"/>
        <color theme="0"/>
        <name val="Calibri"/>
      </font>
      <fill>
        <patternFill patternType="solid">
          <bgColor rgb="FFE60000"/>
        </patternFill>
      </fill>
      <alignment horizontal="center" vertical="bottom" textRotation="0" wrapText="0" shrinkToFit="0" readingOrder="0"/>
      <border>
        <left style="thin">
          <color auto="1"/>
        </left>
        <right style="thin">
          <color auto="1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27" formatCode="dd/mm/yyyy\ hh:mm"/>
      <fill>
        <patternFill patternType="solid">
          <fgColor theme="4" tint="0.59996337778862885"/>
          <bgColor theme="4" tint="0.59996337778862885"/>
        </patternFill>
      </fill>
      <alignment horizontal="left" vertical="bottom" textRotation="0" wrapText="0" shrinkToFit="0" readingOrder="0"/>
      <border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ill>
        <patternFill patternType="solid">
          <fgColor theme="4" tint="0.59996337778862885"/>
          <bgColor theme="4" tint="0.59996337778862885"/>
        </patternFill>
      </fill>
      <alignment horizontal="left" vertical="bottom" textRotation="0" wrapText="0" shrinkToFit="0" readingOrder="0"/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4" tint="0.59996337778862885"/>
          <bgColor theme="4" tint="0.59996337778862885"/>
        </patternFill>
      </fill>
      <alignment horizontal="left" vertical="bottom" textRotation="0" wrapText="0" shrinkToFit="0" readingOrder="0"/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u val="none"/>
        <sz val="11"/>
        <color theme="1"/>
        <name val="Calibri"/>
      </font>
      <fill>
        <patternFill patternType="solid">
          <fgColor theme="4" tint="0.59996337778862885"/>
          <bgColor theme="4" tint="0.59996337778862885"/>
        </patternFill>
      </fill>
      <alignment horizontal="left" vertical="bottom" textRotation="0" wrapText="0" shrinkToFit="0" readingOrder="0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lor theme="0"/>
      </font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4" formatCode="dd/mm/yyyy\ hh:mm:ss"/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ont>
        <strike val="0"/>
        <u val="none"/>
        <sz val="11"/>
        <color theme="1"/>
        <name val="Calibri"/>
      </font>
      <fill>
        <patternFill patternType="none"/>
      </fill>
    </dxf>
    <dxf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1182721</xdr:colOff>
      <xdr:row>2</xdr:row>
      <xdr:rowOff>476</xdr:rowOff>
    </xdr:to>
    <xdr:pic macro="[0]!VaiNatal"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181100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4</xdr:row>
          <xdr:rowOff>9525</xdr:rowOff>
        </xdr:from>
        <xdr:to>
          <xdr:col>4</xdr:col>
          <xdr:colOff>219075</xdr:colOff>
          <xdr:row>4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6</xdr:row>
          <xdr:rowOff>9525</xdr:rowOff>
        </xdr:from>
        <xdr:to>
          <xdr:col>4</xdr:col>
          <xdr:colOff>219075</xdr:colOff>
          <xdr:row>6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7</xdr:row>
          <xdr:rowOff>9525</xdr:rowOff>
        </xdr:from>
        <xdr:to>
          <xdr:col>4</xdr:col>
          <xdr:colOff>219075</xdr:colOff>
          <xdr:row>7</xdr:row>
          <xdr:rowOff>171450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8</xdr:row>
          <xdr:rowOff>9525</xdr:rowOff>
        </xdr:from>
        <xdr:to>
          <xdr:col>4</xdr:col>
          <xdr:colOff>219075</xdr:colOff>
          <xdr:row>8</xdr:row>
          <xdr:rowOff>171450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9</xdr:row>
          <xdr:rowOff>9525</xdr:rowOff>
        </xdr:from>
        <xdr:to>
          <xdr:col>4</xdr:col>
          <xdr:colOff>219075</xdr:colOff>
          <xdr:row>9</xdr:row>
          <xdr:rowOff>171450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5</xdr:row>
          <xdr:rowOff>9525</xdr:rowOff>
        </xdr:from>
        <xdr:to>
          <xdr:col>4</xdr:col>
          <xdr:colOff>219075</xdr:colOff>
          <xdr:row>5</xdr:row>
          <xdr:rowOff>171450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10</xdr:row>
          <xdr:rowOff>9525</xdr:rowOff>
        </xdr:from>
        <xdr:to>
          <xdr:col>4</xdr:col>
          <xdr:colOff>219075</xdr:colOff>
          <xdr:row>10</xdr:row>
          <xdr:rowOff>171450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11</xdr:row>
          <xdr:rowOff>9525</xdr:rowOff>
        </xdr:from>
        <xdr:to>
          <xdr:col>4</xdr:col>
          <xdr:colOff>219075</xdr:colOff>
          <xdr:row>11</xdr:row>
          <xdr:rowOff>171450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12</xdr:row>
          <xdr:rowOff>9525</xdr:rowOff>
        </xdr:from>
        <xdr:to>
          <xdr:col>4</xdr:col>
          <xdr:colOff>219075</xdr:colOff>
          <xdr:row>12</xdr:row>
          <xdr:rowOff>171450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13</xdr:row>
          <xdr:rowOff>9525</xdr:rowOff>
        </xdr:from>
        <xdr:to>
          <xdr:col>4</xdr:col>
          <xdr:colOff>219075</xdr:colOff>
          <xdr:row>13</xdr:row>
          <xdr:rowOff>171450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14</xdr:row>
          <xdr:rowOff>9525</xdr:rowOff>
        </xdr:from>
        <xdr:to>
          <xdr:col>4</xdr:col>
          <xdr:colOff>219075</xdr:colOff>
          <xdr:row>14</xdr:row>
          <xdr:rowOff>171450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15</xdr:row>
          <xdr:rowOff>9525</xdr:rowOff>
        </xdr:from>
        <xdr:to>
          <xdr:col>4</xdr:col>
          <xdr:colOff>219075</xdr:colOff>
          <xdr:row>15</xdr:row>
          <xdr:rowOff>171450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16</xdr:row>
          <xdr:rowOff>9525</xdr:rowOff>
        </xdr:from>
        <xdr:to>
          <xdr:col>4</xdr:col>
          <xdr:colOff>219075</xdr:colOff>
          <xdr:row>16</xdr:row>
          <xdr:rowOff>171450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17</xdr:row>
          <xdr:rowOff>9525</xdr:rowOff>
        </xdr:from>
        <xdr:to>
          <xdr:col>4</xdr:col>
          <xdr:colOff>219075</xdr:colOff>
          <xdr:row>17</xdr:row>
          <xdr:rowOff>171450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18</xdr:row>
          <xdr:rowOff>9525</xdr:rowOff>
        </xdr:from>
        <xdr:to>
          <xdr:col>4</xdr:col>
          <xdr:colOff>219075</xdr:colOff>
          <xdr:row>18</xdr:row>
          <xdr:rowOff>171450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19</xdr:row>
          <xdr:rowOff>9525</xdr:rowOff>
        </xdr:from>
        <xdr:to>
          <xdr:col>4</xdr:col>
          <xdr:colOff>219075</xdr:colOff>
          <xdr:row>19</xdr:row>
          <xdr:rowOff>171450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20</xdr:row>
          <xdr:rowOff>9525</xdr:rowOff>
        </xdr:from>
        <xdr:to>
          <xdr:col>4</xdr:col>
          <xdr:colOff>219075</xdr:colOff>
          <xdr:row>20</xdr:row>
          <xdr:rowOff>171450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21</xdr:row>
          <xdr:rowOff>9525</xdr:rowOff>
        </xdr:from>
        <xdr:to>
          <xdr:col>4</xdr:col>
          <xdr:colOff>219075</xdr:colOff>
          <xdr:row>21</xdr:row>
          <xdr:rowOff>171450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22</xdr:row>
          <xdr:rowOff>9525</xdr:rowOff>
        </xdr:from>
        <xdr:to>
          <xdr:col>4</xdr:col>
          <xdr:colOff>219075</xdr:colOff>
          <xdr:row>22</xdr:row>
          <xdr:rowOff>171450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23</xdr:row>
          <xdr:rowOff>9525</xdr:rowOff>
        </xdr:from>
        <xdr:to>
          <xdr:col>4</xdr:col>
          <xdr:colOff>219075</xdr:colOff>
          <xdr:row>23</xdr:row>
          <xdr:rowOff>171450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24</xdr:row>
          <xdr:rowOff>9525</xdr:rowOff>
        </xdr:from>
        <xdr:to>
          <xdr:col>4</xdr:col>
          <xdr:colOff>219075</xdr:colOff>
          <xdr:row>24</xdr:row>
          <xdr:rowOff>171450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25</xdr:row>
          <xdr:rowOff>9525</xdr:rowOff>
        </xdr:from>
        <xdr:to>
          <xdr:col>4</xdr:col>
          <xdr:colOff>219075</xdr:colOff>
          <xdr:row>25</xdr:row>
          <xdr:rowOff>171450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27</xdr:row>
          <xdr:rowOff>9525</xdr:rowOff>
        </xdr:from>
        <xdr:to>
          <xdr:col>4</xdr:col>
          <xdr:colOff>219075</xdr:colOff>
          <xdr:row>27</xdr:row>
          <xdr:rowOff>171450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26</xdr:row>
          <xdr:rowOff>9525</xdr:rowOff>
        </xdr:from>
        <xdr:to>
          <xdr:col>4</xdr:col>
          <xdr:colOff>219075</xdr:colOff>
          <xdr:row>26</xdr:row>
          <xdr:rowOff>171450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28</xdr:row>
          <xdr:rowOff>9525</xdr:rowOff>
        </xdr:from>
        <xdr:to>
          <xdr:col>4</xdr:col>
          <xdr:colOff>219075</xdr:colOff>
          <xdr:row>28</xdr:row>
          <xdr:rowOff>171450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29</xdr:row>
          <xdr:rowOff>9525</xdr:rowOff>
        </xdr:from>
        <xdr:to>
          <xdr:col>4</xdr:col>
          <xdr:colOff>219075</xdr:colOff>
          <xdr:row>29</xdr:row>
          <xdr:rowOff>171450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30</xdr:row>
          <xdr:rowOff>9525</xdr:rowOff>
        </xdr:from>
        <xdr:to>
          <xdr:col>4</xdr:col>
          <xdr:colOff>219075</xdr:colOff>
          <xdr:row>30</xdr:row>
          <xdr:rowOff>171450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31</xdr:row>
          <xdr:rowOff>9525</xdr:rowOff>
        </xdr:from>
        <xdr:to>
          <xdr:col>4</xdr:col>
          <xdr:colOff>219075</xdr:colOff>
          <xdr:row>31</xdr:row>
          <xdr:rowOff>171450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32</xdr:row>
          <xdr:rowOff>9525</xdr:rowOff>
        </xdr:from>
        <xdr:to>
          <xdr:col>4</xdr:col>
          <xdr:colOff>219075</xdr:colOff>
          <xdr:row>32</xdr:row>
          <xdr:rowOff>171450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33</xdr:row>
          <xdr:rowOff>9525</xdr:rowOff>
        </xdr:from>
        <xdr:to>
          <xdr:col>4</xdr:col>
          <xdr:colOff>219075</xdr:colOff>
          <xdr:row>33</xdr:row>
          <xdr:rowOff>171450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34</xdr:row>
          <xdr:rowOff>9525</xdr:rowOff>
        </xdr:from>
        <xdr:to>
          <xdr:col>4</xdr:col>
          <xdr:colOff>219075</xdr:colOff>
          <xdr:row>34</xdr:row>
          <xdr:rowOff>171450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35</xdr:row>
          <xdr:rowOff>9525</xdr:rowOff>
        </xdr:from>
        <xdr:to>
          <xdr:col>4</xdr:col>
          <xdr:colOff>219075</xdr:colOff>
          <xdr:row>35</xdr:row>
          <xdr:rowOff>171450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36</xdr:row>
          <xdr:rowOff>9525</xdr:rowOff>
        </xdr:from>
        <xdr:to>
          <xdr:col>4</xdr:col>
          <xdr:colOff>219075</xdr:colOff>
          <xdr:row>36</xdr:row>
          <xdr:rowOff>171450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37</xdr:row>
          <xdr:rowOff>9525</xdr:rowOff>
        </xdr:from>
        <xdr:to>
          <xdr:col>4</xdr:col>
          <xdr:colOff>219075</xdr:colOff>
          <xdr:row>37</xdr:row>
          <xdr:rowOff>171450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38</xdr:row>
          <xdr:rowOff>9525</xdr:rowOff>
        </xdr:from>
        <xdr:to>
          <xdr:col>4</xdr:col>
          <xdr:colOff>219075</xdr:colOff>
          <xdr:row>38</xdr:row>
          <xdr:rowOff>171450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39</xdr:row>
          <xdr:rowOff>9525</xdr:rowOff>
        </xdr:from>
        <xdr:to>
          <xdr:col>4</xdr:col>
          <xdr:colOff>219075</xdr:colOff>
          <xdr:row>39</xdr:row>
          <xdr:rowOff>171450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40</xdr:row>
          <xdr:rowOff>9525</xdr:rowOff>
        </xdr:from>
        <xdr:to>
          <xdr:col>4</xdr:col>
          <xdr:colOff>219075</xdr:colOff>
          <xdr:row>40</xdr:row>
          <xdr:rowOff>171450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41</xdr:row>
          <xdr:rowOff>9525</xdr:rowOff>
        </xdr:from>
        <xdr:to>
          <xdr:col>4</xdr:col>
          <xdr:colOff>219075</xdr:colOff>
          <xdr:row>41</xdr:row>
          <xdr:rowOff>171450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42</xdr:row>
          <xdr:rowOff>9525</xdr:rowOff>
        </xdr:from>
        <xdr:to>
          <xdr:col>4</xdr:col>
          <xdr:colOff>219075</xdr:colOff>
          <xdr:row>42</xdr:row>
          <xdr:rowOff>171450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43</xdr:row>
          <xdr:rowOff>9525</xdr:rowOff>
        </xdr:from>
        <xdr:to>
          <xdr:col>4</xdr:col>
          <xdr:colOff>219075</xdr:colOff>
          <xdr:row>43</xdr:row>
          <xdr:rowOff>171450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44</xdr:row>
          <xdr:rowOff>9525</xdr:rowOff>
        </xdr:from>
        <xdr:to>
          <xdr:col>4</xdr:col>
          <xdr:colOff>219075</xdr:colOff>
          <xdr:row>44</xdr:row>
          <xdr:rowOff>171450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45</xdr:row>
          <xdr:rowOff>9525</xdr:rowOff>
        </xdr:from>
        <xdr:to>
          <xdr:col>4</xdr:col>
          <xdr:colOff>219075</xdr:colOff>
          <xdr:row>45</xdr:row>
          <xdr:rowOff>171450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46</xdr:row>
          <xdr:rowOff>9525</xdr:rowOff>
        </xdr:from>
        <xdr:to>
          <xdr:col>4</xdr:col>
          <xdr:colOff>219075</xdr:colOff>
          <xdr:row>46</xdr:row>
          <xdr:rowOff>171450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47</xdr:row>
          <xdr:rowOff>9525</xdr:rowOff>
        </xdr:from>
        <xdr:to>
          <xdr:col>4</xdr:col>
          <xdr:colOff>219075</xdr:colOff>
          <xdr:row>47</xdr:row>
          <xdr:rowOff>171450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48</xdr:row>
          <xdr:rowOff>9525</xdr:rowOff>
        </xdr:from>
        <xdr:to>
          <xdr:col>4</xdr:col>
          <xdr:colOff>219075</xdr:colOff>
          <xdr:row>48</xdr:row>
          <xdr:rowOff>171450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49</xdr:row>
          <xdr:rowOff>9525</xdr:rowOff>
        </xdr:from>
        <xdr:to>
          <xdr:col>4</xdr:col>
          <xdr:colOff>219075</xdr:colOff>
          <xdr:row>49</xdr:row>
          <xdr:rowOff>171450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50</xdr:row>
          <xdr:rowOff>9525</xdr:rowOff>
        </xdr:from>
        <xdr:to>
          <xdr:col>4</xdr:col>
          <xdr:colOff>219075</xdr:colOff>
          <xdr:row>50</xdr:row>
          <xdr:rowOff>171450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51</xdr:row>
          <xdr:rowOff>9525</xdr:rowOff>
        </xdr:from>
        <xdr:to>
          <xdr:col>4</xdr:col>
          <xdr:colOff>219075</xdr:colOff>
          <xdr:row>51</xdr:row>
          <xdr:rowOff>171450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52</xdr:row>
          <xdr:rowOff>9525</xdr:rowOff>
        </xdr:from>
        <xdr:to>
          <xdr:col>4</xdr:col>
          <xdr:colOff>219075</xdr:colOff>
          <xdr:row>52</xdr:row>
          <xdr:rowOff>171450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53</xdr:row>
          <xdr:rowOff>9525</xdr:rowOff>
        </xdr:from>
        <xdr:to>
          <xdr:col>4</xdr:col>
          <xdr:colOff>219075</xdr:colOff>
          <xdr:row>53</xdr:row>
          <xdr:rowOff>171450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54</xdr:row>
          <xdr:rowOff>9525</xdr:rowOff>
        </xdr:from>
        <xdr:to>
          <xdr:col>4</xdr:col>
          <xdr:colOff>219075</xdr:colOff>
          <xdr:row>54</xdr:row>
          <xdr:rowOff>171450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55</xdr:row>
          <xdr:rowOff>9525</xdr:rowOff>
        </xdr:from>
        <xdr:to>
          <xdr:col>4</xdr:col>
          <xdr:colOff>219075</xdr:colOff>
          <xdr:row>55</xdr:row>
          <xdr:rowOff>171450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56</xdr:row>
          <xdr:rowOff>9525</xdr:rowOff>
        </xdr:from>
        <xdr:to>
          <xdr:col>4</xdr:col>
          <xdr:colOff>219075</xdr:colOff>
          <xdr:row>56</xdr:row>
          <xdr:rowOff>171450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57</xdr:row>
          <xdr:rowOff>9525</xdr:rowOff>
        </xdr:from>
        <xdr:to>
          <xdr:col>4</xdr:col>
          <xdr:colOff>219075</xdr:colOff>
          <xdr:row>57</xdr:row>
          <xdr:rowOff>171450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59</xdr:row>
          <xdr:rowOff>9525</xdr:rowOff>
        </xdr:from>
        <xdr:to>
          <xdr:col>4</xdr:col>
          <xdr:colOff>219075</xdr:colOff>
          <xdr:row>59</xdr:row>
          <xdr:rowOff>171450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58</xdr:row>
          <xdr:rowOff>9525</xdr:rowOff>
        </xdr:from>
        <xdr:to>
          <xdr:col>4</xdr:col>
          <xdr:colOff>219075</xdr:colOff>
          <xdr:row>58</xdr:row>
          <xdr:rowOff>171450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0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60</xdr:row>
          <xdr:rowOff>9525</xdr:rowOff>
        </xdr:from>
        <xdr:to>
          <xdr:col>4</xdr:col>
          <xdr:colOff>219075</xdr:colOff>
          <xdr:row>60</xdr:row>
          <xdr:rowOff>171450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61</xdr:row>
          <xdr:rowOff>9525</xdr:rowOff>
        </xdr:from>
        <xdr:to>
          <xdr:col>4</xdr:col>
          <xdr:colOff>219075</xdr:colOff>
          <xdr:row>61</xdr:row>
          <xdr:rowOff>171450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0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62</xdr:row>
          <xdr:rowOff>9525</xdr:rowOff>
        </xdr:from>
        <xdr:to>
          <xdr:col>4</xdr:col>
          <xdr:colOff>219075</xdr:colOff>
          <xdr:row>62</xdr:row>
          <xdr:rowOff>171450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0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63</xdr:row>
          <xdr:rowOff>9525</xdr:rowOff>
        </xdr:from>
        <xdr:to>
          <xdr:col>4</xdr:col>
          <xdr:colOff>219075</xdr:colOff>
          <xdr:row>63</xdr:row>
          <xdr:rowOff>171450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64</xdr:row>
          <xdr:rowOff>9525</xdr:rowOff>
        </xdr:from>
        <xdr:to>
          <xdr:col>4</xdr:col>
          <xdr:colOff>219075</xdr:colOff>
          <xdr:row>64</xdr:row>
          <xdr:rowOff>171450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0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65</xdr:row>
          <xdr:rowOff>9525</xdr:rowOff>
        </xdr:from>
        <xdr:to>
          <xdr:col>4</xdr:col>
          <xdr:colOff>219075</xdr:colOff>
          <xdr:row>65</xdr:row>
          <xdr:rowOff>171450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66</xdr:row>
          <xdr:rowOff>9525</xdr:rowOff>
        </xdr:from>
        <xdr:to>
          <xdr:col>4</xdr:col>
          <xdr:colOff>219075</xdr:colOff>
          <xdr:row>66</xdr:row>
          <xdr:rowOff>171450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67</xdr:row>
          <xdr:rowOff>9525</xdr:rowOff>
        </xdr:from>
        <xdr:to>
          <xdr:col>4</xdr:col>
          <xdr:colOff>219075</xdr:colOff>
          <xdr:row>67</xdr:row>
          <xdr:rowOff>171450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68</xdr:row>
          <xdr:rowOff>9525</xdr:rowOff>
        </xdr:from>
        <xdr:to>
          <xdr:col>4</xdr:col>
          <xdr:colOff>219075</xdr:colOff>
          <xdr:row>68</xdr:row>
          <xdr:rowOff>171450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69</xdr:row>
          <xdr:rowOff>9525</xdr:rowOff>
        </xdr:from>
        <xdr:to>
          <xdr:col>4</xdr:col>
          <xdr:colOff>219075</xdr:colOff>
          <xdr:row>69</xdr:row>
          <xdr:rowOff>171450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70</xdr:row>
          <xdr:rowOff>9525</xdr:rowOff>
        </xdr:from>
        <xdr:to>
          <xdr:col>4</xdr:col>
          <xdr:colOff>219075</xdr:colOff>
          <xdr:row>70</xdr:row>
          <xdr:rowOff>171450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71</xdr:row>
          <xdr:rowOff>9525</xdr:rowOff>
        </xdr:from>
        <xdr:to>
          <xdr:col>4</xdr:col>
          <xdr:colOff>219075</xdr:colOff>
          <xdr:row>71</xdr:row>
          <xdr:rowOff>171450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72</xdr:row>
          <xdr:rowOff>9525</xdr:rowOff>
        </xdr:from>
        <xdr:to>
          <xdr:col>4</xdr:col>
          <xdr:colOff>219075</xdr:colOff>
          <xdr:row>72</xdr:row>
          <xdr:rowOff>171450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73</xdr:row>
          <xdr:rowOff>9525</xdr:rowOff>
        </xdr:from>
        <xdr:to>
          <xdr:col>4</xdr:col>
          <xdr:colOff>219075</xdr:colOff>
          <xdr:row>73</xdr:row>
          <xdr:rowOff>171450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74</xdr:row>
          <xdr:rowOff>9525</xdr:rowOff>
        </xdr:from>
        <xdr:to>
          <xdr:col>4</xdr:col>
          <xdr:colOff>219075</xdr:colOff>
          <xdr:row>74</xdr:row>
          <xdr:rowOff>171450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75</xdr:row>
          <xdr:rowOff>9525</xdr:rowOff>
        </xdr:from>
        <xdr:to>
          <xdr:col>4</xdr:col>
          <xdr:colOff>219075</xdr:colOff>
          <xdr:row>75</xdr:row>
          <xdr:rowOff>171450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76</xdr:row>
          <xdr:rowOff>9525</xdr:rowOff>
        </xdr:from>
        <xdr:to>
          <xdr:col>4</xdr:col>
          <xdr:colOff>219075</xdr:colOff>
          <xdr:row>76</xdr:row>
          <xdr:rowOff>171450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77</xdr:row>
          <xdr:rowOff>9525</xdr:rowOff>
        </xdr:from>
        <xdr:to>
          <xdr:col>4</xdr:col>
          <xdr:colOff>219075</xdr:colOff>
          <xdr:row>77</xdr:row>
          <xdr:rowOff>171450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78</xdr:row>
          <xdr:rowOff>9525</xdr:rowOff>
        </xdr:from>
        <xdr:to>
          <xdr:col>4</xdr:col>
          <xdr:colOff>219075</xdr:colOff>
          <xdr:row>78</xdr:row>
          <xdr:rowOff>171450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79</xdr:row>
          <xdr:rowOff>9525</xdr:rowOff>
        </xdr:from>
        <xdr:to>
          <xdr:col>4</xdr:col>
          <xdr:colOff>219075</xdr:colOff>
          <xdr:row>79</xdr:row>
          <xdr:rowOff>171450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80</xdr:row>
          <xdr:rowOff>9525</xdr:rowOff>
        </xdr:from>
        <xdr:to>
          <xdr:col>4</xdr:col>
          <xdr:colOff>219075</xdr:colOff>
          <xdr:row>80</xdr:row>
          <xdr:rowOff>171450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81</xdr:row>
          <xdr:rowOff>9525</xdr:rowOff>
        </xdr:from>
        <xdr:to>
          <xdr:col>4</xdr:col>
          <xdr:colOff>219075</xdr:colOff>
          <xdr:row>81</xdr:row>
          <xdr:rowOff>171450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82</xdr:row>
          <xdr:rowOff>9525</xdr:rowOff>
        </xdr:from>
        <xdr:to>
          <xdr:col>4</xdr:col>
          <xdr:colOff>219075</xdr:colOff>
          <xdr:row>82</xdr:row>
          <xdr:rowOff>171450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83</xdr:row>
          <xdr:rowOff>9525</xdr:rowOff>
        </xdr:from>
        <xdr:to>
          <xdr:col>4</xdr:col>
          <xdr:colOff>219075</xdr:colOff>
          <xdr:row>83</xdr:row>
          <xdr:rowOff>171450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84</xdr:row>
          <xdr:rowOff>9525</xdr:rowOff>
        </xdr:from>
        <xdr:to>
          <xdr:col>4</xdr:col>
          <xdr:colOff>219075</xdr:colOff>
          <xdr:row>84</xdr:row>
          <xdr:rowOff>171450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85</xdr:row>
          <xdr:rowOff>9525</xdr:rowOff>
        </xdr:from>
        <xdr:to>
          <xdr:col>4</xdr:col>
          <xdr:colOff>219075</xdr:colOff>
          <xdr:row>85</xdr:row>
          <xdr:rowOff>171450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86</xdr:row>
          <xdr:rowOff>9525</xdr:rowOff>
        </xdr:from>
        <xdr:to>
          <xdr:col>4</xdr:col>
          <xdr:colOff>219075</xdr:colOff>
          <xdr:row>86</xdr:row>
          <xdr:rowOff>171450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4</xdr:row>
          <xdr:rowOff>9525</xdr:rowOff>
        </xdr:from>
        <xdr:to>
          <xdr:col>6</xdr:col>
          <xdr:colOff>219075</xdr:colOff>
          <xdr:row>4</xdr:row>
          <xdr:rowOff>171450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5</xdr:row>
          <xdr:rowOff>9525</xdr:rowOff>
        </xdr:from>
        <xdr:to>
          <xdr:col>6</xdr:col>
          <xdr:colOff>219075</xdr:colOff>
          <xdr:row>5</xdr:row>
          <xdr:rowOff>171450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6</xdr:row>
          <xdr:rowOff>9525</xdr:rowOff>
        </xdr:from>
        <xdr:to>
          <xdr:col>6</xdr:col>
          <xdr:colOff>219075</xdr:colOff>
          <xdr:row>6</xdr:row>
          <xdr:rowOff>171450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7</xdr:row>
          <xdr:rowOff>9525</xdr:rowOff>
        </xdr:from>
        <xdr:to>
          <xdr:col>6</xdr:col>
          <xdr:colOff>219075</xdr:colOff>
          <xdr:row>7</xdr:row>
          <xdr:rowOff>171450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8</xdr:row>
          <xdr:rowOff>9525</xdr:rowOff>
        </xdr:from>
        <xdr:to>
          <xdr:col>6</xdr:col>
          <xdr:colOff>219075</xdr:colOff>
          <xdr:row>8</xdr:row>
          <xdr:rowOff>171450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9</xdr:row>
          <xdr:rowOff>9525</xdr:rowOff>
        </xdr:from>
        <xdr:to>
          <xdr:col>6</xdr:col>
          <xdr:colOff>219075</xdr:colOff>
          <xdr:row>9</xdr:row>
          <xdr:rowOff>171450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11</xdr:row>
          <xdr:rowOff>9525</xdr:rowOff>
        </xdr:from>
        <xdr:to>
          <xdr:col>6</xdr:col>
          <xdr:colOff>219075</xdr:colOff>
          <xdr:row>11</xdr:row>
          <xdr:rowOff>171450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10</xdr:row>
          <xdr:rowOff>9525</xdr:rowOff>
        </xdr:from>
        <xdr:to>
          <xdr:col>6</xdr:col>
          <xdr:colOff>219075</xdr:colOff>
          <xdr:row>10</xdr:row>
          <xdr:rowOff>171450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12</xdr:row>
          <xdr:rowOff>9525</xdr:rowOff>
        </xdr:from>
        <xdr:to>
          <xdr:col>6</xdr:col>
          <xdr:colOff>219075</xdr:colOff>
          <xdr:row>12</xdr:row>
          <xdr:rowOff>171450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13</xdr:row>
          <xdr:rowOff>9525</xdr:rowOff>
        </xdr:from>
        <xdr:to>
          <xdr:col>6</xdr:col>
          <xdr:colOff>219075</xdr:colOff>
          <xdr:row>13</xdr:row>
          <xdr:rowOff>171450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15</xdr:row>
          <xdr:rowOff>9525</xdr:rowOff>
        </xdr:from>
        <xdr:to>
          <xdr:col>6</xdr:col>
          <xdr:colOff>219075</xdr:colOff>
          <xdr:row>15</xdr:row>
          <xdr:rowOff>171450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14</xdr:row>
          <xdr:rowOff>9525</xdr:rowOff>
        </xdr:from>
        <xdr:to>
          <xdr:col>6</xdr:col>
          <xdr:colOff>219075</xdr:colOff>
          <xdr:row>14</xdr:row>
          <xdr:rowOff>171450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17</xdr:row>
          <xdr:rowOff>9525</xdr:rowOff>
        </xdr:from>
        <xdr:to>
          <xdr:col>6</xdr:col>
          <xdr:colOff>219075</xdr:colOff>
          <xdr:row>17</xdr:row>
          <xdr:rowOff>171450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16</xdr:row>
          <xdr:rowOff>9525</xdr:rowOff>
        </xdr:from>
        <xdr:to>
          <xdr:col>6</xdr:col>
          <xdr:colOff>219075</xdr:colOff>
          <xdr:row>16</xdr:row>
          <xdr:rowOff>171450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19</xdr:row>
          <xdr:rowOff>9525</xdr:rowOff>
        </xdr:from>
        <xdr:to>
          <xdr:col>6</xdr:col>
          <xdr:colOff>219075</xdr:colOff>
          <xdr:row>19</xdr:row>
          <xdr:rowOff>171450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18</xdr:row>
          <xdr:rowOff>9525</xdr:rowOff>
        </xdr:from>
        <xdr:to>
          <xdr:col>6</xdr:col>
          <xdr:colOff>219075</xdr:colOff>
          <xdr:row>18</xdr:row>
          <xdr:rowOff>171450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20</xdr:row>
          <xdr:rowOff>9525</xdr:rowOff>
        </xdr:from>
        <xdr:to>
          <xdr:col>6</xdr:col>
          <xdr:colOff>219075</xdr:colOff>
          <xdr:row>20</xdr:row>
          <xdr:rowOff>171450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22</xdr:row>
          <xdr:rowOff>9525</xdr:rowOff>
        </xdr:from>
        <xdr:to>
          <xdr:col>6</xdr:col>
          <xdr:colOff>219075</xdr:colOff>
          <xdr:row>22</xdr:row>
          <xdr:rowOff>171450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21</xdr:row>
          <xdr:rowOff>9525</xdr:rowOff>
        </xdr:from>
        <xdr:to>
          <xdr:col>6</xdr:col>
          <xdr:colOff>219075</xdr:colOff>
          <xdr:row>21</xdr:row>
          <xdr:rowOff>171450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23</xdr:row>
          <xdr:rowOff>9525</xdr:rowOff>
        </xdr:from>
        <xdr:to>
          <xdr:col>6</xdr:col>
          <xdr:colOff>219075</xdr:colOff>
          <xdr:row>23</xdr:row>
          <xdr:rowOff>171450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24</xdr:row>
          <xdr:rowOff>9525</xdr:rowOff>
        </xdr:from>
        <xdr:to>
          <xdr:col>6</xdr:col>
          <xdr:colOff>219075</xdr:colOff>
          <xdr:row>24</xdr:row>
          <xdr:rowOff>171450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25</xdr:row>
          <xdr:rowOff>9525</xdr:rowOff>
        </xdr:from>
        <xdr:to>
          <xdr:col>6</xdr:col>
          <xdr:colOff>219075</xdr:colOff>
          <xdr:row>25</xdr:row>
          <xdr:rowOff>171450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0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26</xdr:row>
          <xdr:rowOff>9525</xdr:rowOff>
        </xdr:from>
        <xdr:to>
          <xdr:col>6</xdr:col>
          <xdr:colOff>219075</xdr:colOff>
          <xdr:row>26</xdr:row>
          <xdr:rowOff>171450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27</xdr:row>
          <xdr:rowOff>9525</xdr:rowOff>
        </xdr:from>
        <xdr:to>
          <xdr:col>6</xdr:col>
          <xdr:colOff>219075</xdr:colOff>
          <xdr:row>27</xdr:row>
          <xdr:rowOff>171450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28</xdr:row>
          <xdr:rowOff>9525</xdr:rowOff>
        </xdr:from>
        <xdr:to>
          <xdr:col>6</xdr:col>
          <xdr:colOff>219075</xdr:colOff>
          <xdr:row>28</xdr:row>
          <xdr:rowOff>171450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29</xdr:row>
          <xdr:rowOff>9525</xdr:rowOff>
        </xdr:from>
        <xdr:to>
          <xdr:col>6</xdr:col>
          <xdr:colOff>219075</xdr:colOff>
          <xdr:row>29</xdr:row>
          <xdr:rowOff>171450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0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31</xdr:row>
          <xdr:rowOff>9525</xdr:rowOff>
        </xdr:from>
        <xdr:to>
          <xdr:col>6</xdr:col>
          <xdr:colOff>219075</xdr:colOff>
          <xdr:row>31</xdr:row>
          <xdr:rowOff>171450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0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30</xdr:row>
          <xdr:rowOff>9525</xdr:rowOff>
        </xdr:from>
        <xdr:to>
          <xdr:col>6</xdr:col>
          <xdr:colOff>219075</xdr:colOff>
          <xdr:row>30</xdr:row>
          <xdr:rowOff>171450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32</xdr:row>
          <xdr:rowOff>9525</xdr:rowOff>
        </xdr:from>
        <xdr:to>
          <xdr:col>6</xdr:col>
          <xdr:colOff>219075</xdr:colOff>
          <xdr:row>32</xdr:row>
          <xdr:rowOff>171450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0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33</xdr:row>
          <xdr:rowOff>9525</xdr:rowOff>
        </xdr:from>
        <xdr:to>
          <xdr:col>6</xdr:col>
          <xdr:colOff>219075</xdr:colOff>
          <xdr:row>33</xdr:row>
          <xdr:rowOff>171450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0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34</xdr:row>
          <xdr:rowOff>9525</xdr:rowOff>
        </xdr:from>
        <xdr:to>
          <xdr:col>6</xdr:col>
          <xdr:colOff>219075</xdr:colOff>
          <xdr:row>34</xdr:row>
          <xdr:rowOff>171450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0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35</xdr:row>
          <xdr:rowOff>9525</xdr:rowOff>
        </xdr:from>
        <xdr:to>
          <xdr:col>6</xdr:col>
          <xdr:colOff>219075</xdr:colOff>
          <xdr:row>35</xdr:row>
          <xdr:rowOff>171450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0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36</xdr:row>
          <xdr:rowOff>9525</xdr:rowOff>
        </xdr:from>
        <xdr:to>
          <xdr:col>6</xdr:col>
          <xdr:colOff>219075</xdr:colOff>
          <xdr:row>36</xdr:row>
          <xdr:rowOff>171450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0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37</xdr:row>
          <xdr:rowOff>9525</xdr:rowOff>
        </xdr:from>
        <xdr:to>
          <xdr:col>6</xdr:col>
          <xdr:colOff>219075</xdr:colOff>
          <xdr:row>37</xdr:row>
          <xdr:rowOff>171450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0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38</xdr:row>
          <xdr:rowOff>9525</xdr:rowOff>
        </xdr:from>
        <xdr:to>
          <xdr:col>6</xdr:col>
          <xdr:colOff>219075</xdr:colOff>
          <xdr:row>38</xdr:row>
          <xdr:rowOff>171450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0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39</xdr:row>
          <xdr:rowOff>9525</xdr:rowOff>
        </xdr:from>
        <xdr:to>
          <xdr:col>6</xdr:col>
          <xdr:colOff>219075</xdr:colOff>
          <xdr:row>39</xdr:row>
          <xdr:rowOff>171450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0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40</xdr:row>
          <xdr:rowOff>9525</xdr:rowOff>
        </xdr:from>
        <xdr:to>
          <xdr:col>6</xdr:col>
          <xdr:colOff>219075</xdr:colOff>
          <xdr:row>40</xdr:row>
          <xdr:rowOff>171450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0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41</xdr:row>
          <xdr:rowOff>9525</xdr:rowOff>
        </xdr:from>
        <xdr:to>
          <xdr:col>6</xdr:col>
          <xdr:colOff>219075</xdr:colOff>
          <xdr:row>41</xdr:row>
          <xdr:rowOff>171450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0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42</xdr:row>
          <xdr:rowOff>9525</xdr:rowOff>
        </xdr:from>
        <xdr:to>
          <xdr:col>6</xdr:col>
          <xdr:colOff>219075</xdr:colOff>
          <xdr:row>42</xdr:row>
          <xdr:rowOff>171450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0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43</xdr:row>
          <xdr:rowOff>9525</xdr:rowOff>
        </xdr:from>
        <xdr:to>
          <xdr:col>6</xdr:col>
          <xdr:colOff>219075</xdr:colOff>
          <xdr:row>43</xdr:row>
          <xdr:rowOff>171450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44</xdr:row>
          <xdr:rowOff>9525</xdr:rowOff>
        </xdr:from>
        <xdr:to>
          <xdr:col>6</xdr:col>
          <xdr:colOff>219075</xdr:colOff>
          <xdr:row>44</xdr:row>
          <xdr:rowOff>171450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0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45</xdr:row>
          <xdr:rowOff>9525</xdr:rowOff>
        </xdr:from>
        <xdr:to>
          <xdr:col>6</xdr:col>
          <xdr:colOff>219075</xdr:colOff>
          <xdr:row>45</xdr:row>
          <xdr:rowOff>171450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0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46</xdr:row>
          <xdr:rowOff>9525</xdr:rowOff>
        </xdr:from>
        <xdr:to>
          <xdr:col>6</xdr:col>
          <xdr:colOff>219075</xdr:colOff>
          <xdr:row>46</xdr:row>
          <xdr:rowOff>171450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0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47</xdr:row>
          <xdr:rowOff>9525</xdr:rowOff>
        </xdr:from>
        <xdr:to>
          <xdr:col>6</xdr:col>
          <xdr:colOff>219075</xdr:colOff>
          <xdr:row>47</xdr:row>
          <xdr:rowOff>171450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0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48</xdr:row>
          <xdr:rowOff>9525</xdr:rowOff>
        </xdr:from>
        <xdr:to>
          <xdr:col>6</xdr:col>
          <xdr:colOff>219075</xdr:colOff>
          <xdr:row>48</xdr:row>
          <xdr:rowOff>171450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49</xdr:row>
          <xdr:rowOff>9525</xdr:rowOff>
        </xdr:from>
        <xdr:to>
          <xdr:col>6</xdr:col>
          <xdr:colOff>219075</xdr:colOff>
          <xdr:row>49</xdr:row>
          <xdr:rowOff>171450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50</xdr:row>
          <xdr:rowOff>9525</xdr:rowOff>
        </xdr:from>
        <xdr:to>
          <xdr:col>6</xdr:col>
          <xdr:colOff>219075</xdr:colOff>
          <xdr:row>50</xdr:row>
          <xdr:rowOff>171450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0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51</xdr:row>
          <xdr:rowOff>9525</xdr:rowOff>
        </xdr:from>
        <xdr:to>
          <xdr:col>6</xdr:col>
          <xdr:colOff>219075</xdr:colOff>
          <xdr:row>51</xdr:row>
          <xdr:rowOff>171450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0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52</xdr:row>
          <xdr:rowOff>9525</xdr:rowOff>
        </xdr:from>
        <xdr:to>
          <xdr:col>6</xdr:col>
          <xdr:colOff>219075</xdr:colOff>
          <xdr:row>52</xdr:row>
          <xdr:rowOff>171450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0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53</xdr:row>
          <xdr:rowOff>9525</xdr:rowOff>
        </xdr:from>
        <xdr:to>
          <xdr:col>6</xdr:col>
          <xdr:colOff>219075</xdr:colOff>
          <xdr:row>53</xdr:row>
          <xdr:rowOff>171450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0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54</xdr:row>
          <xdr:rowOff>9525</xdr:rowOff>
        </xdr:from>
        <xdr:to>
          <xdr:col>6</xdr:col>
          <xdr:colOff>219075</xdr:colOff>
          <xdr:row>54</xdr:row>
          <xdr:rowOff>171450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0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55</xdr:row>
          <xdr:rowOff>9525</xdr:rowOff>
        </xdr:from>
        <xdr:to>
          <xdr:col>6</xdr:col>
          <xdr:colOff>219075</xdr:colOff>
          <xdr:row>55</xdr:row>
          <xdr:rowOff>171450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0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56</xdr:row>
          <xdr:rowOff>9525</xdr:rowOff>
        </xdr:from>
        <xdr:to>
          <xdr:col>6</xdr:col>
          <xdr:colOff>219075</xdr:colOff>
          <xdr:row>56</xdr:row>
          <xdr:rowOff>171450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0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57</xdr:row>
          <xdr:rowOff>9525</xdr:rowOff>
        </xdr:from>
        <xdr:to>
          <xdr:col>6</xdr:col>
          <xdr:colOff>219075</xdr:colOff>
          <xdr:row>57</xdr:row>
          <xdr:rowOff>171450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0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58</xdr:row>
          <xdr:rowOff>9525</xdr:rowOff>
        </xdr:from>
        <xdr:to>
          <xdr:col>6</xdr:col>
          <xdr:colOff>219075</xdr:colOff>
          <xdr:row>58</xdr:row>
          <xdr:rowOff>171450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0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59</xdr:row>
          <xdr:rowOff>9525</xdr:rowOff>
        </xdr:from>
        <xdr:to>
          <xdr:col>6</xdr:col>
          <xdr:colOff>219075</xdr:colOff>
          <xdr:row>59</xdr:row>
          <xdr:rowOff>171450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0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60</xdr:row>
          <xdr:rowOff>9525</xdr:rowOff>
        </xdr:from>
        <xdr:to>
          <xdr:col>6</xdr:col>
          <xdr:colOff>219075</xdr:colOff>
          <xdr:row>60</xdr:row>
          <xdr:rowOff>171450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0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61</xdr:row>
          <xdr:rowOff>9525</xdr:rowOff>
        </xdr:from>
        <xdr:to>
          <xdr:col>6</xdr:col>
          <xdr:colOff>219075</xdr:colOff>
          <xdr:row>61</xdr:row>
          <xdr:rowOff>171450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0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62</xdr:row>
          <xdr:rowOff>9525</xdr:rowOff>
        </xdr:from>
        <xdr:to>
          <xdr:col>6</xdr:col>
          <xdr:colOff>219075</xdr:colOff>
          <xdr:row>62</xdr:row>
          <xdr:rowOff>171450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0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63</xdr:row>
          <xdr:rowOff>9525</xdr:rowOff>
        </xdr:from>
        <xdr:to>
          <xdr:col>6</xdr:col>
          <xdr:colOff>219075</xdr:colOff>
          <xdr:row>63</xdr:row>
          <xdr:rowOff>171450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0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64</xdr:row>
          <xdr:rowOff>9525</xdr:rowOff>
        </xdr:from>
        <xdr:to>
          <xdr:col>6</xdr:col>
          <xdr:colOff>219075</xdr:colOff>
          <xdr:row>64</xdr:row>
          <xdr:rowOff>171450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0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66</xdr:row>
          <xdr:rowOff>9525</xdr:rowOff>
        </xdr:from>
        <xdr:to>
          <xdr:col>6</xdr:col>
          <xdr:colOff>219075</xdr:colOff>
          <xdr:row>66</xdr:row>
          <xdr:rowOff>171450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0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65</xdr:row>
          <xdr:rowOff>9525</xdr:rowOff>
        </xdr:from>
        <xdr:to>
          <xdr:col>6</xdr:col>
          <xdr:colOff>219075</xdr:colOff>
          <xdr:row>65</xdr:row>
          <xdr:rowOff>171450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0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67</xdr:row>
          <xdr:rowOff>9525</xdr:rowOff>
        </xdr:from>
        <xdr:to>
          <xdr:col>6</xdr:col>
          <xdr:colOff>219075</xdr:colOff>
          <xdr:row>67</xdr:row>
          <xdr:rowOff>171450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0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68</xdr:row>
          <xdr:rowOff>9525</xdr:rowOff>
        </xdr:from>
        <xdr:to>
          <xdr:col>6</xdr:col>
          <xdr:colOff>219075</xdr:colOff>
          <xdr:row>68</xdr:row>
          <xdr:rowOff>171450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0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69</xdr:row>
          <xdr:rowOff>9525</xdr:rowOff>
        </xdr:from>
        <xdr:to>
          <xdr:col>6</xdr:col>
          <xdr:colOff>219075</xdr:colOff>
          <xdr:row>69</xdr:row>
          <xdr:rowOff>171450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0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70</xdr:row>
          <xdr:rowOff>9525</xdr:rowOff>
        </xdr:from>
        <xdr:to>
          <xdr:col>6</xdr:col>
          <xdr:colOff>219075</xdr:colOff>
          <xdr:row>70</xdr:row>
          <xdr:rowOff>171450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0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71</xdr:row>
          <xdr:rowOff>9525</xdr:rowOff>
        </xdr:from>
        <xdr:to>
          <xdr:col>6</xdr:col>
          <xdr:colOff>219075</xdr:colOff>
          <xdr:row>71</xdr:row>
          <xdr:rowOff>171450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0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72</xdr:row>
          <xdr:rowOff>9525</xdr:rowOff>
        </xdr:from>
        <xdr:to>
          <xdr:col>6</xdr:col>
          <xdr:colOff>219075</xdr:colOff>
          <xdr:row>72</xdr:row>
          <xdr:rowOff>171450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0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73</xdr:row>
          <xdr:rowOff>9525</xdr:rowOff>
        </xdr:from>
        <xdr:to>
          <xdr:col>6</xdr:col>
          <xdr:colOff>219075</xdr:colOff>
          <xdr:row>73</xdr:row>
          <xdr:rowOff>171450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0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74</xdr:row>
          <xdr:rowOff>9525</xdr:rowOff>
        </xdr:from>
        <xdr:to>
          <xdr:col>6</xdr:col>
          <xdr:colOff>219075</xdr:colOff>
          <xdr:row>74</xdr:row>
          <xdr:rowOff>171450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0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75</xdr:row>
          <xdr:rowOff>9525</xdr:rowOff>
        </xdr:from>
        <xdr:to>
          <xdr:col>6</xdr:col>
          <xdr:colOff>219075</xdr:colOff>
          <xdr:row>75</xdr:row>
          <xdr:rowOff>171450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0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76</xdr:row>
          <xdr:rowOff>9525</xdr:rowOff>
        </xdr:from>
        <xdr:to>
          <xdr:col>6</xdr:col>
          <xdr:colOff>219075</xdr:colOff>
          <xdr:row>76</xdr:row>
          <xdr:rowOff>171450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0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77</xdr:row>
          <xdr:rowOff>9525</xdr:rowOff>
        </xdr:from>
        <xdr:to>
          <xdr:col>6</xdr:col>
          <xdr:colOff>219075</xdr:colOff>
          <xdr:row>77</xdr:row>
          <xdr:rowOff>171450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0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78</xdr:row>
          <xdr:rowOff>9525</xdr:rowOff>
        </xdr:from>
        <xdr:to>
          <xdr:col>6</xdr:col>
          <xdr:colOff>219075</xdr:colOff>
          <xdr:row>78</xdr:row>
          <xdr:rowOff>171450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0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79</xdr:row>
          <xdr:rowOff>9525</xdr:rowOff>
        </xdr:from>
        <xdr:to>
          <xdr:col>6</xdr:col>
          <xdr:colOff>219075</xdr:colOff>
          <xdr:row>79</xdr:row>
          <xdr:rowOff>171450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0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80</xdr:row>
          <xdr:rowOff>9525</xdr:rowOff>
        </xdr:from>
        <xdr:to>
          <xdr:col>6</xdr:col>
          <xdr:colOff>219075</xdr:colOff>
          <xdr:row>80</xdr:row>
          <xdr:rowOff>171450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0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82</xdr:row>
          <xdr:rowOff>9525</xdr:rowOff>
        </xdr:from>
        <xdr:to>
          <xdr:col>6</xdr:col>
          <xdr:colOff>219075</xdr:colOff>
          <xdr:row>82</xdr:row>
          <xdr:rowOff>171450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0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81</xdr:row>
          <xdr:rowOff>9525</xdr:rowOff>
        </xdr:from>
        <xdr:to>
          <xdr:col>6</xdr:col>
          <xdr:colOff>219075</xdr:colOff>
          <xdr:row>81</xdr:row>
          <xdr:rowOff>171450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0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83</xdr:row>
          <xdr:rowOff>9525</xdr:rowOff>
        </xdr:from>
        <xdr:to>
          <xdr:col>6</xdr:col>
          <xdr:colOff>219075</xdr:colOff>
          <xdr:row>83</xdr:row>
          <xdr:rowOff>171450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0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84</xdr:row>
          <xdr:rowOff>9525</xdr:rowOff>
        </xdr:from>
        <xdr:to>
          <xdr:col>6</xdr:col>
          <xdr:colOff>219075</xdr:colOff>
          <xdr:row>84</xdr:row>
          <xdr:rowOff>171450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0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85</xdr:row>
          <xdr:rowOff>9525</xdr:rowOff>
        </xdr:from>
        <xdr:to>
          <xdr:col>6</xdr:col>
          <xdr:colOff>219075</xdr:colOff>
          <xdr:row>85</xdr:row>
          <xdr:rowOff>171450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0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86</xdr:row>
          <xdr:rowOff>9525</xdr:rowOff>
        </xdr:from>
        <xdr:to>
          <xdr:col>6</xdr:col>
          <xdr:colOff>219075</xdr:colOff>
          <xdr:row>86</xdr:row>
          <xdr:rowOff>171450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0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87</xdr:row>
          <xdr:rowOff>9525</xdr:rowOff>
        </xdr:from>
        <xdr:to>
          <xdr:col>4</xdr:col>
          <xdr:colOff>219075</xdr:colOff>
          <xdr:row>87</xdr:row>
          <xdr:rowOff>171450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0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88</xdr:row>
          <xdr:rowOff>9525</xdr:rowOff>
        </xdr:from>
        <xdr:to>
          <xdr:col>4</xdr:col>
          <xdr:colOff>219075</xdr:colOff>
          <xdr:row>88</xdr:row>
          <xdr:rowOff>171450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0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89</xdr:row>
          <xdr:rowOff>9525</xdr:rowOff>
        </xdr:from>
        <xdr:to>
          <xdr:col>4</xdr:col>
          <xdr:colOff>219075</xdr:colOff>
          <xdr:row>89</xdr:row>
          <xdr:rowOff>171450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0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90</xdr:row>
          <xdr:rowOff>9525</xdr:rowOff>
        </xdr:from>
        <xdr:to>
          <xdr:col>4</xdr:col>
          <xdr:colOff>219075</xdr:colOff>
          <xdr:row>90</xdr:row>
          <xdr:rowOff>171450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0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91</xdr:row>
          <xdr:rowOff>9525</xdr:rowOff>
        </xdr:from>
        <xdr:to>
          <xdr:col>4</xdr:col>
          <xdr:colOff>219075</xdr:colOff>
          <xdr:row>91</xdr:row>
          <xdr:rowOff>171450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0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92</xdr:row>
          <xdr:rowOff>9525</xdr:rowOff>
        </xdr:from>
        <xdr:to>
          <xdr:col>4</xdr:col>
          <xdr:colOff>219075</xdr:colOff>
          <xdr:row>92</xdr:row>
          <xdr:rowOff>171450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0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93</xdr:row>
          <xdr:rowOff>9525</xdr:rowOff>
        </xdr:from>
        <xdr:to>
          <xdr:col>4</xdr:col>
          <xdr:colOff>219075</xdr:colOff>
          <xdr:row>93</xdr:row>
          <xdr:rowOff>171450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0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94</xdr:row>
          <xdr:rowOff>9525</xdr:rowOff>
        </xdr:from>
        <xdr:to>
          <xdr:col>4</xdr:col>
          <xdr:colOff>219075</xdr:colOff>
          <xdr:row>94</xdr:row>
          <xdr:rowOff>171450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0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95</xdr:row>
          <xdr:rowOff>9525</xdr:rowOff>
        </xdr:from>
        <xdr:to>
          <xdr:col>4</xdr:col>
          <xdr:colOff>219075</xdr:colOff>
          <xdr:row>95</xdr:row>
          <xdr:rowOff>171450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0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96</xdr:row>
          <xdr:rowOff>9525</xdr:rowOff>
        </xdr:from>
        <xdr:to>
          <xdr:col>4</xdr:col>
          <xdr:colOff>219075</xdr:colOff>
          <xdr:row>96</xdr:row>
          <xdr:rowOff>171450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0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97</xdr:row>
          <xdr:rowOff>9525</xdr:rowOff>
        </xdr:from>
        <xdr:to>
          <xdr:col>4</xdr:col>
          <xdr:colOff>219075</xdr:colOff>
          <xdr:row>97</xdr:row>
          <xdr:rowOff>171450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0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98</xdr:row>
          <xdr:rowOff>9525</xdr:rowOff>
        </xdr:from>
        <xdr:to>
          <xdr:col>4</xdr:col>
          <xdr:colOff>219075</xdr:colOff>
          <xdr:row>98</xdr:row>
          <xdr:rowOff>171450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0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99</xdr:row>
          <xdr:rowOff>9525</xdr:rowOff>
        </xdr:from>
        <xdr:to>
          <xdr:col>4</xdr:col>
          <xdr:colOff>219075</xdr:colOff>
          <xdr:row>99</xdr:row>
          <xdr:rowOff>171450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0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100</xdr:row>
          <xdr:rowOff>9525</xdr:rowOff>
        </xdr:from>
        <xdr:to>
          <xdr:col>4</xdr:col>
          <xdr:colOff>219075</xdr:colOff>
          <xdr:row>100</xdr:row>
          <xdr:rowOff>171450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0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101</xdr:row>
          <xdr:rowOff>9525</xdr:rowOff>
        </xdr:from>
        <xdr:to>
          <xdr:col>4</xdr:col>
          <xdr:colOff>219075</xdr:colOff>
          <xdr:row>101</xdr:row>
          <xdr:rowOff>171450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0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102</xdr:row>
          <xdr:rowOff>9525</xdr:rowOff>
        </xdr:from>
        <xdr:to>
          <xdr:col>4</xdr:col>
          <xdr:colOff>219075</xdr:colOff>
          <xdr:row>102</xdr:row>
          <xdr:rowOff>171450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0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103</xdr:row>
          <xdr:rowOff>9525</xdr:rowOff>
        </xdr:from>
        <xdr:to>
          <xdr:col>4</xdr:col>
          <xdr:colOff>219075</xdr:colOff>
          <xdr:row>103</xdr:row>
          <xdr:rowOff>171450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0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104</xdr:row>
          <xdr:rowOff>9525</xdr:rowOff>
        </xdr:from>
        <xdr:to>
          <xdr:col>4</xdr:col>
          <xdr:colOff>219075</xdr:colOff>
          <xdr:row>104</xdr:row>
          <xdr:rowOff>171450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0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105</xdr:row>
          <xdr:rowOff>9525</xdr:rowOff>
        </xdr:from>
        <xdr:to>
          <xdr:col>4</xdr:col>
          <xdr:colOff>219075</xdr:colOff>
          <xdr:row>105</xdr:row>
          <xdr:rowOff>171450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0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106</xdr:row>
          <xdr:rowOff>9525</xdr:rowOff>
        </xdr:from>
        <xdr:to>
          <xdr:col>4</xdr:col>
          <xdr:colOff>219075</xdr:colOff>
          <xdr:row>106</xdr:row>
          <xdr:rowOff>171450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0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107</xdr:row>
          <xdr:rowOff>9525</xdr:rowOff>
        </xdr:from>
        <xdr:to>
          <xdr:col>4</xdr:col>
          <xdr:colOff>219075</xdr:colOff>
          <xdr:row>107</xdr:row>
          <xdr:rowOff>171450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0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108</xdr:row>
          <xdr:rowOff>9525</xdr:rowOff>
        </xdr:from>
        <xdr:to>
          <xdr:col>4</xdr:col>
          <xdr:colOff>219075</xdr:colOff>
          <xdr:row>108</xdr:row>
          <xdr:rowOff>171450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0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109</xdr:row>
          <xdr:rowOff>9525</xdr:rowOff>
        </xdr:from>
        <xdr:to>
          <xdr:col>4</xdr:col>
          <xdr:colOff>219075</xdr:colOff>
          <xdr:row>109</xdr:row>
          <xdr:rowOff>171450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0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110</xdr:row>
          <xdr:rowOff>9525</xdr:rowOff>
        </xdr:from>
        <xdr:to>
          <xdr:col>4</xdr:col>
          <xdr:colOff>219075</xdr:colOff>
          <xdr:row>110</xdr:row>
          <xdr:rowOff>171450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0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111</xdr:row>
          <xdr:rowOff>9525</xdr:rowOff>
        </xdr:from>
        <xdr:to>
          <xdr:col>4</xdr:col>
          <xdr:colOff>219075</xdr:colOff>
          <xdr:row>111</xdr:row>
          <xdr:rowOff>171450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0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112</xdr:row>
          <xdr:rowOff>9525</xdr:rowOff>
        </xdr:from>
        <xdr:to>
          <xdr:col>4</xdr:col>
          <xdr:colOff>219075</xdr:colOff>
          <xdr:row>112</xdr:row>
          <xdr:rowOff>171450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0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113</xdr:row>
          <xdr:rowOff>9525</xdr:rowOff>
        </xdr:from>
        <xdr:to>
          <xdr:col>4</xdr:col>
          <xdr:colOff>219075</xdr:colOff>
          <xdr:row>113</xdr:row>
          <xdr:rowOff>171450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0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114</xdr:row>
          <xdr:rowOff>9525</xdr:rowOff>
        </xdr:from>
        <xdr:to>
          <xdr:col>4</xdr:col>
          <xdr:colOff>219075</xdr:colOff>
          <xdr:row>114</xdr:row>
          <xdr:rowOff>171450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0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115</xdr:row>
          <xdr:rowOff>9525</xdr:rowOff>
        </xdr:from>
        <xdr:to>
          <xdr:col>4</xdr:col>
          <xdr:colOff>219075</xdr:colOff>
          <xdr:row>115</xdr:row>
          <xdr:rowOff>171450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0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116</xdr:row>
          <xdr:rowOff>9525</xdr:rowOff>
        </xdr:from>
        <xdr:to>
          <xdr:col>4</xdr:col>
          <xdr:colOff>219075</xdr:colOff>
          <xdr:row>116</xdr:row>
          <xdr:rowOff>171450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0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117</xdr:row>
          <xdr:rowOff>9525</xdr:rowOff>
        </xdr:from>
        <xdr:to>
          <xdr:col>4</xdr:col>
          <xdr:colOff>219075</xdr:colOff>
          <xdr:row>117</xdr:row>
          <xdr:rowOff>171450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0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118</xdr:row>
          <xdr:rowOff>9525</xdr:rowOff>
        </xdr:from>
        <xdr:to>
          <xdr:col>4</xdr:col>
          <xdr:colOff>219075</xdr:colOff>
          <xdr:row>118</xdr:row>
          <xdr:rowOff>171450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0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119</xdr:row>
          <xdr:rowOff>9525</xdr:rowOff>
        </xdr:from>
        <xdr:to>
          <xdr:col>4</xdr:col>
          <xdr:colOff>219075</xdr:colOff>
          <xdr:row>119</xdr:row>
          <xdr:rowOff>171450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0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120</xdr:row>
          <xdr:rowOff>9525</xdr:rowOff>
        </xdr:from>
        <xdr:to>
          <xdr:col>4</xdr:col>
          <xdr:colOff>219075</xdr:colOff>
          <xdr:row>120</xdr:row>
          <xdr:rowOff>171450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0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121</xdr:row>
          <xdr:rowOff>9525</xdr:rowOff>
        </xdr:from>
        <xdr:to>
          <xdr:col>4</xdr:col>
          <xdr:colOff>219075</xdr:colOff>
          <xdr:row>121</xdr:row>
          <xdr:rowOff>171450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0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122</xdr:row>
          <xdr:rowOff>9525</xdr:rowOff>
        </xdr:from>
        <xdr:to>
          <xdr:col>4</xdr:col>
          <xdr:colOff>219075</xdr:colOff>
          <xdr:row>122</xdr:row>
          <xdr:rowOff>171450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0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123</xdr:row>
          <xdr:rowOff>9525</xdr:rowOff>
        </xdr:from>
        <xdr:to>
          <xdr:col>4</xdr:col>
          <xdr:colOff>219075</xdr:colOff>
          <xdr:row>123</xdr:row>
          <xdr:rowOff>171450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0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124</xdr:row>
          <xdr:rowOff>9525</xdr:rowOff>
        </xdr:from>
        <xdr:to>
          <xdr:col>4</xdr:col>
          <xdr:colOff>219075</xdr:colOff>
          <xdr:row>124</xdr:row>
          <xdr:rowOff>171450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0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125</xdr:row>
          <xdr:rowOff>9525</xdr:rowOff>
        </xdr:from>
        <xdr:to>
          <xdr:col>4</xdr:col>
          <xdr:colOff>219075</xdr:colOff>
          <xdr:row>125</xdr:row>
          <xdr:rowOff>171450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0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126</xdr:row>
          <xdr:rowOff>9525</xdr:rowOff>
        </xdr:from>
        <xdr:to>
          <xdr:col>4</xdr:col>
          <xdr:colOff>219075</xdr:colOff>
          <xdr:row>126</xdr:row>
          <xdr:rowOff>171450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0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127</xdr:row>
          <xdr:rowOff>9525</xdr:rowOff>
        </xdr:from>
        <xdr:to>
          <xdr:col>4</xdr:col>
          <xdr:colOff>219075</xdr:colOff>
          <xdr:row>127</xdr:row>
          <xdr:rowOff>171450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0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128</xdr:row>
          <xdr:rowOff>9525</xdr:rowOff>
        </xdr:from>
        <xdr:to>
          <xdr:col>4</xdr:col>
          <xdr:colOff>219075</xdr:colOff>
          <xdr:row>128</xdr:row>
          <xdr:rowOff>171450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0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129</xdr:row>
          <xdr:rowOff>9525</xdr:rowOff>
        </xdr:from>
        <xdr:to>
          <xdr:col>4</xdr:col>
          <xdr:colOff>219075</xdr:colOff>
          <xdr:row>129</xdr:row>
          <xdr:rowOff>171450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0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130</xdr:row>
          <xdr:rowOff>9525</xdr:rowOff>
        </xdr:from>
        <xdr:to>
          <xdr:col>4</xdr:col>
          <xdr:colOff>219075</xdr:colOff>
          <xdr:row>130</xdr:row>
          <xdr:rowOff>171450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0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131</xdr:row>
          <xdr:rowOff>9525</xdr:rowOff>
        </xdr:from>
        <xdr:to>
          <xdr:col>4</xdr:col>
          <xdr:colOff>219075</xdr:colOff>
          <xdr:row>131</xdr:row>
          <xdr:rowOff>171450</xdr:rowOff>
        </xdr:to>
        <xdr:sp macro="" textlink="">
          <xdr:nvSpPr>
            <xdr:cNvPr id="2261" name="Button 213" hidden="1">
              <a:extLst>
                <a:ext uri="{63B3BB69-23CF-44E3-9099-C40C66FF867C}">
                  <a14:compatExt spid="_x0000_s2261"/>
                </a:ext>
                <a:ext uri="{FF2B5EF4-FFF2-40B4-BE49-F238E27FC236}">
                  <a16:creationId xmlns:a16="http://schemas.microsoft.com/office/drawing/2014/main" id="{00000000-0008-0000-0000-0000D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132</xdr:row>
          <xdr:rowOff>9525</xdr:rowOff>
        </xdr:from>
        <xdr:to>
          <xdr:col>4</xdr:col>
          <xdr:colOff>219075</xdr:colOff>
          <xdr:row>132</xdr:row>
          <xdr:rowOff>171450</xdr:rowOff>
        </xdr:to>
        <xdr:sp macro="" textlink="">
          <xdr:nvSpPr>
            <xdr:cNvPr id="2262" name="Button 214" hidden="1">
              <a:extLst>
                <a:ext uri="{63B3BB69-23CF-44E3-9099-C40C66FF867C}">
                  <a14:compatExt spid="_x0000_s2262"/>
                </a:ext>
                <a:ext uri="{FF2B5EF4-FFF2-40B4-BE49-F238E27FC236}">
                  <a16:creationId xmlns:a16="http://schemas.microsoft.com/office/drawing/2014/main" id="{00000000-0008-0000-0000-0000D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133</xdr:row>
          <xdr:rowOff>9525</xdr:rowOff>
        </xdr:from>
        <xdr:to>
          <xdr:col>4</xdr:col>
          <xdr:colOff>219075</xdr:colOff>
          <xdr:row>133</xdr:row>
          <xdr:rowOff>171450</xdr:rowOff>
        </xdr:to>
        <xdr:sp macro="" textlink="">
          <xdr:nvSpPr>
            <xdr:cNvPr id="2263" name="Button 215" hidden="1">
              <a:extLst>
                <a:ext uri="{63B3BB69-23CF-44E3-9099-C40C66FF867C}">
                  <a14:compatExt spid="_x0000_s2263"/>
                </a:ext>
                <a:ext uri="{FF2B5EF4-FFF2-40B4-BE49-F238E27FC236}">
                  <a16:creationId xmlns:a16="http://schemas.microsoft.com/office/drawing/2014/main" id="{00000000-0008-0000-0000-0000D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134</xdr:row>
          <xdr:rowOff>9525</xdr:rowOff>
        </xdr:from>
        <xdr:to>
          <xdr:col>4</xdr:col>
          <xdr:colOff>219075</xdr:colOff>
          <xdr:row>134</xdr:row>
          <xdr:rowOff>171450</xdr:rowOff>
        </xdr:to>
        <xdr:sp macro="" textlink="">
          <xdr:nvSpPr>
            <xdr:cNvPr id="2264" name="Button 216" hidden="1">
              <a:extLst>
                <a:ext uri="{63B3BB69-23CF-44E3-9099-C40C66FF867C}">
                  <a14:compatExt spid="_x0000_s2264"/>
                </a:ext>
                <a:ext uri="{FF2B5EF4-FFF2-40B4-BE49-F238E27FC236}">
                  <a16:creationId xmlns:a16="http://schemas.microsoft.com/office/drawing/2014/main" id="{00000000-0008-0000-0000-0000D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135</xdr:row>
          <xdr:rowOff>9525</xdr:rowOff>
        </xdr:from>
        <xdr:to>
          <xdr:col>4</xdr:col>
          <xdr:colOff>219075</xdr:colOff>
          <xdr:row>135</xdr:row>
          <xdr:rowOff>171450</xdr:rowOff>
        </xdr:to>
        <xdr:sp macro="" textlink="">
          <xdr:nvSpPr>
            <xdr:cNvPr id="2265" name="Button 217" hidden="1">
              <a:extLst>
                <a:ext uri="{63B3BB69-23CF-44E3-9099-C40C66FF867C}">
                  <a14:compatExt spid="_x0000_s2265"/>
                </a:ext>
                <a:ext uri="{FF2B5EF4-FFF2-40B4-BE49-F238E27FC236}">
                  <a16:creationId xmlns:a16="http://schemas.microsoft.com/office/drawing/2014/main" id="{00000000-0008-0000-0000-0000D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136</xdr:row>
          <xdr:rowOff>9525</xdr:rowOff>
        </xdr:from>
        <xdr:to>
          <xdr:col>4</xdr:col>
          <xdr:colOff>219075</xdr:colOff>
          <xdr:row>136</xdr:row>
          <xdr:rowOff>171450</xdr:rowOff>
        </xdr:to>
        <xdr:sp macro="" textlink="">
          <xdr:nvSpPr>
            <xdr:cNvPr id="2266" name="Button 218" hidden="1">
              <a:extLst>
                <a:ext uri="{63B3BB69-23CF-44E3-9099-C40C66FF867C}">
                  <a14:compatExt spid="_x0000_s2266"/>
                </a:ext>
                <a:ext uri="{FF2B5EF4-FFF2-40B4-BE49-F238E27FC236}">
                  <a16:creationId xmlns:a16="http://schemas.microsoft.com/office/drawing/2014/main" id="{00000000-0008-0000-0000-0000D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137</xdr:row>
          <xdr:rowOff>9525</xdr:rowOff>
        </xdr:from>
        <xdr:to>
          <xdr:col>4</xdr:col>
          <xdr:colOff>219075</xdr:colOff>
          <xdr:row>137</xdr:row>
          <xdr:rowOff>171450</xdr:rowOff>
        </xdr:to>
        <xdr:sp macro="" textlink="">
          <xdr:nvSpPr>
            <xdr:cNvPr id="2267" name="Button 219" hidden="1">
              <a:extLst>
                <a:ext uri="{63B3BB69-23CF-44E3-9099-C40C66FF867C}">
                  <a14:compatExt spid="_x0000_s2267"/>
                </a:ext>
                <a:ext uri="{FF2B5EF4-FFF2-40B4-BE49-F238E27FC236}">
                  <a16:creationId xmlns:a16="http://schemas.microsoft.com/office/drawing/2014/main" id="{00000000-0008-0000-0000-0000D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138</xdr:row>
          <xdr:rowOff>9525</xdr:rowOff>
        </xdr:from>
        <xdr:to>
          <xdr:col>4</xdr:col>
          <xdr:colOff>219075</xdr:colOff>
          <xdr:row>138</xdr:row>
          <xdr:rowOff>171450</xdr:rowOff>
        </xdr:to>
        <xdr:sp macro="" textlink="">
          <xdr:nvSpPr>
            <xdr:cNvPr id="2268" name="Button 220" hidden="1">
              <a:extLst>
                <a:ext uri="{63B3BB69-23CF-44E3-9099-C40C66FF867C}">
                  <a14:compatExt spid="_x0000_s2268"/>
                </a:ext>
                <a:ext uri="{FF2B5EF4-FFF2-40B4-BE49-F238E27FC236}">
                  <a16:creationId xmlns:a16="http://schemas.microsoft.com/office/drawing/2014/main" id="{00000000-0008-0000-0000-0000D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139</xdr:row>
          <xdr:rowOff>9525</xdr:rowOff>
        </xdr:from>
        <xdr:to>
          <xdr:col>4</xdr:col>
          <xdr:colOff>219075</xdr:colOff>
          <xdr:row>139</xdr:row>
          <xdr:rowOff>171450</xdr:rowOff>
        </xdr:to>
        <xdr:sp macro="" textlink="">
          <xdr:nvSpPr>
            <xdr:cNvPr id="2269" name="Button 221" hidden="1">
              <a:extLst>
                <a:ext uri="{63B3BB69-23CF-44E3-9099-C40C66FF867C}">
                  <a14:compatExt spid="_x0000_s2269"/>
                </a:ext>
                <a:ext uri="{FF2B5EF4-FFF2-40B4-BE49-F238E27FC236}">
                  <a16:creationId xmlns:a16="http://schemas.microsoft.com/office/drawing/2014/main" id="{00000000-0008-0000-0000-0000D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140</xdr:row>
          <xdr:rowOff>9525</xdr:rowOff>
        </xdr:from>
        <xdr:to>
          <xdr:col>4</xdr:col>
          <xdr:colOff>219075</xdr:colOff>
          <xdr:row>140</xdr:row>
          <xdr:rowOff>171450</xdr:rowOff>
        </xdr:to>
        <xdr:sp macro="" textlink="">
          <xdr:nvSpPr>
            <xdr:cNvPr id="2270" name="Button 222" hidden="1">
              <a:extLst>
                <a:ext uri="{63B3BB69-23CF-44E3-9099-C40C66FF867C}">
                  <a14:compatExt spid="_x0000_s2270"/>
                </a:ext>
                <a:ext uri="{FF2B5EF4-FFF2-40B4-BE49-F238E27FC236}">
                  <a16:creationId xmlns:a16="http://schemas.microsoft.com/office/drawing/2014/main" id="{00000000-0008-0000-0000-0000D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141</xdr:row>
          <xdr:rowOff>9525</xdr:rowOff>
        </xdr:from>
        <xdr:to>
          <xdr:col>4</xdr:col>
          <xdr:colOff>219075</xdr:colOff>
          <xdr:row>141</xdr:row>
          <xdr:rowOff>171450</xdr:rowOff>
        </xdr:to>
        <xdr:sp macro="" textlink="">
          <xdr:nvSpPr>
            <xdr:cNvPr id="2271" name="Button 223" hidden="1">
              <a:extLst>
                <a:ext uri="{63B3BB69-23CF-44E3-9099-C40C66FF867C}">
                  <a14:compatExt spid="_x0000_s2271"/>
                </a:ext>
                <a:ext uri="{FF2B5EF4-FFF2-40B4-BE49-F238E27FC236}">
                  <a16:creationId xmlns:a16="http://schemas.microsoft.com/office/drawing/2014/main" id="{00000000-0008-0000-0000-0000D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142</xdr:row>
          <xdr:rowOff>9525</xdr:rowOff>
        </xdr:from>
        <xdr:to>
          <xdr:col>4</xdr:col>
          <xdr:colOff>219075</xdr:colOff>
          <xdr:row>142</xdr:row>
          <xdr:rowOff>171450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0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143</xdr:row>
          <xdr:rowOff>9525</xdr:rowOff>
        </xdr:from>
        <xdr:to>
          <xdr:col>4</xdr:col>
          <xdr:colOff>219075</xdr:colOff>
          <xdr:row>143</xdr:row>
          <xdr:rowOff>171450</xdr:rowOff>
        </xdr:to>
        <xdr:sp macro="" textlink="">
          <xdr:nvSpPr>
            <xdr:cNvPr id="2273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000-0000E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144</xdr:row>
          <xdr:rowOff>9525</xdr:rowOff>
        </xdr:from>
        <xdr:to>
          <xdr:col>4</xdr:col>
          <xdr:colOff>219075</xdr:colOff>
          <xdr:row>144</xdr:row>
          <xdr:rowOff>171450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0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145</xdr:row>
          <xdr:rowOff>9525</xdr:rowOff>
        </xdr:from>
        <xdr:to>
          <xdr:col>4</xdr:col>
          <xdr:colOff>219075</xdr:colOff>
          <xdr:row>145</xdr:row>
          <xdr:rowOff>171450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0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146</xdr:row>
          <xdr:rowOff>9525</xdr:rowOff>
        </xdr:from>
        <xdr:to>
          <xdr:col>4</xdr:col>
          <xdr:colOff>219075</xdr:colOff>
          <xdr:row>146</xdr:row>
          <xdr:rowOff>171450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0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147</xdr:row>
          <xdr:rowOff>9525</xdr:rowOff>
        </xdr:from>
        <xdr:to>
          <xdr:col>4</xdr:col>
          <xdr:colOff>219075</xdr:colOff>
          <xdr:row>147</xdr:row>
          <xdr:rowOff>171450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0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148</xdr:row>
          <xdr:rowOff>9525</xdr:rowOff>
        </xdr:from>
        <xdr:to>
          <xdr:col>4</xdr:col>
          <xdr:colOff>219075</xdr:colOff>
          <xdr:row>148</xdr:row>
          <xdr:rowOff>171450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0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149</xdr:row>
          <xdr:rowOff>9525</xdr:rowOff>
        </xdr:from>
        <xdr:to>
          <xdr:col>4</xdr:col>
          <xdr:colOff>219075</xdr:colOff>
          <xdr:row>149</xdr:row>
          <xdr:rowOff>171450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0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150</xdr:row>
          <xdr:rowOff>9525</xdr:rowOff>
        </xdr:from>
        <xdr:to>
          <xdr:col>4</xdr:col>
          <xdr:colOff>219075</xdr:colOff>
          <xdr:row>150</xdr:row>
          <xdr:rowOff>171450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0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87</xdr:row>
          <xdr:rowOff>9525</xdr:rowOff>
        </xdr:from>
        <xdr:to>
          <xdr:col>6</xdr:col>
          <xdr:colOff>219075</xdr:colOff>
          <xdr:row>87</xdr:row>
          <xdr:rowOff>171450</xdr:rowOff>
        </xdr:to>
        <xdr:sp macro="" textlink="">
          <xdr:nvSpPr>
            <xdr:cNvPr id="2331" name="Button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00000000-0008-0000-0000-00001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88</xdr:row>
          <xdr:rowOff>9525</xdr:rowOff>
        </xdr:from>
        <xdr:to>
          <xdr:col>6</xdr:col>
          <xdr:colOff>219075</xdr:colOff>
          <xdr:row>88</xdr:row>
          <xdr:rowOff>171450</xdr:rowOff>
        </xdr:to>
        <xdr:sp macro="" textlink="">
          <xdr:nvSpPr>
            <xdr:cNvPr id="2332" name="Button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00000000-0008-0000-0000-00001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89</xdr:row>
          <xdr:rowOff>9525</xdr:rowOff>
        </xdr:from>
        <xdr:to>
          <xdr:col>6</xdr:col>
          <xdr:colOff>219075</xdr:colOff>
          <xdr:row>89</xdr:row>
          <xdr:rowOff>171450</xdr:rowOff>
        </xdr:to>
        <xdr:sp macro="" textlink="">
          <xdr:nvSpPr>
            <xdr:cNvPr id="2333" name="Button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00000000-0008-0000-0000-00001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90</xdr:row>
          <xdr:rowOff>9525</xdr:rowOff>
        </xdr:from>
        <xdr:to>
          <xdr:col>6</xdr:col>
          <xdr:colOff>219075</xdr:colOff>
          <xdr:row>90</xdr:row>
          <xdr:rowOff>171450</xdr:rowOff>
        </xdr:to>
        <xdr:sp macro="" textlink="">
          <xdr:nvSpPr>
            <xdr:cNvPr id="2334" name="Button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00000000-0008-0000-0000-00001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91</xdr:row>
          <xdr:rowOff>9525</xdr:rowOff>
        </xdr:from>
        <xdr:to>
          <xdr:col>6</xdr:col>
          <xdr:colOff>219075</xdr:colOff>
          <xdr:row>91</xdr:row>
          <xdr:rowOff>171450</xdr:rowOff>
        </xdr:to>
        <xdr:sp macro="" textlink="">
          <xdr:nvSpPr>
            <xdr:cNvPr id="2335" name="Button 287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00000000-0008-0000-0000-00001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92</xdr:row>
          <xdr:rowOff>9525</xdr:rowOff>
        </xdr:from>
        <xdr:to>
          <xdr:col>6</xdr:col>
          <xdr:colOff>219075</xdr:colOff>
          <xdr:row>92</xdr:row>
          <xdr:rowOff>171450</xdr:rowOff>
        </xdr:to>
        <xdr:sp macro="" textlink="">
          <xdr:nvSpPr>
            <xdr:cNvPr id="2336" name="Button 288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00000000-0008-0000-0000-00002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93</xdr:row>
          <xdr:rowOff>9525</xdr:rowOff>
        </xdr:from>
        <xdr:to>
          <xdr:col>6</xdr:col>
          <xdr:colOff>219075</xdr:colOff>
          <xdr:row>93</xdr:row>
          <xdr:rowOff>171450</xdr:rowOff>
        </xdr:to>
        <xdr:sp macro="" textlink="">
          <xdr:nvSpPr>
            <xdr:cNvPr id="2337" name="Button 289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00000000-0008-0000-0000-00002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94</xdr:row>
          <xdr:rowOff>9525</xdr:rowOff>
        </xdr:from>
        <xdr:to>
          <xdr:col>6</xdr:col>
          <xdr:colOff>219075</xdr:colOff>
          <xdr:row>94</xdr:row>
          <xdr:rowOff>171450</xdr:rowOff>
        </xdr:to>
        <xdr:sp macro="" textlink="">
          <xdr:nvSpPr>
            <xdr:cNvPr id="2338" name="Button 290" hidden="1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00000000-0008-0000-0000-00002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95</xdr:row>
          <xdr:rowOff>9525</xdr:rowOff>
        </xdr:from>
        <xdr:to>
          <xdr:col>6</xdr:col>
          <xdr:colOff>219075</xdr:colOff>
          <xdr:row>95</xdr:row>
          <xdr:rowOff>171450</xdr:rowOff>
        </xdr:to>
        <xdr:sp macro="" textlink="">
          <xdr:nvSpPr>
            <xdr:cNvPr id="2339" name="Button 291" hidden="1">
              <a:extLst>
                <a:ext uri="{63B3BB69-23CF-44E3-9099-C40C66FF867C}">
                  <a14:compatExt spid="_x0000_s2339"/>
                </a:ext>
                <a:ext uri="{FF2B5EF4-FFF2-40B4-BE49-F238E27FC236}">
                  <a16:creationId xmlns:a16="http://schemas.microsoft.com/office/drawing/2014/main" id="{00000000-0008-0000-0000-00002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96</xdr:row>
          <xdr:rowOff>9525</xdr:rowOff>
        </xdr:from>
        <xdr:to>
          <xdr:col>6</xdr:col>
          <xdr:colOff>219075</xdr:colOff>
          <xdr:row>96</xdr:row>
          <xdr:rowOff>171450</xdr:rowOff>
        </xdr:to>
        <xdr:sp macro="" textlink="">
          <xdr:nvSpPr>
            <xdr:cNvPr id="2340" name="Button 292" hidden="1">
              <a:extLst>
                <a:ext uri="{63B3BB69-23CF-44E3-9099-C40C66FF867C}">
                  <a14:compatExt spid="_x0000_s2340"/>
                </a:ext>
                <a:ext uri="{FF2B5EF4-FFF2-40B4-BE49-F238E27FC236}">
                  <a16:creationId xmlns:a16="http://schemas.microsoft.com/office/drawing/2014/main" id="{00000000-0008-0000-0000-00002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97</xdr:row>
          <xdr:rowOff>9525</xdr:rowOff>
        </xdr:from>
        <xdr:to>
          <xdr:col>6</xdr:col>
          <xdr:colOff>219075</xdr:colOff>
          <xdr:row>97</xdr:row>
          <xdr:rowOff>171450</xdr:rowOff>
        </xdr:to>
        <xdr:sp macro="" textlink="">
          <xdr:nvSpPr>
            <xdr:cNvPr id="2341" name="Button 293" hidden="1">
              <a:extLst>
                <a:ext uri="{63B3BB69-23CF-44E3-9099-C40C66FF867C}">
                  <a14:compatExt spid="_x0000_s2341"/>
                </a:ext>
                <a:ext uri="{FF2B5EF4-FFF2-40B4-BE49-F238E27FC236}">
                  <a16:creationId xmlns:a16="http://schemas.microsoft.com/office/drawing/2014/main" id="{00000000-0008-0000-0000-00002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98</xdr:row>
          <xdr:rowOff>9525</xdr:rowOff>
        </xdr:from>
        <xdr:to>
          <xdr:col>6</xdr:col>
          <xdr:colOff>219075</xdr:colOff>
          <xdr:row>98</xdr:row>
          <xdr:rowOff>171450</xdr:rowOff>
        </xdr:to>
        <xdr:sp macro="" textlink="">
          <xdr:nvSpPr>
            <xdr:cNvPr id="2342" name="Button 294" hidden="1">
              <a:extLst>
                <a:ext uri="{63B3BB69-23CF-44E3-9099-C40C66FF867C}">
                  <a14:compatExt spid="_x0000_s2342"/>
                </a:ext>
                <a:ext uri="{FF2B5EF4-FFF2-40B4-BE49-F238E27FC236}">
                  <a16:creationId xmlns:a16="http://schemas.microsoft.com/office/drawing/2014/main" id="{00000000-0008-0000-0000-00002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99</xdr:row>
          <xdr:rowOff>9525</xdr:rowOff>
        </xdr:from>
        <xdr:to>
          <xdr:col>6</xdr:col>
          <xdr:colOff>219075</xdr:colOff>
          <xdr:row>99</xdr:row>
          <xdr:rowOff>171450</xdr:rowOff>
        </xdr:to>
        <xdr:sp macro="" textlink="">
          <xdr:nvSpPr>
            <xdr:cNvPr id="2343" name="Button 295" hidden="1">
              <a:extLst>
                <a:ext uri="{63B3BB69-23CF-44E3-9099-C40C66FF867C}">
                  <a14:compatExt spid="_x0000_s2343"/>
                </a:ext>
                <a:ext uri="{FF2B5EF4-FFF2-40B4-BE49-F238E27FC236}">
                  <a16:creationId xmlns:a16="http://schemas.microsoft.com/office/drawing/2014/main" id="{00000000-0008-0000-0000-00002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100</xdr:row>
          <xdr:rowOff>9525</xdr:rowOff>
        </xdr:from>
        <xdr:to>
          <xdr:col>6</xdr:col>
          <xdr:colOff>219075</xdr:colOff>
          <xdr:row>100</xdr:row>
          <xdr:rowOff>171450</xdr:rowOff>
        </xdr:to>
        <xdr:sp macro="" textlink="">
          <xdr:nvSpPr>
            <xdr:cNvPr id="2344" name="Button 296" hidden="1">
              <a:extLst>
                <a:ext uri="{63B3BB69-23CF-44E3-9099-C40C66FF867C}">
                  <a14:compatExt spid="_x0000_s2344"/>
                </a:ext>
                <a:ext uri="{FF2B5EF4-FFF2-40B4-BE49-F238E27FC236}">
                  <a16:creationId xmlns:a16="http://schemas.microsoft.com/office/drawing/2014/main" id="{00000000-0008-0000-0000-00002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101</xdr:row>
          <xdr:rowOff>9525</xdr:rowOff>
        </xdr:from>
        <xdr:to>
          <xdr:col>6</xdr:col>
          <xdr:colOff>219075</xdr:colOff>
          <xdr:row>101</xdr:row>
          <xdr:rowOff>171450</xdr:rowOff>
        </xdr:to>
        <xdr:sp macro="" textlink="">
          <xdr:nvSpPr>
            <xdr:cNvPr id="2345" name="Button 297" hidden="1">
              <a:extLst>
                <a:ext uri="{63B3BB69-23CF-44E3-9099-C40C66FF867C}">
                  <a14:compatExt spid="_x0000_s2345"/>
                </a:ext>
                <a:ext uri="{FF2B5EF4-FFF2-40B4-BE49-F238E27FC236}">
                  <a16:creationId xmlns:a16="http://schemas.microsoft.com/office/drawing/2014/main" id="{00000000-0008-0000-0000-00002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102</xdr:row>
          <xdr:rowOff>9525</xdr:rowOff>
        </xdr:from>
        <xdr:to>
          <xdr:col>6</xdr:col>
          <xdr:colOff>219075</xdr:colOff>
          <xdr:row>102</xdr:row>
          <xdr:rowOff>171450</xdr:rowOff>
        </xdr:to>
        <xdr:sp macro="" textlink="">
          <xdr:nvSpPr>
            <xdr:cNvPr id="2346" name="Button 298" hidden="1">
              <a:extLst>
                <a:ext uri="{63B3BB69-23CF-44E3-9099-C40C66FF867C}">
                  <a14:compatExt spid="_x0000_s2346"/>
                </a:ext>
                <a:ext uri="{FF2B5EF4-FFF2-40B4-BE49-F238E27FC236}">
                  <a16:creationId xmlns:a16="http://schemas.microsoft.com/office/drawing/2014/main" id="{00000000-0008-0000-0000-00002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103</xdr:row>
          <xdr:rowOff>9525</xdr:rowOff>
        </xdr:from>
        <xdr:to>
          <xdr:col>6</xdr:col>
          <xdr:colOff>219075</xdr:colOff>
          <xdr:row>103</xdr:row>
          <xdr:rowOff>171450</xdr:rowOff>
        </xdr:to>
        <xdr:sp macro="" textlink="">
          <xdr:nvSpPr>
            <xdr:cNvPr id="2347" name="Button 299" hidden="1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00000000-0008-0000-0000-00002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104</xdr:row>
          <xdr:rowOff>9525</xdr:rowOff>
        </xdr:from>
        <xdr:to>
          <xdr:col>6</xdr:col>
          <xdr:colOff>219075</xdr:colOff>
          <xdr:row>104</xdr:row>
          <xdr:rowOff>171450</xdr:rowOff>
        </xdr:to>
        <xdr:sp macro="" textlink="">
          <xdr:nvSpPr>
            <xdr:cNvPr id="2348" name="Button 300" hidden="1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00000000-0008-0000-0000-00002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105</xdr:row>
          <xdr:rowOff>9525</xdr:rowOff>
        </xdr:from>
        <xdr:to>
          <xdr:col>6</xdr:col>
          <xdr:colOff>219075</xdr:colOff>
          <xdr:row>105</xdr:row>
          <xdr:rowOff>171450</xdr:rowOff>
        </xdr:to>
        <xdr:sp macro="" textlink="">
          <xdr:nvSpPr>
            <xdr:cNvPr id="2349" name="Button 301" hidden="1">
              <a:extLst>
                <a:ext uri="{63B3BB69-23CF-44E3-9099-C40C66FF867C}">
                  <a14:compatExt spid="_x0000_s2349"/>
                </a:ext>
                <a:ext uri="{FF2B5EF4-FFF2-40B4-BE49-F238E27FC236}">
                  <a16:creationId xmlns:a16="http://schemas.microsoft.com/office/drawing/2014/main" id="{00000000-0008-0000-0000-00002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106</xdr:row>
          <xdr:rowOff>9525</xdr:rowOff>
        </xdr:from>
        <xdr:to>
          <xdr:col>6</xdr:col>
          <xdr:colOff>219075</xdr:colOff>
          <xdr:row>106</xdr:row>
          <xdr:rowOff>171450</xdr:rowOff>
        </xdr:to>
        <xdr:sp macro="" textlink="">
          <xdr:nvSpPr>
            <xdr:cNvPr id="2350" name="Button 302" hidden="1">
              <a:extLst>
                <a:ext uri="{63B3BB69-23CF-44E3-9099-C40C66FF867C}">
                  <a14:compatExt spid="_x0000_s2350"/>
                </a:ext>
                <a:ext uri="{FF2B5EF4-FFF2-40B4-BE49-F238E27FC236}">
                  <a16:creationId xmlns:a16="http://schemas.microsoft.com/office/drawing/2014/main" id="{00000000-0008-0000-0000-00002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107</xdr:row>
          <xdr:rowOff>9525</xdr:rowOff>
        </xdr:from>
        <xdr:to>
          <xdr:col>6</xdr:col>
          <xdr:colOff>219075</xdr:colOff>
          <xdr:row>107</xdr:row>
          <xdr:rowOff>171450</xdr:rowOff>
        </xdr:to>
        <xdr:sp macro="" textlink="">
          <xdr:nvSpPr>
            <xdr:cNvPr id="2351" name="Button 303" hidden="1">
              <a:extLst>
                <a:ext uri="{63B3BB69-23CF-44E3-9099-C40C66FF867C}">
                  <a14:compatExt spid="_x0000_s2351"/>
                </a:ext>
                <a:ext uri="{FF2B5EF4-FFF2-40B4-BE49-F238E27FC236}">
                  <a16:creationId xmlns:a16="http://schemas.microsoft.com/office/drawing/2014/main" id="{00000000-0008-0000-0000-00002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108</xdr:row>
          <xdr:rowOff>9525</xdr:rowOff>
        </xdr:from>
        <xdr:to>
          <xdr:col>6</xdr:col>
          <xdr:colOff>219075</xdr:colOff>
          <xdr:row>108</xdr:row>
          <xdr:rowOff>171450</xdr:rowOff>
        </xdr:to>
        <xdr:sp macro="" textlink="">
          <xdr:nvSpPr>
            <xdr:cNvPr id="2352" name="Button 304" hidden="1">
              <a:extLst>
                <a:ext uri="{63B3BB69-23CF-44E3-9099-C40C66FF867C}">
                  <a14:compatExt spid="_x0000_s2352"/>
                </a:ext>
                <a:ext uri="{FF2B5EF4-FFF2-40B4-BE49-F238E27FC236}">
                  <a16:creationId xmlns:a16="http://schemas.microsoft.com/office/drawing/2014/main" id="{00000000-0008-0000-0000-00003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109</xdr:row>
          <xdr:rowOff>9525</xdr:rowOff>
        </xdr:from>
        <xdr:to>
          <xdr:col>6</xdr:col>
          <xdr:colOff>219075</xdr:colOff>
          <xdr:row>109</xdr:row>
          <xdr:rowOff>171450</xdr:rowOff>
        </xdr:to>
        <xdr:sp macro="" textlink="">
          <xdr:nvSpPr>
            <xdr:cNvPr id="2353" name="Button 305" hidden="1">
              <a:extLst>
                <a:ext uri="{63B3BB69-23CF-44E3-9099-C40C66FF867C}">
                  <a14:compatExt spid="_x0000_s2353"/>
                </a:ext>
                <a:ext uri="{FF2B5EF4-FFF2-40B4-BE49-F238E27FC236}">
                  <a16:creationId xmlns:a16="http://schemas.microsoft.com/office/drawing/2014/main" id="{00000000-0008-0000-0000-00003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110</xdr:row>
          <xdr:rowOff>9525</xdr:rowOff>
        </xdr:from>
        <xdr:to>
          <xdr:col>6</xdr:col>
          <xdr:colOff>219075</xdr:colOff>
          <xdr:row>110</xdr:row>
          <xdr:rowOff>171450</xdr:rowOff>
        </xdr:to>
        <xdr:sp macro="" textlink="">
          <xdr:nvSpPr>
            <xdr:cNvPr id="2354" name="Button 306" hidden="1">
              <a:extLst>
                <a:ext uri="{63B3BB69-23CF-44E3-9099-C40C66FF867C}">
                  <a14:compatExt spid="_x0000_s2354"/>
                </a:ext>
                <a:ext uri="{FF2B5EF4-FFF2-40B4-BE49-F238E27FC236}">
                  <a16:creationId xmlns:a16="http://schemas.microsoft.com/office/drawing/2014/main" id="{00000000-0008-0000-0000-00003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111</xdr:row>
          <xdr:rowOff>9525</xdr:rowOff>
        </xdr:from>
        <xdr:to>
          <xdr:col>6</xdr:col>
          <xdr:colOff>219075</xdr:colOff>
          <xdr:row>111</xdr:row>
          <xdr:rowOff>171450</xdr:rowOff>
        </xdr:to>
        <xdr:sp macro="" textlink="">
          <xdr:nvSpPr>
            <xdr:cNvPr id="2355" name="Button 307" hidden="1">
              <a:extLst>
                <a:ext uri="{63B3BB69-23CF-44E3-9099-C40C66FF867C}">
                  <a14:compatExt spid="_x0000_s2355"/>
                </a:ext>
                <a:ext uri="{FF2B5EF4-FFF2-40B4-BE49-F238E27FC236}">
                  <a16:creationId xmlns:a16="http://schemas.microsoft.com/office/drawing/2014/main" id="{00000000-0008-0000-0000-00003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112</xdr:row>
          <xdr:rowOff>9525</xdr:rowOff>
        </xdr:from>
        <xdr:to>
          <xdr:col>6</xdr:col>
          <xdr:colOff>219075</xdr:colOff>
          <xdr:row>112</xdr:row>
          <xdr:rowOff>171450</xdr:rowOff>
        </xdr:to>
        <xdr:sp macro="" textlink="">
          <xdr:nvSpPr>
            <xdr:cNvPr id="2356" name="Button 308" hidden="1">
              <a:extLst>
                <a:ext uri="{63B3BB69-23CF-44E3-9099-C40C66FF867C}">
                  <a14:compatExt spid="_x0000_s2356"/>
                </a:ext>
                <a:ext uri="{FF2B5EF4-FFF2-40B4-BE49-F238E27FC236}">
                  <a16:creationId xmlns:a16="http://schemas.microsoft.com/office/drawing/2014/main" id="{00000000-0008-0000-0000-00003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113</xdr:row>
          <xdr:rowOff>9525</xdr:rowOff>
        </xdr:from>
        <xdr:to>
          <xdr:col>6</xdr:col>
          <xdr:colOff>219075</xdr:colOff>
          <xdr:row>113</xdr:row>
          <xdr:rowOff>171450</xdr:rowOff>
        </xdr:to>
        <xdr:sp macro="" textlink="">
          <xdr:nvSpPr>
            <xdr:cNvPr id="2357" name="Button 309" hidden="1">
              <a:extLst>
                <a:ext uri="{63B3BB69-23CF-44E3-9099-C40C66FF867C}">
                  <a14:compatExt spid="_x0000_s2357"/>
                </a:ext>
                <a:ext uri="{FF2B5EF4-FFF2-40B4-BE49-F238E27FC236}">
                  <a16:creationId xmlns:a16="http://schemas.microsoft.com/office/drawing/2014/main" id="{00000000-0008-0000-0000-00003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114</xdr:row>
          <xdr:rowOff>9525</xdr:rowOff>
        </xdr:from>
        <xdr:to>
          <xdr:col>6</xdr:col>
          <xdr:colOff>219075</xdr:colOff>
          <xdr:row>114</xdr:row>
          <xdr:rowOff>171450</xdr:rowOff>
        </xdr:to>
        <xdr:sp macro="" textlink="">
          <xdr:nvSpPr>
            <xdr:cNvPr id="2358" name="Button 310" hidden="1">
              <a:extLst>
                <a:ext uri="{63B3BB69-23CF-44E3-9099-C40C66FF867C}">
                  <a14:compatExt spid="_x0000_s2358"/>
                </a:ext>
                <a:ext uri="{FF2B5EF4-FFF2-40B4-BE49-F238E27FC236}">
                  <a16:creationId xmlns:a16="http://schemas.microsoft.com/office/drawing/2014/main" id="{00000000-0008-0000-0000-00003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115</xdr:row>
          <xdr:rowOff>9525</xdr:rowOff>
        </xdr:from>
        <xdr:to>
          <xdr:col>6</xdr:col>
          <xdr:colOff>219075</xdr:colOff>
          <xdr:row>115</xdr:row>
          <xdr:rowOff>171450</xdr:rowOff>
        </xdr:to>
        <xdr:sp macro="" textlink="">
          <xdr:nvSpPr>
            <xdr:cNvPr id="2359" name="Button 311" hidden="1">
              <a:extLst>
                <a:ext uri="{63B3BB69-23CF-44E3-9099-C40C66FF867C}">
                  <a14:compatExt spid="_x0000_s2359"/>
                </a:ext>
                <a:ext uri="{FF2B5EF4-FFF2-40B4-BE49-F238E27FC236}">
                  <a16:creationId xmlns:a16="http://schemas.microsoft.com/office/drawing/2014/main" id="{00000000-0008-0000-0000-00003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116</xdr:row>
          <xdr:rowOff>9525</xdr:rowOff>
        </xdr:from>
        <xdr:to>
          <xdr:col>6</xdr:col>
          <xdr:colOff>219075</xdr:colOff>
          <xdr:row>116</xdr:row>
          <xdr:rowOff>171450</xdr:rowOff>
        </xdr:to>
        <xdr:sp macro="" textlink="">
          <xdr:nvSpPr>
            <xdr:cNvPr id="2360" name="Button 312" hidden="1">
              <a:extLst>
                <a:ext uri="{63B3BB69-23CF-44E3-9099-C40C66FF867C}">
                  <a14:compatExt spid="_x0000_s2360"/>
                </a:ext>
                <a:ext uri="{FF2B5EF4-FFF2-40B4-BE49-F238E27FC236}">
                  <a16:creationId xmlns:a16="http://schemas.microsoft.com/office/drawing/2014/main" id="{00000000-0008-0000-0000-00003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117</xdr:row>
          <xdr:rowOff>9525</xdr:rowOff>
        </xdr:from>
        <xdr:to>
          <xdr:col>6</xdr:col>
          <xdr:colOff>219075</xdr:colOff>
          <xdr:row>117</xdr:row>
          <xdr:rowOff>171450</xdr:rowOff>
        </xdr:to>
        <xdr:sp macro="" textlink="">
          <xdr:nvSpPr>
            <xdr:cNvPr id="2361" name="Button 313" hidden="1">
              <a:extLst>
                <a:ext uri="{63B3BB69-23CF-44E3-9099-C40C66FF867C}">
                  <a14:compatExt spid="_x0000_s2361"/>
                </a:ext>
                <a:ext uri="{FF2B5EF4-FFF2-40B4-BE49-F238E27FC236}">
                  <a16:creationId xmlns:a16="http://schemas.microsoft.com/office/drawing/2014/main" id="{00000000-0008-0000-0000-00003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118</xdr:row>
          <xdr:rowOff>9525</xdr:rowOff>
        </xdr:from>
        <xdr:to>
          <xdr:col>6</xdr:col>
          <xdr:colOff>219075</xdr:colOff>
          <xdr:row>118</xdr:row>
          <xdr:rowOff>171450</xdr:rowOff>
        </xdr:to>
        <xdr:sp macro="" textlink="">
          <xdr:nvSpPr>
            <xdr:cNvPr id="2362" name="Button 314" hidden="1">
              <a:extLst>
                <a:ext uri="{63B3BB69-23CF-44E3-9099-C40C66FF867C}">
                  <a14:compatExt spid="_x0000_s2362"/>
                </a:ext>
                <a:ext uri="{FF2B5EF4-FFF2-40B4-BE49-F238E27FC236}">
                  <a16:creationId xmlns:a16="http://schemas.microsoft.com/office/drawing/2014/main" id="{00000000-0008-0000-0000-00003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119</xdr:row>
          <xdr:rowOff>9525</xdr:rowOff>
        </xdr:from>
        <xdr:to>
          <xdr:col>6</xdr:col>
          <xdr:colOff>219075</xdr:colOff>
          <xdr:row>119</xdr:row>
          <xdr:rowOff>171450</xdr:rowOff>
        </xdr:to>
        <xdr:sp macro="" textlink="">
          <xdr:nvSpPr>
            <xdr:cNvPr id="2363" name="Button 315" hidden="1">
              <a:extLst>
                <a:ext uri="{63B3BB69-23CF-44E3-9099-C40C66FF867C}">
                  <a14:compatExt spid="_x0000_s2363"/>
                </a:ext>
                <a:ext uri="{FF2B5EF4-FFF2-40B4-BE49-F238E27FC236}">
                  <a16:creationId xmlns:a16="http://schemas.microsoft.com/office/drawing/2014/main" id="{00000000-0008-0000-0000-00003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120</xdr:row>
          <xdr:rowOff>9525</xdr:rowOff>
        </xdr:from>
        <xdr:to>
          <xdr:col>6</xdr:col>
          <xdr:colOff>219075</xdr:colOff>
          <xdr:row>120</xdr:row>
          <xdr:rowOff>171450</xdr:rowOff>
        </xdr:to>
        <xdr:sp macro="" textlink="">
          <xdr:nvSpPr>
            <xdr:cNvPr id="2364" name="Button 316" hidden="1">
              <a:extLst>
                <a:ext uri="{63B3BB69-23CF-44E3-9099-C40C66FF867C}">
                  <a14:compatExt spid="_x0000_s2364"/>
                </a:ext>
                <a:ext uri="{FF2B5EF4-FFF2-40B4-BE49-F238E27FC236}">
                  <a16:creationId xmlns:a16="http://schemas.microsoft.com/office/drawing/2014/main" id="{00000000-0008-0000-0000-00003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121</xdr:row>
          <xdr:rowOff>9525</xdr:rowOff>
        </xdr:from>
        <xdr:to>
          <xdr:col>6</xdr:col>
          <xdr:colOff>219075</xdr:colOff>
          <xdr:row>121</xdr:row>
          <xdr:rowOff>171450</xdr:rowOff>
        </xdr:to>
        <xdr:sp macro="" textlink="">
          <xdr:nvSpPr>
            <xdr:cNvPr id="2365" name="Button 317" hidden="1">
              <a:extLst>
                <a:ext uri="{63B3BB69-23CF-44E3-9099-C40C66FF867C}">
                  <a14:compatExt spid="_x0000_s2365"/>
                </a:ext>
                <a:ext uri="{FF2B5EF4-FFF2-40B4-BE49-F238E27FC236}">
                  <a16:creationId xmlns:a16="http://schemas.microsoft.com/office/drawing/2014/main" id="{00000000-0008-0000-0000-00003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122</xdr:row>
          <xdr:rowOff>9525</xdr:rowOff>
        </xdr:from>
        <xdr:to>
          <xdr:col>6</xdr:col>
          <xdr:colOff>219075</xdr:colOff>
          <xdr:row>122</xdr:row>
          <xdr:rowOff>171450</xdr:rowOff>
        </xdr:to>
        <xdr:sp macro="" textlink="">
          <xdr:nvSpPr>
            <xdr:cNvPr id="2366" name="Button 318" hidden="1">
              <a:extLst>
                <a:ext uri="{63B3BB69-23CF-44E3-9099-C40C66FF867C}">
                  <a14:compatExt spid="_x0000_s2366"/>
                </a:ext>
                <a:ext uri="{FF2B5EF4-FFF2-40B4-BE49-F238E27FC236}">
                  <a16:creationId xmlns:a16="http://schemas.microsoft.com/office/drawing/2014/main" id="{00000000-0008-0000-0000-00003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123</xdr:row>
          <xdr:rowOff>9525</xdr:rowOff>
        </xdr:from>
        <xdr:to>
          <xdr:col>6</xdr:col>
          <xdr:colOff>219075</xdr:colOff>
          <xdr:row>123</xdr:row>
          <xdr:rowOff>171450</xdr:rowOff>
        </xdr:to>
        <xdr:sp macro="" textlink="">
          <xdr:nvSpPr>
            <xdr:cNvPr id="2367" name="Button 319" hidden="1">
              <a:extLst>
                <a:ext uri="{63B3BB69-23CF-44E3-9099-C40C66FF867C}">
                  <a14:compatExt spid="_x0000_s2367"/>
                </a:ext>
                <a:ext uri="{FF2B5EF4-FFF2-40B4-BE49-F238E27FC236}">
                  <a16:creationId xmlns:a16="http://schemas.microsoft.com/office/drawing/2014/main" id="{00000000-0008-0000-0000-00003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124</xdr:row>
          <xdr:rowOff>9525</xdr:rowOff>
        </xdr:from>
        <xdr:to>
          <xdr:col>6</xdr:col>
          <xdr:colOff>219075</xdr:colOff>
          <xdr:row>124</xdr:row>
          <xdr:rowOff>171450</xdr:rowOff>
        </xdr:to>
        <xdr:sp macro="" textlink="">
          <xdr:nvSpPr>
            <xdr:cNvPr id="2368" name="Button 320" hidden="1">
              <a:extLst>
                <a:ext uri="{63B3BB69-23CF-44E3-9099-C40C66FF867C}">
                  <a14:compatExt spid="_x0000_s2368"/>
                </a:ext>
                <a:ext uri="{FF2B5EF4-FFF2-40B4-BE49-F238E27FC236}">
                  <a16:creationId xmlns:a16="http://schemas.microsoft.com/office/drawing/2014/main" id="{00000000-0008-0000-0000-00004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125</xdr:row>
          <xdr:rowOff>9525</xdr:rowOff>
        </xdr:from>
        <xdr:to>
          <xdr:col>6</xdr:col>
          <xdr:colOff>219075</xdr:colOff>
          <xdr:row>125</xdr:row>
          <xdr:rowOff>171450</xdr:rowOff>
        </xdr:to>
        <xdr:sp macro="" textlink="">
          <xdr:nvSpPr>
            <xdr:cNvPr id="2369" name="Button 321" hidden="1">
              <a:extLst>
                <a:ext uri="{63B3BB69-23CF-44E3-9099-C40C66FF867C}">
                  <a14:compatExt spid="_x0000_s2369"/>
                </a:ext>
                <a:ext uri="{FF2B5EF4-FFF2-40B4-BE49-F238E27FC236}">
                  <a16:creationId xmlns:a16="http://schemas.microsoft.com/office/drawing/2014/main" id="{00000000-0008-0000-0000-00004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126</xdr:row>
          <xdr:rowOff>9525</xdr:rowOff>
        </xdr:from>
        <xdr:to>
          <xdr:col>6</xdr:col>
          <xdr:colOff>219075</xdr:colOff>
          <xdr:row>126</xdr:row>
          <xdr:rowOff>171450</xdr:rowOff>
        </xdr:to>
        <xdr:sp macro="" textlink="">
          <xdr:nvSpPr>
            <xdr:cNvPr id="2370" name="Button 322" hidden="1">
              <a:extLst>
                <a:ext uri="{63B3BB69-23CF-44E3-9099-C40C66FF867C}">
                  <a14:compatExt spid="_x0000_s2370"/>
                </a:ext>
                <a:ext uri="{FF2B5EF4-FFF2-40B4-BE49-F238E27FC236}">
                  <a16:creationId xmlns:a16="http://schemas.microsoft.com/office/drawing/2014/main" id="{00000000-0008-0000-0000-00004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127</xdr:row>
          <xdr:rowOff>9525</xdr:rowOff>
        </xdr:from>
        <xdr:to>
          <xdr:col>6</xdr:col>
          <xdr:colOff>219075</xdr:colOff>
          <xdr:row>127</xdr:row>
          <xdr:rowOff>171450</xdr:rowOff>
        </xdr:to>
        <xdr:sp macro="" textlink="">
          <xdr:nvSpPr>
            <xdr:cNvPr id="2371" name="Button 323" hidden="1">
              <a:extLst>
                <a:ext uri="{63B3BB69-23CF-44E3-9099-C40C66FF867C}">
                  <a14:compatExt spid="_x0000_s2371"/>
                </a:ext>
                <a:ext uri="{FF2B5EF4-FFF2-40B4-BE49-F238E27FC236}">
                  <a16:creationId xmlns:a16="http://schemas.microsoft.com/office/drawing/2014/main" id="{00000000-0008-0000-0000-00004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128</xdr:row>
          <xdr:rowOff>9525</xdr:rowOff>
        </xdr:from>
        <xdr:to>
          <xdr:col>6</xdr:col>
          <xdr:colOff>219075</xdr:colOff>
          <xdr:row>128</xdr:row>
          <xdr:rowOff>171450</xdr:rowOff>
        </xdr:to>
        <xdr:sp macro="" textlink="">
          <xdr:nvSpPr>
            <xdr:cNvPr id="2372" name="Button 324" hidden="1">
              <a:extLst>
                <a:ext uri="{63B3BB69-23CF-44E3-9099-C40C66FF867C}">
                  <a14:compatExt spid="_x0000_s2372"/>
                </a:ext>
                <a:ext uri="{FF2B5EF4-FFF2-40B4-BE49-F238E27FC236}">
                  <a16:creationId xmlns:a16="http://schemas.microsoft.com/office/drawing/2014/main" id="{00000000-0008-0000-0000-00004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129</xdr:row>
          <xdr:rowOff>9525</xdr:rowOff>
        </xdr:from>
        <xdr:to>
          <xdr:col>6</xdr:col>
          <xdr:colOff>219075</xdr:colOff>
          <xdr:row>129</xdr:row>
          <xdr:rowOff>171450</xdr:rowOff>
        </xdr:to>
        <xdr:sp macro="" textlink="">
          <xdr:nvSpPr>
            <xdr:cNvPr id="2373" name="Button 325" hidden="1">
              <a:extLst>
                <a:ext uri="{63B3BB69-23CF-44E3-9099-C40C66FF867C}">
                  <a14:compatExt spid="_x0000_s2373"/>
                </a:ext>
                <a:ext uri="{FF2B5EF4-FFF2-40B4-BE49-F238E27FC236}">
                  <a16:creationId xmlns:a16="http://schemas.microsoft.com/office/drawing/2014/main" id="{00000000-0008-0000-0000-00004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130</xdr:row>
          <xdr:rowOff>9525</xdr:rowOff>
        </xdr:from>
        <xdr:to>
          <xdr:col>6</xdr:col>
          <xdr:colOff>219075</xdr:colOff>
          <xdr:row>130</xdr:row>
          <xdr:rowOff>171450</xdr:rowOff>
        </xdr:to>
        <xdr:sp macro="" textlink="">
          <xdr:nvSpPr>
            <xdr:cNvPr id="2374" name="Button 326" hidden="1">
              <a:extLst>
                <a:ext uri="{63B3BB69-23CF-44E3-9099-C40C66FF867C}">
                  <a14:compatExt spid="_x0000_s2374"/>
                </a:ext>
                <a:ext uri="{FF2B5EF4-FFF2-40B4-BE49-F238E27FC236}">
                  <a16:creationId xmlns:a16="http://schemas.microsoft.com/office/drawing/2014/main" id="{00000000-0008-0000-0000-00004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131</xdr:row>
          <xdr:rowOff>9525</xdr:rowOff>
        </xdr:from>
        <xdr:to>
          <xdr:col>6</xdr:col>
          <xdr:colOff>219075</xdr:colOff>
          <xdr:row>131</xdr:row>
          <xdr:rowOff>171450</xdr:rowOff>
        </xdr:to>
        <xdr:sp macro="" textlink="">
          <xdr:nvSpPr>
            <xdr:cNvPr id="2375" name="Button 327" hidden="1">
              <a:extLst>
                <a:ext uri="{63B3BB69-23CF-44E3-9099-C40C66FF867C}">
                  <a14:compatExt spid="_x0000_s2375"/>
                </a:ext>
                <a:ext uri="{FF2B5EF4-FFF2-40B4-BE49-F238E27FC236}">
                  <a16:creationId xmlns:a16="http://schemas.microsoft.com/office/drawing/2014/main" id="{00000000-0008-0000-0000-00004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132</xdr:row>
          <xdr:rowOff>9525</xdr:rowOff>
        </xdr:from>
        <xdr:to>
          <xdr:col>6</xdr:col>
          <xdr:colOff>219075</xdr:colOff>
          <xdr:row>132</xdr:row>
          <xdr:rowOff>171450</xdr:rowOff>
        </xdr:to>
        <xdr:sp macro="" textlink="">
          <xdr:nvSpPr>
            <xdr:cNvPr id="2376" name="Button 328" hidden="1">
              <a:extLst>
                <a:ext uri="{63B3BB69-23CF-44E3-9099-C40C66FF867C}">
                  <a14:compatExt spid="_x0000_s2376"/>
                </a:ext>
                <a:ext uri="{FF2B5EF4-FFF2-40B4-BE49-F238E27FC236}">
                  <a16:creationId xmlns:a16="http://schemas.microsoft.com/office/drawing/2014/main" id="{00000000-0008-0000-0000-00004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133</xdr:row>
          <xdr:rowOff>9525</xdr:rowOff>
        </xdr:from>
        <xdr:to>
          <xdr:col>6</xdr:col>
          <xdr:colOff>219075</xdr:colOff>
          <xdr:row>133</xdr:row>
          <xdr:rowOff>171450</xdr:rowOff>
        </xdr:to>
        <xdr:sp macro="" textlink="">
          <xdr:nvSpPr>
            <xdr:cNvPr id="2377" name="Button 329" hidden="1">
              <a:extLst>
                <a:ext uri="{63B3BB69-23CF-44E3-9099-C40C66FF867C}">
                  <a14:compatExt spid="_x0000_s2377"/>
                </a:ext>
                <a:ext uri="{FF2B5EF4-FFF2-40B4-BE49-F238E27FC236}">
                  <a16:creationId xmlns:a16="http://schemas.microsoft.com/office/drawing/2014/main" id="{00000000-0008-0000-0000-00004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134</xdr:row>
          <xdr:rowOff>9525</xdr:rowOff>
        </xdr:from>
        <xdr:to>
          <xdr:col>6</xdr:col>
          <xdr:colOff>219075</xdr:colOff>
          <xdr:row>134</xdr:row>
          <xdr:rowOff>171450</xdr:rowOff>
        </xdr:to>
        <xdr:sp macro="" textlink="">
          <xdr:nvSpPr>
            <xdr:cNvPr id="2378" name="Button 330" hidden="1">
              <a:extLst>
                <a:ext uri="{63B3BB69-23CF-44E3-9099-C40C66FF867C}">
                  <a14:compatExt spid="_x0000_s2378"/>
                </a:ext>
                <a:ext uri="{FF2B5EF4-FFF2-40B4-BE49-F238E27FC236}">
                  <a16:creationId xmlns:a16="http://schemas.microsoft.com/office/drawing/2014/main" id="{00000000-0008-0000-0000-00004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135</xdr:row>
          <xdr:rowOff>9525</xdr:rowOff>
        </xdr:from>
        <xdr:to>
          <xdr:col>6</xdr:col>
          <xdr:colOff>219075</xdr:colOff>
          <xdr:row>135</xdr:row>
          <xdr:rowOff>171450</xdr:rowOff>
        </xdr:to>
        <xdr:sp macro="" textlink="">
          <xdr:nvSpPr>
            <xdr:cNvPr id="2379" name="Button 331" hidden="1">
              <a:extLst>
                <a:ext uri="{63B3BB69-23CF-44E3-9099-C40C66FF867C}">
                  <a14:compatExt spid="_x0000_s2379"/>
                </a:ext>
                <a:ext uri="{FF2B5EF4-FFF2-40B4-BE49-F238E27FC236}">
                  <a16:creationId xmlns:a16="http://schemas.microsoft.com/office/drawing/2014/main" id="{00000000-0008-0000-0000-00004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136</xdr:row>
          <xdr:rowOff>9525</xdr:rowOff>
        </xdr:from>
        <xdr:to>
          <xdr:col>6</xdr:col>
          <xdr:colOff>219075</xdr:colOff>
          <xdr:row>136</xdr:row>
          <xdr:rowOff>171450</xdr:rowOff>
        </xdr:to>
        <xdr:sp macro="" textlink="">
          <xdr:nvSpPr>
            <xdr:cNvPr id="2380" name="Button 332" hidden="1">
              <a:extLst>
                <a:ext uri="{63B3BB69-23CF-44E3-9099-C40C66FF867C}">
                  <a14:compatExt spid="_x0000_s2380"/>
                </a:ext>
                <a:ext uri="{FF2B5EF4-FFF2-40B4-BE49-F238E27FC236}">
                  <a16:creationId xmlns:a16="http://schemas.microsoft.com/office/drawing/2014/main" id="{00000000-0008-0000-0000-00004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137</xdr:row>
          <xdr:rowOff>9525</xdr:rowOff>
        </xdr:from>
        <xdr:to>
          <xdr:col>6</xdr:col>
          <xdr:colOff>219075</xdr:colOff>
          <xdr:row>137</xdr:row>
          <xdr:rowOff>171450</xdr:rowOff>
        </xdr:to>
        <xdr:sp macro="" textlink="">
          <xdr:nvSpPr>
            <xdr:cNvPr id="2381" name="Button 333" hidden="1">
              <a:extLst>
                <a:ext uri="{63B3BB69-23CF-44E3-9099-C40C66FF867C}">
                  <a14:compatExt spid="_x0000_s2381"/>
                </a:ext>
                <a:ext uri="{FF2B5EF4-FFF2-40B4-BE49-F238E27FC236}">
                  <a16:creationId xmlns:a16="http://schemas.microsoft.com/office/drawing/2014/main" id="{00000000-0008-0000-0000-00004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138</xdr:row>
          <xdr:rowOff>9525</xdr:rowOff>
        </xdr:from>
        <xdr:to>
          <xdr:col>6</xdr:col>
          <xdr:colOff>219075</xdr:colOff>
          <xdr:row>138</xdr:row>
          <xdr:rowOff>171450</xdr:rowOff>
        </xdr:to>
        <xdr:sp macro="" textlink="">
          <xdr:nvSpPr>
            <xdr:cNvPr id="2382" name="Button 334" hidden="1">
              <a:extLst>
                <a:ext uri="{63B3BB69-23CF-44E3-9099-C40C66FF867C}">
                  <a14:compatExt spid="_x0000_s2382"/>
                </a:ext>
                <a:ext uri="{FF2B5EF4-FFF2-40B4-BE49-F238E27FC236}">
                  <a16:creationId xmlns:a16="http://schemas.microsoft.com/office/drawing/2014/main" id="{00000000-0008-0000-0000-00004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139</xdr:row>
          <xdr:rowOff>9525</xdr:rowOff>
        </xdr:from>
        <xdr:to>
          <xdr:col>6</xdr:col>
          <xdr:colOff>219075</xdr:colOff>
          <xdr:row>139</xdr:row>
          <xdr:rowOff>171450</xdr:rowOff>
        </xdr:to>
        <xdr:sp macro="" textlink="">
          <xdr:nvSpPr>
            <xdr:cNvPr id="2383" name="Button 335" hidden="1">
              <a:extLst>
                <a:ext uri="{63B3BB69-23CF-44E3-9099-C40C66FF867C}">
                  <a14:compatExt spid="_x0000_s2383"/>
                </a:ext>
                <a:ext uri="{FF2B5EF4-FFF2-40B4-BE49-F238E27FC236}">
                  <a16:creationId xmlns:a16="http://schemas.microsoft.com/office/drawing/2014/main" id="{00000000-0008-0000-0000-00004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140</xdr:row>
          <xdr:rowOff>9525</xdr:rowOff>
        </xdr:from>
        <xdr:to>
          <xdr:col>6</xdr:col>
          <xdr:colOff>219075</xdr:colOff>
          <xdr:row>140</xdr:row>
          <xdr:rowOff>171450</xdr:rowOff>
        </xdr:to>
        <xdr:sp macro="" textlink="">
          <xdr:nvSpPr>
            <xdr:cNvPr id="2384" name="Button 336" hidden="1">
              <a:extLst>
                <a:ext uri="{63B3BB69-23CF-44E3-9099-C40C66FF867C}">
                  <a14:compatExt spid="_x0000_s2384"/>
                </a:ext>
                <a:ext uri="{FF2B5EF4-FFF2-40B4-BE49-F238E27FC236}">
                  <a16:creationId xmlns:a16="http://schemas.microsoft.com/office/drawing/2014/main" id="{00000000-0008-0000-0000-00005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141</xdr:row>
          <xdr:rowOff>9525</xdr:rowOff>
        </xdr:from>
        <xdr:to>
          <xdr:col>6</xdr:col>
          <xdr:colOff>219075</xdr:colOff>
          <xdr:row>141</xdr:row>
          <xdr:rowOff>171450</xdr:rowOff>
        </xdr:to>
        <xdr:sp macro="" textlink="">
          <xdr:nvSpPr>
            <xdr:cNvPr id="2385" name="Button 337" hidden="1">
              <a:extLst>
                <a:ext uri="{63B3BB69-23CF-44E3-9099-C40C66FF867C}">
                  <a14:compatExt spid="_x0000_s2385"/>
                </a:ext>
                <a:ext uri="{FF2B5EF4-FFF2-40B4-BE49-F238E27FC236}">
                  <a16:creationId xmlns:a16="http://schemas.microsoft.com/office/drawing/2014/main" id="{00000000-0008-0000-0000-00005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142</xdr:row>
          <xdr:rowOff>9525</xdr:rowOff>
        </xdr:from>
        <xdr:to>
          <xdr:col>6</xdr:col>
          <xdr:colOff>219075</xdr:colOff>
          <xdr:row>142</xdr:row>
          <xdr:rowOff>171450</xdr:rowOff>
        </xdr:to>
        <xdr:sp macro="" textlink="">
          <xdr:nvSpPr>
            <xdr:cNvPr id="2386" name="Button 338" hidden="1">
              <a:extLst>
                <a:ext uri="{63B3BB69-23CF-44E3-9099-C40C66FF867C}">
                  <a14:compatExt spid="_x0000_s2386"/>
                </a:ext>
                <a:ext uri="{FF2B5EF4-FFF2-40B4-BE49-F238E27FC236}">
                  <a16:creationId xmlns:a16="http://schemas.microsoft.com/office/drawing/2014/main" id="{00000000-0008-0000-0000-00005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143</xdr:row>
          <xdr:rowOff>9525</xdr:rowOff>
        </xdr:from>
        <xdr:to>
          <xdr:col>6</xdr:col>
          <xdr:colOff>219075</xdr:colOff>
          <xdr:row>143</xdr:row>
          <xdr:rowOff>171450</xdr:rowOff>
        </xdr:to>
        <xdr:sp macro="" textlink="">
          <xdr:nvSpPr>
            <xdr:cNvPr id="2387" name="Button 339" hidden="1">
              <a:extLst>
                <a:ext uri="{63B3BB69-23CF-44E3-9099-C40C66FF867C}">
                  <a14:compatExt spid="_x0000_s2387"/>
                </a:ext>
                <a:ext uri="{FF2B5EF4-FFF2-40B4-BE49-F238E27FC236}">
                  <a16:creationId xmlns:a16="http://schemas.microsoft.com/office/drawing/2014/main" id="{00000000-0008-0000-0000-00005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144</xdr:row>
          <xdr:rowOff>9525</xdr:rowOff>
        </xdr:from>
        <xdr:to>
          <xdr:col>6</xdr:col>
          <xdr:colOff>219075</xdr:colOff>
          <xdr:row>144</xdr:row>
          <xdr:rowOff>171450</xdr:rowOff>
        </xdr:to>
        <xdr:sp macro="" textlink="">
          <xdr:nvSpPr>
            <xdr:cNvPr id="2388" name="Button 340" hidden="1">
              <a:extLst>
                <a:ext uri="{63B3BB69-23CF-44E3-9099-C40C66FF867C}">
                  <a14:compatExt spid="_x0000_s2388"/>
                </a:ext>
                <a:ext uri="{FF2B5EF4-FFF2-40B4-BE49-F238E27FC236}">
                  <a16:creationId xmlns:a16="http://schemas.microsoft.com/office/drawing/2014/main" id="{00000000-0008-0000-0000-00005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145</xdr:row>
          <xdr:rowOff>9525</xdr:rowOff>
        </xdr:from>
        <xdr:to>
          <xdr:col>6</xdr:col>
          <xdr:colOff>219075</xdr:colOff>
          <xdr:row>145</xdr:row>
          <xdr:rowOff>171450</xdr:rowOff>
        </xdr:to>
        <xdr:sp macro="" textlink="">
          <xdr:nvSpPr>
            <xdr:cNvPr id="2389" name="Button 341" hidden="1">
              <a:extLst>
                <a:ext uri="{63B3BB69-23CF-44E3-9099-C40C66FF867C}">
                  <a14:compatExt spid="_x0000_s2389"/>
                </a:ext>
                <a:ext uri="{FF2B5EF4-FFF2-40B4-BE49-F238E27FC236}">
                  <a16:creationId xmlns:a16="http://schemas.microsoft.com/office/drawing/2014/main" id="{00000000-0008-0000-0000-00005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146</xdr:row>
          <xdr:rowOff>9525</xdr:rowOff>
        </xdr:from>
        <xdr:to>
          <xdr:col>6</xdr:col>
          <xdr:colOff>219075</xdr:colOff>
          <xdr:row>146</xdr:row>
          <xdr:rowOff>171450</xdr:rowOff>
        </xdr:to>
        <xdr:sp macro="" textlink="">
          <xdr:nvSpPr>
            <xdr:cNvPr id="2390" name="Button 342" hidden="1">
              <a:extLst>
                <a:ext uri="{63B3BB69-23CF-44E3-9099-C40C66FF867C}">
                  <a14:compatExt spid="_x0000_s2390"/>
                </a:ext>
                <a:ext uri="{FF2B5EF4-FFF2-40B4-BE49-F238E27FC236}">
                  <a16:creationId xmlns:a16="http://schemas.microsoft.com/office/drawing/2014/main" id="{00000000-0008-0000-0000-00005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147</xdr:row>
          <xdr:rowOff>9525</xdr:rowOff>
        </xdr:from>
        <xdr:to>
          <xdr:col>6</xdr:col>
          <xdr:colOff>219075</xdr:colOff>
          <xdr:row>147</xdr:row>
          <xdr:rowOff>171450</xdr:rowOff>
        </xdr:to>
        <xdr:sp macro="" textlink="">
          <xdr:nvSpPr>
            <xdr:cNvPr id="2391" name="Button 343" hidden="1">
              <a:extLst>
                <a:ext uri="{63B3BB69-23CF-44E3-9099-C40C66FF867C}">
                  <a14:compatExt spid="_x0000_s2391"/>
                </a:ext>
                <a:ext uri="{FF2B5EF4-FFF2-40B4-BE49-F238E27FC236}">
                  <a16:creationId xmlns:a16="http://schemas.microsoft.com/office/drawing/2014/main" id="{00000000-0008-0000-0000-00005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148</xdr:row>
          <xdr:rowOff>9525</xdr:rowOff>
        </xdr:from>
        <xdr:to>
          <xdr:col>6</xdr:col>
          <xdr:colOff>219075</xdr:colOff>
          <xdr:row>148</xdr:row>
          <xdr:rowOff>171450</xdr:rowOff>
        </xdr:to>
        <xdr:sp macro="" textlink="">
          <xdr:nvSpPr>
            <xdr:cNvPr id="2392" name="Button 344" hidden="1">
              <a:extLst>
                <a:ext uri="{63B3BB69-23CF-44E3-9099-C40C66FF867C}">
                  <a14:compatExt spid="_x0000_s2392"/>
                </a:ext>
                <a:ext uri="{FF2B5EF4-FFF2-40B4-BE49-F238E27FC236}">
                  <a16:creationId xmlns:a16="http://schemas.microsoft.com/office/drawing/2014/main" id="{00000000-0008-0000-0000-00005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149</xdr:row>
          <xdr:rowOff>9525</xdr:rowOff>
        </xdr:from>
        <xdr:to>
          <xdr:col>6</xdr:col>
          <xdr:colOff>219075</xdr:colOff>
          <xdr:row>149</xdr:row>
          <xdr:rowOff>171450</xdr:rowOff>
        </xdr:to>
        <xdr:sp macro="" textlink="">
          <xdr:nvSpPr>
            <xdr:cNvPr id="2393" name="Button 345" hidden="1">
              <a:extLst>
                <a:ext uri="{63B3BB69-23CF-44E3-9099-C40C66FF867C}">
                  <a14:compatExt spid="_x0000_s2393"/>
                </a:ext>
                <a:ext uri="{FF2B5EF4-FFF2-40B4-BE49-F238E27FC236}">
                  <a16:creationId xmlns:a16="http://schemas.microsoft.com/office/drawing/2014/main" id="{00000000-0008-0000-0000-00005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150</xdr:row>
          <xdr:rowOff>9525</xdr:rowOff>
        </xdr:from>
        <xdr:to>
          <xdr:col>6</xdr:col>
          <xdr:colOff>219075</xdr:colOff>
          <xdr:row>150</xdr:row>
          <xdr:rowOff>171450</xdr:rowOff>
        </xdr:to>
        <xdr:sp macro="" textlink="">
          <xdr:nvSpPr>
            <xdr:cNvPr id="2394" name="Button 346" hidden="1">
              <a:extLst>
                <a:ext uri="{63B3BB69-23CF-44E3-9099-C40C66FF867C}">
                  <a14:compatExt spid="_x0000_s2394"/>
                </a:ext>
                <a:ext uri="{FF2B5EF4-FFF2-40B4-BE49-F238E27FC236}">
                  <a16:creationId xmlns:a16="http://schemas.microsoft.com/office/drawing/2014/main" id="{00000000-0008-0000-0000-00005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151</xdr:row>
          <xdr:rowOff>9525</xdr:rowOff>
        </xdr:from>
        <xdr:to>
          <xdr:col>4</xdr:col>
          <xdr:colOff>219075</xdr:colOff>
          <xdr:row>151</xdr:row>
          <xdr:rowOff>171450</xdr:rowOff>
        </xdr:to>
        <xdr:sp macro="" textlink="">
          <xdr:nvSpPr>
            <xdr:cNvPr id="2396" name="Button 232" hidden="1">
              <a:extLst>
                <a:ext uri="{63B3BB69-23CF-44E3-9099-C40C66FF867C}">
                  <a14:compatExt spid="_x0000_s2396"/>
                </a:ext>
                <a:ext uri="{FF2B5EF4-FFF2-40B4-BE49-F238E27FC236}">
                  <a16:creationId xmlns:a16="http://schemas.microsoft.com/office/drawing/2014/main" id="{00000000-0008-0000-0000-00005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152</xdr:row>
          <xdr:rowOff>9525</xdr:rowOff>
        </xdr:from>
        <xdr:to>
          <xdr:col>4</xdr:col>
          <xdr:colOff>219075</xdr:colOff>
          <xdr:row>152</xdr:row>
          <xdr:rowOff>171450</xdr:rowOff>
        </xdr:to>
        <xdr:sp macro="" textlink="">
          <xdr:nvSpPr>
            <xdr:cNvPr id="2397" name="Button 232" hidden="1">
              <a:extLst>
                <a:ext uri="{63B3BB69-23CF-44E3-9099-C40C66FF867C}">
                  <a14:compatExt spid="_x0000_s2397"/>
                </a:ext>
                <a:ext uri="{FF2B5EF4-FFF2-40B4-BE49-F238E27FC236}">
                  <a16:creationId xmlns:a16="http://schemas.microsoft.com/office/drawing/2014/main" id="{00000000-0008-0000-0000-00005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153</xdr:row>
          <xdr:rowOff>9525</xdr:rowOff>
        </xdr:from>
        <xdr:to>
          <xdr:col>4</xdr:col>
          <xdr:colOff>219075</xdr:colOff>
          <xdr:row>153</xdr:row>
          <xdr:rowOff>171450</xdr:rowOff>
        </xdr:to>
        <xdr:sp macro="" textlink="">
          <xdr:nvSpPr>
            <xdr:cNvPr id="2398" name="Button 232" hidden="1">
              <a:extLst>
                <a:ext uri="{63B3BB69-23CF-44E3-9099-C40C66FF867C}">
                  <a14:compatExt spid="_x0000_s2398"/>
                </a:ext>
                <a:ext uri="{FF2B5EF4-FFF2-40B4-BE49-F238E27FC236}">
                  <a16:creationId xmlns:a16="http://schemas.microsoft.com/office/drawing/2014/main" id="{00000000-0008-0000-0000-00005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154</xdr:row>
          <xdr:rowOff>9525</xdr:rowOff>
        </xdr:from>
        <xdr:to>
          <xdr:col>4</xdr:col>
          <xdr:colOff>219075</xdr:colOff>
          <xdr:row>154</xdr:row>
          <xdr:rowOff>171450</xdr:rowOff>
        </xdr:to>
        <xdr:sp macro="" textlink="">
          <xdr:nvSpPr>
            <xdr:cNvPr id="2399" name="Button 232" hidden="1">
              <a:extLst>
                <a:ext uri="{63B3BB69-23CF-44E3-9099-C40C66FF867C}">
                  <a14:compatExt spid="_x0000_s2399"/>
                </a:ext>
                <a:ext uri="{FF2B5EF4-FFF2-40B4-BE49-F238E27FC236}">
                  <a16:creationId xmlns:a16="http://schemas.microsoft.com/office/drawing/2014/main" id="{00000000-0008-0000-0000-00005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155</xdr:row>
          <xdr:rowOff>9525</xdr:rowOff>
        </xdr:from>
        <xdr:to>
          <xdr:col>4</xdr:col>
          <xdr:colOff>219075</xdr:colOff>
          <xdr:row>155</xdr:row>
          <xdr:rowOff>171450</xdr:rowOff>
        </xdr:to>
        <xdr:sp macro="" textlink="">
          <xdr:nvSpPr>
            <xdr:cNvPr id="2400" name="Button 232" hidden="1">
              <a:extLst>
                <a:ext uri="{63B3BB69-23CF-44E3-9099-C40C66FF867C}">
                  <a14:compatExt spid="_x0000_s2400"/>
                </a:ext>
                <a:ext uri="{FF2B5EF4-FFF2-40B4-BE49-F238E27FC236}">
                  <a16:creationId xmlns:a16="http://schemas.microsoft.com/office/drawing/2014/main" id="{00000000-0008-0000-0000-00006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156</xdr:row>
          <xdr:rowOff>9525</xdr:rowOff>
        </xdr:from>
        <xdr:to>
          <xdr:col>4</xdr:col>
          <xdr:colOff>219075</xdr:colOff>
          <xdr:row>156</xdr:row>
          <xdr:rowOff>171450</xdr:rowOff>
        </xdr:to>
        <xdr:sp macro="" textlink="">
          <xdr:nvSpPr>
            <xdr:cNvPr id="2401" name="Button 232" hidden="1">
              <a:extLst>
                <a:ext uri="{63B3BB69-23CF-44E3-9099-C40C66FF867C}">
                  <a14:compatExt spid="_x0000_s2401"/>
                </a:ext>
                <a:ext uri="{FF2B5EF4-FFF2-40B4-BE49-F238E27FC236}">
                  <a16:creationId xmlns:a16="http://schemas.microsoft.com/office/drawing/2014/main" id="{00000000-0008-0000-0000-00006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157</xdr:row>
          <xdr:rowOff>9525</xdr:rowOff>
        </xdr:from>
        <xdr:to>
          <xdr:col>4</xdr:col>
          <xdr:colOff>219075</xdr:colOff>
          <xdr:row>157</xdr:row>
          <xdr:rowOff>171450</xdr:rowOff>
        </xdr:to>
        <xdr:sp macro="" textlink="">
          <xdr:nvSpPr>
            <xdr:cNvPr id="2402" name="Button 232" hidden="1">
              <a:extLst>
                <a:ext uri="{63B3BB69-23CF-44E3-9099-C40C66FF867C}">
                  <a14:compatExt spid="_x0000_s2402"/>
                </a:ext>
                <a:ext uri="{FF2B5EF4-FFF2-40B4-BE49-F238E27FC236}">
                  <a16:creationId xmlns:a16="http://schemas.microsoft.com/office/drawing/2014/main" id="{00000000-0008-0000-0000-00006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158</xdr:row>
          <xdr:rowOff>9525</xdr:rowOff>
        </xdr:from>
        <xdr:to>
          <xdr:col>4</xdr:col>
          <xdr:colOff>219075</xdr:colOff>
          <xdr:row>158</xdr:row>
          <xdr:rowOff>171450</xdr:rowOff>
        </xdr:to>
        <xdr:sp macro="" textlink="">
          <xdr:nvSpPr>
            <xdr:cNvPr id="2403" name="Button 232" hidden="1">
              <a:extLst>
                <a:ext uri="{63B3BB69-23CF-44E3-9099-C40C66FF867C}">
                  <a14:compatExt spid="_x0000_s2403"/>
                </a:ext>
                <a:ext uri="{FF2B5EF4-FFF2-40B4-BE49-F238E27FC236}">
                  <a16:creationId xmlns:a16="http://schemas.microsoft.com/office/drawing/2014/main" id="{00000000-0008-0000-0000-00006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159</xdr:row>
          <xdr:rowOff>9525</xdr:rowOff>
        </xdr:from>
        <xdr:to>
          <xdr:col>4</xdr:col>
          <xdr:colOff>219075</xdr:colOff>
          <xdr:row>159</xdr:row>
          <xdr:rowOff>171450</xdr:rowOff>
        </xdr:to>
        <xdr:sp macro="" textlink="">
          <xdr:nvSpPr>
            <xdr:cNvPr id="2404" name="Button 232" hidden="1">
              <a:extLst>
                <a:ext uri="{63B3BB69-23CF-44E3-9099-C40C66FF867C}">
                  <a14:compatExt spid="_x0000_s2404"/>
                </a:ext>
                <a:ext uri="{FF2B5EF4-FFF2-40B4-BE49-F238E27FC236}">
                  <a16:creationId xmlns:a16="http://schemas.microsoft.com/office/drawing/2014/main" id="{00000000-0008-0000-0000-00006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160</xdr:row>
          <xdr:rowOff>9525</xdr:rowOff>
        </xdr:from>
        <xdr:to>
          <xdr:col>4</xdr:col>
          <xdr:colOff>219075</xdr:colOff>
          <xdr:row>160</xdr:row>
          <xdr:rowOff>171450</xdr:rowOff>
        </xdr:to>
        <xdr:sp macro="" textlink="">
          <xdr:nvSpPr>
            <xdr:cNvPr id="2405" name="Button 232" hidden="1">
              <a:extLst>
                <a:ext uri="{63B3BB69-23CF-44E3-9099-C40C66FF867C}">
                  <a14:compatExt spid="_x0000_s2405"/>
                </a:ext>
                <a:ext uri="{FF2B5EF4-FFF2-40B4-BE49-F238E27FC236}">
                  <a16:creationId xmlns:a16="http://schemas.microsoft.com/office/drawing/2014/main" id="{00000000-0008-0000-0000-00006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161</xdr:row>
          <xdr:rowOff>9525</xdr:rowOff>
        </xdr:from>
        <xdr:to>
          <xdr:col>4</xdr:col>
          <xdr:colOff>219075</xdr:colOff>
          <xdr:row>161</xdr:row>
          <xdr:rowOff>171450</xdr:rowOff>
        </xdr:to>
        <xdr:sp macro="" textlink="">
          <xdr:nvSpPr>
            <xdr:cNvPr id="2406" name="Button 232" hidden="1">
              <a:extLst>
                <a:ext uri="{63B3BB69-23CF-44E3-9099-C40C66FF867C}">
                  <a14:compatExt spid="_x0000_s2406"/>
                </a:ext>
                <a:ext uri="{FF2B5EF4-FFF2-40B4-BE49-F238E27FC236}">
                  <a16:creationId xmlns:a16="http://schemas.microsoft.com/office/drawing/2014/main" id="{00000000-0008-0000-0000-00006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162</xdr:row>
          <xdr:rowOff>9525</xdr:rowOff>
        </xdr:from>
        <xdr:to>
          <xdr:col>4</xdr:col>
          <xdr:colOff>219075</xdr:colOff>
          <xdr:row>162</xdr:row>
          <xdr:rowOff>171450</xdr:rowOff>
        </xdr:to>
        <xdr:sp macro="" textlink="">
          <xdr:nvSpPr>
            <xdr:cNvPr id="2407" name="Button 232" hidden="1">
              <a:extLst>
                <a:ext uri="{63B3BB69-23CF-44E3-9099-C40C66FF867C}">
                  <a14:compatExt spid="_x0000_s2407"/>
                </a:ext>
                <a:ext uri="{FF2B5EF4-FFF2-40B4-BE49-F238E27FC236}">
                  <a16:creationId xmlns:a16="http://schemas.microsoft.com/office/drawing/2014/main" id="{00000000-0008-0000-0000-00006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163</xdr:row>
          <xdr:rowOff>9525</xdr:rowOff>
        </xdr:from>
        <xdr:to>
          <xdr:col>4</xdr:col>
          <xdr:colOff>219075</xdr:colOff>
          <xdr:row>163</xdr:row>
          <xdr:rowOff>171450</xdr:rowOff>
        </xdr:to>
        <xdr:sp macro="" textlink="">
          <xdr:nvSpPr>
            <xdr:cNvPr id="2408" name="Button 232" hidden="1">
              <a:extLst>
                <a:ext uri="{63B3BB69-23CF-44E3-9099-C40C66FF867C}">
                  <a14:compatExt spid="_x0000_s2408"/>
                </a:ext>
                <a:ext uri="{FF2B5EF4-FFF2-40B4-BE49-F238E27FC236}">
                  <a16:creationId xmlns:a16="http://schemas.microsoft.com/office/drawing/2014/main" id="{00000000-0008-0000-0000-00006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164</xdr:row>
          <xdr:rowOff>9525</xdr:rowOff>
        </xdr:from>
        <xdr:to>
          <xdr:col>4</xdr:col>
          <xdr:colOff>219075</xdr:colOff>
          <xdr:row>164</xdr:row>
          <xdr:rowOff>171450</xdr:rowOff>
        </xdr:to>
        <xdr:sp macro="" textlink="">
          <xdr:nvSpPr>
            <xdr:cNvPr id="2409" name="Button 232" hidden="1">
              <a:extLst>
                <a:ext uri="{63B3BB69-23CF-44E3-9099-C40C66FF867C}">
                  <a14:compatExt spid="_x0000_s2409"/>
                </a:ext>
                <a:ext uri="{FF2B5EF4-FFF2-40B4-BE49-F238E27FC236}">
                  <a16:creationId xmlns:a16="http://schemas.microsoft.com/office/drawing/2014/main" id="{00000000-0008-0000-0000-00006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165</xdr:row>
          <xdr:rowOff>9525</xdr:rowOff>
        </xdr:from>
        <xdr:to>
          <xdr:col>4</xdr:col>
          <xdr:colOff>219075</xdr:colOff>
          <xdr:row>165</xdr:row>
          <xdr:rowOff>171450</xdr:rowOff>
        </xdr:to>
        <xdr:sp macro="" textlink="">
          <xdr:nvSpPr>
            <xdr:cNvPr id="2410" name="Button 232" hidden="1">
              <a:extLst>
                <a:ext uri="{63B3BB69-23CF-44E3-9099-C40C66FF867C}">
                  <a14:compatExt spid="_x0000_s2410"/>
                </a:ext>
                <a:ext uri="{FF2B5EF4-FFF2-40B4-BE49-F238E27FC236}">
                  <a16:creationId xmlns:a16="http://schemas.microsoft.com/office/drawing/2014/main" id="{00000000-0008-0000-0000-00006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166</xdr:row>
          <xdr:rowOff>9525</xdr:rowOff>
        </xdr:from>
        <xdr:to>
          <xdr:col>4</xdr:col>
          <xdr:colOff>219075</xdr:colOff>
          <xdr:row>166</xdr:row>
          <xdr:rowOff>171450</xdr:rowOff>
        </xdr:to>
        <xdr:sp macro="" textlink="">
          <xdr:nvSpPr>
            <xdr:cNvPr id="2411" name="Button 232" hidden="1">
              <a:extLst>
                <a:ext uri="{63B3BB69-23CF-44E3-9099-C40C66FF867C}">
                  <a14:compatExt spid="_x0000_s2411"/>
                </a:ext>
                <a:ext uri="{FF2B5EF4-FFF2-40B4-BE49-F238E27FC236}">
                  <a16:creationId xmlns:a16="http://schemas.microsoft.com/office/drawing/2014/main" id="{00000000-0008-0000-0000-00006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167</xdr:row>
          <xdr:rowOff>9525</xdr:rowOff>
        </xdr:from>
        <xdr:to>
          <xdr:col>4</xdr:col>
          <xdr:colOff>219075</xdr:colOff>
          <xdr:row>167</xdr:row>
          <xdr:rowOff>171450</xdr:rowOff>
        </xdr:to>
        <xdr:sp macro="" textlink="">
          <xdr:nvSpPr>
            <xdr:cNvPr id="2412" name="Button 232" hidden="1">
              <a:extLst>
                <a:ext uri="{63B3BB69-23CF-44E3-9099-C40C66FF867C}">
                  <a14:compatExt spid="_x0000_s2412"/>
                </a:ext>
                <a:ext uri="{FF2B5EF4-FFF2-40B4-BE49-F238E27FC236}">
                  <a16:creationId xmlns:a16="http://schemas.microsoft.com/office/drawing/2014/main" id="{00000000-0008-0000-0000-00006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168</xdr:row>
          <xdr:rowOff>9525</xdr:rowOff>
        </xdr:from>
        <xdr:to>
          <xdr:col>4</xdr:col>
          <xdr:colOff>219075</xdr:colOff>
          <xdr:row>168</xdr:row>
          <xdr:rowOff>171450</xdr:rowOff>
        </xdr:to>
        <xdr:sp macro="" textlink="">
          <xdr:nvSpPr>
            <xdr:cNvPr id="2413" name="Button 232" hidden="1">
              <a:extLst>
                <a:ext uri="{63B3BB69-23CF-44E3-9099-C40C66FF867C}">
                  <a14:compatExt spid="_x0000_s2413"/>
                </a:ext>
                <a:ext uri="{FF2B5EF4-FFF2-40B4-BE49-F238E27FC236}">
                  <a16:creationId xmlns:a16="http://schemas.microsoft.com/office/drawing/2014/main" id="{00000000-0008-0000-0000-00006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169</xdr:row>
          <xdr:rowOff>9525</xdr:rowOff>
        </xdr:from>
        <xdr:to>
          <xdr:col>4</xdr:col>
          <xdr:colOff>219075</xdr:colOff>
          <xdr:row>169</xdr:row>
          <xdr:rowOff>171450</xdr:rowOff>
        </xdr:to>
        <xdr:sp macro="" textlink="">
          <xdr:nvSpPr>
            <xdr:cNvPr id="2414" name="Button 232" hidden="1">
              <a:extLst>
                <a:ext uri="{63B3BB69-23CF-44E3-9099-C40C66FF867C}">
                  <a14:compatExt spid="_x0000_s2414"/>
                </a:ext>
                <a:ext uri="{FF2B5EF4-FFF2-40B4-BE49-F238E27FC236}">
                  <a16:creationId xmlns:a16="http://schemas.microsoft.com/office/drawing/2014/main" id="{00000000-0008-0000-0000-00006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170</xdr:row>
          <xdr:rowOff>9525</xdr:rowOff>
        </xdr:from>
        <xdr:to>
          <xdr:col>4</xdr:col>
          <xdr:colOff>219075</xdr:colOff>
          <xdr:row>170</xdr:row>
          <xdr:rowOff>171450</xdr:rowOff>
        </xdr:to>
        <xdr:sp macro="" textlink="">
          <xdr:nvSpPr>
            <xdr:cNvPr id="2415" name="Button 232" hidden="1">
              <a:extLst>
                <a:ext uri="{63B3BB69-23CF-44E3-9099-C40C66FF867C}">
                  <a14:compatExt spid="_x0000_s2415"/>
                </a:ext>
                <a:ext uri="{FF2B5EF4-FFF2-40B4-BE49-F238E27FC236}">
                  <a16:creationId xmlns:a16="http://schemas.microsoft.com/office/drawing/2014/main" id="{00000000-0008-0000-0000-00006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171</xdr:row>
          <xdr:rowOff>9525</xdr:rowOff>
        </xdr:from>
        <xdr:to>
          <xdr:col>4</xdr:col>
          <xdr:colOff>219075</xdr:colOff>
          <xdr:row>171</xdr:row>
          <xdr:rowOff>171450</xdr:rowOff>
        </xdr:to>
        <xdr:sp macro="" textlink="">
          <xdr:nvSpPr>
            <xdr:cNvPr id="2416" name="Button 232" hidden="1">
              <a:extLst>
                <a:ext uri="{63B3BB69-23CF-44E3-9099-C40C66FF867C}">
                  <a14:compatExt spid="_x0000_s2416"/>
                </a:ext>
                <a:ext uri="{FF2B5EF4-FFF2-40B4-BE49-F238E27FC236}">
                  <a16:creationId xmlns:a16="http://schemas.microsoft.com/office/drawing/2014/main" id="{00000000-0008-0000-0000-00007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172</xdr:row>
          <xdr:rowOff>9525</xdr:rowOff>
        </xdr:from>
        <xdr:to>
          <xdr:col>4</xdr:col>
          <xdr:colOff>219075</xdr:colOff>
          <xdr:row>172</xdr:row>
          <xdr:rowOff>171450</xdr:rowOff>
        </xdr:to>
        <xdr:sp macro="" textlink="">
          <xdr:nvSpPr>
            <xdr:cNvPr id="2417" name="Button 232" hidden="1">
              <a:extLst>
                <a:ext uri="{63B3BB69-23CF-44E3-9099-C40C66FF867C}">
                  <a14:compatExt spid="_x0000_s2417"/>
                </a:ext>
                <a:ext uri="{FF2B5EF4-FFF2-40B4-BE49-F238E27FC236}">
                  <a16:creationId xmlns:a16="http://schemas.microsoft.com/office/drawing/2014/main" id="{00000000-0008-0000-0000-00007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173</xdr:row>
          <xdr:rowOff>9525</xdr:rowOff>
        </xdr:from>
        <xdr:to>
          <xdr:col>4</xdr:col>
          <xdr:colOff>219075</xdr:colOff>
          <xdr:row>173</xdr:row>
          <xdr:rowOff>171450</xdr:rowOff>
        </xdr:to>
        <xdr:sp macro="" textlink="">
          <xdr:nvSpPr>
            <xdr:cNvPr id="2418" name="Button 232" hidden="1">
              <a:extLst>
                <a:ext uri="{63B3BB69-23CF-44E3-9099-C40C66FF867C}">
                  <a14:compatExt spid="_x0000_s2418"/>
                </a:ext>
                <a:ext uri="{FF2B5EF4-FFF2-40B4-BE49-F238E27FC236}">
                  <a16:creationId xmlns:a16="http://schemas.microsoft.com/office/drawing/2014/main" id="{00000000-0008-0000-0000-00007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174</xdr:row>
          <xdr:rowOff>9525</xdr:rowOff>
        </xdr:from>
        <xdr:to>
          <xdr:col>4</xdr:col>
          <xdr:colOff>219075</xdr:colOff>
          <xdr:row>174</xdr:row>
          <xdr:rowOff>171450</xdr:rowOff>
        </xdr:to>
        <xdr:sp macro="" textlink="">
          <xdr:nvSpPr>
            <xdr:cNvPr id="2419" name="Button 232" hidden="1">
              <a:extLst>
                <a:ext uri="{63B3BB69-23CF-44E3-9099-C40C66FF867C}">
                  <a14:compatExt spid="_x0000_s2419"/>
                </a:ext>
                <a:ext uri="{FF2B5EF4-FFF2-40B4-BE49-F238E27FC236}">
                  <a16:creationId xmlns:a16="http://schemas.microsoft.com/office/drawing/2014/main" id="{00000000-0008-0000-0000-00007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175</xdr:row>
          <xdr:rowOff>9525</xdr:rowOff>
        </xdr:from>
        <xdr:to>
          <xdr:col>4</xdr:col>
          <xdr:colOff>219075</xdr:colOff>
          <xdr:row>175</xdr:row>
          <xdr:rowOff>171450</xdr:rowOff>
        </xdr:to>
        <xdr:sp macro="" textlink="">
          <xdr:nvSpPr>
            <xdr:cNvPr id="2420" name="Button 232" hidden="1">
              <a:extLst>
                <a:ext uri="{63B3BB69-23CF-44E3-9099-C40C66FF867C}">
                  <a14:compatExt spid="_x0000_s2420"/>
                </a:ext>
                <a:ext uri="{FF2B5EF4-FFF2-40B4-BE49-F238E27FC236}">
                  <a16:creationId xmlns:a16="http://schemas.microsoft.com/office/drawing/2014/main" id="{00000000-0008-0000-0000-00007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176</xdr:row>
          <xdr:rowOff>9525</xdr:rowOff>
        </xdr:from>
        <xdr:to>
          <xdr:col>4</xdr:col>
          <xdr:colOff>219075</xdr:colOff>
          <xdr:row>176</xdr:row>
          <xdr:rowOff>171450</xdr:rowOff>
        </xdr:to>
        <xdr:sp macro="" textlink="">
          <xdr:nvSpPr>
            <xdr:cNvPr id="2421" name="Button 232" hidden="1">
              <a:extLst>
                <a:ext uri="{63B3BB69-23CF-44E3-9099-C40C66FF867C}">
                  <a14:compatExt spid="_x0000_s2421"/>
                </a:ext>
                <a:ext uri="{FF2B5EF4-FFF2-40B4-BE49-F238E27FC236}">
                  <a16:creationId xmlns:a16="http://schemas.microsoft.com/office/drawing/2014/main" id="{00000000-0008-0000-0000-00007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177</xdr:row>
          <xdr:rowOff>9525</xdr:rowOff>
        </xdr:from>
        <xdr:to>
          <xdr:col>4</xdr:col>
          <xdr:colOff>219075</xdr:colOff>
          <xdr:row>177</xdr:row>
          <xdr:rowOff>171450</xdr:rowOff>
        </xdr:to>
        <xdr:sp macro="" textlink="">
          <xdr:nvSpPr>
            <xdr:cNvPr id="2422" name="Button 232" hidden="1">
              <a:extLst>
                <a:ext uri="{63B3BB69-23CF-44E3-9099-C40C66FF867C}">
                  <a14:compatExt spid="_x0000_s2422"/>
                </a:ext>
                <a:ext uri="{FF2B5EF4-FFF2-40B4-BE49-F238E27FC236}">
                  <a16:creationId xmlns:a16="http://schemas.microsoft.com/office/drawing/2014/main" id="{00000000-0008-0000-0000-00007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178</xdr:row>
          <xdr:rowOff>9525</xdr:rowOff>
        </xdr:from>
        <xdr:to>
          <xdr:col>4</xdr:col>
          <xdr:colOff>219075</xdr:colOff>
          <xdr:row>178</xdr:row>
          <xdr:rowOff>171450</xdr:rowOff>
        </xdr:to>
        <xdr:sp macro="" textlink="">
          <xdr:nvSpPr>
            <xdr:cNvPr id="2423" name="Button 232" hidden="1">
              <a:extLst>
                <a:ext uri="{63B3BB69-23CF-44E3-9099-C40C66FF867C}">
                  <a14:compatExt spid="_x0000_s2423"/>
                </a:ext>
                <a:ext uri="{FF2B5EF4-FFF2-40B4-BE49-F238E27FC236}">
                  <a16:creationId xmlns:a16="http://schemas.microsoft.com/office/drawing/2014/main" id="{00000000-0008-0000-0000-00007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179</xdr:row>
          <xdr:rowOff>9525</xdr:rowOff>
        </xdr:from>
        <xdr:to>
          <xdr:col>4</xdr:col>
          <xdr:colOff>219075</xdr:colOff>
          <xdr:row>179</xdr:row>
          <xdr:rowOff>171450</xdr:rowOff>
        </xdr:to>
        <xdr:sp macro="" textlink="">
          <xdr:nvSpPr>
            <xdr:cNvPr id="2424" name="Button 232" hidden="1">
              <a:extLst>
                <a:ext uri="{63B3BB69-23CF-44E3-9099-C40C66FF867C}">
                  <a14:compatExt spid="_x0000_s2424"/>
                </a:ext>
                <a:ext uri="{FF2B5EF4-FFF2-40B4-BE49-F238E27FC236}">
                  <a16:creationId xmlns:a16="http://schemas.microsoft.com/office/drawing/2014/main" id="{00000000-0008-0000-0000-00007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180</xdr:row>
          <xdr:rowOff>9525</xdr:rowOff>
        </xdr:from>
        <xdr:to>
          <xdr:col>4</xdr:col>
          <xdr:colOff>219075</xdr:colOff>
          <xdr:row>180</xdr:row>
          <xdr:rowOff>171450</xdr:rowOff>
        </xdr:to>
        <xdr:sp macro="" textlink="">
          <xdr:nvSpPr>
            <xdr:cNvPr id="2425" name="Button 232" hidden="1">
              <a:extLst>
                <a:ext uri="{63B3BB69-23CF-44E3-9099-C40C66FF867C}">
                  <a14:compatExt spid="_x0000_s2425"/>
                </a:ext>
                <a:ext uri="{FF2B5EF4-FFF2-40B4-BE49-F238E27FC236}">
                  <a16:creationId xmlns:a16="http://schemas.microsoft.com/office/drawing/2014/main" id="{00000000-0008-0000-0000-00007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181</xdr:row>
          <xdr:rowOff>9525</xdr:rowOff>
        </xdr:from>
        <xdr:to>
          <xdr:col>4</xdr:col>
          <xdr:colOff>219075</xdr:colOff>
          <xdr:row>181</xdr:row>
          <xdr:rowOff>171450</xdr:rowOff>
        </xdr:to>
        <xdr:sp macro="" textlink="">
          <xdr:nvSpPr>
            <xdr:cNvPr id="2426" name="Button 232" hidden="1">
              <a:extLst>
                <a:ext uri="{63B3BB69-23CF-44E3-9099-C40C66FF867C}">
                  <a14:compatExt spid="_x0000_s2426"/>
                </a:ext>
                <a:ext uri="{FF2B5EF4-FFF2-40B4-BE49-F238E27FC236}">
                  <a16:creationId xmlns:a16="http://schemas.microsoft.com/office/drawing/2014/main" id="{00000000-0008-0000-0000-00007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182</xdr:row>
          <xdr:rowOff>9525</xdr:rowOff>
        </xdr:from>
        <xdr:to>
          <xdr:col>4</xdr:col>
          <xdr:colOff>219075</xdr:colOff>
          <xdr:row>182</xdr:row>
          <xdr:rowOff>171450</xdr:rowOff>
        </xdr:to>
        <xdr:sp macro="" textlink="">
          <xdr:nvSpPr>
            <xdr:cNvPr id="2427" name="Button 232" hidden="1">
              <a:extLst>
                <a:ext uri="{63B3BB69-23CF-44E3-9099-C40C66FF867C}">
                  <a14:compatExt spid="_x0000_s2427"/>
                </a:ext>
                <a:ext uri="{FF2B5EF4-FFF2-40B4-BE49-F238E27FC236}">
                  <a16:creationId xmlns:a16="http://schemas.microsoft.com/office/drawing/2014/main" id="{00000000-0008-0000-0000-00007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183</xdr:row>
          <xdr:rowOff>9525</xdr:rowOff>
        </xdr:from>
        <xdr:to>
          <xdr:col>4</xdr:col>
          <xdr:colOff>219075</xdr:colOff>
          <xdr:row>183</xdr:row>
          <xdr:rowOff>171450</xdr:rowOff>
        </xdr:to>
        <xdr:sp macro="" textlink="">
          <xdr:nvSpPr>
            <xdr:cNvPr id="2428" name="Button 232" hidden="1">
              <a:extLst>
                <a:ext uri="{63B3BB69-23CF-44E3-9099-C40C66FF867C}">
                  <a14:compatExt spid="_x0000_s2428"/>
                </a:ext>
                <a:ext uri="{FF2B5EF4-FFF2-40B4-BE49-F238E27FC236}">
                  <a16:creationId xmlns:a16="http://schemas.microsoft.com/office/drawing/2014/main" id="{00000000-0008-0000-0000-00007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184</xdr:row>
          <xdr:rowOff>9525</xdr:rowOff>
        </xdr:from>
        <xdr:to>
          <xdr:col>4</xdr:col>
          <xdr:colOff>219075</xdr:colOff>
          <xdr:row>184</xdr:row>
          <xdr:rowOff>171450</xdr:rowOff>
        </xdr:to>
        <xdr:sp macro="" textlink="">
          <xdr:nvSpPr>
            <xdr:cNvPr id="2429" name="Button 232" hidden="1">
              <a:extLst>
                <a:ext uri="{63B3BB69-23CF-44E3-9099-C40C66FF867C}">
                  <a14:compatExt spid="_x0000_s2429"/>
                </a:ext>
                <a:ext uri="{FF2B5EF4-FFF2-40B4-BE49-F238E27FC236}">
                  <a16:creationId xmlns:a16="http://schemas.microsoft.com/office/drawing/2014/main" id="{00000000-0008-0000-0000-00007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185</xdr:row>
          <xdr:rowOff>9525</xdr:rowOff>
        </xdr:from>
        <xdr:to>
          <xdr:col>4</xdr:col>
          <xdr:colOff>219075</xdr:colOff>
          <xdr:row>185</xdr:row>
          <xdr:rowOff>171450</xdr:rowOff>
        </xdr:to>
        <xdr:sp macro="" textlink="">
          <xdr:nvSpPr>
            <xdr:cNvPr id="2430" name="Button 232" hidden="1">
              <a:extLst>
                <a:ext uri="{63B3BB69-23CF-44E3-9099-C40C66FF867C}">
                  <a14:compatExt spid="_x0000_s2430"/>
                </a:ext>
                <a:ext uri="{FF2B5EF4-FFF2-40B4-BE49-F238E27FC236}">
                  <a16:creationId xmlns:a16="http://schemas.microsoft.com/office/drawing/2014/main" id="{00000000-0008-0000-0000-00007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186</xdr:row>
          <xdr:rowOff>9525</xdr:rowOff>
        </xdr:from>
        <xdr:to>
          <xdr:col>4</xdr:col>
          <xdr:colOff>219075</xdr:colOff>
          <xdr:row>186</xdr:row>
          <xdr:rowOff>171450</xdr:rowOff>
        </xdr:to>
        <xdr:sp macro="" textlink="">
          <xdr:nvSpPr>
            <xdr:cNvPr id="2431" name="Button 232" hidden="1">
              <a:extLst>
                <a:ext uri="{63B3BB69-23CF-44E3-9099-C40C66FF867C}">
                  <a14:compatExt spid="_x0000_s2431"/>
                </a:ext>
                <a:ext uri="{FF2B5EF4-FFF2-40B4-BE49-F238E27FC236}">
                  <a16:creationId xmlns:a16="http://schemas.microsoft.com/office/drawing/2014/main" id="{00000000-0008-0000-0000-00007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187</xdr:row>
          <xdr:rowOff>9525</xdr:rowOff>
        </xdr:from>
        <xdr:to>
          <xdr:col>4</xdr:col>
          <xdr:colOff>219075</xdr:colOff>
          <xdr:row>187</xdr:row>
          <xdr:rowOff>171450</xdr:rowOff>
        </xdr:to>
        <xdr:sp macro="" textlink="">
          <xdr:nvSpPr>
            <xdr:cNvPr id="2432" name="Button 232" hidden="1">
              <a:extLst>
                <a:ext uri="{63B3BB69-23CF-44E3-9099-C40C66FF867C}">
                  <a14:compatExt spid="_x0000_s2432"/>
                </a:ext>
                <a:ext uri="{FF2B5EF4-FFF2-40B4-BE49-F238E27FC236}">
                  <a16:creationId xmlns:a16="http://schemas.microsoft.com/office/drawing/2014/main" id="{00000000-0008-0000-0000-00008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188</xdr:row>
          <xdr:rowOff>9525</xdr:rowOff>
        </xdr:from>
        <xdr:to>
          <xdr:col>4</xdr:col>
          <xdr:colOff>219075</xdr:colOff>
          <xdr:row>188</xdr:row>
          <xdr:rowOff>171450</xdr:rowOff>
        </xdr:to>
        <xdr:sp macro="" textlink="">
          <xdr:nvSpPr>
            <xdr:cNvPr id="2433" name="Button 232" hidden="1">
              <a:extLst>
                <a:ext uri="{63B3BB69-23CF-44E3-9099-C40C66FF867C}">
                  <a14:compatExt spid="_x0000_s2433"/>
                </a:ext>
                <a:ext uri="{FF2B5EF4-FFF2-40B4-BE49-F238E27FC236}">
                  <a16:creationId xmlns:a16="http://schemas.microsoft.com/office/drawing/2014/main" id="{00000000-0008-0000-0000-00008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189</xdr:row>
          <xdr:rowOff>9525</xdr:rowOff>
        </xdr:from>
        <xdr:to>
          <xdr:col>4</xdr:col>
          <xdr:colOff>219075</xdr:colOff>
          <xdr:row>189</xdr:row>
          <xdr:rowOff>171450</xdr:rowOff>
        </xdr:to>
        <xdr:sp macro="" textlink="">
          <xdr:nvSpPr>
            <xdr:cNvPr id="2434" name="Button 232" hidden="1">
              <a:extLst>
                <a:ext uri="{63B3BB69-23CF-44E3-9099-C40C66FF867C}">
                  <a14:compatExt spid="_x0000_s2434"/>
                </a:ext>
                <a:ext uri="{FF2B5EF4-FFF2-40B4-BE49-F238E27FC236}">
                  <a16:creationId xmlns:a16="http://schemas.microsoft.com/office/drawing/2014/main" id="{00000000-0008-0000-0000-00008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190</xdr:row>
          <xdr:rowOff>9525</xdr:rowOff>
        </xdr:from>
        <xdr:to>
          <xdr:col>4</xdr:col>
          <xdr:colOff>219075</xdr:colOff>
          <xdr:row>190</xdr:row>
          <xdr:rowOff>171450</xdr:rowOff>
        </xdr:to>
        <xdr:sp macro="" textlink="">
          <xdr:nvSpPr>
            <xdr:cNvPr id="2435" name="Button 232" hidden="1">
              <a:extLst>
                <a:ext uri="{63B3BB69-23CF-44E3-9099-C40C66FF867C}">
                  <a14:compatExt spid="_x0000_s2435"/>
                </a:ext>
                <a:ext uri="{FF2B5EF4-FFF2-40B4-BE49-F238E27FC236}">
                  <a16:creationId xmlns:a16="http://schemas.microsoft.com/office/drawing/2014/main" id="{00000000-0008-0000-0000-00008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191</xdr:row>
          <xdr:rowOff>9525</xdr:rowOff>
        </xdr:from>
        <xdr:to>
          <xdr:col>4</xdr:col>
          <xdr:colOff>219075</xdr:colOff>
          <xdr:row>191</xdr:row>
          <xdr:rowOff>171450</xdr:rowOff>
        </xdr:to>
        <xdr:sp macro="" textlink="">
          <xdr:nvSpPr>
            <xdr:cNvPr id="2436" name="Button 232" hidden="1">
              <a:extLst>
                <a:ext uri="{63B3BB69-23CF-44E3-9099-C40C66FF867C}">
                  <a14:compatExt spid="_x0000_s2436"/>
                </a:ext>
                <a:ext uri="{FF2B5EF4-FFF2-40B4-BE49-F238E27FC236}">
                  <a16:creationId xmlns:a16="http://schemas.microsoft.com/office/drawing/2014/main" id="{00000000-0008-0000-0000-00008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192</xdr:row>
          <xdr:rowOff>9525</xdr:rowOff>
        </xdr:from>
        <xdr:to>
          <xdr:col>4</xdr:col>
          <xdr:colOff>219075</xdr:colOff>
          <xdr:row>192</xdr:row>
          <xdr:rowOff>171450</xdr:rowOff>
        </xdr:to>
        <xdr:sp macro="" textlink="">
          <xdr:nvSpPr>
            <xdr:cNvPr id="2437" name="Button 232" hidden="1">
              <a:extLst>
                <a:ext uri="{63B3BB69-23CF-44E3-9099-C40C66FF867C}">
                  <a14:compatExt spid="_x0000_s2437"/>
                </a:ext>
                <a:ext uri="{FF2B5EF4-FFF2-40B4-BE49-F238E27FC236}">
                  <a16:creationId xmlns:a16="http://schemas.microsoft.com/office/drawing/2014/main" id="{00000000-0008-0000-0000-00008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193</xdr:row>
          <xdr:rowOff>9525</xdr:rowOff>
        </xdr:from>
        <xdr:to>
          <xdr:col>4</xdr:col>
          <xdr:colOff>219075</xdr:colOff>
          <xdr:row>193</xdr:row>
          <xdr:rowOff>171450</xdr:rowOff>
        </xdr:to>
        <xdr:sp macro="" textlink="">
          <xdr:nvSpPr>
            <xdr:cNvPr id="2438" name="Button 232" hidden="1">
              <a:extLst>
                <a:ext uri="{63B3BB69-23CF-44E3-9099-C40C66FF867C}">
                  <a14:compatExt spid="_x0000_s2438"/>
                </a:ext>
                <a:ext uri="{FF2B5EF4-FFF2-40B4-BE49-F238E27FC236}">
                  <a16:creationId xmlns:a16="http://schemas.microsoft.com/office/drawing/2014/main" id="{00000000-0008-0000-0000-00008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194</xdr:row>
          <xdr:rowOff>9525</xdr:rowOff>
        </xdr:from>
        <xdr:to>
          <xdr:col>4</xdr:col>
          <xdr:colOff>219075</xdr:colOff>
          <xdr:row>194</xdr:row>
          <xdr:rowOff>171450</xdr:rowOff>
        </xdr:to>
        <xdr:sp macro="" textlink="">
          <xdr:nvSpPr>
            <xdr:cNvPr id="2439" name="Button 232" hidden="1">
              <a:extLst>
                <a:ext uri="{63B3BB69-23CF-44E3-9099-C40C66FF867C}">
                  <a14:compatExt spid="_x0000_s2439"/>
                </a:ext>
                <a:ext uri="{FF2B5EF4-FFF2-40B4-BE49-F238E27FC236}">
                  <a16:creationId xmlns:a16="http://schemas.microsoft.com/office/drawing/2014/main" id="{00000000-0008-0000-0000-00008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151</xdr:row>
          <xdr:rowOff>9525</xdr:rowOff>
        </xdr:from>
        <xdr:to>
          <xdr:col>6</xdr:col>
          <xdr:colOff>219075</xdr:colOff>
          <xdr:row>151</xdr:row>
          <xdr:rowOff>171450</xdr:rowOff>
        </xdr:to>
        <xdr:sp macro="" textlink="">
          <xdr:nvSpPr>
            <xdr:cNvPr id="2440" name="Button 232" hidden="1">
              <a:extLst>
                <a:ext uri="{63B3BB69-23CF-44E3-9099-C40C66FF867C}">
                  <a14:compatExt spid="_x0000_s2440"/>
                </a:ext>
                <a:ext uri="{FF2B5EF4-FFF2-40B4-BE49-F238E27FC236}">
                  <a16:creationId xmlns:a16="http://schemas.microsoft.com/office/drawing/2014/main" id="{00000000-0008-0000-0000-00008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152</xdr:row>
          <xdr:rowOff>9525</xdr:rowOff>
        </xdr:from>
        <xdr:to>
          <xdr:col>6</xdr:col>
          <xdr:colOff>219075</xdr:colOff>
          <xdr:row>152</xdr:row>
          <xdr:rowOff>171450</xdr:rowOff>
        </xdr:to>
        <xdr:sp macro="" textlink="">
          <xdr:nvSpPr>
            <xdr:cNvPr id="2441" name="Button 232" hidden="1">
              <a:extLst>
                <a:ext uri="{63B3BB69-23CF-44E3-9099-C40C66FF867C}">
                  <a14:compatExt spid="_x0000_s2441"/>
                </a:ext>
                <a:ext uri="{FF2B5EF4-FFF2-40B4-BE49-F238E27FC236}">
                  <a16:creationId xmlns:a16="http://schemas.microsoft.com/office/drawing/2014/main" id="{00000000-0008-0000-0000-00008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153</xdr:row>
          <xdr:rowOff>9525</xdr:rowOff>
        </xdr:from>
        <xdr:to>
          <xdr:col>6</xdr:col>
          <xdr:colOff>219075</xdr:colOff>
          <xdr:row>153</xdr:row>
          <xdr:rowOff>171450</xdr:rowOff>
        </xdr:to>
        <xdr:sp macro="" textlink="">
          <xdr:nvSpPr>
            <xdr:cNvPr id="2442" name="Button 232" hidden="1">
              <a:extLst>
                <a:ext uri="{63B3BB69-23CF-44E3-9099-C40C66FF867C}">
                  <a14:compatExt spid="_x0000_s2442"/>
                </a:ext>
                <a:ext uri="{FF2B5EF4-FFF2-40B4-BE49-F238E27FC236}">
                  <a16:creationId xmlns:a16="http://schemas.microsoft.com/office/drawing/2014/main" id="{00000000-0008-0000-0000-00008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154</xdr:row>
          <xdr:rowOff>9525</xdr:rowOff>
        </xdr:from>
        <xdr:to>
          <xdr:col>6</xdr:col>
          <xdr:colOff>219075</xdr:colOff>
          <xdr:row>154</xdr:row>
          <xdr:rowOff>171450</xdr:rowOff>
        </xdr:to>
        <xdr:sp macro="" textlink="">
          <xdr:nvSpPr>
            <xdr:cNvPr id="2443" name="Button 232" hidden="1">
              <a:extLst>
                <a:ext uri="{63B3BB69-23CF-44E3-9099-C40C66FF867C}">
                  <a14:compatExt spid="_x0000_s2443"/>
                </a:ext>
                <a:ext uri="{FF2B5EF4-FFF2-40B4-BE49-F238E27FC236}">
                  <a16:creationId xmlns:a16="http://schemas.microsoft.com/office/drawing/2014/main" id="{00000000-0008-0000-0000-00008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155</xdr:row>
          <xdr:rowOff>9525</xdr:rowOff>
        </xdr:from>
        <xdr:to>
          <xdr:col>6</xdr:col>
          <xdr:colOff>219075</xdr:colOff>
          <xdr:row>155</xdr:row>
          <xdr:rowOff>171450</xdr:rowOff>
        </xdr:to>
        <xdr:sp macro="" textlink="">
          <xdr:nvSpPr>
            <xdr:cNvPr id="2444" name="Button 232" hidden="1">
              <a:extLst>
                <a:ext uri="{63B3BB69-23CF-44E3-9099-C40C66FF867C}">
                  <a14:compatExt spid="_x0000_s2444"/>
                </a:ext>
                <a:ext uri="{FF2B5EF4-FFF2-40B4-BE49-F238E27FC236}">
                  <a16:creationId xmlns:a16="http://schemas.microsoft.com/office/drawing/2014/main" id="{00000000-0008-0000-0000-00008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156</xdr:row>
          <xdr:rowOff>9525</xdr:rowOff>
        </xdr:from>
        <xdr:to>
          <xdr:col>6</xdr:col>
          <xdr:colOff>219075</xdr:colOff>
          <xdr:row>156</xdr:row>
          <xdr:rowOff>171450</xdr:rowOff>
        </xdr:to>
        <xdr:sp macro="" textlink="">
          <xdr:nvSpPr>
            <xdr:cNvPr id="2445" name="Button 232" hidden="1">
              <a:extLst>
                <a:ext uri="{63B3BB69-23CF-44E3-9099-C40C66FF867C}">
                  <a14:compatExt spid="_x0000_s2445"/>
                </a:ext>
                <a:ext uri="{FF2B5EF4-FFF2-40B4-BE49-F238E27FC236}">
                  <a16:creationId xmlns:a16="http://schemas.microsoft.com/office/drawing/2014/main" id="{00000000-0008-0000-0000-00008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157</xdr:row>
          <xdr:rowOff>9525</xdr:rowOff>
        </xdr:from>
        <xdr:to>
          <xdr:col>6</xdr:col>
          <xdr:colOff>219075</xdr:colOff>
          <xdr:row>157</xdr:row>
          <xdr:rowOff>171450</xdr:rowOff>
        </xdr:to>
        <xdr:sp macro="" textlink="">
          <xdr:nvSpPr>
            <xdr:cNvPr id="2446" name="Button 232" hidden="1">
              <a:extLst>
                <a:ext uri="{63B3BB69-23CF-44E3-9099-C40C66FF867C}">
                  <a14:compatExt spid="_x0000_s2446"/>
                </a:ext>
                <a:ext uri="{FF2B5EF4-FFF2-40B4-BE49-F238E27FC236}">
                  <a16:creationId xmlns:a16="http://schemas.microsoft.com/office/drawing/2014/main" id="{00000000-0008-0000-0000-00008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158</xdr:row>
          <xdr:rowOff>9525</xdr:rowOff>
        </xdr:from>
        <xdr:to>
          <xdr:col>6</xdr:col>
          <xdr:colOff>219075</xdr:colOff>
          <xdr:row>158</xdr:row>
          <xdr:rowOff>171450</xdr:rowOff>
        </xdr:to>
        <xdr:sp macro="" textlink="">
          <xdr:nvSpPr>
            <xdr:cNvPr id="2447" name="Button 232" hidden="1">
              <a:extLst>
                <a:ext uri="{63B3BB69-23CF-44E3-9099-C40C66FF867C}">
                  <a14:compatExt spid="_x0000_s2447"/>
                </a:ext>
                <a:ext uri="{FF2B5EF4-FFF2-40B4-BE49-F238E27FC236}">
                  <a16:creationId xmlns:a16="http://schemas.microsoft.com/office/drawing/2014/main" id="{00000000-0008-0000-0000-00008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159</xdr:row>
          <xdr:rowOff>9525</xdr:rowOff>
        </xdr:from>
        <xdr:to>
          <xdr:col>6</xdr:col>
          <xdr:colOff>219075</xdr:colOff>
          <xdr:row>159</xdr:row>
          <xdr:rowOff>171450</xdr:rowOff>
        </xdr:to>
        <xdr:sp macro="" textlink="">
          <xdr:nvSpPr>
            <xdr:cNvPr id="2448" name="Button 232" hidden="1">
              <a:extLst>
                <a:ext uri="{63B3BB69-23CF-44E3-9099-C40C66FF867C}">
                  <a14:compatExt spid="_x0000_s2448"/>
                </a:ext>
                <a:ext uri="{FF2B5EF4-FFF2-40B4-BE49-F238E27FC236}">
                  <a16:creationId xmlns:a16="http://schemas.microsoft.com/office/drawing/2014/main" id="{00000000-0008-0000-0000-00009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160</xdr:row>
          <xdr:rowOff>9525</xdr:rowOff>
        </xdr:from>
        <xdr:to>
          <xdr:col>6</xdr:col>
          <xdr:colOff>219075</xdr:colOff>
          <xdr:row>160</xdr:row>
          <xdr:rowOff>171450</xdr:rowOff>
        </xdr:to>
        <xdr:sp macro="" textlink="">
          <xdr:nvSpPr>
            <xdr:cNvPr id="2449" name="Button 232" hidden="1">
              <a:extLst>
                <a:ext uri="{63B3BB69-23CF-44E3-9099-C40C66FF867C}">
                  <a14:compatExt spid="_x0000_s2449"/>
                </a:ext>
                <a:ext uri="{FF2B5EF4-FFF2-40B4-BE49-F238E27FC236}">
                  <a16:creationId xmlns:a16="http://schemas.microsoft.com/office/drawing/2014/main" id="{00000000-0008-0000-0000-00009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161</xdr:row>
          <xdr:rowOff>9525</xdr:rowOff>
        </xdr:from>
        <xdr:to>
          <xdr:col>6</xdr:col>
          <xdr:colOff>219075</xdr:colOff>
          <xdr:row>161</xdr:row>
          <xdr:rowOff>171450</xdr:rowOff>
        </xdr:to>
        <xdr:sp macro="" textlink="">
          <xdr:nvSpPr>
            <xdr:cNvPr id="2450" name="Button 232" hidden="1">
              <a:extLst>
                <a:ext uri="{63B3BB69-23CF-44E3-9099-C40C66FF867C}">
                  <a14:compatExt spid="_x0000_s2450"/>
                </a:ext>
                <a:ext uri="{FF2B5EF4-FFF2-40B4-BE49-F238E27FC236}">
                  <a16:creationId xmlns:a16="http://schemas.microsoft.com/office/drawing/2014/main" id="{00000000-0008-0000-0000-00009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162</xdr:row>
          <xdr:rowOff>9525</xdr:rowOff>
        </xdr:from>
        <xdr:to>
          <xdr:col>6</xdr:col>
          <xdr:colOff>219075</xdr:colOff>
          <xdr:row>162</xdr:row>
          <xdr:rowOff>171450</xdr:rowOff>
        </xdr:to>
        <xdr:sp macro="" textlink="">
          <xdr:nvSpPr>
            <xdr:cNvPr id="2451" name="Button 232" hidden="1">
              <a:extLst>
                <a:ext uri="{63B3BB69-23CF-44E3-9099-C40C66FF867C}">
                  <a14:compatExt spid="_x0000_s2451"/>
                </a:ext>
                <a:ext uri="{FF2B5EF4-FFF2-40B4-BE49-F238E27FC236}">
                  <a16:creationId xmlns:a16="http://schemas.microsoft.com/office/drawing/2014/main" id="{00000000-0008-0000-0000-00009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163</xdr:row>
          <xdr:rowOff>9525</xdr:rowOff>
        </xdr:from>
        <xdr:to>
          <xdr:col>6</xdr:col>
          <xdr:colOff>219075</xdr:colOff>
          <xdr:row>163</xdr:row>
          <xdr:rowOff>171450</xdr:rowOff>
        </xdr:to>
        <xdr:sp macro="" textlink="">
          <xdr:nvSpPr>
            <xdr:cNvPr id="2452" name="Button 232" hidden="1">
              <a:extLst>
                <a:ext uri="{63B3BB69-23CF-44E3-9099-C40C66FF867C}">
                  <a14:compatExt spid="_x0000_s2452"/>
                </a:ext>
                <a:ext uri="{FF2B5EF4-FFF2-40B4-BE49-F238E27FC236}">
                  <a16:creationId xmlns:a16="http://schemas.microsoft.com/office/drawing/2014/main" id="{00000000-0008-0000-0000-00009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164</xdr:row>
          <xdr:rowOff>9525</xdr:rowOff>
        </xdr:from>
        <xdr:to>
          <xdr:col>6</xdr:col>
          <xdr:colOff>219075</xdr:colOff>
          <xdr:row>164</xdr:row>
          <xdr:rowOff>171450</xdr:rowOff>
        </xdr:to>
        <xdr:sp macro="" textlink="">
          <xdr:nvSpPr>
            <xdr:cNvPr id="2453" name="Button 232" hidden="1">
              <a:extLst>
                <a:ext uri="{63B3BB69-23CF-44E3-9099-C40C66FF867C}">
                  <a14:compatExt spid="_x0000_s2453"/>
                </a:ext>
                <a:ext uri="{FF2B5EF4-FFF2-40B4-BE49-F238E27FC236}">
                  <a16:creationId xmlns:a16="http://schemas.microsoft.com/office/drawing/2014/main" id="{00000000-0008-0000-0000-00009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165</xdr:row>
          <xdr:rowOff>9525</xdr:rowOff>
        </xdr:from>
        <xdr:to>
          <xdr:col>6</xdr:col>
          <xdr:colOff>219075</xdr:colOff>
          <xdr:row>165</xdr:row>
          <xdr:rowOff>171450</xdr:rowOff>
        </xdr:to>
        <xdr:sp macro="" textlink="">
          <xdr:nvSpPr>
            <xdr:cNvPr id="2454" name="Button 232" hidden="1">
              <a:extLst>
                <a:ext uri="{63B3BB69-23CF-44E3-9099-C40C66FF867C}">
                  <a14:compatExt spid="_x0000_s2454"/>
                </a:ext>
                <a:ext uri="{FF2B5EF4-FFF2-40B4-BE49-F238E27FC236}">
                  <a16:creationId xmlns:a16="http://schemas.microsoft.com/office/drawing/2014/main" id="{00000000-0008-0000-0000-00009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166</xdr:row>
          <xdr:rowOff>9525</xdr:rowOff>
        </xdr:from>
        <xdr:to>
          <xdr:col>6</xdr:col>
          <xdr:colOff>219075</xdr:colOff>
          <xdr:row>166</xdr:row>
          <xdr:rowOff>171450</xdr:rowOff>
        </xdr:to>
        <xdr:sp macro="" textlink="">
          <xdr:nvSpPr>
            <xdr:cNvPr id="2455" name="Button 232" hidden="1">
              <a:extLst>
                <a:ext uri="{63B3BB69-23CF-44E3-9099-C40C66FF867C}">
                  <a14:compatExt spid="_x0000_s2455"/>
                </a:ext>
                <a:ext uri="{FF2B5EF4-FFF2-40B4-BE49-F238E27FC236}">
                  <a16:creationId xmlns:a16="http://schemas.microsoft.com/office/drawing/2014/main" id="{00000000-0008-0000-0000-00009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167</xdr:row>
          <xdr:rowOff>9525</xdr:rowOff>
        </xdr:from>
        <xdr:to>
          <xdr:col>6</xdr:col>
          <xdr:colOff>219075</xdr:colOff>
          <xdr:row>167</xdr:row>
          <xdr:rowOff>171450</xdr:rowOff>
        </xdr:to>
        <xdr:sp macro="" textlink="">
          <xdr:nvSpPr>
            <xdr:cNvPr id="2456" name="Button 232" hidden="1">
              <a:extLst>
                <a:ext uri="{63B3BB69-23CF-44E3-9099-C40C66FF867C}">
                  <a14:compatExt spid="_x0000_s2456"/>
                </a:ext>
                <a:ext uri="{FF2B5EF4-FFF2-40B4-BE49-F238E27FC236}">
                  <a16:creationId xmlns:a16="http://schemas.microsoft.com/office/drawing/2014/main" id="{00000000-0008-0000-0000-00009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168</xdr:row>
          <xdr:rowOff>9525</xdr:rowOff>
        </xdr:from>
        <xdr:to>
          <xdr:col>6</xdr:col>
          <xdr:colOff>219075</xdr:colOff>
          <xdr:row>168</xdr:row>
          <xdr:rowOff>171450</xdr:rowOff>
        </xdr:to>
        <xdr:sp macro="" textlink="">
          <xdr:nvSpPr>
            <xdr:cNvPr id="2457" name="Button 232" hidden="1">
              <a:extLst>
                <a:ext uri="{63B3BB69-23CF-44E3-9099-C40C66FF867C}">
                  <a14:compatExt spid="_x0000_s2457"/>
                </a:ext>
                <a:ext uri="{FF2B5EF4-FFF2-40B4-BE49-F238E27FC236}">
                  <a16:creationId xmlns:a16="http://schemas.microsoft.com/office/drawing/2014/main" id="{00000000-0008-0000-0000-00009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169</xdr:row>
          <xdr:rowOff>9525</xdr:rowOff>
        </xdr:from>
        <xdr:to>
          <xdr:col>6</xdr:col>
          <xdr:colOff>219075</xdr:colOff>
          <xdr:row>169</xdr:row>
          <xdr:rowOff>171450</xdr:rowOff>
        </xdr:to>
        <xdr:sp macro="" textlink="">
          <xdr:nvSpPr>
            <xdr:cNvPr id="2458" name="Button 232" hidden="1">
              <a:extLst>
                <a:ext uri="{63B3BB69-23CF-44E3-9099-C40C66FF867C}">
                  <a14:compatExt spid="_x0000_s2458"/>
                </a:ext>
                <a:ext uri="{FF2B5EF4-FFF2-40B4-BE49-F238E27FC236}">
                  <a16:creationId xmlns:a16="http://schemas.microsoft.com/office/drawing/2014/main" id="{00000000-0008-0000-0000-00009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170</xdr:row>
          <xdr:rowOff>9525</xdr:rowOff>
        </xdr:from>
        <xdr:to>
          <xdr:col>6</xdr:col>
          <xdr:colOff>219075</xdr:colOff>
          <xdr:row>170</xdr:row>
          <xdr:rowOff>171450</xdr:rowOff>
        </xdr:to>
        <xdr:sp macro="" textlink="">
          <xdr:nvSpPr>
            <xdr:cNvPr id="2459" name="Button 232" hidden="1">
              <a:extLst>
                <a:ext uri="{63B3BB69-23CF-44E3-9099-C40C66FF867C}">
                  <a14:compatExt spid="_x0000_s2459"/>
                </a:ext>
                <a:ext uri="{FF2B5EF4-FFF2-40B4-BE49-F238E27FC236}">
                  <a16:creationId xmlns:a16="http://schemas.microsoft.com/office/drawing/2014/main" id="{00000000-0008-0000-0000-00009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171</xdr:row>
          <xdr:rowOff>9525</xdr:rowOff>
        </xdr:from>
        <xdr:to>
          <xdr:col>6</xdr:col>
          <xdr:colOff>219075</xdr:colOff>
          <xdr:row>171</xdr:row>
          <xdr:rowOff>171450</xdr:rowOff>
        </xdr:to>
        <xdr:sp macro="" textlink="">
          <xdr:nvSpPr>
            <xdr:cNvPr id="2460" name="Button 232" hidden="1">
              <a:extLst>
                <a:ext uri="{63B3BB69-23CF-44E3-9099-C40C66FF867C}">
                  <a14:compatExt spid="_x0000_s2460"/>
                </a:ext>
                <a:ext uri="{FF2B5EF4-FFF2-40B4-BE49-F238E27FC236}">
                  <a16:creationId xmlns:a16="http://schemas.microsoft.com/office/drawing/2014/main" id="{00000000-0008-0000-0000-00009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195</xdr:row>
          <xdr:rowOff>9525</xdr:rowOff>
        </xdr:from>
        <xdr:to>
          <xdr:col>4</xdr:col>
          <xdr:colOff>219075</xdr:colOff>
          <xdr:row>195</xdr:row>
          <xdr:rowOff>171450</xdr:rowOff>
        </xdr:to>
        <xdr:sp macro="" textlink="">
          <xdr:nvSpPr>
            <xdr:cNvPr id="2471" name="Button 423" hidden="1">
              <a:extLst>
                <a:ext uri="{63B3BB69-23CF-44E3-9099-C40C66FF867C}">
                  <a14:compatExt spid="_x0000_s2471"/>
                </a:ext>
                <a:ext uri="{FF2B5EF4-FFF2-40B4-BE49-F238E27FC236}">
                  <a16:creationId xmlns:a16="http://schemas.microsoft.com/office/drawing/2014/main" id="{00000000-0008-0000-0000-0000A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196</xdr:row>
          <xdr:rowOff>9525</xdr:rowOff>
        </xdr:from>
        <xdr:to>
          <xdr:col>4</xdr:col>
          <xdr:colOff>219075</xdr:colOff>
          <xdr:row>196</xdr:row>
          <xdr:rowOff>171450</xdr:rowOff>
        </xdr:to>
        <xdr:sp macro="" textlink="">
          <xdr:nvSpPr>
            <xdr:cNvPr id="2472" name="Button 424" hidden="1">
              <a:extLst>
                <a:ext uri="{63B3BB69-23CF-44E3-9099-C40C66FF867C}">
                  <a14:compatExt spid="_x0000_s2472"/>
                </a:ext>
                <a:ext uri="{FF2B5EF4-FFF2-40B4-BE49-F238E27FC236}">
                  <a16:creationId xmlns:a16="http://schemas.microsoft.com/office/drawing/2014/main" id="{00000000-0008-0000-0000-0000A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197</xdr:row>
          <xdr:rowOff>9525</xdr:rowOff>
        </xdr:from>
        <xdr:to>
          <xdr:col>4</xdr:col>
          <xdr:colOff>219075</xdr:colOff>
          <xdr:row>197</xdr:row>
          <xdr:rowOff>171450</xdr:rowOff>
        </xdr:to>
        <xdr:sp macro="" textlink="">
          <xdr:nvSpPr>
            <xdr:cNvPr id="2473" name="Button 425" hidden="1">
              <a:extLst>
                <a:ext uri="{63B3BB69-23CF-44E3-9099-C40C66FF867C}">
                  <a14:compatExt spid="_x0000_s2473"/>
                </a:ext>
                <a:ext uri="{FF2B5EF4-FFF2-40B4-BE49-F238E27FC236}">
                  <a16:creationId xmlns:a16="http://schemas.microsoft.com/office/drawing/2014/main" id="{00000000-0008-0000-0000-0000A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198</xdr:row>
          <xdr:rowOff>9525</xdr:rowOff>
        </xdr:from>
        <xdr:to>
          <xdr:col>4</xdr:col>
          <xdr:colOff>219075</xdr:colOff>
          <xdr:row>198</xdr:row>
          <xdr:rowOff>171450</xdr:rowOff>
        </xdr:to>
        <xdr:sp macro="" textlink="">
          <xdr:nvSpPr>
            <xdr:cNvPr id="2474" name="Button 426" hidden="1">
              <a:extLst>
                <a:ext uri="{63B3BB69-23CF-44E3-9099-C40C66FF867C}">
                  <a14:compatExt spid="_x0000_s2474"/>
                </a:ext>
                <a:ext uri="{FF2B5EF4-FFF2-40B4-BE49-F238E27FC236}">
                  <a16:creationId xmlns:a16="http://schemas.microsoft.com/office/drawing/2014/main" id="{00000000-0008-0000-0000-0000A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200</xdr:row>
          <xdr:rowOff>9525</xdr:rowOff>
        </xdr:from>
        <xdr:to>
          <xdr:col>4</xdr:col>
          <xdr:colOff>219075</xdr:colOff>
          <xdr:row>200</xdr:row>
          <xdr:rowOff>171450</xdr:rowOff>
        </xdr:to>
        <xdr:sp macro="" textlink="">
          <xdr:nvSpPr>
            <xdr:cNvPr id="2475" name="Button 427" hidden="1">
              <a:extLst>
                <a:ext uri="{63B3BB69-23CF-44E3-9099-C40C66FF867C}">
                  <a14:compatExt spid="_x0000_s2475"/>
                </a:ext>
                <a:ext uri="{FF2B5EF4-FFF2-40B4-BE49-F238E27FC236}">
                  <a16:creationId xmlns:a16="http://schemas.microsoft.com/office/drawing/2014/main" id="{00000000-0008-0000-0000-0000A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199</xdr:row>
          <xdr:rowOff>9525</xdr:rowOff>
        </xdr:from>
        <xdr:to>
          <xdr:col>4</xdr:col>
          <xdr:colOff>219075</xdr:colOff>
          <xdr:row>199</xdr:row>
          <xdr:rowOff>171450</xdr:rowOff>
        </xdr:to>
        <xdr:sp macro="" textlink="">
          <xdr:nvSpPr>
            <xdr:cNvPr id="2476" name="Button 428" hidden="1">
              <a:extLst>
                <a:ext uri="{63B3BB69-23CF-44E3-9099-C40C66FF867C}">
                  <a14:compatExt spid="_x0000_s2476"/>
                </a:ext>
                <a:ext uri="{FF2B5EF4-FFF2-40B4-BE49-F238E27FC236}">
                  <a16:creationId xmlns:a16="http://schemas.microsoft.com/office/drawing/2014/main" id="{00000000-0008-0000-0000-0000A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201</xdr:row>
          <xdr:rowOff>9525</xdr:rowOff>
        </xdr:from>
        <xdr:to>
          <xdr:col>4</xdr:col>
          <xdr:colOff>219075</xdr:colOff>
          <xdr:row>201</xdr:row>
          <xdr:rowOff>171450</xdr:rowOff>
        </xdr:to>
        <xdr:sp macro="" textlink="">
          <xdr:nvSpPr>
            <xdr:cNvPr id="2478" name="Button 430" hidden="1">
              <a:extLst>
                <a:ext uri="{63B3BB69-23CF-44E3-9099-C40C66FF867C}">
                  <a14:compatExt spid="_x0000_s2478"/>
                </a:ext>
                <a:ext uri="{FF2B5EF4-FFF2-40B4-BE49-F238E27FC236}">
                  <a16:creationId xmlns:a16="http://schemas.microsoft.com/office/drawing/2014/main" id="{00000000-0008-0000-0000-0000A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202</xdr:row>
          <xdr:rowOff>9525</xdr:rowOff>
        </xdr:from>
        <xdr:to>
          <xdr:col>4</xdr:col>
          <xdr:colOff>219075</xdr:colOff>
          <xdr:row>202</xdr:row>
          <xdr:rowOff>171450</xdr:rowOff>
        </xdr:to>
        <xdr:sp macro="" textlink="">
          <xdr:nvSpPr>
            <xdr:cNvPr id="2479" name="Button 431" hidden="1">
              <a:extLst>
                <a:ext uri="{63B3BB69-23CF-44E3-9099-C40C66FF867C}">
                  <a14:compatExt spid="_x0000_s2479"/>
                </a:ext>
                <a:ext uri="{FF2B5EF4-FFF2-40B4-BE49-F238E27FC236}">
                  <a16:creationId xmlns:a16="http://schemas.microsoft.com/office/drawing/2014/main" id="{00000000-0008-0000-0000-0000A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203</xdr:row>
          <xdr:rowOff>9525</xdr:rowOff>
        </xdr:from>
        <xdr:to>
          <xdr:col>4</xdr:col>
          <xdr:colOff>219075</xdr:colOff>
          <xdr:row>203</xdr:row>
          <xdr:rowOff>171450</xdr:rowOff>
        </xdr:to>
        <xdr:sp macro="" textlink="">
          <xdr:nvSpPr>
            <xdr:cNvPr id="2480" name="Button 432" hidden="1">
              <a:extLst>
                <a:ext uri="{63B3BB69-23CF-44E3-9099-C40C66FF867C}">
                  <a14:compatExt spid="_x0000_s2480"/>
                </a:ext>
                <a:ext uri="{FF2B5EF4-FFF2-40B4-BE49-F238E27FC236}">
                  <a16:creationId xmlns:a16="http://schemas.microsoft.com/office/drawing/2014/main" id="{00000000-0008-0000-0000-0000B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204</xdr:row>
          <xdr:rowOff>9525</xdr:rowOff>
        </xdr:from>
        <xdr:to>
          <xdr:col>4</xdr:col>
          <xdr:colOff>219075</xdr:colOff>
          <xdr:row>204</xdr:row>
          <xdr:rowOff>171450</xdr:rowOff>
        </xdr:to>
        <xdr:sp macro="" textlink="">
          <xdr:nvSpPr>
            <xdr:cNvPr id="2481" name="Button 433" hidden="1">
              <a:extLst>
                <a:ext uri="{63B3BB69-23CF-44E3-9099-C40C66FF867C}">
                  <a14:compatExt spid="_x0000_s2481"/>
                </a:ext>
                <a:ext uri="{FF2B5EF4-FFF2-40B4-BE49-F238E27FC236}">
                  <a16:creationId xmlns:a16="http://schemas.microsoft.com/office/drawing/2014/main" id="{00000000-0008-0000-0000-0000B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205</xdr:row>
          <xdr:rowOff>9525</xdr:rowOff>
        </xdr:from>
        <xdr:to>
          <xdr:col>4</xdr:col>
          <xdr:colOff>219075</xdr:colOff>
          <xdr:row>205</xdr:row>
          <xdr:rowOff>171450</xdr:rowOff>
        </xdr:to>
        <xdr:sp macro="" textlink="">
          <xdr:nvSpPr>
            <xdr:cNvPr id="2482" name="Button 434" hidden="1">
              <a:extLst>
                <a:ext uri="{63B3BB69-23CF-44E3-9099-C40C66FF867C}">
                  <a14:compatExt spid="_x0000_s2482"/>
                </a:ext>
                <a:ext uri="{FF2B5EF4-FFF2-40B4-BE49-F238E27FC236}">
                  <a16:creationId xmlns:a16="http://schemas.microsoft.com/office/drawing/2014/main" id="{00000000-0008-0000-0000-0000B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206</xdr:row>
          <xdr:rowOff>9525</xdr:rowOff>
        </xdr:from>
        <xdr:to>
          <xdr:col>4</xdr:col>
          <xdr:colOff>219075</xdr:colOff>
          <xdr:row>206</xdr:row>
          <xdr:rowOff>171450</xdr:rowOff>
        </xdr:to>
        <xdr:sp macro="" textlink="">
          <xdr:nvSpPr>
            <xdr:cNvPr id="2483" name="Button 435" hidden="1">
              <a:extLst>
                <a:ext uri="{63B3BB69-23CF-44E3-9099-C40C66FF867C}">
                  <a14:compatExt spid="_x0000_s2483"/>
                </a:ext>
                <a:ext uri="{FF2B5EF4-FFF2-40B4-BE49-F238E27FC236}">
                  <a16:creationId xmlns:a16="http://schemas.microsoft.com/office/drawing/2014/main" id="{00000000-0008-0000-0000-0000B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207</xdr:row>
          <xdr:rowOff>9525</xdr:rowOff>
        </xdr:from>
        <xdr:to>
          <xdr:col>4</xdr:col>
          <xdr:colOff>219075</xdr:colOff>
          <xdr:row>207</xdr:row>
          <xdr:rowOff>171450</xdr:rowOff>
        </xdr:to>
        <xdr:sp macro="" textlink="">
          <xdr:nvSpPr>
            <xdr:cNvPr id="2484" name="Button 436" hidden="1">
              <a:extLst>
                <a:ext uri="{63B3BB69-23CF-44E3-9099-C40C66FF867C}">
                  <a14:compatExt spid="_x0000_s2484"/>
                </a:ext>
                <a:ext uri="{FF2B5EF4-FFF2-40B4-BE49-F238E27FC236}">
                  <a16:creationId xmlns:a16="http://schemas.microsoft.com/office/drawing/2014/main" id="{00000000-0008-0000-0000-0000B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208</xdr:row>
          <xdr:rowOff>9525</xdr:rowOff>
        </xdr:from>
        <xdr:to>
          <xdr:col>4</xdr:col>
          <xdr:colOff>219075</xdr:colOff>
          <xdr:row>208</xdr:row>
          <xdr:rowOff>171450</xdr:rowOff>
        </xdr:to>
        <xdr:sp macro="" textlink="">
          <xdr:nvSpPr>
            <xdr:cNvPr id="2485" name="Button 437" hidden="1">
              <a:extLst>
                <a:ext uri="{63B3BB69-23CF-44E3-9099-C40C66FF867C}">
                  <a14:compatExt spid="_x0000_s2485"/>
                </a:ext>
                <a:ext uri="{FF2B5EF4-FFF2-40B4-BE49-F238E27FC236}">
                  <a16:creationId xmlns:a16="http://schemas.microsoft.com/office/drawing/2014/main" id="{00000000-0008-0000-0000-0000B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209</xdr:row>
          <xdr:rowOff>9525</xdr:rowOff>
        </xdr:from>
        <xdr:to>
          <xdr:col>4</xdr:col>
          <xdr:colOff>219075</xdr:colOff>
          <xdr:row>209</xdr:row>
          <xdr:rowOff>171450</xdr:rowOff>
        </xdr:to>
        <xdr:sp macro="" textlink="">
          <xdr:nvSpPr>
            <xdr:cNvPr id="2487" name="Button 439" hidden="1">
              <a:extLst>
                <a:ext uri="{63B3BB69-23CF-44E3-9099-C40C66FF867C}">
                  <a14:compatExt spid="_x0000_s2487"/>
                </a:ext>
                <a:ext uri="{FF2B5EF4-FFF2-40B4-BE49-F238E27FC236}">
                  <a16:creationId xmlns:a16="http://schemas.microsoft.com/office/drawing/2014/main" id="{00000000-0008-0000-0000-0000B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210</xdr:row>
          <xdr:rowOff>9525</xdr:rowOff>
        </xdr:from>
        <xdr:to>
          <xdr:col>4</xdr:col>
          <xdr:colOff>219075</xdr:colOff>
          <xdr:row>210</xdr:row>
          <xdr:rowOff>171450</xdr:rowOff>
        </xdr:to>
        <xdr:sp macro="" textlink="">
          <xdr:nvSpPr>
            <xdr:cNvPr id="2488" name="Button 440" hidden="1">
              <a:extLst>
                <a:ext uri="{63B3BB69-23CF-44E3-9099-C40C66FF867C}">
                  <a14:compatExt spid="_x0000_s2488"/>
                </a:ext>
                <a:ext uri="{FF2B5EF4-FFF2-40B4-BE49-F238E27FC236}">
                  <a16:creationId xmlns:a16="http://schemas.microsoft.com/office/drawing/2014/main" id="{00000000-0008-0000-0000-0000B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211</xdr:row>
          <xdr:rowOff>9525</xdr:rowOff>
        </xdr:from>
        <xdr:to>
          <xdr:col>4</xdr:col>
          <xdr:colOff>219075</xdr:colOff>
          <xdr:row>211</xdr:row>
          <xdr:rowOff>171450</xdr:rowOff>
        </xdr:to>
        <xdr:sp macro="" textlink="">
          <xdr:nvSpPr>
            <xdr:cNvPr id="2489" name="Button 441" hidden="1">
              <a:extLst>
                <a:ext uri="{63B3BB69-23CF-44E3-9099-C40C66FF867C}">
                  <a14:compatExt spid="_x0000_s2489"/>
                </a:ext>
                <a:ext uri="{FF2B5EF4-FFF2-40B4-BE49-F238E27FC236}">
                  <a16:creationId xmlns:a16="http://schemas.microsoft.com/office/drawing/2014/main" id="{00000000-0008-0000-0000-0000B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212</xdr:row>
          <xdr:rowOff>9525</xdr:rowOff>
        </xdr:from>
        <xdr:to>
          <xdr:col>4</xdr:col>
          <xdr:colOff>219075</xdr:colOff>
          <xdr:row>212</xdr:row>
          <xdr:rowOff>171450</xdr:rowOff>
        </xdr:to>
        <xdr:sp macro="" textlink="">
          <xdr:nvSpPr>
            <xdr:cNvPr id="2490" name="Button 442" hidden="1">
              <a:extLst>
                <a:ext uri="{63B3BB69-23CF-44E3-9099-C40C66FF867C}">
                  <a14:compatExt spid="_x0000_s2490"/>
                </a:ext>
                <a:ext uri="{FF2B5EF4-FFF2-40B4-BE49-F238E27FC236}">
                  <a16:creationId xmlns:a16="http://schemas.microsoft.com/office/drawing/2014/main" id="{00000000-0008-0000-0000-0000B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213</xdr:row>
          <xdr:rowOff>9525</xdr:rowOff>
        </xdr:from>
        <xdr:to>
          <xdr:col>4</xdr:col>
          <xdr:colOff>219075</xdr:colOff>
          <xdr:row>213</xdr:row>
          <xdr:rowOff>171450</xdr:rowOff>
        </xdr:to>
        <xdr:sp macro="" textlink="">
          <xdr:nvSpPr>
            <xdr:cNvPr id="2493" name="Button 442" hidden="1">
              <a:extLst>
                <a:ext uri="{63B3BB69-23CF-44E3-9099-C40C66FF867C}">
                  <a14:compatExt spid="_x0000_s2493"/>
                </a:ext>
                <a:ext uri="{FF2B5EF4-FFF2-40B4-BE49-F238E27FC236}">
                  <a16:creationId xmlns:a16="http://schemas.microsoft.com/office/drawing/2014/main" id="{00000000-0008-0000-0000-0000B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214</xdr:row>
          <xdr:rowOff>9525</xdr:rowOff>
        </xdr:from>
        <xdr:to>
          <xdr:col>4</xdr:col>
          <xdr:colOff>219075</xdr:colOff>
          <xdr:row>214</xdr:row>
          <xdr:rowOff>171450</xdr:rowOff>
        </xdr:to>
        <xdr:sp macro="" textlink="">
          <xdr:nvSpPr>
            <xdr:cNvPr id="2494" name="Button 442" hidden="1">
              <a:extLst>
                <a:ext uri="{63B3BB69-23CF-44E3-9099-C40C66FF867C}">
                  <a14:compatExt spid="_x0000_s2494"/>
                </a:ext>
                <a:ext uri="{FF2B5EF4-FFF2-40B4-BE49-F238E27FC236}">
                  <a16:creationId xmlns:a16="http://schemas.microsoft.com/office/drawing/2014/main" id="{00000000-0008-0000-0000-0000B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215</xdr:row>
          <xdr:rowOff>9525</xdr:rowOff>
        </xdr:from>
        <xdr:to>
          <xdr:col>4</xdr:col>
          <xdr:colOff>219075</xdr:colOff>
          <xdr:row>215</xdr:row>
          <xdr:rowOff>171450</xdr:rowOff>
        </xdr:to>
        <xdr:sp macro="" textlink="">
          <xdr:nvSpPr>
            <xdr:cNvPr id="2495" name="Button 442" hidden="1">
              <a:extLst>
                <a:ext uri="{63B3BB69-23CF-44E3-9099-C40C66FF867C}">
                  <a14:compatExt spid="_x0000_s2495"/>
                </a:ext>
                <a:ext uri="{FF2B5EF4-FFF2-40B4-BE49-F238E27FC236}">
                  <a16:creationId xmlns:a16="http://schemas.microsoft.com/office/drawing/2014/main" id="{00000000-0008-0000-0000-0000B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216</xdr:row>
          <xdr:rowOff>9525</xdr:rowOff>
        </xdr:from>
        <xdr:to>
          <xdr:col>4</xdr:col>
          <xdr:colOff>219075</xdr:colOff>
          <xdr:row>216</xdr:row>
          <xdr:rowOff>171450</xdr:rowOff>
        </xdr:to>
        <xdr:sp macro="" textlink="">
          <xdr:nvSpPr>
            <xdr:cNvPr id="2496" name="Button 442" hidden="1">
              <a:extLst>
                <a:ext uri="{63B3BB69-23CF-44E3-9099-C40C66FF867C}">
                  <a14:compatExt spid="_x0000_s2496"/>
                </a:ext>
                <a:ext uri="{FF2B5EF4-FFF2-40B4-BE49-F238E27FC236}">
                  <a16:creationId xmlns:a16="http://schemas.microsoft.com/office/drawing/2014/main" id="{00000000-0008-0000-0000-0000C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217</xdr:row>
          <xdr:rowOff>9525</xdr:rowOff>
        </xdr:from>
        <xdr:to>
          <xdr:col>4</xdr:col>
          <xdr:colOff>219075</xdr:colOff>
          <xdr:row>217</xdr:row>
          <xdr:rowOff>171450</xdr:rowOff>
        </xdr:to>
        <xdr:sp macro="" textlink="">
          <xdr:nvSpPr>
            <xdr:cNvPr id="2497" name="Button 442" hidden="1">
              <a:extLst>
                <a:ext uri="{63B3BB69-23CF-44E3-9099-C40C66FF867C}">
                  <a14:compatExt spid="_x0000_s2497"/>
                </a:ext>
                <a:ext uri="{FF2B5EF4-FFF2-40B4-BE49-F238E27FC236}">
                  <a16:creationId xmlns:a16="http://schemas.microsoft.com/office/drawing/2014/main" id="{00000000-0008-0000-0000-0000C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218</xdr:row>
          <xdr:rowOff>9525</xdr:rowOff>
        </xdr:from>
        <xdr:to>
          <xdr:col>4</xdr:col>
          <xdr:colOff>219075</xdr:colOff>
          <xdr:row>218</xdr:row>
          <xdr:rowOff>171450</xdr:rowOff>
        </xdr:to>
        <xdr:sp macro="" textlink="">
          <xdr:nvSpPr>
            <xdr:cNvPr id="2498" name="Button 442" hidden="1">
              <a:extLst>
                <a:ext uri="{63B3BB69-23CF-44E3-9099-C40C66FF867C}">
                  <a14:compatExt spid="_x0000_s2498"/>
                </a:ext>
                <a:ext uri="{FF2B5EF4-FFF2-40B4-BE49-F238E27FC236}">
                  <a16:creationId xmlns:a16="http://schemas.microsoft.com/office/drawing/2014/main" id="{00000000-0008-0000-0000-0000C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219</xdr:row>
          <xdr:rowOff>9525</xdr:rowOff>
        </xdr:from>
        <xdr:to>
          <xdr:col>4</xdr:col>
          <xdr:colOff>219075</xdr:colOff>
          <xdr:row>219</xdr:row>
          <xdr:rowOff>171450</xdr:rowOff>
        </xdr:to>
        <xdr:sp macro="" textlink="">
          <xdr:nvSpPr>
            <xdr:cNvPr id="2499" name="Button 442" hidden="1">
              <a:extLst>
                <a:ext uri="{63B3BB69-23CF-44E3-9099-C40C66FF867C}">
                  <a14:compatExt spid="_x0000_s2499"/>
                </a:ext>
                <a:ext uri="{FF2B5EF4-FFF2-40B4-BE49-F238E27FC236}">
                  <a16:creationId xmlns:a16="http://schemas.microsoft.com/office/drawing/2014/main" id="{00000000-0008-0000-0000-0000C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220</xdr:row>
          <xdr:rowOff>9525</xdr:rowOff>
        </xdr:from>
        <xdr:to>
          <xdr:col>4</xdr:col>
          <xdr:colOff>219075</xdr:colOff>
          <xdr:row>220</xdr:row>
          <xdr:rowOff>171450</xdr:rowOff>
        </xdr:to>
        <xdr:sp macro="" textlink="">
          <xdr:nvSpPr>
            <xdr:cNvPr id="2500" name="Button 442" hidden="1">
              <a:extLst>
                <a:ext uri="{63B3BB69-23CF-44E3-9099-C40C66FF867C}">
                  <a14:compatExt spid="_x0000_s2500"/>
                </a:ext>
                <a:ext uri="{FF2B5EF4-FFF2-40B4-BE49-F238E27FC236}">
                  <a16:creationId xmlns:a16="http://schemas.microsoft.com/office/drawing/2014/main" id="{00000000-0008-0000-0000-0000C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221</xdr:row>
          <xdr:rowOff>9525</xdr:rowOff>
        </xdr:from>
        <xdr:to>
          <xdr:col>4</xdr:col>
          <xdr:colOff>219075</xdr:colOff>
          <xdr:row>221</xdr:row>
          <xdr:rowOff>171450</xdr:rowOff>
        </xdr:to>
        <xdr:sp macro="" textlink="">
          <xdr:nvSpPr>
            <xdr:cNvPr id="2501" name="Button 442" hidden="1">
              <a:extLst>
                <a:ext uri="{63B3BB69-23CF-44E3-9099-C40C66FF867C}">
                  <a14:compatExt spid="_x0000_s2501"/>
                </a:ext>
                <a:ext uri="{FF2B5EF4-FFF2-40B4-BE49-F238E27FC236}">
                  <a16:creationId xmlns:a16="http://schemas.microsoft.com/office/drawing/2014/main" id="{00000000-0008-0000-0000-0000C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222</xdr:row>
          <xdr:rowOff>9525</xdr:rowOff>
        </xdr:from>
        <xdr:to>
          <xdr:col>4</xdr:col>
          <xdr:colOff>219075</xdr:colOff>
          <xdr:row>222</xdr:row>
          <xdr:rowOff>171450</xdr:rowOff>
        </xdr:to>
        <xdr:sp macro="" textlink="">
          <xdr:nvSpPr>
            <xdr:cNvPr id="2502" name="Button 442" hidden="1">
              <a:extLst>
                <a:ext uri="{63B3BB69-23CF-44E3-9099-C40C66FF867C}">
                  <a14:compatExt spid="_x0000_s2502"/>
                </a:ext>
                <a:ext uri="{FF2B5EF4-FFF2-40B4-BE49-F238E27FC236}">
                  <a16:creationId xmlns:a16="http://schemas.microsoft.com/office/drawing/2014/main" id="{00000000-0008-0000-0000-0000C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223</xdr:row>
          <xdr:rowOff>9525</xdr:rowOff>
        </xdr:from>
        <xdr:to>
          <xdr:col>4</xdr:col>
          <xdr:colOff>219075</xdr:colOff>
          <xdr:row>223</xdr:row>
          <xdr:rowOff>171450</xdr:rowOff>
        </xdr:to>
        <xdr:sp macro="" textlink="">
          <xdr:nvSpPr>
            <xdr:cNvPr id="2503" name="Button 442" hidden="1">
              <a:extLst>
                <a:ext uri="{63B3BB69-23CF-44E3-9099-C40C66FF867C}">
                  <a14:compatExt spid="_x0000_s2503"/>
                </a:ext>
                <a:ext uri="{FF2B5EF4-FFF2-40B4-BE49-F238E27FC236}">
                  <a16:creationId xmlns:a16="http://schemas.microsoft.com/office/drawing/2014/main" id="{00000000-0008-0000-0000-0000C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224</xdr:row>
          <xdr:rowOff>9525</xdr:rowOff>
        </xdr:from>
        <xdr:to>
          <xdr:col>4</xdr:col>
          <xdr:colOff>219075</xdr:colOff>
          <xdr:row>224</xdr:row>
          <xdr:rowOff>171450</xdr:rowOff>
        </xdr:to>
        <xdr:sp macro="" textlink="">
          <xdr:nvSpPr>
            <xdr:cNvPr id="2504" name="Button 442" hidden="1">
              <a:extLst>
                <a:ext uri="{63B3BB69-23CF-44E3-9099-C40C66FF867C}">
                  <a14:compatExt spid="_x0000_s2504"/>
                </a:ext>
                <a:ext uri="{FF2B5EF4-FFF2-40B4-BE49-F238E27FC236}">
                  <a16:creationId xmlns:a16="http://schemas.microsoft.com/office/drawing/2014/main" id="{00000000-0008-0000-0000-0000C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225</xdr:row>
          <xdr:rowOff>9525</xdr:rowOff>
        </xdr:from>
        <xdr:to>
          <xdr:col>4</xdr:col>
          <xdr:colOff>219075</xdr:colOff>
          <xdr:row>225</xdr:row>
          <xdr:rowOff>171450</xdr:rowOff>
        </xdr:to>
        <xdr:sp macro="" textlink="">
          <xdr:nvSpPr>
            <xdr:cNvPr id="2505" name="Button 442" hidden="1">
              <a:extLst>
                <a:ext uri="{63B3BB69-23CF-44E3-9099-C40C66FF867C}">
                  <a14:compatExt spid="_x0000_s2505"/>
                </a:ext>
                <a:ext uri="{FF2B5EF4-FFF2-40B4-BE49-F238E27FC236}">
                  <a16:creationId xmlns:a16="http://schemas.microsoft.com/office/drawing/2014/main" id="{00000000-0008-0000-0000-0000C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226</xdr:row>
          <xdr:rowOff>9525</xdr:rowOff>
        </xdr:from>
        <xdr:to>
          <xdr:col>4</xdr:col>
          <xdr:colOff>219075</xdr:colOff>
          <xdr:row>226</xdr:row>
          <xdr:rowOff>171450</xdr:rowOff>
        </xdr:to>
        <xdr:sp macro="" textlink="">
          <xdr:nvSpPr>
            <xdr:cNvPr id="2506" name="Button 442" hidden="1">
              <a:extLst>
                <a:ext uri="{63B3BB69-23CF-44E3-9099-C40C66FF867C}">
                  <a14:compatExt spid="_x0000_s2506"/>
                </a:ext>
                <a:ext uri="{FF2B5EF4-FFF2-40B4-BE49-F238E27FC236}">
                  <a16:creationId xmlns:a16="http://schemas.microsoft.com/office/drawing/2014/main" id="{00000000-0008-0000-0000-0000C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227</xdr:row>
          <xdr:rowOff>9525</xdr:rowOff>
        </xdr:from>
        <xdr:to>
          <xdr:col>4</xdr:col>
          <xdr:colOff>219075</xdr:colOff>
          <xdr:row>227</xdr:row>
          <xdr:rowOff>171450</xdr:rowOff>
        </xdr:to>
        <xdr:sp macro="" textlink="">
          <xdr:nvSpPr>
            <xdr:cNvPr id="2507" name="Button 442" hidden="1">
              <a:extLst>
                <a:ext uri="{63B3BB69-23CF-44E3-9099-C40C66FF867C}">
                  <a14:compatExt spid="_x0000_s2507"/>
                </a:ext>
                <a:ext uri="{FF2B5EF4-FFF2-40B4-BE49-F238E27FC236}">
                  <a16:creationId xmlns:a16="http://schemas.microsoft.com/office/drawing/2014/main" id="{00000000-0008-0000-0000-0000C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229</xdr:row>
          <xdr:rowOff>9525</xdr:rowOff>
        </xdr:from>
        <xdr:to>
          <xdr:col>4</xdr:col>
          <xdr:colOff>219075</xdr:colOff>
          <xdr:row>229</xdr:row>
          <xdr:rowOff>171450</xdr:rowOff>
        </xdr:to>
        <xdr:sp macro="" textlink="">
          <xdr:nvSpPr>
            <xdr:cNvPr id="2508" name="Button 442" hidden="1">
              <a:extLst>
                <a:ext uri="{63B3BB69-23CF-44E3-9099-C40C66FF867C}">
                  <a14:compatExt spid="_x0000_s2508"/>
                </a:ext>
                <a:ext uri="{FF2B5EF4-FFF2-40B4-BE49-F238E27FC236}">
                  <a16:creationId xmlns:a16="http://schemas.microsoft.com/office/drawing/2014/main" id="{00000000-0008-0000-0000-0000C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230</xdr:row>
          <xdr:rowOff>9525</xdr:rowOff>
        </xdr:from>
        <xdr:to>
          <xdr:col>4</xdr:col>
          <xdr:colOff>219075</xdr:colOff>
          <xdr:row>230</xdr:row>
          <xdr:rowOff>171450</xdr:rowOff>
        </xdr:to>
        <xdr:sp macro="" textlink="">
          <xdr:nvSpPr>
            <xdr:cNvPr id="2509" name="Button 442" hidden="1">
              <a:extLst>
                <a:ext uri="{63B3BB69-23CF-44E3-9099-C40C66FF867C}">
                  <a14:compatExt spid="_x0000_s2509"/>
                </a:ext>
                <a:ext uri="{FF2B5EF4-FFF2-40B4-BE49-F238E27FC236}">
                  <a16:creationId xmlns:a16="http://schemas.microsoft.com/office/drawing/2014/main" id="{00000000-0008-0000-0000-0000C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231</xdr:row>
          <xdr:rowOff>9525</xdr:rowOff>
        </xdr:from>
        <xdr:to>
          <xdr:col>4</xdr:col>
          <xdr:colOff>219075</xdr:colOff>
          <xdr:row>231</xdr:row>
          <xdr:rowOff>171450</xdr:rowOff>
        </xdr:to>
        <xdr:sp macro="" textlink="">
          <xdr:nvSpPr>
            <xdr:cNvPr id="2510" name="Button 442" hidden="1">
              <a:extLst>
                <a:ext uri="{63B3BB69-23CF-44E3-9099-C40C66FF867C}">
                  <a14:compatExt spid="_x0000_s2510"/>
                </a:ext>
                <a:ext uri="{FF2B5EF4-FFF2-40B4-BE49-F238E27FC236}">
                  <a16:creationId xmlns:a16="http://schemas.microsoft.com/office/drawing/2014/main" id="{00000000-0008-0000-0000-0000C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232</xdr:row>
          <xdr:rowOff>9525</xdr:rowOff>
        </xdr:from>
        <xdr:to>
          <xdr:col>4</xdr:col>
          <xdr:colOff>219075</xdr:colOff>
          <xdr:row>232</xdr:row>
          <xdr:rowOff>171450</xdr:rowOff>
        </xdr:to>
        <xdr:sp macro="" textlink="">
          <xdr:nvSpPr>
            <xdr:cNvPr id="2511" name="Button 442" hidden="1">
              <a:extLst>
                <a:ext uri="{63B3BB69-23CF-44E3-9099-C40C66FF867C}">
                  <a14:compatExt spid="_x0000_s2511"/>
                </a:ext>
                <a:ext uri="{FF2B5EF4-FFF2-40B4-BE49-F238E27FC236}">
                  <a16:creationId xmlns:a16="http://schemas.microsoft.com/office/drawing/2014/main" id="{00000000-0008-0000-0000-0000C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233</xdr:row>
          <xdr:rowOff>9525</xdr:rowOff>
        </xdr:from>
        <xdr:to>
          <xdr:col>4</xdr:col>
          <xdr:colOff>219075</xdr:colOff>
          <xdr:row>233</xdr:row>
          <xdr:rowOff>171450</xdr:rowOff>
        </xdr:to>
        <xdr:sp macro="" textlink="">
          <xdr:nvSpPr>
            <xdr:cNvPr id="2512" name="Button 442" hidden="1">
              <a:extLst>
                <a:ext uri="{63B3BB69-23CF-44E3-9099-C40C66FF867C}">
                  <a14:compatExt spid="_x0000_s2512"/>
                </a:ext>
                <a:ext uri="{FF2B5EF4-FFF2-40B4-BE49-F238E27FC236}">
                  <a16:creationId xmlns:a16="http://schemas.microsoft.com/office/drawing/2014/main" id="{00000000-0008-0000-0000-0000D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234</xdr:row>
          <xdr:rowOff>9525</xdr:rowOff>
        </xdr:from>
        <xdr:to>
          <xdr:col>4</xdr:col>
          <xdr:colOff>219075</xdr:colOff>
          <xdr:row>234</xdr:row>
          <xdr:rowOff>171450</xdr:rowOff>
        </xdr:to>
        <xdr:sp macro="" textlink="">
          <xdr:nvSpPr>
            <xdr:cNvPr id="2513" name="Button 442" hidden="1">
              <a:extLst>
                <a:ext uri="{63B3BB69-23CF-44E3-9099-C40C66FF867C}">
                  <a14:compatExt spid="_x0000_s2513"/>
                </a:ext>
                <a:ext uri="{FF2B5EF4-FFF2-40B4-BE49-F238E27FC236}">
                  <a16:creationId xmlns:a16="http://schemas.microsoft.com/office/drawing/2014/main" id="{00000000-0008-0000-0000-0000D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235</xdr:row>
          <xdr:rowOff>9525</xdr:rowOff>
        </xdr:from>
        <xdr:to>
          <xdr:col>4</xdr:col>
          <xdr:colOff>219075</xdr:colOff>
          <xdr:row>235</xdr:row>
          <xdr:rowOff>171450</xdr:rowOff>
        </xdr:to>
        <xdr:sp macro="" textlink="">
          <xdr:nvSpPr>
            <xdr:cNvPr id="2514" name="Button 442" hidden="1">
              <a:extLst>
                <a:ext uri="{63B3BB69-23CF-44E3-9099-C40C66FF867C}">
                  <a14:compatExt spid="_x0000_s2514"/>
                </a:ext>
                <a:ext uri="{FF2B5EF4-FFF2-40B4-BE49-F238E27FC236}">
                  <a16:creationId xmlns:a16="http://schemas.microsoft.com/office/drawing/2014/main" id="{00000000-0008-0000-0000-0000D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236</xdr:row>
          <xdr:rowOff>9525</xdr:rowOff>
        </xdr:from>
        <xdr:to>
          <xdr:col>4</xdr:col>
          <xdr:colOff>219075</xdr:colOff>
          <xdr:row>236</xdr:row>
          <xdr:rowOff>171450</xdr:rowOff>
        </xdr:to>
        <xdr:sp macro="" textlink="">
          <xdr:nvSpPr>
            <xdr:cNvPr id="2515" name="Button 442" hidden="1">
              <a:extLst>
                <a:ext uri="{63B3BB69-23CF-44E3-9099-C40C66FF867C}">
                  <a14:compatExt spid="_x0000_s2515"/>
                </a:ext>
                <a:ext uri="{FF2B5EF4-FFF2-40B4-BE49-F238E27FC236}">
                  <a16:creationId xmlns:a16="http://schemas.microsoft.com/office/drawing/2014/main" id="{00000000-0008-0000-0000-0000D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237</xdr:row>
          <xdr:rowOff>9525</xdr:rowOff>
        </xdr:from>
        <xdr:to>
          <xdr:col>4</xdr:col>
          <xdr:colOff>219075</xdr:colOff>
          <xdr:row>237</xdr:row>
          <xdr:rowOff>171450</xdr:rowOff>
        </xdr:to>
        <xdr:sp macro="" textlink="">
          <xdr:nvSpPr>
            <xdr:cNvPr id="2516" name="Button 442" hidden="1">
              <a:extLst>
                <a:ext uri="{63B3BB69-23CF-44E3-9099-C40C66FF867C}">
                  <a14:compatExt spid="_x0000_s2516"/>
                </a:ext>
                <a:ext uri="{FF2B5EF4-FFF2-40B4-BE49-F238E27FC236}">
                  <a16:creationId xmlns:a16="http://schemas.microsoft.com/office/drawing/2014/main" id="{00000000-0008-0000-0000-0000D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238</xdr:row>
          <xdr:rowOff>19050</xdr:rowOff>
        </xdr:from>
        <xdr:to>
          <xdr:col>4</xdr:col>
          <xdr:colOff>219075</xdr:colOff>
          <xdr:row>238</xdr:row>
          <xdr:rowOff>180975</xdr:rowOff>
        </xdr:to>
        <xdr:sp macro="" textlink="">
          <xdr:nvSpPr>
            <xdr:cNvPr id="2517" name="Button 442" hidden="1">
              <a:extLst>
                <a:ext uri="{63B3BB69-23CF-44E3-9099-C40C66FF867C}">
                  <a14:compatExt spid="_x0000_s2517"/>
                </a:ext>
                <a:ext uri="{FF2B5EF4-FFF2-40B4-BE49-F238E27FC236}">
                  <a16:creationId xmlns:a16="http://schemas.microsoft.com/office/drawing/2014/main" id="{00000000-0008-0000-0000-0000D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239</xdr:row>
          <xdr:rowOff>9525</xdr:rowOff>
        </xdr:from>
        <xdr:to>
          <xdr:col>4</xdr:col>
          <xdr:colOff>219075</xdr:colOff>
          <xdr:row>239</xdr:row>
          <xdr:rowOff>171450</xdr:rowOff>
        </xdr:to>
        <xdr:sp macro="" textlink="">
          <xdr:nvSpPr>
            <xdr:cNvPr id="2518" name="Button 442" hidden="1">
              <a:extLst>
                <a:ext uri="{63B3BB69-23CF-44E3-9099-C40C66FF867C}">
                  <a14:compatExt spid="_x0000_s2518"/>
                </a:ext>
                <a:ext uri="{FF2B5EF4-FFF2-40B4-BE49-F238E27FC236}">
                  <a16:creationId xmlns:a16="http://schemas.microsoft.com/office/drawing/2014/main" id="{00000000-0008-0000-0000-0000D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240</xdr:row>
          <xdr:rowOff>9525</xdr:rowOff>
        </xdr:from>
        <xdr:to>
          <xdr:col>4</xdr:col>
          <xdr:colOff>219075</xdr:colOff>
          <xdr:row>240</xdr:row>
          <xdr:rowOff>171450</xdr:rowOff>
        </xdr:to>
        <xdr:sp macro="" textlink="">
          <xdr:nvSpPr>
            <xdr:cNvPr id="2519" name="Button 442" hidden="1">
              <a:extLst>
                <a:ext uri="{63B3BB69-23CF-44E3-9099-C40C66FF867C}">
                  <a14:compatExt spid="_x0000_s2519"/>
                </a:ext>
                <a:ext uri="{FF2B5EF4-FFF2-40B4-BE49-F238E27FC236}">
                  <a16:creationId xmlns:a16="http://schemas.microsoft.com/office/drawing/2014/main" id="{00000000-0008-0000-0000-0000D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241</xdr:row>
          <xdr:rowOff>9525</xdr:rowOff>
        </xdr:from>
        <xdr:to>
          <xdr:col>4</xdr:col>
          <xdr:colOff>219075</xdr:colOff>
          <xdr:row>241</xdr:row>
          <xdr:rowOff>171450</xdr:rowOff>
        </xdr:to>
        <xdr:sp macro="" textlink="">
          <xdr:nvSpPr>
            <xdr:cNvPr id="2520" name="Button 442" hidden="1">
              <a:extLst>
                <a:ext uri="{63B3BB69-23CF-44E3-9099-C40C66FF867C}">
                  <a14:compatExt spid="_x0000_s2520"/>
                </a:ext>
                <a:ext uri="{FF2B5EF4-FFF2-40B4-BE49-F238E27FC236}">
                  <a16:creationId xmlns:a16="http://schemas.microsoft.com/office/drawing/2014/main" id="{00000000-0008-0000-0000-0000D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242</xdr:row>
          <xdr:rowOff>9525</xdr:rowOff>
        </xdr:from>
        <xdr:to>
          <xdr:col>4</xdr:col>
          <xdr:colOff>219075</xdr:colOff>
          <xdr:row>242</xdr:row>
          <xdr:rowOff>171450</xdr:rowOff>
        </xdr:to>
        <xdr:sp macro="" textlink="">
          <xdr:nvSpPr>
            <xdr:cNvPr id="2521" name="Button 442" hidden="1">
              <a:extLst>
                <a:ext uri="{63B3BB69-23CF-44E3-9099-C40C66FF867C}">
                  <a14:compatExt spid="_x0000_s2521"/>
                </a:ext>
                <a:ext uri="{FF2B5EF4-FFF2-40B4-BE49-F238E27FC236}">
                  <a16:creationId xmlns:a16="http://schemas.microsoft.com/office/drawing/2014/main" id="{00000000-0008-0000-0000-0000D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243</xdr:row>
          <xdr:rowOff>9525</xdr:rowOff>
        </xdr:from>
        <xdr:to>
          <xdr:col>4</xdr:col>
          <xdr:colOff>219075</xdr:colOff>
          <xdr:row>243</xdr:row>
          <xdr:rowOff>171450</xdr:rowOff>
        </xdr:to>
        <xdr:sp macro="" textlink="">
          <xdr:nvSpPr>
            <xdr:cNvPr id="2522" name="Button 442" hidden="1">
              <a:extLst>
                <a:ext uri="{63B3BB69-23CF-44E3-9099-C40C66FF867C}">
                  <a14:compatExt spid="_x0000_s2522"/>
                </a:ext>
                <a:ext uri="{FF2B5EF4-FFF2-40B4-BE49-F238E27FC236}">
                  <a16:creationId xmlns:a16="http://schemas.microsoft.com/office/drawing/2014/main" id="{00000000-0008-0000-0000-0000D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244</xdr:row>
          <xdr:rowOff>9525</xdr:rowOff>
        </xdr:from>
        <xdr:to>
          <xdr:col>4</xdr:col>
          <xdr:colOff>219075</xdr:colOff>
          <xdr:row>244</xdr:row>
          <xdr:rowOff>171450</xdr:rowOff>
        </xdr:to>
        <xdr:sp macro="" textlink="">
          <xdr:nvSpPr>
            <xdr:cNvPr id="2523" name="Button 442" hidden="1">
              <a:extLst>
                <a:ext uri="{63B3BB69-23CF-44E3-9099-C40C66FF867C}">
                  <a14:compatExt spid="_x0000_s2523"/>
                </a:ext>
                <a:ext uri="{FF2B5EF4-FFF2-40B4-BE49-F238E27FC236}">
                  <a16:creationId xmlns:a16="http://schemas.microsoft.com/office/drawing/2014/main" id="{00000000-0008-0000-0000-0000D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245</xdr:row>
          <xdr:rowOff>9525</xdr:rowOff>
        </xdr:from>
        <xdr:to>
          <xdr:col>4</xdr:col>
          <xdr:colOff>219075</xdr:colOff>
          <xdr:row>245</xdr:row>
          <xdr:rowOff>171450</xdr:rowOff>
        </xdr:to>
        <xdr:sp macro="" textlink="">
          <xdr:nvSpPr>
            <xdr:cNvPr id="2524" name="Button 442" hidden="1">
              <a:extLst>
                <a:ext uri="{63B3BB69-23CF-44E3-9099-C40C66FF867C}">
                  <a14:compatExt spid="_x0000_s2524"/>
                </a:ext>
                <a:ext uri="{FF2B5EF4-FFF2-40B4-BE49-F238E27FC236}">
                  <a16:creationId xmlns:a16="http://schemas.microsoft.com/office/drawing/2014/main" id="{00000000-0008-0000-0000-0000D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246</xdr:row>
          <xdr:rowOff>9525</xdr:rowOff>
        </xdr:from>
        <xdr:to>
          <xdr:col>4</xdr:col>
          <xdr:colOff>219075</xdr:colOff>
          <xdr:row>246</xdr:row>
          <xdr:rowOff>171450</xdr:rowOff>
        </xdr:to>
        <xdr:sp macro="" textlink="">
          <xdr:nvSpPr>
            <xdr:cNvPr id="2525" name="Button 442" hidden="1">
              <a:extLst>
                <a:ext uri="{63B3BB69-23CF-44E3-9099-C40C66FF867C}">
                  <a14:compatExt spid="_x0000_s2525"/>
                </a:ext>
                <a:ext uri="{FF2B5EF4-FFF2-40B4-BE49-F238E27FC236}">
                  <a16:creationId xmlns:a16="http://schemas.microsoft.com/office/drawing/2014/main" id="{00000000-0008-0000-0000-0000D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247</xdr:row>
          <xdr:rowOff>9525</xdr:rowOff>
        </xdr:from>
        <xdr:to>
          <xdr:col>4</xdr:col>
          <xdr:colOff>219075</xdr:colOff>
          <xdr:row>247</xdr:row>
          <xdr:rowOff>171450</xdr:rowOff>
        </xdr:to>
        <xdr:sp macro="" textlink="">
          <xdr:nvSpPr>
            <xdr:cNvPr id="2526" name="Button 442" hidden="1">
              <a:extLst>
                <a:ext uri="{63B3BB69-23CF-44E3-9099-C40C66FF867C}">
                  <a14:compatExt spid="_x0000_s2526"/>
                </a:ext>
                <a:ext uri="{FF2B5EF4-FFF2-40B4-BE49-F238E27FC236}">
                  <a16:creationId xmlns:a16="http://schemas.microsoft.com/office/drawing/2014/main" id="{00000000-0008-0000-0000-0000D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248</xdr:row>
          <xdr:rowOff>9525</xdr:rowOff>
        </xdr:from>
        <xdr:to>
          <xdr:col>4</xdr:col>
          <xdr:colOff>219075</xdr:colOff>
          <xdr:row>248</xdr:row>
          <xdr:rowOff>171450</xdr:rowOff>
        </xdr:to>
        <xdr:sp macro="" textlink="">
          <xdr:nvSpPr>
            <xdr:cNvPr id="2527" name="Button 442" hidden="1">
              <a:extLst>
                <a:ext uri="{63B3BB69-23CF-44E3-9099-C40C66FF867C}">
                  <a14:compatExt spid="_x0000_s2527"/>
                </a:ext>
                <a:ext uri="{FF2B5EF4-FFF2-40B4-BE49-F238E27FC236}">
                  <a16:creationId xmlns:a16="http://schemas.microsoft.com/office/drawing/2014/main" id="{00000000-0008-0000-0000-0000D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249</xdr:row>
          <xdr:rowOff>9525</xdr:rowOff>
        </xdr:from>
        <xdr:to>
          <xdr:col>4</xdr:col>
          <xdr:colOff>219075</xdr:colOff>
          <xdr:row>249</xdr:row>
          <xdr:rowOff>171450</xdr:rowOff>
        </xdr:to>
        <xdr:sp macro="" textlink="">
          <xdr:nvSpPr>
            <xdr:cNvPr id="2528" name="Button 442" hidden="1">
              <a:extLst>
                <a:ext uri="{63B3BB69-23CF-44E3-9099-C40C66FF867C}">
                  <a14:compatExt spid="_x0000_s2528"/>
                </a:ext>
                <a:ext uri="{FF2B5EF4-FFF2-40B4-BE49-F238E27FC236}">
                  <a16:creationId xmlns:a16="http://schemas.microsoft.com/office/drawing/2014/main" id="{00000000-0008-0000-0000-0000E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250</xdr:row>
          <xdr:rowOff>9525</xdr:rowOff>
        </xdr:from>
        <xdr:to>
          <xdr:col>4</xdr:col>
          <xdr:colOff>219075</xdr:colOff>
          <xdr:row>250</xdr:row>
          <xdr:rowOff>171450</xdr:rowOff>
        </xdr:to>
        <xdr:sp macro="" textlink="">
          <xdr:nvSpPr>
            <xdr:cNvPr id="2529" name="Button 442" hidden="1">
              <a:extLst>
                <a:ext uri="{63B3BB69-23CF-44E3-9099-C40C66FF867C}">
                  <a14:compatExt spid="_x0000_s2529"/>
                </a:ext>
                <a:ext uri="{FF2B5EF4-FFF2-40B4-BE49-F238E27FC236}">
                  <a16:creationId xmlns:a16="http://schemas.microsoft.com/office/drawing/2014/main" id="{00000000-0008-0000-0000-0000E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251</xdr:row>
          <xdr:rowOff>9525</xdr:rowOff>
        </xdr:from>
        <xdr:to>
          <xdr:col>4</xdr:col>
          <xdr:colOff>219075</xdr:colOff>
          <xdr:row>251</xdr:row>
          <xdr:rowOff>171450</xdr:rowOff>
        </xdr:to>
        <xdr:sp macro="" textlink="">
          <xdr:nvSpPr>
            <xdr:cNvPr id="2530" name="Button 442" hidden="1">
              <a:extLst>
                <a:ext uri="{63B3BB69-23CF-44E3-9099-C40C66FF867C}">
                  <a14:compatExt spid="_x0000_s2530"/>
                </a:ext>
                <a:ext uri="{FF2B5EF4-FFF2-40B4-BE49-F238E27FC236}">
                  <a16:creationId xmlns:a16="http://schemas.microsoft.com/office/drawing/2014/main" id="{00000000-0008-0000-0000-0000E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252</xdr:row>
          <xdr:rowOff>9525</xdr:rowOff>
        </xdr:from>
        <xdr:to>
          <xdr:col>4</xdr:col>
          <xdr:colOff>219075</xdr:colOff>
          <xdr:row>252</xdr:row>
          <xdr:rowOff>171450</xdr:rowOff>
        </xdr:to>
        <xdr:sp macro="" textlink="">
          <xdr:nvSpPr>
            <xdr:cNvPr id="2531" name="Button 442" hidden="1">
              <a:extLst>
                <a:ext uri="{63B3BB69-23CF-44E3-9099-C40C66FF867C}">
                  <a14:compatExt spid="_x0000_s2531"/>
                </a:ext>
                <a:ext uri="{FF2B5EF4-FFF2-40B4-BE49-F238E27FC236}">
                  <a16:creationId xmlns:a16="http://schemas.microsoft.com/office/drawing/2014/main" id="{00000000-0008-0000-0000-0000E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253</xdr:row>
          <xdr:rowOff>19050</xdr:rowOff>
        </xdr:from>
        <xdr:to>
          <xdr:col>4</xdr:col>
          <xdr:colOff>219075</xdr:colOff>
          <xdr:row>253</xdr:row>
          <xdr:rowOff>180975</xdr:rowOff>
        </xdr:to>
        <xdr:sp macro="" textlink="">
          <xdr:nvSpPr>
            <xdr:cNvPr id="2532" name="Button 442" hidden="1">
              <a:extLst>
                <a:ext uri="{63B3BB69-23CF-44E3-9099-C40C66FF867C}">
                  <a14:compatExt spid="_x0000_s2532"/>
                </a:ext>
                <a:ext uri="{FF2B5EF4-FFF2-40B4-BE49-F238E27FC236}">
                  <a16:creationId xmlns:a16="http://schemas.microsoft.com/office/drawing/2014/main" id="{00000000-0008-0000-0000-0000E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253</xdr:row>
          <xdr:rowOff>9525</xdr:rowOff>
        </xdr:from>
        <xdr:to>
          <xdr:col>4</xdr:col>
          <xdr:colOff>219075</xdr:colOff>
          <xdr:row>253</xdr:row>
          <xdr:rowOff>171450</xdr:rowOff>
        </xdr:to>
        <xdr:sp macro="" textlink="">
          <xdr:nvSpPr>
            <xdr:cNvPr id="2533" name="Button 442" hidden="1">
              <a:extLst>
                <a:ext uri="{63B3BB69-23CF-44E3-9099-C40C66FF867C}">
                  <a14:compatExt spid="_x0000_s2533"/>
                </a:ext>
                <a:ext uri="{FF2B5EF4-FFF2-40B4-BE49-F238E27FC236}">
                  <a16:creationId xmlns:a16="http://schemas.microsoft.com/office/drawing/2014/main" id="{00000000-0008-0000-0000-0000E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254</xdr:row>
          <xdr:rowOff>9525</xdr:rowOff>
        </xdr:from>
        <xdr:to>
          <xdr:col>4</xdr:col>
          <xdr:colOff>219075</xdr:colOff>
          <xdr:row>254</xdr:row>
          <xdr:rowOff>171450</xdr:rowOff>
        </xdr:to>
        <xdr:sp macro="" textlink="">
          <xdr:nvSpPr>
            <xdr:cNvPr id="2534" name="Button 442" hidden="1">
              <a:extLst>
                <a:ext uri="{63B3BB69-23CF-44E3-9099-C40C66FF867C}">
                  <a14:compatExt spid="_x0000_s2534"/>
                </a:ext>
                <a:ext uri="{FF2B5EF4-FFF2-40B4-BE49-F238E27FC236}">
                  <a16:creationId xmlns:a16="http://schemas.microsoft.com/office/drawing/2014/main" id="{00000000-0008-0000-0000-0000E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255</xdr:row>
          <xdr:rowOff>9525</xdr:rowOff>
        </xdr:from>
        <xdr:to>
          <xdr:col>4</xdr:col>
          <xdr:colOff>219075</xdr:colOff>
          <xdr:row>255</xdr:row>
          <xdr:rowOff>171450</xdr:rowOff>
        </xdr:to>
        <xdr:sp macro="" textlink="">
          <xdr:nvSpPr>
            <xdr:cNvPr id="2535" name="Button 442" hidden="1">
              <a:extLst>
                <a:ext uri="{63B3BB69-23CF-44E3-9099-C40C66FF867C}">
                  <a14:compatExt spid="_x0000_s2535"/>
                </a:ext>
                <a:ext uri="{FF2B5EF4-FFF2-40B4-BE49-F238E27FC236}">
                  <a16:creationId xmlns:a16="http://schemas.microsoft.com/office/drawing/2014/main" id="{00000000-0008-0000-0000-0000E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256</xdr:row>
          <xdr:rowOff>9525</xdr:rowOff>
        </xdr:from>
        <xdr:to>
          <xdr:col>4</xdr:col>
          <xdr:colOff>219075</xdr:colOff>
          <xdr:row>256</xdr:row>
          <xdr:rowOff>171450</xdr:rowOff>
        </xdr:to>
        <xdr:sp macro="" textlink="">
          <xdr:nvSpPr>
            <xdr:cNvPr id="2536" name="Button 442" hidden="1">
              <a:extLst>
                <a:ext uri="{63B3BB69-23CF-44E3-9099-C40C66FF867C}">
                  <a14:compatExt spid="_x0000_s2536"/>
                </a:ext>
                <a:ext uri="{FF2B5EF4-FFF2-40B4-BE49-F238E27FC236}">
                  <a16:creationId xmlns:a16="http://schemas.microsoft.com/office/drawing/2014/main" id="{00000000-0008-0000-0000-0000E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257</xdr:row>
          <xdr:rowOff>9525</xdr:rowOff>
        </xdr:from>
        <xdr:to>
          <xdr:col>4</xdr:col>
          <xdr:colOff>219075</xdr:colOff>
          <xdr:row>257</xdr:row>
          <xdr:rowOff>171450</xdr:rowOff>
        </xdr:to>
        <xdr:sp macro="" textlink="">
          <xdr:nvSpPr>
            <xdr:cNvPr id="2537" name="Button 442" hidden="1">
              <a:extLst>
                <a:ext uri="{63B3BB69-23CF-44E3-9099-C40C66FF867C}">
                  <a14:compatExt spid="_x0000_s2537"/>
                </a:ext>
                <a:ext uri="{FF2B5EF4-FFF2-40B4-BE49-F238E27FC236}">
                  <a16:creationId xmlns:a16="http://schemas.microsoft.com/office/drawing/2014/main" id="{00000000-0008-0000-0000-0000E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258</xdr:row>
          <xdr:rowOff>9525</xdr:rowOff>
        </xdr:from>
        <xdr:to>
          <xdr:col>4</xdr:col>
          <xdr:colOff>219075</xdr:colOff>
          <xdr:row>258</xdr:row>
          <xdr:rowOff>171450</xdr:rowOff>
        </xdr:to>
        <xdr:sp macro="" textlink="">
          <xdr:nvSpPr>
            <xdr:cNvPr id="2538" name="Button 442" hidden="1">
              <a:extLst>
                <a:ext uri="{63B3BB69-23CF-44E3-9099-C40C66FF867C}">
                  <a14:compatExt spid="_x0000_s2538"/>
                </a:ext>
                <a:ext uri="{FF2B5EF4-FFF2-40B4-BE49-F238E27FC236}">
                  <a16:creationId xmlns:a16="http://schemas.microsoft.com/office/drawing/2014/main" id="{00000000-0008-0000-0000-0000E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259</xdr:row>
          <xdr:rowOff>9525</xdr:rowOff>
        </xdr:from>
        <xdr:to>
          <xdr:col>4</xdr:col>
          <xdr:colOff>219075</xdr:colOff>
          <xdr:row>259</xdr:row>
          <xdr:rowOff>171450</xdr:rowOff>
        </xdr:to>
        <xdr:sp macro="" textlink="">
          <xdr:nvSpPr>
            <xdr:cNvPr id="2540" name="Button 492" hidden="1">
              <a:extLst>
                <a:ext uri="{63B3BB69-23CF-44E3-9099-C40C66FF867C}">
                  <a14:compatExt spid="_x0000_s2540"/>
                </a:ext>
                <a:ext uri="{FF2B5EF4-FFF2-40B4-BE49-F238E27FC236}">
                  <a16:creationId xmlns:a16="http://schemas.microsoft.com/office/drawing/2014/main" id="{00000000-0008-0000-0000-0000E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260</xdr:row>
          <xdr:rowOff>9525</xdr:rowOff>
        </xdr:from>
        <xdr:to>
          <xdr:col>4</xdr:col>
          <xdr:colOff>219075</xdr:colOff>
          <xdr:row>260</xdr:row>
          <xdr:rowOff>171450</xdr:rowOff>
        </xdr:to>
        <xdr:sp macro="" textlink="">
          <xdr:nvSpPr>
            <xdr:cNvPr id="2541" name="Button 493" hidden="1">
              <a:extLst>
                <a:ext uri="{63B3BB69-23CF-44E3-9099-C40C66FF867C}">
                  <a14:compatExt spid="_x0000_s2541"/>
                </a:ext>
                <a:ext uri="{FF2B5EF4-FFF2-40B4-BE49-F238E27FC236}">
                  <a16:creationId xmlns:a16="http://schemas.microsoft.com/office/drawing/2014/main" id="{00000000-0008-0000-0000-0000E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261</xdr:row>
          <xdr:rowOff>9525</xdr:rowOff>
        </xdr:from>
        <xdr:to>
          <xdr:col>4</xdr:col>
          <xdr:colOff>219075</xdr:colOff>
          <xdr:row>261</xdr:row>
          <xdr:rowOff>171450</xdr:rowOff>
        </xdr:to>
        <xdr:sp macro="" textlink="">
          <xdr:nvSpPr>
            <xdr:cNvPr id="2542" name="Button 494" hidden="1">
              <a:extLst>
                <a:ext uri="{63B3BB69-23CF-44E3-9099-C40C66FF867C}">
                  <a14:compatExt spid="_x0000_s2542"/>
                </a:ext>
                <a:ext uri="{FF2B5EF4-FFF2-40B4-BE49-F238E27FC236}">
                  <a16:creationId xmlns:a16="http://schemas.microsoft.com/office/drawing/2014/main" id="{00000000-0008-0000-0000-0000E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262</xdr:row>
          <xdr:rowOff>9525</xdr:rowOff>
        </xdr:from>
        <xdr:to>
          <xdr:col>4</xdr:col>
          <xdr:colOff>219075</xdr:colOff>
          <xdr:row>262</xdr:row>
          <xdr:rowOff>171450</xdr:rowOff>
        </xdr:to>
        <xdr:sp macro="" textlink="">
          <xdr:nvSpPr>
            <xdr:cNvPr id="2543" name="Button 495" hidden="1">
              <a:extLst>
                <a:ext uri="{63B3BB69-23CF-44E3-9099-C40C66FF867C}">
                  <a14:compatExt spid="_x0000_s2543"/>
                </a:ext>
                <a:ext uri="{FF2B5EF4-FFF2-40B4-BE49-F238E27FC236}">
                  <a16:creationId xmlns:a16="http://schemas.microsoft.com/office/drawing/2014/main" id="{00000000-0008-0000-0000-0000E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263</xdr:row>
          <xdr:rowOff>9525</xdr:rowOff>
        </xdr:from>
        <xdr:to>
          <xdr:col>4</xdr:col>
          <xdr:colOff>219075</xdr:colOff>
          <xdr:row>263</xdr:row>
          <xdr:rowOff>171450</xdr:rowOff>
        </xdr:to>
        <xdr:sp macro="" textlink="">
          <xdr:nvSpPr>
            <xdr:cNvPr id="2544" name="Button 496" hidden="1">
              <a:extLst>
                <a:ext uri="{63B3BB69-23CF-44E3-9099-C40C66FF867C}">
                  <a14:compatExt spid="_x0000_s2544"/>
                </a:ext>
                <a:ext uri="{FF2B5EF4-FFF2-40B4-BE49-F238E27FC236}">
                  <a16:creationId xmlns:a16="http://schemas.microsoft.com/office/drawing/2014/main" id="{00000000-0008-0000-0000-0000F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264</xdr:row>
          <xdr:rowOff>9525</xdr:rowOff>
        </xdr:from>
        <xdr:to>
          <xdr:col>4</xdr:col>
          <xdr:colOff>219075</xdr:colOff>
          <xdr:row>264</xdr:row>
          <xdr:rowOff>171450</xdr:rowOff>
        </xdr:to>
        <xdr:sp macro="" textlink="">
          <xdr:nvSpPr>
            <xdr:cNvPr id="2545" name="Button 497" hidden="1">
              <a:extLst>
                <a:ext uri="{63B3BB69-23CF-44E3-9099-C40C66FF867C}">
                  <a14:compatExt spid="_x0000_s2545"/>
                </a:ext>
                <a:ext uri="{FF2B5EF4-FFF2-40B4-BE49-F238E27FC236}">
                  <a16:creationId xmlns:a16="http://schemas.microsoft.com/office/drawing/2014/main" id="{00000000-0008-0000-0000-0000F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265</xdr:row>
          <xdr:rowOff>9525</xdr:rowOff>
        </xdr:from>
        <xdr:to>
          <xdr:col>4</xdr:col>
          <xdr:colOff>219075</xdr:colOff>
          <xdr:row>265</xdr:row>
          <xdr:rowOff>171450</xdr:rowOff>
        </xdr:to>
        <xdr:sp macro="" textlink="">
          <xdr:nvSpPr>
            <xdr:cNvPr id="2546" name="Button 498" hidden="1">
              <a:extLst>
                <a:ext uri="{63B3BB69-23CF-44E3-9099-C40C66FF867C}">
                  <a14:compatExt spid="_x0000_s2546"/>
                </a:ext>
                <a:ext uri="{FF2B5EF4-FFF2-40B4-BE49-F238E27FC236}">
                  <a16:creationId xmlns:a16="http://schemas.microsoft.com/office/drawing/2014/main" id="{00000000-0008-0000-0000-0000F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266</xdr:row>
          <xdr:rowOff>9525</xdr:rowOff>
        </xdr:from>
        <xdr:to>
          <xdr:col>4</xdr:col>
          <xdr:colOff>219075</xdr:colOff>
          <xdr:row>266</xdr:row>
          <xdr:rowOff>171450</xdr:rowOff>
        </xdr:to>
        <xdr:sp macro="" textlink="">
          <xdr:nvSpPr>
            <xdr:cNvPr id="2547" name="Button 499" hidden="1">
              <a:extLst>
                <a:ext uri="{63B3BB69-23CF-44E3-9099-C40C66FF867C}">
                  <a14:compatExt spid="_x0000_s2547"/>
                </a:ext>
                <a:ext uri="{FF2B5EF4-FFF2-40B4-BE49-F238E27FC236}">
                  <a16:creationId xmlns:a16="http://schemas.microsoft.com/office/drawing/2014/main" id="{00000000-0008-0000-0000-0000F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267</xdr:row>
          <xdr:rowOff>9525</xdr:rowOff>
        </xdr:from>
        <xdr:to>
          <xdr:col>4</xdr:col>
          <xdr:colOff>219075</xdr:colOff>
          <xdr:row>267</xdr:row>
          <xdr:rowOff>171450</xdr:rowOff>
        </xdr:to>
        <xdr:sp macro="" textlink="">
          <xdr:nvSpPr>
            <xdr:cNvPr id="2548" name="Button 500" hidden="1">
              <a:extLst>
                <a:ext uri="{63B3BB69-23CF-44E3-9099-C40C66FF867C}">
                  <a14:compatExt spid="_x0000_s2548"/>
                </a:ext>
                <a:ext uri="{FF2B5EF4-FFF2-40B4-BE49-F238E27FC236}">
                  <a16:creationId xmlns:a16="http://schemas.microsoft.com/office/drawing/2014/main" id="{00000000-0008-0000-0000-0000F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268</xdr:row>
          <xdr:rowOff>9525</xdr:rowOff>
        </xdr:from>
        <xdr:to>
          <xdr:col>4</xdr:col>
          <xdr:colOff>219075</xdr:colOff>
          <xdr:row>268</xdr:row>
          <xdr:rowOff>171450</xdr:rowOff>
        </xdr:to>
        <xdr:sp macro="" textlink="">
          <xdr:nvSpPr>
            <xdr:cNvPr id="2549" name="Button 501" hidden="1">
              <a:extLst>
                <a:ext uri="{63B3BB69-23CF-44E3-9099-C40C66FF867C}">
                  <a14:compatExt spid="_x0000_s2549"/>
                </a:ext>
                <a:ext uri="{FF2B5EF4-FFF2-40B4-BE49-F238E27FC236}">
                  <a16:creationId xmlns:a16="http://schemas.microsoft.com/office/drawing/2014/main" id="{00000000-0008-0000-0000-0000F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269</xdr:row>
          <xdr:rowOff>9525</xdr:rowOff>
        </xdr:from>
        <xdr:to>
          <xdr:col>4</xdr:col>
          <xdr:colOff>219075</xdr:colOff>
          <xdr:row>269</xdr:row>
          <xdr:rowOff>171450</xdr:rowOff>
        </xdr:to>
        <xdr:sp macro="" textlink="">
          <xdr:nvSpPr>
            <xdr:cNvPr id="2550" name="Button 502" hidden="1">
              <a:extLst>
                <a:ext uri="{63B3BB69-23CF-44E3-9099-C40C66FF867C}">
                  <a14:compatExt spid="_x0000_s2550"/>
                </a:ext>
                <a:ext uri="{FF2B5EF4-FFF2-40B4-BE49-F238E27FC236}">
                  <a16:creationId xmlns:a16="http://schemas.microsoft.com/office/drawing/2014/main" id="{00000000-0008-0000-0000-0000F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270</xdr:row>
          <xdr:rowOff>9525</xdr:rowOff>
        </xdr:from>
        <xdr:to>
          <xdr:col>4</xdr:col>
          <xdr:colOff>219075</xdr:colOff>
          <xdr:row>270</xdr:row>
          <xdr:rowOff>171450</xdr:rowOff>
        </xdr:to>
        <xdr:sp macro="" textlink="">
          <xdr:nvSpPr>
            <xdr:cNvPr id="2551" name="Button 503" hidden="1">
              <a:extLst>
                <a:ext uri="{63B3BB69-23CF-44E3-9099-C40C66FF867C}">
                  <a14:compatExt spid="_x0000_s2551"/>
                </a:ext>
                <a:ext uri="{FF2B5EF4-FFF2-40B4-BE49-F238E27FC236}">
                  <a16:creationId xmlns:a16="http://schemas.microsoft.com/office/drawing/2014/main" id="{00000000-0008-0000-0000-0000F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271</xdr:row>
          <xdr:rowOff>9525</xdr:rowOff>
        </xdr:from>
        <xdr:to>
          <xdr:col>4</xdr:col>
          <xdr:colOff>219075</xdr:colOff>
          <xdr:row>271</xdr:row>
          <xdr:rowOff>171450</xdr:rowOff>
        </xdr:to>
        <xdr:sp macro="" textlink="">
          <xdr:nvSpPr>
            <xdr:cNvPr id="2552" name="Button 504" hidden="1">
              <a:extLst>
                <a:ext uri="{63B3BB69-23CF-44E3-9099-C40C66FF867C}">
                  <a14:compatExt spid="_x0000_s2552"/>
                </a:ext>
                <a:ext uri="{FF2B5EF4-FFF2-40B4-BE49-F238E27FC236}">
                  <a16:creationId xmlns:a16="http://schemas.microsoft.com/office/drawing/2014/main" id="{00000000-0008-0000-0000-0000F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272</xdr:row>
          <xdr:rowOff>9525</xdr:rowOff>
        </xdr:from>
        <xdr:to>
          <xdr:col>4</xdr:col>
          <xdr:colOff>219075</xdr:colOff>
          <xdr:row>272</xdr:row>
          <xdr:rowOff>171450</xdr:rowOff>
        </xdr:to>
        <xdr:sp macro="" textlink="">
          <xdr:nvSpPr>
            <xdr:cNvPr id="2553" name="Button 505" hidden="1">
              <a:extLst>
                <a:ext uri="{63B3BB69-23CF-44E3-9099-C40C66FF867C}">
                  <a14:compatExt spid="_x0000_s2553"/>
                </a:ext>
                <a:ext uri="{FF2B5EF4-FFF2-40B4-BE49-F238E27FC236}">
                  <a16:creationId xmlns:a16="http://schemas.microsoft.com/office/drawing/2014/main" id="{00000000-0008-0000-0000-0000F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273</xdr:row>
          <xdr:rowOff>9525</xdr:rowOff>
        </xdr:from>
        <xdr:to>
          <xdr:col>4</xdr:col>
          <xdr:colOff>219075</xdr:colOff>
          <xdr:row>273</xdr:row>
          <xdr:rowOff>171450</xdr:rowOff>
        </xdr:to>
        <xdr:sp macro="" textlink="">
          <xdr:nvSpPr>
            <xdr:cNvPr id="2554" name="Button 506" hidden="1">
              <a:extLst>
                <a:ext uri="{63B3BB69-23CF-44E3-9099-C40C66FF867C}">
                  <a14:compatExt spid="_x0000_s2554"/>
                </a:ext>
                <a:ext uri="{FF2B5EF4-FFF2-40B4-BE49-F238E27FC236}">
                  <a16:creationId xmlns:a16="http://schemas.microsoft.com/office/drawing/2014/main" id="{00000000-0008-0000-0000-0000F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274</xdr:row>
          <xdr:rowOff>9525</xdr:rowOff>
        </xdr:from>
        <xdr:to>
          <xdr:col>4</xdr:col>
          <xdr:colOff>219075</xdr:colOff>
          <xdr:row>274</xdr:row>
          <xdr:rowOff>171450</xdr:rowOff>
        </xdr:to>
        <xdr:sp macro="" textlink="">
          <xdr:nvSpPr>
            <xdr:cNvPr id="2555" name="Button 507" hidden="1">
              <a:extLst>
                <a:ext uri="{63B3BB69-23CF-44E3-9099-C40C66FF867C}">
                  <a14:compatExt spid="_x0000_s2555"/>
                </a:ext>
                <a:ext uri="{FF2B5EF4-FFF2-40B4-BE49-F238E27FC236}">
                  <a16:creationId xmlns:a16="http://schemas.microsoft.com/office/drawing/2014/main" id="{00000000-0008-0000-0000-0000F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275</xdr:row>
          <xdr:rowOff>9525</xdr:rowOff>
        </xdr:from>
        <xdr:to>
          <xdr:col>4</xdr:col>
          <xdr:colOff>219075</xdr:colOff>
          <xdr:row>275</xdr:row>
          <xdr:rowOff>171450</xdr:rowOff>
        </xdr:to>
        <xdr:sp macro="" textlink="">
          <xdr:nvSpPr>
            <xdr:cNvPr id="2556" name="Button 508" hidden="1">
              <a:extLst>
                <a:ext uri="{63B3BB69-23CF-44E3-9099-C40C66FF867C}">
                  <a14:compatExt spid="_x0000_s2556"/>
                </a:ext>
                <a:ext uri="{FF2B5EF4-FFF2-40B4-BE49-F238E27FC236}">
                  <a16:creationId xmlns:a16="http://schemas.microsoft.com/office/drawing/2014/main" id="{00000000-0008-0000-0000-0000F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276</xdr:row>
          <xdr:rowOff>9525</xdr:rowOff>
        </xdr:from>
        <xdr:to>
          <xdr:col>4</xdr:col>
          <xdr:colOff>219075</xdr:colOff>
          <xdr:row>276</xdr:row>
          <xdr:rowOff>171450</xdr:rowOff>
        </xdr:to>
        <xdr:sp macro="" textlink="">
          <xdr:nvSpPr>
            <xdr:cNvPr id="2557" name="Button 509" hidden="1">
              <a:extLst>
                <a:ext uri="{63B3BB69-23CF-44E3-9099-C40C66FF867C}">
                  <a14:compatExt spid="_x0000_s2557"/>
                </a:ext>
                <a:ext uri="{FF2B5EF4-FFF2-40B4-BE49-F238E27FC236}">
                  <a16:creationId xmlns:a16="http://schemas.microsoft.com/office/drawing/2014/main" id="{00000000-0008-0000-0000-0000F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277</xdr:row>
          <xdr:rowOff>9525</xdr:rowOff>
        </xdr:from>
        <xdr:to>
          <xdr:col>4</xdr:col>
          <xdr:colOff>219075</xdr:colOff>
          <xdr:row>277</xdr:row>
          <xdr:rowOff>171450</xdr:rowOff>
        </xdr:to>
        <xdr:sp macro="" textlink="">
          <xdr:nvSpPr>
            <xdr:cNvPr id="2558" name="Button 510" hidden="1">
              <a:extLst>
                <a:ext uri="{63B3BB69-23CF-44E3-9099-C40C66FF867C}">
                  <a14:compatExt spid="_x0000_s2558"/>
                </a:ext>
                <a:ext uri="{FF2B5EF4-FFF2-40B4-BE49-F238E27FC236}">
                  <a16:creationId xmlns:a16="http://schemas.microsoft.com/office/drawing/2014/main" id="{00000000-0008-0000-0000-0000F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278</xdr:row>
          <xdr:rowOff>9525</xdr:rowOff>
        </xdr:from>
        <xdr:to>
          <xdr:col>4</xdr:col>
          <xdr:colOff>219075</xdr:colOff>
          <xdr:row>278</xdr:row>
          <xdr:rowOff>171450</xdr:rowOff>
        </xdr:to>
        <xdr:sp macro="" textlink="">
          <xdr:nvSpPr>
            <xdr:cNvPr id="2559" name="Button 511" hidden="1">
              <a:extLst>
                <a:ext uri="{63B3BB69-23CF-44E3-9099-C40C66FF867C}">
                  <a14:compatExt spid="_x0000_s2559"/>
                </a:ext>
                <a:ext uri="{FF2B5EF4-FFF2-40B4-BE49-F238E27FC236}">
                  <a16:creationId xmlns:a16="http://schemas.microsoft.com/office/drawing/2014/main" id="{00000000-0008-0000-0000-0000F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279</xdr:row>
          <xdr:rowOff>9525</xdr:rowOff>
        </xdr:from>
        <xdr:to>
          <xdr:col>4</xdr:col>
          <xdr:colOff>219075</xdr:colOff>
          <xdr:row>279</xdr:row>
          <xdr:rowOff>171450</xdr:rowOff>
        </xdr:to>
        <xdr:sp macro="" textlink="">
          <xdr:nvSpPr>
            <xdr:cNvPr id="2560" name="Button 512" hidden="1">
              <a:extLst>
                <a:ext uri="{63B3BB69-23CF-44E3-9099-C40C66FF867C}">
                  <a14:compatExt spid="_x0000_s2560"/>
                </a:ext>
                <a:ext uri="{FF2B5EF4-FFF2-40B4-BE49-F238E27FC236}">
                  <a16:creationId xmlns:a16="http://schemas.microsoft.com/office/drawing/2014/main" id="{00000000-0008-0000-0000-00000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280</xdr:row>
          <xdr:rowOff>9525</xdr:rowOff>
        </xdr:from>
        <xdr:to>
          <xdr:col>4</xdr:col>
          <xdr:colOff>219075</xdr:colOff>
          <xdr:row>280</xdr:row>
          <xdr:rowOff>171450</xdr:rowOff>
        </xdr:to>
        <xdr:sp macro="" textlink="">
          <xdr:nvSpPr>
            <xdr:cNvPr id="2561" name="Button 513" hidden="1">
              <a:extLst>
                <a:ext uri="{63B3BB69-23CF-44E3-9099-C40C66FF867C}">
                  <a14:compatExt spid="_x0000_s2561"/>
                </a:ext>
                <a:ext uri="{FF2B5EF4-FFF2-40B4-BE49-F238E27FC236}">
                  <a16:creationId xmlns:a16="http://schemas.microsoft.com/office/drawing/2014/main" id="{00000000-0008-0000-0000-00000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281</xdr:row>
          <xdr:rowOff>9525</xdr:rowOff>
        </xdr:from>
        <xdr:to>
          <xdr:col>4</xdr:col>
          <xdr:colOff>219075</xdr:colOff>
          <xdr:row>281</xdr:row>
          <xdr:rowOff>171450</xdr:rowOff>
        </xdr:to>
        <xdr:sp macro="" textlink="">
          <xdr:nvSpPr>
            <xdr:cNvPr id="2562" name="Button 514" hidden="1">
              <a:extLst>
                <a:ext uri="{63B3BB69-23CF-44E3-9099-C40C66FF867C}">
                  <a14:compatExt spid="_x0000_s2562"/>
                </a:ext>
                <a:ext uri="{FF2B5EF4-FFF2-40B4-BE49-F238E27FC236}">
                  <a16:creationId xmlns:a16="http://schemas.microsoft.com/office/drawing/2014/main" id="{00000000-0008-0000-0000-00000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282</xdr:row>
          <xdr:rowOff>9525</xdr:rowOff>
        </xdr:from>
        <xdr:to>
          <xdr:col>4</xdr:col>
          <xdr:colOff>219075</xdr:colOff>
          <xdr:row>282</xdr:row>
          <xdr:rowOff>171450</xdr:rowOff>
        </xdr:to>
        <xdr:sp macro="" textlink="">
          <xdr:nvSpPr>
            <xdr:cNvPr id="2563" name="Button 515" hidden="1">
              <a:extLst>
                <a:ext uri="{63B3BB69-23CF-44E3-9099-C40C66FF867C}">
                  <a14:compatExt spid="_x0000_s2563"/>
                </a:ext>
                <a:ext uri="{FF2B5EF4-FFF2-40B4-BE49-F238E27FC236}">
                  <a16:creationId xmlns:a16="http://schemas.microsoft.com/office/drawing/2014/main" id="{00000000-0008-0000-0000-00000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283</xdr:row>
          <xdr:rowOff>9525</xdr:rowOff>
        </xdr:from>
        <xdr:to>
          <xdr:col>4</xdr:col>
          <xdr:colOff>219075</xdr:colOff>
          <xdr:row>283</xdr:row>
          <xdr:rowOff>171450</xdr:rowOff>
        </xdr:to>
        <xdr:sp macro="" textlink="">
          <xdr:nvSpPr>
            <xdr:cNvPr id="2564" name="Button 516" hidden="1">
              <a:extLst>
                <a:ext uri="{63B3BB69-23CF-44E3-9099-C40C66FF867C}">
                  <a14:compatExt spid="_x0000_s2564"/>
                </a:ext>
                <a:ext uri="{FF2B5EF4-FFF2-40B4-BE49-F238E27FC236}">
                  <a16:creationId xmlns:a16="http://schemas.microsoft.com/office/drawing/2014/main" id="{00000000-0008-0000-0000-00000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284</xdr:row>
          <xdr:rowOff>9525</xdr:rowOff>
        </xdr:from>
        <xdr:to>
          <xdr:col>4</xdr:col>
          <xdr:colOff>219075</xdr:colOff>
          <xdr:row>284</xdr:row>
          <xdr:rowOff>171450</xdr:rowOff>
        </xdr:to>
        <xdr:sp macro="" textlink="">
          <xdr:nvSpPr>
            <xdr:cNvPr id="2565" name="Button 517" hidden="1">
              <a:extLst>
                <a:ext uri="{63B3BB69-23CF-44E3-9099-C40C66FF867C}">
                  <a14:compatExt spid="_x0000_s2565"/>
                </a:ext>
                <a:ext uri="{FF2B5EF4-FFF2-40B4-BE49-F238E27FC236}">
                  <a16:creationId xmlns:a16="http://schemas.microsoft.com/office/drawing/2014/main" id="{00000000-0008-0000-0000-00000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285</xdr:row>
          <xdr:rowOff>9525</xdr:rowOff>
        </xdr:from>
        <xdr:to>
          <xdr:col>4</xdr:col>
          <xdr:colOff>219075</xdr:colOff>
          <xdr:row>285</xdr:row>
          <xdr:rowOff>171450</xdr:rowOff>
        </xdr:to>
        <xdr:sp macro="" textlink="">
          <xdr:nvSpPr>
            <xdr:cNvPr id="2566" name="Button 518" hidden="1">
              <a:extLst>
                <a:ext uri="{63B3BB69-23CF-44E3-9099-C40C66FF867C}">
                  <a14:compatExt spid="_x0000_s2566"/>
                </a:ext>
                <a:ext uri="{FF2B5EF4-FFF2-40B4-BE49-F238E27FC236}">
                  <a16:creationId xmlns:a16="http://schemas.microsoft.com/office/drawing/2014/main" id="{00000000-0008-0000-0000-00000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286</xdr:row>
          <xdr:rowOff>9525</xdr:rowOff>
        </xdr:from>
        <xdr:to>
          <xdr:col>4</xdr:col>
          <xdr:colOff>219075</xdr:colOff>
          <xdr:row>286</xdr:row>
          <xdr:rowOff>171450</xdr:rowOff>
        </xdr:to>
        <xdr:sp macro="" textlink="">
          <xdr:nvSpPr>
            <xdr:cNvPr id="2567" name="Button 519" hidden="1">
              <a:extLst>
                <a:ext uri="{63B3BB69-23CF-44E3-9099-C40C66FF867C}">
                  <a14:compatExt spid="_x0000_s2567"/>
                </a:ext>
                <a:ext uri="{FF2B5EF4-FFF2-40B4-BE49-F238E27FC236}">
                  <a16:creationId xmlns:a16="http://schemas.microsoft.com/office/drawing/2014/main" id="{00000000-0008-0000-0000-00000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287</xdr:row>
          <xdr:rowOff>9525</xdr:rowOff>
        </xdr:from>
        <xdr:to>
          <xdr:col>4</xdr:col>
          <xdr:colOff>219075</xdr:colOff>
          <xdr:row>287</xdr:row>
          <xdr:rowOff>171450</xdr:rowOff>
        </xdr:to>
        <xdr:sp macro="" textlink="">
          <xdr:nvSpPr>
            <xdr:cNvPr id="2568" name="Button 520" hidden="1">
              <a:extLst>
                <a:ext uri="{63B3BB69-23CF-44E3-9099-C40C66FF867C}">
                  <a14:compatExt spid="_x0000_s2568"/>
                </a:ext>
                <a:ext uri="{FF2B5EF4-FFF2-40B4-BE49-F238E27FC236}">
                  <a16:creationId xmlns:a16="http://schemas.microsoft.com/office/drawing/2014/main" id="{00000000-0008-0000-0000-00000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288</xdr:row>
          <xdr:rowOff>9525</xdr:rowOff>
        </xdr:from>
        <xdr:to>
          <xdr:col>4</xdr:col>
          <xdr:colOff>219075</xdr:colOff>
          <xdr:row>288</xdr:row>
          <xdr:rowOff>171450</xdr:rowOff>
        </xdr:to>
        <xdr:sp macro="" textlink="">
          <xdr:nvSpPr>
            <xdr:cNvPr id="2569" name="Button 521" hidden="1">
              <a:extLst>
                <a:ext uri="{63B3BB69-23CF-44E3-9099-C40C66FF867C}">
                  <a14:compatExt spid="_x0000_s2569"/>
                </a:ext>
                <a:ext uri="{FF2B5EF4-FFF2-40B4-BE49-F238E27FC236}">
                  <a16:creationId xmlns:a16="http://schemas.microsoft.com/office/drawing/2014/main" id="{00000000-0008-0000-0000-00000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289</xdr:row>
          <xdr:rowOff>9525</xdr:rowOff>
        </xdr:from>
        <xdr:to>
          <xdr:col>4</xdr:col>
          <xdr:colOff>219075</xdr:colOff>
          <xdr:row>289</xdr:row>
          <xdr:rowOff>171450</xdr:rowOff>
        </xdr:to>
        <xdr:sp macro="" textlink="">
          <xdr:nvSpPr>
            <xdr:cNvPr id="2570" name="Button 522" hidden="1">
              <a:extLst>
                <a:ext uri="{63B3BB69-23CF-44E3-9099-C40C66FF867C}">
                  <a14:compatExt spid="_x0000_s2570"/>
                </a:ext>
                <a:ext uri="{FF2B5EF4-FFF2-40B4-BE49-F238E27FC236}">
                  <a16:creationId xmlns:a16="http://schemas.microsoft.com/office/drawing/2014/main" id="{00000000-0008-0000-0000-00000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290</xdr:row>
          <xdr:rowOff>9525</xdr:rowOff>
        </xdr:from>
        <xdr:to>
          <xdr:col>4</xdr:col>
          <xdr:colOff>219075</xdr:colOff>
          <xdr:row>290</xdr:row>
          <xdr:rowOff>171450</xdr:rowOff>
        </xdr:to>
        <xdr:sp macro="" textlink="">
          <xdr:nvSpPr>
            <xdr:cNvPr id="2571" name="Button 523" hidden="1">
              <a:extLst>
                <a:ext uri="{63B3BB69-23CF-44E3-9099-C40C66FF867C}">
                  <a14:compatExt spid="_x0000_s2571"/>
                </a:ext>
                <a:ext uri="{FF2B5EF4-FFF2-40B4-BE49-F238E27FC236}">
                  <a16:creationId xmlns:a16="http://schemas.microsoft.com/office/drawing/2014/main" id="{00000000-0008-0000-0000-00000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291</xdr:row>
          <xdr:rowOff>9525</xdr:rowOff>
        </xdr:from>
        <xdr:to>
          <xdr:col>4</xdr:col>
          <xdr:colOff>219075</xdr:colOff>
          <xdr:row>291</xdr:row>
          <xdr:rowOff>171450</xdr:rowOff>
        </xdr:to>
        <xdr:sp macro="" textlink="">
          <xdr:nvSpPr>
            <xdr:cNvPr id="2572" name="Button 524" hidden="1">
              <a:extLst>
                <a:ext uri="{63B3BB69-23CF-44E3-9099-C40C66FF867C}">
                  <a14:compatExt spid="_x0000_s2572"/>
                </a:ext>
                <a:ext uri="{FF2B5EF4-FFF2-40B4-BE49-F238E27FC236}">
                  <a16:creationId xmlns:a16="http://schemas.microsoft.com/office/drawing/2014/main" id="{00000000-0008-0000-0000-00000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172</xdr:row>
          <xdr:rowOff>9525</xdr:rowOff>
        </xdr:from>
        <xdr:to>
          <xdr:col>6</xdr:col>
          <xdr:colOff>219075</xdr:colOff>
          <xdr:row>172</xdr:row>
          <xdr:rowOff>171450</xdr:rowOff>
        </xdr:to>
        <xdr:sp macro="" textlink="">
          <xdr:nvSpPr>
            <xdr:cNvPr id="2573" name="Button 525" hidden="1">
              <a:extLst>
                <a:ext uri="{63B3BB69-23CF-44E3-9099-C40C66FF867C}">
                  <a14:compatExt spid="_x0000_s2573"/>
                </a:ext>
                <a:ext uri="{FF2B5EF4-FFF2-40B4-BE49-F238E27FC236}">
                  <a16:creationId xmlns:a16="http://schemas.microsoft.com/office/drawing/2014/main" id="{00000000-0008-0000-0000-00000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174</xdr:row>
          <xdr:rowOff>9525</xdr:rowOff>
        </xdr:from>
        <xdr:to>
          <xdr:col>6</xdr:col>
          <xdr:colOff>219075</xdr:colOff>
          <xdr:row>174</xdr:row>
          <xdr:rowOff>171450</xdr:rowOff>
        </xdr:to>
        <xdr:sp macro="" textlink="">
          <xdr:nvSpPr>
            <xdr:cNvPr id="2574" name="Button 526" hidden="1">
              <a:extLst>
                <a:ext uri="{63B3BB69-23CF-44E3-9099-C40C66FF867C}">
                  <a14:compatExt spid="_x0000_s2574"/>
                </a:ext>
                <a:ext uri="{FF2B5EF4-FFF2-40B4-BE49-F238E27FC236}">
                  <a16:creationId xmlns:a16="http://schemas.microsoft.com/office/drawing/2014/main" id="{00000000-0008-0000-0000-00000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173</xdr:row>
          <xdr:rowOff>9525</xdr:rowOff>
        </xdr:from>
        <xdr:to>
          <xdr:col>6</xdr:col>
          <xdr:colOff>219075</xdr:colOff>
          <xdr:row>173</xdr:row>
          <xdr:rowOff>171450</xdr:rowOff>
        </xdr:to>
        <xdr:sp macro="" textlink="">
          <xdr:nvSpPr>
            <xdr:cNvPr id="2575" name="Button 527" hidden="1">
              <a:extLst>
                <a:ext uri="{63B3BB69-23CF-44E3-9099-C40C66FF867C}">
                  <a14:compatExt spid="_x0000_s2575"/>
                </a:ext>
                <a:ext uri="{FF2B5EF4-FFF2-40B4-BE49-F238E27FC236}">
                  <a16:creationId xmlns:a16="http://schemas.microsoft.com/office/drawing/2014/main" id="{00000000-0008-0000-0000-00000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175</xdr:row>
          <xdr:rowOff>9525</xdr:rowOff>
        </xdr:from>
        <xdr:to>
          <xdr:col>6</xdr:col>
          <xdr:colOff>219075</xdr:colOff>
          <xdr:row>175</xdr:row>
          <xdr:rowOff>171450</xdr:rowOff>
        </xdr:to>
        <xdr:sp macro="" textlink="">
          <xdr:nvSpPr>
            <xdr:cNvPr id="2576" name="Button 528" hidden="1">
              <a:extLst>
                <a:ext uri="{63B3BB69-23CF-44E3-9099-C40C66FF867C}">
                  <a14:compatExt spid="_x0000_s2576"/>
                </a:ext>
                <a:ext uri="{FF2B5EF4-FFF2-40B4-BE49-F238E27FC236}">
                  <a16:creationId xmlns:a16="http://schemas.microsoft.com/office/drawing/2014/main" id="{00000000-0008-0000-0000-00001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176</xdr:row>
          <xdr:rowOff>9525</xdr:rowOff>
        </xdr:from>
        <xdr:to>
          <xdr:col>6</xdr:col>
          <xdr:colOff>219075</xdr:colOff>
          <xdr:row>176</xdr:row>
          <xdr:rowOff>171450</xdr:rowOff>
        </xdr:to>
        <xdr:sp macro="" textlink="">
          <xdr:nvSpPr>
            <xdr:cNvPr id="2577" name="Button 529" hidden="1">
              <a:extLst>
                <a:ext uri="{63B3BB69-23CF-44E3-9099-C40C66FF867C}">
                  <a14:compatExt spid="_x0000_s2577"/>
                </a:ext>
                <a:ext uri="{FF2B5EF4-FFF2-40B4-BE49-F238E27FC236}">
                  <a16:creationId xmlns:a16="http://schemas.microsoft.com/office/drawing/2014/main" id="{00000000-0008-0000-0000-00001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177</xdr:row>
          <xdr:rowOff>9525</xdr:rowOff>
        </xdr:from>
        <xdr:to>
          <xdr:col>6</xdr:col>
          <xdr:colOff>219075</xdr:colOff>
          <xdr:row>177</xdr:row>
          <xdr:rowOff>171450</xdr:rowOff>
        </xdr:to>
        <xdr:sp macro="" textlink="">
          <xdr:nvSpPr>
            <xdr:cNvPr id="2578" name="Button 530" hidden="1">
              <a:extLst>
                <a:ext uri="{63B3BB69-23CF-44E3-9099-C40C66FF867C}">
                  <a14:compatExt spid="_x0000_s2578"/>
                </a:ext>
                <a:ext uri="{FF2B5EF4-FFF2-40B4-BE49-F238E27FC236}">
                  <a16:creationId xmlns:a16="http://schemas.microsoft.com/office/drawing/2014/main" id="{00000000-0008-0000-0000-00001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178</xdr:row>
          <xdr:rowOff>9525</xdr:rowOff>
        </xdr:from>
        <xdr:to>
          <xdr:col>6</xdr:col>
          <xdr:colOff>219075</xdr:colOff>
          <xdr:row>178</xdr:row>
          <xdr:rowOff>171450</xdr:rowOff>
        </xdr:to>
        <xdr:sp macro="" textlink="">
          <xdr:nvSpPr>
            <xdr:cNvPr id="2579" name="Button 531" hidden="1">
              <a:extLst>
                <a:ext uri="{63B3BB69-23CF-44E3-9099-C40C66FF867C}">
                  <a14:compatExt spid="_x0000_s2579"/>
                </a:ext>
                <a:ext uri="{FF2B5EF4-FFF2-40B4-BE49-F238E27FC236}">
                  <a16:creationId xmlns:a16="http://schemas.microsoft.com/office/drawing/2014/main" id="{00000000-0008-0000-0000-00001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179</xdr:row>
          <xdr:rowOff>9525</xdr:rowOff>
        </xdr:from>
        <xdr:to>
          <xdr:col>6</xdr:col>
          <xdr:colOff>219075</xdr:colOff>
          <xdr:row>179</xdr:row>
          <xdr:rowOff>171450</xdr:rowOff>
        </xdr:to>
        <xdr:sp macro="" textlink="">
          <xdr:nvSpPr>
            <xdr:cNvPr id="2580" name="Button 532" hidden="1">
              <a:extLst>
                <a:ext uri="{63B3BB69-23CF-44E3-9099-C40C66FF867C}">
                  <a14:compatExt spid="_x0000_s2580"/>
                </a:ext>
                <a:ext uri="{FF2B5EF4-FFF2-40B4-BE49-F238E27FC236}">
                  <a16:creationId xmlns:a16="http://schemas.microsoft.com/office/drawing/2014/main" id="{00000000-0008-0000-0000-00001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180</xdr:row>
          <xdr:rowOff>9525</xdr:rowOff>
        </xdr:from>
        <xdr:to>
          <xdr:col>6</xdr:col>
          <xdr:colOff>219075</xdr:colOff>
          <xdr:row>180</xdr:row>
          <xdr:rowOff>171450</xdr:rowOff>
        </xdr:to>
        <xdr:sp macro="" textlink="">
          <xdr:nvSpPr>
            <xdr:cNvPr id="2581" name="Button 533" hidden="1">
              <a:extLst>
                <a:ext uri="{63B3BB69-23CF-44E3-9099-C40C66FF867C}">
                  <a14:compatExt spid="_x0000_s2581"/>
                </a:ext>
                <a:ext uri="{FF2B5EF4-FFF2-40B4-BE49-F238E27FC236}">
                  <a16:creationId xmlns:a16="http://schemas.microsoft.com/office/drawing/2014/main" id="{00000000-0008-0000-0000-00001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181</xdr:row>
          <xdr:rowOff>9525</xdr:rowOff>
        </xdr:from>
        <xdr:to>
          <xdr:col>6</xdr:col>
          <xdr:colOff>219075</xdr:colOff>
          <xdr:row>181</xdr:row>
          <xdr:rowOff>171450</xdr:rowOff>
        </xdr:to>
        <xdr:sp macro="" textlink="">
          <xdr:nvSpPr>
            <xdr:cNvPr id="2582" name="Button 534" hidden="1">
              <a:extLst>
                <a:ext uri="{63B3BB69-23CF-44E3-9099-C40C66FF867C}">
                  <a14:compatExt spid="_x0000_s2582"/>
                </a:ext>
                <a:ext uri="{FF2B5EF4-FFF2-40B4-BE49-F238E27FC236}">
                  <a16:creationId xmlns:a16="http://schemas.microsoft.com/office/drawing/2014/main" id="{00000000-0008-0000-0000-00001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182</xdr:row>
          <xdr:rowOff>9525</xdr:rowOff>
        </xdr:from>
        <xdr:to>
          <xdr:col>6</xdr:col>
          <xdr:colOff>219075</xdr:colOff>
          <xdr:row>182</xdr:row>
          <xdr:rowOff>171450</xdr:rowOff>
        </xdr:to>
        <xdr:sp macro="" textlink="">
          <xdr:nvSpPr>
            <xdr:cNvPr id="2583" name="Button 535" hidden="1">
              <a:extLst>
                <a:ext uri="{63B3BB69-23CF-44E3-9099-C40C66FF867C}">
                  <a14:compatExt spid="_x0000_s2583"/>
                </a:ext>
                <a:ext uri="{FF2B5EF4-FFF2-40B4-BE49-F238E27FC236}">
                  <a16:creationId xmlns:a16="http://schemas.microsoft.com/office/drawing/2014/main" id="{00000000-0008-0000-0000-00001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183</xdr:row>
          <xdr:rowOff>9525</xdr:rowOff>
        </xdr:from>
        <xdr:to>
          <xdr:col>6</xdr:col>
          <xdr:colOff>219075</xdr:colOff>
          <xdr:row>183</xdr:row>
          <xdr:rowOff>171450</xdr:rowOff>
        </xdr:to>
        <xdr:sp macro="" textlink="">
          <xdr:nvSpPr>
            <xdr:cNvPr id="2584" name="Button 536" hidden="1">
              <a:extLst>
                <a:ext uri="{63B3BB69-23CF-44E3-9099-C40C66FF867C}">
                  <a14:compatExt spid="_x0000_s2584"/>
                </a:ext>
                <a:ext uri="{FF2B5EF4-FFF2-40B4-BE49-F238E27FC236}">
                  <a16:creationId xmlns:a16="http://schemas.microsoft.com/office/drawing/2014/main" id="{00000000-0008-0000-0000-00001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184</xdr:row>
          <xdr:rowOff>9525</xdr:rowOff>
        </xdr:from>
        <xdr:to>
          <xdr:col>6</xdr:col>
          <xdr:colOff>219075</xdr:colOff>
          <xdr:row>184</xdr:row>
          <xdr:rowOff>171450</xdr:rowOff>
        </xdr:to>
        <xdr:sp macro="" textlink="">
          <xdr:nvSpPr>
            <xdr:cNvPr id="2585" name="Button 537" hidden="1">
              <a:extLst>
                <a:ext uri="{63B3BB69-23CF-44E3-9099-C40C66FF867C}">
                  <a14:compatExt spid="_x0000_s2585"/>
                </a:ext>
                <a:ext uri="{FF2B5EF4-FFF2-40B4-BE49-F238E27FC236}">
                  <a16:creationId xmlns:a16="http://schemas.microsoft.com/office/drawing/2014/main" id="{00000000-0008-0000-0000-00001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185</xdr:row>
          <xdr:rowOff>9525</xdr:rowOff>
        </xdr:from>
        <xdr:to>
          <xdr:col>6</xdr:col>
          <xdr:colOff>219075</xdr:colOff>
          <xdr:row>185</xdr:row>
          <xdr:rowOff>171450</xdr:rowOff>
        </xdr:to>
        <xdr:sp macro="" textlink="">
          <xdr:nvSpPr>
            <xdr:cNvPr id="2586" name="Button 538" hidden="1">
              <a:extLst>
                <a:ext uri="{63B3BB69-23CF-44E3-9099-C40C66FF867C}">
                  <a14:compatExt spid="_x0000_s2586"/>
                </a:ext>
                <a:ext uri="{FF2B5EF4-FFF2-40B4-BE49-F238E27FC236}">
                  <a16:creationId xmlns:a16="http://schemas.microsoft.com/office/drawing/2014/main" id="{00000000-0008-0000-0000-00001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186</xdr:row>
          <xdr:rowOff>9525</xdr:rowOff>
        </xdr:from>
        <xdr:to>
          <xdr:col>6</xdr:col>
          <xdr:colOff>219075</xdr:colOff>
          <xdr:row>186</xdr:row>
          <xdr:rowOff>171450</xdr:rowOff>
        </xdr:to>
        <xdr:sp macro="" textlink="">
          <xdr:nvSpPr>
            <xdr:cNvPr id="2587" name="Button 539" hidden="1">
              <a:extLst>
                <a:ext uri="{63B3BB69-23CF-44E3-9099-C40C66FF867C}">
                  <a14:compatExt spid="_x0000_s2587"/>
                </a:ext>
                <a:ext uri="{FF2B5EF4-FFF2-40B4-BE49-F238E27FC236}">
                  <a16:creationId xmlns:a16="http://schemas.microsoft.com/office/drawing/2014/main" id="{00000000-0008-0000-0000-00001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187</xdr:row>
          <xdr:rowOff>9525</xdr:rowOff>
        </xdr:from>
        <xdr:to>
          <xdr:col>6</xdr:col>
          <xdr:colOff>219075</xdr:colOff>
          <xdr:row>187</xdr:row>
          <xdr:rowOff>171450</xdr:rowOff>
        </xdr:to>
        <xdr:sp macro="" textlink="">
          <xdr:nvSpPr>
            <xdr:cNvPr id="2588" name="Button 540" hidden="1">
              <a:extLst>
                <a:ext uri="{63B3BB69-23CF-44E3-9099-C40C66FF867C}">
                  <a14:compatExt spid="_x0000_s2588"/>
                </a:ext>
                <a:ext uri="{FF2B5EF4-FFF2-40B4-BE49-F238E27FC236}">
                  <a16:creationId xmlns:a16="http://schemas.microsoft.com/office/drawing/2014/main" id="{00000000-0008-0000-0000-00001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188</xdr:row>
          <xdr:rowOff>9525</xdr:rowOff>
        </xdr:from>
        <xdr:to>
          <xdr:col>6</xdr:col>
          <xdr:colOff>219075</xdr:colOff>
          <xdr:row>188</xdr:row>
          <xdr:rowOff>171450</xdr:rowOff>
        </xdr:to>
        <xdr:sp macro="" textlink="">
          <xdr:nvSpPr>
            <xdr:cNvPr id="2589" name="Button 541" hidden="1">
              <a:extLst>
                <a:ext uri="{63B3BB69-23CF-44E3-9099-C40C66FF867C}">
                  <a14:compatExt spid="_x0000_s2589"/>
                </a:ext>
                <a:ext uri="{FF2B5EF4-FFF2-40B4-BE49-F238E27FC236}">
                  <a16:creationId xmlns:a16="http://schemas.microsoft.com/office/drawing/2014/main" id="{00000000-0008-0000-0000-00001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189</xdr:row>
          <xdr:rowOff>9525</xdr:rowOff>
        </xdr:from>
        <xdr:to>
          <xdr:col>6</xdr:col>
          <xdr:colOff>219075</xdr:colOff>
          <xdr:row>189</xdr:row>
          <xdr:rowOff>171450</xdr:rowOff>
        </xdr:to>
        <xdr:sp macro="" textlink="">
          <xdr:nvSpPr>
            <xdr:cNvPr id="2590" name="Button 542" hidden="1">
              <a:extLst>
                <a:ext uri="{63B3BB69-23CF-44E3-9099-C40C66FF867C}">
                  <a14:compatExt spid="_x0000_s2590"/>
                </a:ext>
                <a:ext uri="{FF2B5EF4-FFF2-40B4-BE49-F238E27FC236}">
                  <a16:creationId xmlns:a16="http://schemas.microsoft.com/office/drawing/2014/main" id="{00000000-0008-0000-0000-00001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191</xdr:row>
          <xdr:rowOff>9525</xdr:rowOff>
        </xdr:from>
        <xdr:to>
          <xdr:col>6</xdr:col>
          <xdr:colOff>219075</xdr:colOff>
          <xdr:row>191</xdr:row>
          <xdr:rowOff>171450</xdr:rowOff>
        </xdr:to>
        <xdr:sp macro="" textlink="">
          <xdr:nvSpPr>
            <xdr:cNvPr id="2591" name="Button 543" hidden="1">
              <a:extLst>
                <a:ext uri="{63B3BB69-23CF-44E3-9099-C40C66FF867C}">
                  <a14:compatExt spid="_x0000_s2591"/>
                </a:ext>
                <a:ext uri="{FF2B5EF4-FFF2-40B4-BE49-F238E27FC236}">
                  <a16:creationId xmlns:a16="http://schemas.microsoft.com/office/drawing/2014/main" id="{00000000-0008-0000-0000-00001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190</xdr:row>
          <xdr:rowOff>9525</xdr:rowOff>
        </xdr:from>
        <xdr:to>
          <xdr:col>6</xdr:col>
          <xdr:colOff>219075</xdr:colOff>
          <xdr:row>190</xdr:row>
          <xdr:rowOff>171450</xdr:rowOff>
        </xdr:to>
        <xdr:sp macro="" textlink="">
          <xdr:nvSpPr>
            <xdr:cNvPr id="2592" name="Button 544" hidden="1">
              <a:extLst>
                <a:ext uri="{63B3BB69-23CF-44E3-9099-C40C66FF867C}">
                  <a14:compatExt spid="_x0000_s2592"/>
                </a:ext>
                <a:ext uri="{FF2B5EF4-FFF2-40B4-BE49-F238E27FC236}">
                  <a16:creationId xmlns:a16="http://schemas.microsoft.com/office/drawing/2014/main" id="{00000000-0008-0000-0000-00002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192</xdr:row>
          <xdr:rowOff>9525</xdr:rowOff>
        </xdr:from>
        <xdr:to>
          <xdr:col>6</xdr:col>
          <xdr:colOff>219075</xdr:colOff>
          <xdr:row>192</xdr:row>
          <xdr:rowOff>171450</xdr:rowOff>
        </xdr:to>
        <xdr:sp macro="" textlink="">
          <xdr:nvSpPr>
            <xdr:cNvPr id="2593" name="Button 545" hidden="1">
              <a:extLst>
                <a:ext uri="{63B3BB69-23CF-44E3-9099-C40C66FF867C}">
                  <a14:compatExt spid="_x0000_s2593"/>
                </a:ext>
                <a:ext uri="{FF2B5EF4-FFF2-40B4-BE49-F238E27FC236}">
                  <a16:creationId xmlns:a16="http://schemas.microsoft.com/office/drawing/2014/main" id="{00000000-0008-0000-0000-00002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193</xdr:row>
          <xdr:rowOff>9525</xdr:rowOff>
        </xdr:from>
        <xdr:to>
          <xdr:col>6</xdr:col>
          <xdr:colOff>219075</xdr:colOff>
          <xdr:row>193</xdr:row>
          <xdr:rowOff>171450</xdr:rowOff>
        </xdr:to>
        <xdr:sp macro="" textlink="">
          <xdr:nvSpPr>
            <xdr:cNvPr id="2594" name="Button 546" hidden="1">
              <a:extLst>
                <a:ext uri="{63B3BB69-23CF-44E3-9099-C40C66FF867C}">
                  <a14:compatExt spid="_x0000_s2594"/>
                </a:ext>
                <a:ext uri="{FF2B5EF4-FFF2-40B4-BE49-F238E27FC236}">
                  <a16:creationId xmlns:a16="http://schemas.microsoft.com/office/drawing/2014/main" id="{00000000-0008-0000-0000-00002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194</xdr:row>
          <xdr:rowOff>9525</xdr:rowOff>
        </xdr:from>
        <xdr:to>
          <xdr:col>6</xdr:col>
          <xdr:colOff>219075</xdr:colOff>
          <xdr:row>194</xdr:row>
          <xdr:rowOff>171450</xdr:rowOff>
        </xdr:to>
        <xdr:sp macro="" textlink="">
          <xdr:nvSpPr>
            <xdr:cNvPr id="2595" name="Button 547" hidden="1">
              <a:extLst>
                <a:ext uri="{63B3BB69-23CF-44E3-9099-C40C66FF867C}">
                  <a14:compatExt spid="_x0000_s2595"/>
                </a:ext>
                <a:ext uri="{FF2B5EF4-FFF2-40B4-BE49-F238E27FC236}">
                  <a16:creationId xmlns:a16="http://schemas.microsoft.com/office/drawing/2014/main" id="{00000000-0008-0000-0000-00002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195</xdr:row>
          <xdr:rowOff>9525</xdr:rowOff>
        </xdr:from>
        <xdr:to>
          <xdr:col>6</xdr:col>
          <xdr:colOff>219075</xdr:colOff>
          <xdr:row>195</xdr:row>
          <xdr:rowOff>171450</xdr:rowOff>
        </xdr:to>
        <xdr:sp macro="" textlink="">
          <xdr:nvSpPr>
            <xdr:cNvPr id="2596" name="Button 548" hidden="1">
              <a:extLst>
                <a:ext uri="{63B3BB69-23CF-44E3-9099-C40C66FF867C}">
                  <a14:compatExt spid="_x0000_s2596"/>
                </a:ext>
                <a:ext uri="{FF2B5EF4-FFF2-40B4-BE49-F238E27FC236}">
                  <a16:creationId xmlns:a16="http://schemas.microsoft.com/office/drawing/2014/main" id="{00000000-0008-0000-0000-00002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196</xdr:row>
          <xdr:rowOff>9525</xdr:rowOff>
        </xdr:from>
        <xdr:to>
          <xdr:col>6</xdr:col>
          <xdr:colOff>219075</xdr:colOff>
          <xdr:row>196</xdr:row>
          <xdr:rowOff>171450</xdr:rowOff>
        </xdr:to>
        <xdr:sp macro="" textlink="">
          <xdr:nvSpPr>
            <xdr:cNvPr id="2597" name="Button 549" hidden="1">
              <a:extLst>
                <a:ext uri="{63B3BB69-23CF-44E3-9099-C40C66FF867C}">
                  <a14:compatExt spid="_x0000_s2597"/>
                </a:ext>
                <a:ext uri="{FF2B5EF4-FFF2-40B4-BE49-F238E27FC236}">
                  <a16:creationId xmlns:a16="http://schemas.microsoft.com/office/drawing/2014/main" id="{00000000-0008-0000-0000-00002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197</xdr:row>
          <xdr:rowOff>9525</xdr:rowOff>
        </xdr:from>
        <xdr:to>
          <xdr:col>6</xdr:col>
          <xdr:colOff>219075</xdr:colOff>
          <xdr:row>197</xdr:row>
          <xdr:rowOff>171450</xdr:rowOff>
        </xdr:to>
        <xdr:sp macro="" textlink="">
          <xdr:nvSpPr>
            <xdr:cNvPr id="2598" name="Button 550" hidden="1">
              <a:extLst>
                <a:ext uri="{63B3BB69-23CF-44E3-9099-C40C66FF867C}">
                  <a14:compatExt spid="_x0000_s2598"/>
                </a:ext>
                <a:ext uri="{FF2B5EF4-FFF2-40B4-BE49-F238E27FC236}">
                  <a16:creationId xmlns:a16="http://schemas.microsoft.com/office/drawing/2014/main" id="{00000000-0008-0000-0000-00002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198</xdr:row>
          <xdr:rowOff>9525</xdr:rowOff>
        </xdr:from>
        <xdr:to>
          <xdr:col>6</xdr:col>
          <xdr:colOff>219075</xdr:colOff>
          <xdr:row>198</xdr:row>
          <xdr:rowOff>171450</xdr:rowOff>
        </xdr:to>
        <xdr:sp macro="" textlink="">
          <xdr:nvSpPr>
            <xdr:cNvPr id="2599" name="Button 551" hidden="1">
              <a:extLst>
                <a:ext uri="{63B3BB69-23CF-44E3-9099-C40C66FF867C}">
                  <a14:compatExt spid="_x0000_s2599"/>
                </a:ext>
                <a:ext uri="{FF2B5EF4-FFF2-40B4-BE49-F238E27FC236}">
                  <a16:creationId xmlns:a16="http://schemas.microsoft.com/office/drawing/2014/main" id="{00000000-0008-0000-0000-00002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199</xdr:row>
          <xdr:rowOff>9525</xdr:rowOff>
        </xdr:from>
        <xdr:to>
          <xdr:col>6</xdr:col>
          <xdr:colOff>219075</xdr:colOff>
          <xdr:row>199</xdr:row>
          <xdr:rowOff>171450</xdr:rowOff>
        </xdr:to>
        <xdr:sp macro="" textlink="">
          <xdr:nvSpPr>
            <xdr:cNvPr id="2600" name="Button 552" hidden="1">
              <a:extLst>
                <a:ext uri="{63B3BB69-23CF-44E3-9099-C40C66FF867C}">
                  <a14:compatExt spid="_x0000_s2600"/>
                </a:ext>
                <a:ext uri="{FF2B5EF4-FFF2-40B4-BE49-F238E27FC236}">
                  <a16:creationId xmlns:a16="http://schemas.microsoft.com/office/drawing/2014/main" id="{00000000-0008-0000-0000-00002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200</xdr:row>
          <xdr:rowOff>9525</xdr:rowOff>
        </xdr:from>
        <xdr:to>
          <xdr:col>6</xdr:col>
          <xdr:colOff>219075</xdr:colOff>
          <xdr:row>200</xdr:row>
          <xdr:rowOff>171450</xdr:rowOff>
        </xdr:to>
        <xdr:sp macro="" textlink="">
          <xdr:nvSpPr>
            <xdr:cNvPr id="2601" name="Button 553" hidden="1">
              <a:extLst>
                <a:ext uri="{63B3BB69-23CF-44E3-9099-C40C66FF867C}">
                  <a14:compatExt spid="_x0000_s2601"/>
                </a:ext>
                <a:ext uri="{FF2B5EF4-FFF2-40B4-BE49-F238E27FC236}">
                  <a16:creationId xmlns:a16="http://schemas.microsoft.com/office/drawing/2014/main" id="{00000000-0008-0000-0000-00002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201</xdr:row>
          <xdr:rowOff>9525</xdr:rowOff>
        </xdr:from>
        <xdr:to>
          <xdr:col>6</xdr:col>
          <xdr:colOff>219075</xdr:colOff>
          <xdr:row>201</xdr:row>
          <xdr:rowOff>171450</xdr:rowOff>
        </xdr:to>
        <xdr:sp macro="" textlink="">
          <xdr:nvSpPr>
            <xdr:cNvPr id="2602" name="Button 554" hidden="1">
              <a:extLst>
                <a:ext uri="{63B3BB69-23CF-44E3-9099-C40C66FF867C}">
                  <a14:compatExt spid="_x0000_s2602"/>
                </a:ext>
                <a:ext uri="{FF2B5EF4-FFF2-40B4-BE49-F238E27FC236}">
                  <a16:creationId xmlns:a16="http://schemas.microsoft.com/office/drawing/2014/main" id="{00000000-0008-0000-0000-00002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202</xdr:row>
          <xdr:rowOff>9525</xdr:rowOff>
        </xdr:from>
        <xdr:to>
          <xdr:col>6</xdr:col>
          <xdr:colOff>219075</xdr:colOff>
          <xdr:row>202</xdr:row>
          <xdr:rowOff>171450</xdr:rowOff>
        </xdr:to>
        <xdr:sp macro="" textlink="">
          <xdr:nvSpPr>
            <xdr:cNvPr id="2603" name="Button 555" hidden="1">
              <a:extLst>
                <a:ext uri="{63B3BB69-23CF-44E3-9099-C40C66FF867C}">
                  <a14:compatExt spid="_x0000_s2603"/>
                </a:ext>
                <a:ext uri="{FF2B5EF4-FFF2-40B4-BE49-F238E27FC236}">
                  <a16:creationId xmlns:a16="http://schemas.microsoft.com/office/drawing/2014/main" id="{00000000-0008-0000-0000-00002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203</xdr:row>
          <xdr:rowOff>9525</xdr:rowOff>
        </xdr:from>
        <xdr:to>
          <xdr:col>6</xdr:col>
          <xdr:colOff>219075</xdr:colOff>
          <xdr:row>203</xdr:row>
          <xdr:rowOff>171450</xdr:rowOff>
        </xdr:to>
        <xdr:sp macro="" textlink="">
          <xdr:nvSpPr>
            <xdr:cNvPr id="2604" name="Button 556" hidden="1">
              <a:extLst>
                <a:ext uri="{63B3BB69-23CF-44E3-9099-C40C66FF867C}">
                  <a14:compatExt spid="_x0000_s2604"/>
                </a:ext>
                <a:ext uri="{FF2B5EF4-FFF2-40B4-BE49-F238E27FC236}">
                  <a16:creationId xmlns:a16="http://schemas.microsoft.com/office/drawing/2014/main" id="{00000000-0008-0000-0000-00002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204</xdr:row>
          <xdr:rowOff>9525</xdr:rowOff>
        </xdr:from>
        <xdr:to>
          <xdr:col>6</xdr:col>
          <xdr:colOff>219075</xdr:colOff>
          <xdr:row>204</xdr:row>
          <xdr:rowOff>171450</xdr:rowOff>
        </xdr:to>
        <xdr:sp macro="" textlink="">
          <xdr:nvSpPr>
            <xdr:cNvPr id="2605" name="Button 557" hidden="1">
              <a:extLst>
                <a:ext uri="{63B3BB69-23CF-44E3-9099-C40C66FF867C}">
                  <a14:compatExt spid="_x0000_s2605"/>
                </a:ext>
                <a:ext uri="{FF2B5EF4-FFF2-40B4-BE49-F238E27FC236}">
                  <a16:creationId xmlns:a16="http://schemas.microsoft.com/office/drawing/2014/main" id="{00000000-0008-0000-0000-00002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205</xdr:row>
          <xdr:rowOff>9525</xdr:rowOff>
        </xdr:from>
        <xdr:to>
          <xdr:col>6</xdr:col>
          <xdr:colOff>219075</xdr:colOff>
          <xdr:row>205</xdr:row>
          <xdr:rowOff>171450</xdr:rowOff>
        </xdr:to>
        <xdr:sp macro="" textlink="">
          <xdr:nvSpPr>
            <xdr:cNvPr id="2606" name="Button 558" hidden="1">
              <a:extLst>
                <a:ext uri="{63B3BB69-23CF-44E3-9099-C40C66FF867C}">
                  <a14:compatExt spid="_x0000_s2606"/>
                </a:ext>
                <a:ext uri="{FF2B5EF4-FFF2-40B4-BE49-F238E27FC236}">
                  <a16:creationId xmlns:a16="http://schemas.microsoft.com/office/drawing/2014/main" id="{00000000-0008-0000-0000-00002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206</xdr:row>
          <xdr:rowOff>9525</xdr:rowOff>
        </xdr:from>
        <xdr:to>
          <xdr:col>6</xdr:col>
          <xdr:colOff>219075</xdr:colOff>
          <xdr:row>206</xdr:row>
          <xdr:rowOff>171450</xdr:rowOff>
        </xdr:to>
        <xdr:sp macro="" textlink="">
          <xdr:nvSpPr>
            <xdr:cNvPr id="2607" name="Button 559" hidden="1">
              <a:extLst>
                <a:ext uri="{63B3BB69-23CF-44E3-9099-C40C66FF867C}">
                  <a14:compatExt spid="_x0000_s2607"/>
                </a:ext>
                <a:ext uri="{FF2B5EF4-FFF2-40B4-BE49-F238E27FC236}">
                  <a16:creationId xmlns:a16="http://schemas.microsoft.com/office/drawing/2014/main" id="{00000000-0008-0000-0000-00002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207</xdr:row>
          <xdr:rowOff>9525</xdr:rowOff>
        </xdr:from>
        <xdr:to>
          <xdr:col>6</xdr:col>
          <xdr:colOff>219075</xdr:colOff>
          <xdr:row>207</xdr:row>
          <xdr:rowOff>171450</xdr:rowOff>
        </xdr:to>
        <xdr:sp macro="" textlink="">
          <xdr:nvSpPr>
            <xdr:cNvPr id="2608" name="Button 560" hidden="1">
              <a:extLst>
                <a:ext uri="{63B3BB69-23CF-44E3-9099-C40C66FF867C}">
                  <a14:compatExt spid="_x0000_s2608"/>
                </a:ext>
                <a:ext uri="{FF2B5EF4-FFF2-40B4-BE49-F238E27FC236}">
                  <a16:creationId xmlns:a16="http://schemas.microsoft.com/office/drawing/2014/main" id="{00000000-0008-0000-0000-00003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208</xdr:row>
          <xdr:rowOff>9525</xdr:rowOff>
        </xdr:from>
        <xdr:to>
          <xdr:col>6</xdr:col>
          <xdr:colOff>219075</xdr:colOff>
          <xdr:row>208</xdr:row>
          <xdr:rowOff>171450</xdr:rowOff>
        </xdr:to>
        <xdr:sp macro="" textlink="">
          <xdr:nvSpPr>
            <xdr:cNvPr id="2609" name="Button 561" hidden="1">
              <a:extLst>
                <a:ext uri="{63B3BB69-23CF-44E3-9099-C40C66FF867C}">
                  <a14:compatExt spid="_x0000_s2609"/>
                </a:ext>
                <a:ext uri="{FF2B5EF4-FFF2-40B4-BE49-F238E27FC236}">
                  <a16:creationId xmlns:a16="http://schemas.microsoft.com/office/drawing/2014/main" id="{00000000-0008-0000-0000-00003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209</xdr:row>
          <xdr:rowOff>9525</xdr:rowOff>
        </xdr:from>
        <xdr:to>
          <xdr:col>6</xdr:col>
          <xdr:colOff>219075</xdr:colOff>
          <xdr:row>209</xdr:row>
          <xdr:rowOff>171450</xdr:rowOff>
        </xdr:to>
        <xdr:sp macro="" textlink="">
          <xdr:nvSpPr>
            <xdr:cNvPr id="2610" name="Button 562" hidden="1">
              <a:extLst>
                <a:ext uri="{63B3BB69-23CF-44E3-9099-C40C66FF867C}">
                  <a14:compatExt spid="_x0000_s2610"/>
                </a:ext>
                <a:ext uri="{FF2B5EF4-FFF2-40B4-BE49-F238E27FC236}">
                  <a16:creationId xmlns:a16="http://schemas.microsoft.com/office/drawing/2014/main" id="{00000000-0008-0000-0000-00003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210</xdr:row>
          <xdr:rowOff>9525</xdr:rowOff>
        </xdr:from>
        <xdr:to>
          <xdr:col>6</xdr:col>
          <xdr:colOff>219075</xdr:colOff>
          <xdr:row>210</xdr:row>
          <xdr:rowOff>171450</xdr:rowOff>
        </xdr:to>
        <xdr:sp macro="" textlink="">
          <xdr:nvSpPr>
            <xdr:cNvPr id="2611" name="Button 563" hidden="1">
              <a:extLst>
                <a:ext uri="{63B3BB69-23CF-44E3-9099-C40C66FF867C}">
                  <a14:compatExt spid="_x0000_s2611"/>
                </a:ext>
                <a:ext uri="{FF2B5EF4-FFF2-40B4-BE49-F238E27FC236}">
                  <a16:creationId xmlns:a16="http://schemas.microsoft.com/office/drawing/2014/main" id="{00000000-0008-0000-0000-00003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211</xdr:row>
          <xdr:rowOff>9525</xdr:rowOff>
        </xdr:from>
        <xdr:to>
          <xdr:col>6</xdr:col>
          <xdr:colOff>219075</xdr:colOff>
          <xdr:row>211</xdr:row>
          <xdr:rowOff>171450</xdr:rowOff>
        </xdr:to>
        <xdr:sp macro="" textlink="">
          <xdr:nvSpPr>
            <xdr:cNvPr id="2612" name="Button 564" hidden="1">
              <a:extLst>
                <a:ext uri="{63B3BB69-23CF-44E3-9099-C40C66FF867C}">
                  <a14:compatExt spid="_x0000_s2612"/>
                </a:ext>
                <a:ext uri="{FF2B5EF4-FFF2-40B4-BE49-F238E27FC236}">
                  <a16:creationId xmlns:a16="http://schemas.microsoft.com/office/drawing/2014/main" id="{00000000-0008-0000-0000-00003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212</xdr:row>
          <xdr:rowOff>9525</xdr:rowOff>
        </xdr:from>
        <xdr:to>
          <xdr:col>6</xdr:col>
          <xdr:colOff>219075</xdr:colOff>
          <xdr:row>212</xdr:row>
          <xdr:rowOff>171450</xdr:rowOff>
        </xdr:to>
        <xdr:sp macro="" textlink="">
          <xdr:nvSpPr>
            <xdr:cNvPr id="2613" name="Button 565" hidden="1">
              <a:extLst>
                <a:ext uri="{63B3BB69-23CF-44E3-9099-C40C66FF867C}">
                  <a14:compatExt spid="_x0000_s2613"/>
                </a:ext>
                <a:ext uri="{FF2B5EF4-FFF2-40B4-BE49-F238E27FC236}">
                  <a16:creationId xmlns:a16="http://schemas.microsoft.com/office/drawing/2014/main" id="{00000000-0008-0000-0000-00003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213</xdr:row>
          <xdr:rowOff>9525</xdr:rowOff>
        </xdr:from>
        <xdr:to>
          <xdr:col>6</xdr:col>
          <xdr:colOff>219075</xdr:colOff>
          <xdr:row>213</xdr:row>
          <xdr:rowOff>171450</xdr:rowOff>
        </xdr:to>
        <xdr:sp macro="" textlink="">
          <xdr:nvSpPr>
            <xdr:cNvPr id="2614" name="Button 566" hidden="1">
              <a:extLst>
                <a:ext uri="{63B3BB69-23CF-44E3-9099-C40C66FF867C}">
                  <a14:compatExt spid="_x0000_s2614"/>
                </a:ext>
                <a:ext uri="{FF2B5EF4-FFF2-40B4-BE49-F238E27FC236}">
                  <a16:creationId xmlns:a16="http://schemas.microsoft.com/office/drawing/2014/main" id="{00000000-0008-0000-0000-00003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214</xdr:row>
          <xdr:rowOff>9525</xdr:rowOff>
        </xdr:from>
        <xdr:to>
          <xdr:col>6</xdr:col>
          <xdr:colOff>219075</xdr:colOff>
          <xdr:row>214</xdr:row>
          <xdr:rowOff>171450</xdr:rowOff>
        </xdr:to>
        <xdr:sp macro="" textlink="">
          <xdr:nvSpPr>
            <xdr:cNvPr id="2615" name="Button 567" hidden="1">
              <a:extLst>
                <a:ext uri="{63B3BB69-23CF-44E3-9099-C40C66FF867C}">
                  <a14:compatExt spid="_x0000_s2615"/>
                </a:ext>
                <a:ext uri="{FF2B5EF4-FFF2-40B4-BE49-F238E27FC236}">
                  <a16:creationId xmlns:a16="http://schemas.microsoft.com/office/drawing/2014/main" id="{00000000-0008-0000-0000-00003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215</xdr:row>
          <xdr:rowOff>9525</xdr:rowOff>
        </xdr:from>
        <xdr:to>
          <xdr:col>6</xdr:col>
          <xdr:colOff>219075</xdr:colOff>
          <xdr:row>215</xdr:row>
          <xdr:rowOff>171450</xdr:rowOff>
        </xdr:to>
        <xdr:sp macro="" textlink="">
          <xdr:nvSpPr>
            <xdr:cNvPr id="2616" name="Button 568" hidden="1">
              <a:extLst>
                <a:ext uri="{63B3BB69-23CF-44E3-9099-C40C66FF867C}">
                  <a14:compatExt spid="_x0000_s2616"/>
                </a:ext>
                <a:ext uri="{FF2B5EF4-FFF2-40B4-BE49-F238E27FC236}">
                  <a16:creationId xmlns:a16="http://schemas.microsoft.com/office/drawing/2014/main" id="{00000000-0008-0000-0000-00003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216</xdr:row>
          <xdr:rowOff>9525</xdr:rowOff>
        </xdr:from>
        <xdr:to>
          <xdr:col>6</xdr:col>
          <xdr:colOff>219075</xdr:colOff>
          <xdr:row>216</xdr:row>
          <xdr:rowOff>171450</xdr:rowOff>
        </xdr:to>
        <xdr:sp macro="" textlink="">
          <xdr:nvSpPr>
            <xdr:cNvPr id="2617" name="Button 569" hidden="1">
              <a:extLst>
                <a:ext uri="{63B3BB69-23CF-44E3-9099-C40C66FF867C}">
                  <a14:compatExt spid="_x0000_s2617"/>
                </a:ext>
                <a:ext uri="{FF2B5EF4-FFF2-40B4-BE49-F238E27FC236}">
                  <a16:creationId xmlns:a16="http://schemas.microsoft.com/office/drawing/2014/main" id="{00000000-0008-0000-0000-00003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217</xdr:row>
          <xdr:rowOff>9525</xdr:rowOff>
        </xdr:from>
        <xdr:to>
          <xdr:col>6</xdr:col>
          <xdr:colOff>219075</xdr:colOff>
          <xdr:row>217</xdr:row>
          <xdr:rowOff>171450</xdr:rowOff>
        </xdr:to>
        <xdr:sp macro="" textlink="">
          <xdr:nvSpPr>
            <xdr:cNvPr id="2618" name="Button 570" hidden="1">
              <a:extLst>
                <a:ext uri="{63B3BB69-23CF-44E3-9099-C40C66FF867C}">
                  <a14:compatExt spid="_x0000_s2618"/>
                </a:ext>
                <a:ext uri="{FF2B5EF4-FFF2-40B4-BE49-F238E27FC236}">
                  <a16:creationId xmlns:a16="http://schemas.microsoft.com/office/drawing/2014/main" id="{00000000-0008-0000-0000-00003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218</xdr:row>
          <xdr:rowOff>9525</xdr:rowOff>
        </xdr:from>
        <xdr:to>
          <xdr:col>6</xdr:col>
          <xdr:colOff>219075</xdr:colOff>
          <xdr:row>218</xdr:row>
          <xdr:rowOff>171450</xdr:rowOff>
        </xdr:to>
        <xdr:sp macro="" textlink="">
          <xdr:nvSpPr>
            <xdr:cNvPr id="2619" name="Button 571" hidden="1">
              <a:extLst>
                <a:ext uri="{63B3BB69-23CF-44E3-9099-C40C66FF867C}">
                  <a14:compatExt spid="_x0000_s2619"/>
                </a:ext>
                <a:ext uri="{FF2B5EF4-FFF2-40B4-BE49-F238E27FC236}">
                  <a16:creationId xmlns:a16="http://schemas.microsoft.com/office/drawing/2014/main" id="{00000000-0008-0000-0000-00003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219</xdr:row>
          <xdr:rowOff>9525</xdr:rowOff>
        </xdr:from>
        <xdr:to>
          <xdr:col>6</xdr:col>
          <xdr:colOff>219075</xdr:colOff>
          <xdr:row>219</xdr:row>
          <xdr:rowOff>171450</xdr:rowOff>
        </xdr:to>
        <xdr:sp macro="" textlink="">
          <xdr:nvSpPr>
            <xdr:cNvPr id="2620" name="Button 572" hidden="1">
              <a:extLst>
                <a:ext uri="{63B3BB69-23CF-44E3-9099-C40C66FF867C}">
                  <a14:compatExt spid="_x0000_s2620"/>
                </a:ext>
                <a:ext uri="{FF2B5EF4-FFF2-40B4-BE49-F238E27FC236}">
                  <a16:creationId xmlns:a16="http://schemas.microsoft.com/office/drawing/2014/main" id="{00000000-0008-0000-0000-00003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220</xdr:row>
          <xdr:rowOff>9525</xdr:rowOff>
        </xdr:from>
        <xdr:to>
          <xdr:col>6</xdr:col>
          <xdr:colOff>219075</xdr:colOff>
          <xdr:row>220</xdr:row>
          <xdr:rowOff>171450</xdr:rowOff>
        </xdr:to>
        <xdr:sp macro="" textlink="">
          <xdr:nvSpPr>
            <xdr:cNvPr id="2621" name="Button 573" hidden="1">
              <a:extLst>
                <a:ext uri="{63B3BB69-23CF-44E3-9099-C40C66FF867C}">
                  <a14:compatExt spid="_x0000_s2621"/>
                </a:ext>
                <a:ext uri="{FF2B5EF4-FFF2-40B4-BE49-F238E27FC236}">
                  <a16:creationId xmlns:a16="http://schemas.microsoft.com/office/drawing/2014/main" id="{00000000-0008-0000-0000-00003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221</xdr:row>
          <xdr:rowOff>9525</xdr:rowOff>
        </xdr:from>
        <xdr:to>
          <xdr:col>6</xdr:col>
          <xdr:colOff>219075</xdr:colOff>
          <xdr:row>221</xdr:row>
          <xdr:rowOff>171450</xdr:rowOff>
        </xdr:to>
        <xdr:sp macro="" textlink="">
          <xdr:nvSpPr>
            <xdr:cNvPr id="2622" name="Button 574" hidden="1">
              <a:extLst>
                <a:ext uri="{63B3BB69-23CF-44E3-9099-C40C66FF867C}">
                  <a14:compatExt spid="_x0000_s2622"/>
                </a:ext>
                <a:ext uri="{FF2B5EF4-FFF2-40B4-BE49-F238E27FC236}">
                  <a16:creationId xmlns:a16="http://schemas.microsoft.com/office/drawing/2014/main" id="{00000000-0008-0000-0000-00003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222</xdr:row>
          <xdr:rowOff>9525</xdr:rowOff>
        </xdr:from>
        <xdr:to>
          <xdr:col>6</xdr:col>
          <xdr:colOff>219075</xdr:colOff>
          <xdr:row>222</xdr:row>
          <xdr:rowOff>171450</xdr:rowOff>
        </xdr:to>
        <xdr:sp macro="" textlink="">
          <xdr:nvSpPr>
            <xdr:cNvPr id="2623" name="Button 575" hidden="1">
              <a:extLst>
                <a:ext uri="{63B3BB69-23CF-44E3-9099-C40C66FF867C}">
                  <a14:compatExt spid="_x0000_s2623"/>
                </a:ext>
                <a:ext uri="{FF2B5EF4-FFF2-40B4-BE49-F238E27FC236}">
                  <a16:creationId xmlns:a16="http://schemas.microsoft.com/office/drawing/2014/main" id="{00000000-0008-0000-0000-00003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223</xdr:row>
          <xdr:rowOff>9525</xdr:rowOff>
        </xdr:from>
        <xdr:to>
          <xdr:col>6</xdr:col>
          <xdr:colOff>219075</xdr:colOff>
          <xdr:row>223</xdr:row>
          <xdr:rowOff>171450</xdr:rowOff>
        </xdr:to>
        <xdr:sp macro="" textlink="">
          <xdr:nvSpPr>
            <xdr:cNvPr id="2624" name="Button 576" hidden="1">
              <a:extLst>
                <a:ext uri="{63B3BB69-23CF-44E3-9099-C40C66FF867C}">
                  <a14:compatExt spid="_x0000_s2624"/>
                </a:ext>
                <a:ext uri="{FF2B5EF4-FFF2-40B4-BE49-F238E27FC236}">
                  <a16:creationId xmlns:a16="http://schemas.microsoft.com/office/drawing/2014/main" id="{00000000-0008-0000-0000-00004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224</xdr:row>
          <xdr:rowOff>9525</xdr:rowOff>
        </xdr:from>
        <xdr:to>
          <xdr:col>6</xdr:col>
          <xdr:colOff>219075</xdr:colOff>
          <xdr:row>224</xdr:row>
          <xdr:rowOff>171450</xdr:rowOff>
        </xdr:to>
        <xdr:sp macro="" textlink="">
          <xdr:nvSpPr>
            <xdr:cNvPr id="2625" name="Button 577" hidden="1">
              <a:extLst>
                <a:ext uri="{63B3BB69-23CF-44E3-9099-C40C66FF867C}">
                  <a14:compatExt spid="_x0000_s2625"/>
                </a:ext>
                <a:ext uri="{FF2B5EF4-FFF2-40B4-BE49-F238E27FC236}">
                  <a16:creationId xmlns:a16="http://schemas.microsoft.com/office/drawing/2014/main" id="{00000000-0008-0000-0000-00004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225</xdr:row>
          <xdr:rowOff>9525</xdr:rowOff>
        </xdr:from>
        <xdr:to>
          <xdr:col>6</xdr:col>
          <xdr:colOff>219075</xdr:colOff>
          <xdr:row>225</xdr:row>
          <xdr:rowOff>171450</xdr:rowOff>
        </xdr:to>
        <xdr:sp macro="" textlink="">
          <xdr:nvSpPr>
            <xdr:cNvPr id="2626" name="Button 578" hidden="1">
              <a:extLst>
                <a:ext uri="{63B3BB69-23CF-44E3-9099-C40C66FF867C}">
                  <a14:compatExt spid="_x0000_s2626"/>
                </a:ext>
                <a:ext uri="{FF2B5EF4-FFF2-40B4-BE49-F238E27FC236}">
                  <a16:creationId xmlns:a16="http://schemas.microsoft.com/office/drawing/2014/main" id="{00000000-0008-0000-0000-00004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226</xdr:row>
          <xdr:rowOff>9525</xdr:rowOff>
        </xdr:from>
        <xdr:to>
          <xdr:col>6</xdr:col>
          <xdr:colOff>219075</xdr:colOff>
          <xdr:row>226</xdr:row>
          <xdr:rowOff>171450</xdr:rowOff>
        </xdr:to>
        <xdr:sp macro="" textlink="">
          <xdr:nvSpPr>
            <xdr:cNvPr id="2627" name="Button 579" hidden="1">
              <a:extLst>
                <a:ext uri="{63B3BB69-23CF-44E3-9099-C40C66FF867C}">
                  <a14:compatExt spid="_x0000_s2627"/>
                </a:ext>
                <a:ext uri="{FF2B5EF4-FFF2-40B4-BE49-F238E27FC236}">
                  <a16:creationId xmlns:a16="http://schemas.microsoft.com/office/drawing/2014/main" id="{00000000-0008-0000-0000-00004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227</xdr:row>
          <xdr:rowOff>9525</xdr:rowOff>
        </xdr:from>
        <xdr:to>
          <xdr:col>6</xdr:col>
          <xdr:colOff>219075</xdr:colOff>
          <xdr:row>227</xdr:row>
          <xdr:rowOff>171450</xdr:rowOff>
        </xdr:to>
        <xdr:sp macro="" textlink="">
          <xdr:nvSpPr>
            <xdr:cNvPr id="2628" name="Button 580" hidden="1">
              <a:extLst>
                <a:ext uri="{63B3BB69-23CF-44E3-9099-C40C66FF867C}">
                  <a14:compatExt spid="_x0000_s2628"/>
                </a:ext>
                <a:ext uri="{FF2B5EF4-FFF2-40B4-BE49-F238E27FC236}">
                  <a16:creationId xmlns:a16="http://schemas.microsoft.com/office/drawing/2014/main" id="{00000000-0008-0000-0000-00004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228</xdr:row>
          <xdr:rowOff>9525</xdr:rowOff>
        </xdr:from>
        <xdr:to>
          <xdr:col>6</xdr:col>
          <xdr:colOff>219075</xdr:colOff>
          <xdr:row>228</xdr:row>
          <xdr:rowOff>171450</xdr:rowOff>
        </xdr:to>
        <xdr:sp macro="" textlink="">
          <xdr:nvSpPr>
            <xdr:cNvPr id="2629" name="Button 581" hidden="1">
              <a:extLst>
                <a:ext uri="{63B3BB69-23CF-44E3-9099-C40C66FF867C}">
                  <a14:compatExt spid="_x0000_s2629"/>
                </a:ext>
                <a:ext uri="{FF2B5EF4-FFF2-40B4-BE49-F238E27FC236}">
                  <a16:creationId xmlns:a16="http://schemas.microsoft.com/office/drawing/2014/main" id="{00000000-0008-0000-0000-00004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229</xdr:row>
          <xdr:rowOff>9525</xdr:rowOff>
        </xdr:from>
        <xdr:to>
          <xdr:col>6</xdr:col>
          <xdr:colOff>219075</xdr:colOff>
          <xdr:row>229</xdr:row>
          <xdr:rowOff>171450</xdr:rowOff>
        </xdr:to>
        <xdr:sp macro="" textlink="">
          <xdr:nvSpPr>
            <xdr:cNvPr id="2630" name="Button 582" hidden="1">
              <a:extLst>
                <a:ext uri="{63B3BB69-23CF-44E3-9099-C40C66FF867C}">
                  <a14:compatExt spid="_x0000_s2630"/>
                </a:ext>
                <a:ext uri="{FF2B5EF4-FFF2-40B4-BE49-F238E27FC236}">
                  <a16:creationId xmlns:a16="http://schemas.microsoft.com/office/drawing/2014/main" id="{00000000-0008-0000-0000-00004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230</xdr:row>
          <xdr:rowOff>9525</xdr:rowOff>
        </xdr:from>
        <xdr:to>
          <xdr:col>6</xdr:col>
          <xdr:colOff>219075</xdr:colOff>
          <xdr:row>230</xdr:row>
          <xdr:rowOff>171450</xdr:rowOff>
        </xdr:to>
        <xdr:sp macro="" textlink="">
          <xdr:nvSpPr>
            <xdr:cNvPr id="2631" name="Button 583" hidden="1">
              <a:extLst>
                <a:ext uri="{63B3BB69-23CF-44E3-9099-C40C66FF867C}">
                  <a14:compatExt spid="_x0000_s2631"/>
                </a:ext>
                <a:ext uri="{FF2B5EF4-FFF2-40B4-BE49-F238E27FC236}">
                  <a16:creationId xmlns:a16="http://schemas.microsoft.com/office/drawing/2014/main" id="{00000000-0008-0000-0000-00004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231</xdr:row>
          <xdr:rowOff>9525</xdr:rowOff>
        </xdr:from>
        <xdr:to>
          <xdr:col>6</xdr:col>
          <xdr:colOff>219075</xdr:colOff>
          <xdr:row>231</xdr:row>
          <xdr:rowOff>171450</xdr:rowOff>
        </xdr:to>
        <xdr:sp macro="" textlink="">
          <xdr:nvSpPr>
            <xdr:cNvPr id="2632" name="Button 584" hidden="1">
              <a:extLst>
                <a:ext uri="{63B3BB69-23CF-44E3-9099-C40C66FF867C}">
                  <a14:compatExt spid="_x0000_s2632"/>
                </a:ext>
                <a:ext uri="{FF2B5EF4-FFF2-40B4-BE49-F238E27FC236}">
                  <a16:creationId xmlns:a16="http://schemas.microsoft.com/office/drawing/2014/main" id="{00000000-0008-0000-0000-00004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232</xdr:row>
          <xdr:rowOff>9525</xdr:rowOff>
        </xdr:from>
        <xdr:to>
          <xdr:col>6</xdr:col>
          <xdr:colOff>219075</xdr:colOff>
          <xdr:row>232</xdr:row>
          <xdr:rowOff>171450</xdr:rowOff>
        </xdr:to>
        <xdr:sp macro="" textlink="">
          <xdr:nvSpPr>
            <xdr:cNvPr id="2633" name="Button 585" hidden="1">
              <a:extLst>
                <a:ext uri="{63B3BB69-23CF-44E3-9099-C40C66FF867C}">
                  <a14:compatExt spid="_x0000_s2633"/>
                </a:ext>
                <a:ext uri="{FF2B5EF4-FFF2-40B4-BE49-F238E27FC236}">
                  <a16:creationId xmlns:a16="http://schemas.microsoft.com/office/drawing/2014/main" id="{00000000-0008-0000-0000-00004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233</xdr:row>
          <xdr:rowOff>9525</xdr:rowOff>
        </xdr:from>
        <xdr:to>
          <xdr:col>6</xdr:col>
          <xdr:colOff>219075</xdr:colOff>
          <xdr:row>233</xdr:row>
          <xdr:rowOff>171450</xdr:rowOff>
        </xdr:to>
        <xdr:sp macro="" textlink="">
          <xdr:nvSpPr>
            <xdr:cNvPr id="2634" name="Button 586" hidden="1">
              <a:extLst>
                <a:ext uri="{63B3BB69-23CF-44E3-9099-C40C66FF867C}">
                  <a14:compatExt spid="_x0000_s2634"/>
                </a:ext>
                <a:ext uri="{FF2B5EF4-FFF2-40B4-BE49-F238E27FC236}">
                  <a16:creationId xmlns:a16="http://schemas.microsoft.com/office/drawing/2014/main" id="{00000000-0008-0000-0000-00004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234</xdr:row>
          <xdr:rowOff>9525</xdr:rowOff>
        </xdr:from>
        <xdr:to>
          <xdr:col>6</xdr:col>
          <xdr:colOff>219075</xdr:colOff>
          <xdr:row>234</xdr:row>
          <xdr:rowOff>171450</xdr:rowOff>
        </xdr:to>
        <xdr:sp macro="" textlink="">
          <xdr:nvSpPr>
            <xdr:cNvPr id="2635" name="Button 587" hidden="1">
              <a:extLst>
                <a:ext uri="{63B3BB69-23CF-44E3-9099-C40C66FF867C}">
                  <a14:compatExt spid="_x0000_s2635"/>
                </a:ext>
                <a:ext uri="{FF2B5EF4-FFF2-40B4-BE49-F238E27FC236}">
                  <a16:creationId xmlns:a16="http://schemas.microsoft.com/office/drawing/2014/main" id="{00000000-0008-0000-0000-00004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236</xdr:row>
          <xdr:rowOff>9525</xdr:rowOff>
        </xdr:from>
        <xdr:to>
          <xdr:col>6</xdr:col>
          <xdr:colOff>219075</xdr:colOff>
          <xdr:row>236</xdr:row>
          <xdr:rowOff>171450</xdr:rowOff>
        </xdr:to>
        <xdr:sp macro="" textlink="">
          <xdr:nvSpPr>
            <xdr:cNvPr id="2636" name="Button 588" hidden="1">
              <a:extLst>
                <a:ext uri="{63B3BB69-23CF-44E3-9099-C40C66FF867C}">
                  <a14:compatExt spid="_x0000_s2636"/>
                </a:ext>
                <a:ext uri="{FF2B5EF4-FFF2-40B4-BE49-F238E27FC236}">
                  <a16:creationId xmlns:a16="http://schemas.microsoft.com/office/drawing/2014/main" id="{00000000-0008-0000-0000-00004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235</xdr:row>
          <xdr:rowOff>9525</xdr:rowOff>
        </xdr:from>
        <xdr:to>
          <xdr:col>6</xdr:col>
          <xdr:colOff>219075</xdr:colOff>
          <xdr:row>235</xdr:row>
          <xdr:rowOff>171450</xdr:rowOff>
        </xdr:to>
        <xdr:sp macro="" textlink="">
          <xdr:nvSpPr>
            <xdr:cNvPr id="2637" name="Button 589" hidden="1">
              <a:extLst>
                <a:ext uri="{63B3BB69-23CF-44E3-9099-C40C66FF867C}">
                  <a14:compatExt spid="_x0000_s2637"/>
                </a:ext>
                <a:ext uri="{FF2B5EF4-FFF2-40B4-BE49-F238E27FC236}">
                  <a16:creationId xmlns:a16="http://schemas.microsoft.com/office/drawing/2014/main" id="{00000000-0008-0000-0000-00004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237</xdr:row>
          <xdr:rowOff>9525</xdr:rowOff>
        </xdr:from>
        <xdr:to>
          <xdr:col>6</xdr:col>
          <xdr:colOff>219075</xdr:colOff>
          <xdr:row>237</xdr:row>
          <xdr:rowOff>171450</xdr:rowOff>
        </xdr:to>
        <xdr:sp macro="" textlink="">
          <xdr:nvSpPr>
            <xdr:cNvPr id="2638" name="Button 590" hidden="1">
              <a:extLst>
                <a:ext uri="{63B3BB69-23CF-44E3-9099-C40C66FF867C}">
                  <a14:compatExt spid="_x0000_s2638"/>
                </a:ext>
                <a:ext uri="{FF2B5EF4-FFF2-40B4-BE49-F238E27FC236}">
                  <a16:creationId xmlns:a16="http://schemas.microsoft.com/office/drawing/2014/main" id="{00000000-0008-0000-0000-00004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238</xdr:row>
          <xdr:rowOff>9525</xdr:rowOff>
        </xdr:from>
        <xdr:to>
          <xdr:col>6</xdr:col>
          <xdr:colOff>219075</xdr:colOff>
          <xdr:row>238</xdr:row>
          <xdr:rowOff>171450</xdr:rowOff>
        </xdr:to>
        <xdr:sp macro="" textlink="">
          <xdr:nvSpPr>
            <xdr:cNvPr id="2639" name="Button 591" hidden="1">
              <a:extLst>
                <a:ext uri="{63B3BB69-23CF-44E3-9099-C40C66FF867C}">
                  <a14:compatExt spid="_x0000_s2639"/>
                </a:ext>
                <a:ext uri="{FF2B5EF4-FFF2-40B4-BE49-F238E27FC236}">
                  <a16:creationId xmlns:a16="http://schemas.microsoft.com/office/drawing/2014/main" id="{00000000-0008-0000-0000-00004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239</xdr:row>
          <xdr:rowOff>9525</xdr:rowOff>
        </xdr:from>
        <xdr:to>
          <xdr:col>6</xdr:col>
          <xdr:colOff>219075</xdr:colOff>
          <xdr:row>239</xdr:row>
          <xdr:rowOff>171450</xdr:rowOff>
        </xdr:to>
        <xdr:sp macro="" textlink="">
          <xdr:nvSpPr>
            <xdr:cNvPr id="2640" name="Button 592" hidden="1">
              <a:extLst>
                <a:ext uri="{63B3BB69-23CF-44E3-9099-C40C66FF867C}">
                  <a14:compatExt spid="_x0000_s2640"/>
                </a:ext>
                <a:ext uri="{FF2B5EF4-FFF2-40B4-BE49-F238E27FC236}">
                  <a16:creationId xmlns:a16="http://schemas.microsoft.com/office/drawing/2014/main" id="{00000000-0008-0000-0000-00005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240</xdr:row>
          <xdr:rowOff>9525</xdr:rowOff>
        </xdr:from>
        <xdr:to>
          <xdr:col>6</xdr:col>
          <xdr:colOff>219075</xdr:colOff>
          <xdr:row>240</xdr:row>
          <xdr:rowOff>171450</xdr:rowOff>
        </xdr:to>
        <xdr:sp macro="" textlink="">
          <xdr:nvSpPr>
            <xdr:cNvPr id="2641" name="Button 593" hidden="1">
              <a:extLst>
                <a:ext uri="{63B3BB69-23CF-44E3-9099-C40C66FF867C}">
                  <a14:compatExt spid="_x0000_s2641"/>
                </a:ext>
                <a:ext uri="{FF2B5EF4-FFF2-40B4-BE49-F238E27FC236}">
                  <a16:creationId xmlns:a16="http://schemas.microsoft.com/office/drawing/2014/main" id="{00000000-0008-0000-0000-00005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241</xdr:row>
          <xdr:rowOff>9525</xdr:rowOff>
        </xdr:from>
        <xdr:to>
          <xdr:col>6</xdr:col>
          <xdr:colOff>219075</xdr:colOff>
          <xdr:row>241</xdr:row>
          <xdr:rowOff>171450</xdr:rowOff>
        </xdr:to>
        <xdr:sp macro="" textlink="">
          <xdr:nvSpPr>
            <xdr:cNvPr id="2642" name="Button 594" hidden="1">
              <a:extLst>
                <a:ext uri="{63B3BB69-23CF-44E3-9099-C40C66FF867C}">
                  <a14:compatExt spid="_x0000_s2642"/>
                </a:ext>
                <a:ext uri="{FF2B5EF4-FFF2-40B4-BE49-F238E27FC236}">
                  <a16:creationId xmlns:a16="http://schemas.microsoft.com/office/drawing/2014/main" id="{00000000-0008-0000-0000-00005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242</xdr:row>
          <xdr:rowOff>9525</xdr:rowOff>
        </xdr:from>
        <xdr:to>
          <xdr:col>6</xdr:col>
          <xdr:colOff>219075</xdr:colOff>
          <xdr:row>242</xdr:row>
          <xdr:rowOff>171450</xdr:rowOff>
        </xdr:to>
        <xdr:sp macro="" textlink="">
          <xdr:nvSpPr>
            <xdr:cNvPr id="2643" name="Button 595" hidden="1">
              <a:extLst>
                <a:ext uri="{63B3BB69-23CF-44E3-9099-C40C66FF867C}">
                  <a14:compatExt spid="_x0000_s2643"/>
                </a:ext>
                <a:ext uri="{FF2B5EF4-FFF2-40B4-BE49-F238E27FC236}">
                  <a16:creationId xmlns:a16="http://schemas.microsoft.com/office/drawing/2014/main" id="{00000000-0008-0000-0000-00005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243</xdr:row>
          <xdr:rowOff>9525</xdr:rowOff>
        </xdr:from>
        <xdr:to>
          <xdr:col>6</xdr:col>
          <xdr:colOff>219075</xdr:colOff>
          <xdr:row>243</xdr:row>
          <xdr:rowOff>171450</xdr:rowOff>
        </xdr:to>
        <xdr:sp macro="" textlink="">
          <xdr:nvSpPr>
            <xdr:cNvPr id="2644" name="Button 596" hidden="1">
              <a:extLst>
                <a:ext uri="{63B3BB69-23CF-44E3-9099-C40C66FF867C}">
                  <a14:compatExt spid="_x0000_s2644"/>
                </a:ext>
                <a:ext uri="{FF2B5EF4-FFF2-40B4-BE49-F238E27FC236}">
                  <a16:creationId xmlns:a16="http://schemas.microsoft.com/office/drawing/2014/main" id="{00000000-0008-0000-0000-00005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1182721</xdr:colOff>
      <xdr:row>2</xdr:row>
      <xdr:rowOff>476</xdr:rowOff>
    </xdr:to>
    <xdr:pic macro="[0]!VaiNatal"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181100" cy="457200"/>
        </a:xfrm>
        <a:prstGeom prst="rect">
          <a:avLst/>
        </a:prstGeom>
        <a:noFill/>
        <a:effectLst/>
      </xdr:spPr>
    </xdr:pic>
    <xdr:clientData/>
  </xdr:twoCellAnchor>
  <xdr:twoCellAnchor editAs="oneCell">
    <xdr:from>
      <xdr:col>4</xdr:col>
      <xdr:colOff>53340</xdr:colOff>
      <xdr:row>8</xdr:row>
      <xdr:rowOff>167640</xdr:rowOff>
    </xdr:from>
    <xdr:to>
      <xdr:col>4</xdr:col>
      <xdr:colOff>281940</xdr:colOff>
      <xdr:row>9</xdr:row>
      <xdr:rowOff>217170</xdr:rowOff>
    </xdr:to>
    <xdr:pic macro="[0]!EuFalo"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5" y="1771650"/>
          <a:ext cx="228600" cy="238125"/>
        </a:xfrm>
        <a:prstGeom prst="rect">
          <a:avLst/>
        </a:prstGeom>
        <a:noFill/>
        <a:effectLst/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1</xdr:col>
      <xdr:colOff>127366</xdr:colOff>
      <xdr:row>23</xdr:row>
      <xdr:rowOff>22595</xdr:rowOff>
    </xdr:to>
    <xdr:pic macro="[0]!naoaperte"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743200"/>
          <a:ext cx="2152650" cy="2114550"/>
        </a:xfrm>
        <a:prstGeom prst="rect">
          <a:avLst/>
        </a:prstGeom>
        <a:noFill/>
        <a:effectLst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1182721</xdr:colOff>
      <xdr:row>2</xdr:row>
      <xdr:rowOff>476</xdr:rowOff>
    </xdr:to>
    <xdr:pic macro="[0]!VaiNatal"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181100" cy="4667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304800</xdr:colOff>
          <xdr:row>0</xdr:row>
          <xdr:rowOff>85725</xdr:rowOff>
        </xdr:from>
        <xdr:to>
          <xdr:col>61</xdr:col>
          <xdr:colOff>0</xdr:colOff>
          <xdr:row>1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Juntar alimentos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67</xdr:col>
          <xdr:colOff>304800</xdr:colOff>
          <xdr:row>0</xdr:row>
          <xdr:rowOff>85725</xdr:rowOff>
        </xdr:from>
        <xdr:to>
          <xdr:col>68</xdr:col>
          <xdr:colOff>0</xdr:colOff>
          <xdr:row>1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Juntar higiene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1182721</xdr:colOff>
      <xdr:row>2</xdr:row>
      <xdr:rowOff>476</xdr:rowOff>
    </xdr:to>
    <xdr:pic macro="[0]!VaiNatal"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181100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1066800</xdr:colOff>
          <xdr:row>0</xdr:row>
          <xdr:rowOff>114300</xdr:rowOff>
        </xdr:from>
        <xdr:to>
          <xdr:col>4</xdr:col>
          <xdr:colOff>466725</xdr:colOff>
          <xdr:row>1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Inserir alimento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0</xdr:row>
          <xdr:rowOff>114300</xdr:rowOff>
        </xdr:from>
        <xdr:to>
          <xdr:col>7</xdr:col>
          <xdr:colOff>76200</xdr:colOff>
          <xdr:row>1</xdr:row>
          <xdr:rowOff>38100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Inserir produto de higiene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1182721</xdr:colOff>
      <xdr:row>2</xdr:row>
      <xdr:rowOff>476</xdr:rowOff>
    </xdr:to>
    <xdr:pic macro="[0]!VaiNatal">
      <xdr:nvPicPr>
        <xdr:cNvPr id="2" name="Picture 4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181100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ohna/Desktop/Planilhas_segundo_dia/Planilha_Segundo_Dia_de_Mercado_Leort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ohna/Desktop/Planilha_Segundo_Dia_de_Mercado_Natori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dastro"/>
      <sheetName val="CadastroCB"/>
      <sheetName val="Resumo total"/>
      <sheetName val="Categorias"/>
      <sheetName val="Base de dados"/>
    </sheetNames>
    <sheetDataSet>
      <sheetData sheetId="0"/>
      <sheetData sheetId="1"/>
      <sheetData sheetId="2">
        <row r="38">
          <cell r="A38">
            <v>3.4335150777679</v>
          </cell>
        </row>
      </sheetData>
      <sheetData sheetId="3">
        <row r="4">
          <cell r="Q4" t="str">
            <v>A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dastro"/>
      <sheetName val="CadastroCB"/>
      <sheetName val="Resumo total"/>
      <sheetName val="Categorias"/>
      <sheetName val="Base de dados"/>
    </sheetNames>
    <sheetDataSet>
      <sheetData sheetId="0" refreshError="1"/>
      <sheetData sheetId="1" refreshError="1"/>
      <sheetData sheetId="2">
        <row r="38">
          <cell r="A38">
            <v>3.26330483661209</v>
          </cell>
        </row>
      </sheetData>
      <sheetData sheetId="3">
        <row r="4">
          <cell r="Q4" t="str">
            <v>A</v>
          </cell>
        </row>
      </sheetData>
      <sheetData sheetId="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super1" displayName="super1" ref="H4:K5" insertRow="1" totalsRowShown="0">
  <autoFilter ref="H4:K5" xr:uid="{00000000-0009-0000-0100-000004000000}"/>
  <sortState xmlns:xlrd2="http://schemas.microsoft.com/office/spreadsheetml/2017/richdata2" ref="H5:K5">
    <sortCondition descending="1" ref="K5"/>
  </sortState>
  <tableColumns count="4">
    <tableColumn id="1" xr3:uid="{00000000-0010-0000-0000-000001000000}" name="Item" dataDxfId="95"/>
    <tableColumn id="9" xr3:uid="{00000000-0010-0000-0000-000009000000}" name="Qtde" dataDxfId="94"/>
    <tableColumn id="10" xr3:uid="{00000000-0010-0000-0000-00000A000000}" name="Bairro" dataDxfId="93"/>
    <tableColumn id="2" xr3:uid="{00000000-0010-0000-0000-000002000000}" name="Data" dataDxfId="9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supercb" displayName="supercb" ref="F4:I207" totalsRowShown="0">
  <autoFilter ref="F4:I207" xr:uid="{00000000-0009-0000-0100-000008000000}"/>
  <sortState xmlns:xlrd2="http://schemas.microsoft.com/office/spreadsheetml/2017/richdata2" ref="F5:I207">
    <sortCondition descending="1" ref="I4:I207"/>
  </sortState>
  <tableColumns count="4">
    <tableColumn id="1" xr3:uid="{00000000-0010-0000-0100-000001000000}" name="Item" dataDxfId="88"/>
    <tableColumn id="2" xr3:uid="{00000000-0010-0000-0100-000002000000}" name="Qtde" dataDxfId="87"/>
    <tableColumn id="3" xr3:uid="{00000000-0010-0000-0100-000003000000}" name="Bairro" dataDxfId="86"/>
    <tableColumn id="4" xr3:uid="{00000000-0010-0000-0100-000004000000}" name="Data" dataDxfId="8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_alimentos" displayName="tab_alimentos" ref="I4:AG510" totalsRowShown="0" headerRowDxfId="78" dataDxfId="76" headerRowBorderDxfId="77" tableBorderDxfId="75" totalsRowBorderDxfId="74">
  <autoFilter ref="I4:AG510" xr:uid="{00000000-0009-0000-0100-000001000000}"/>
  <tableColumns count="25">
    <tableColumn id="1" xr3:uid="{00000000-0010-0000-0200-000001000000}" name="Item" dataDxfId="73">
      <calculatedColumnFormula>alimentos[[#This Row],[Item]]</calculatedColumnFormula>
    </tableColumn>
    <tableColumn id="2" xr3:uid="{00000000-0010-0000-0200-000002000000}" name="kg/embalagem" dataDxfId="72">
      <calculatedColumnFormula>IFERROR(alimentos[[#This Row],[kg/embalagem]],0)</calculatedColumnFormula>
    </tableColumn>
    <tableColumn id="20" xr3:uid="{00000000-0010-0000-0200-000014000000}" name="Preço" dataDxfId="71">
      <calculatedColumnFormula>IFERROR(alimentos[[#This Row],[Preço]],0)</calculatedColumnFormula>
    </tableColumn>
    <tableColumn id="3" xr3:uid="{00000000-0010-0000-0200-000003000000}" name="Qtde (S1)" dataDxfId="70">
      <calculatedColumnFormula>SUMIFS(super1[Qtde],super1[Item],tab_alimentos[[#This Row],[Item]],super1[Bairro],mercado1)+SUMIFS(supercb[Qtde],supercb[Item],tab_alimentos[[#This Row],[Item]],supercb[Bairro],mercado1)</calculatedColumnFormula>
    </tableColumn>
    <tableColumn id="4" xr3:uid="{00000000-0010-0000-0200-000004000000}" name="Qtde (S2)" dataDxfId="69">
      <calculatedColumnFormula>SUMIFS(super1[Qtde],super1[Item],tab_alimentos[[#This Row],[Item]],super1[Bairro],mercado2)+SUMIFS(supercb[Qtde],supercb[Item],tab_alimentos[[#This Row],[Item]],supercb[Bairro],mercado2)</calculatedColumnFormula>
    </tableColumn>
    <tableColumn id="5" xr3:uid="{00000000-0010-0000-0200-000005000000}" name="Qtde (S3)" dataDxfId="68">
      <calculatedColumnFormula>SUMIFS(super1[Qtde],super1[Item],tab_alimentos[[#This Row],[Item]],super1[Bairro],mercado3)+SUMIFS(supercb[Qtde],supercb[Item],tab_alimentos[[#This Row],[Item]],supercb[Bairro],mercado3)</calculatedColumnFormula>
    </tableColumn>
    <tableColumn id="6" xr3:uid="{00000000-0010-0000-0200-000006000000}" name="Qtde (S4)" dataDxfId="67">
      <calculatedColumnFormula>SUMIFS(super1[Qtde],super1[Item],tab_alimentos[[#This Row],[Item]],super1[Bairro],mercado4)+SUMIFS(supercb[Qtde],supercb[Item],tab_alimentos[[#This Row],[Item]],supercb[Bairro],mercado4)</calculatedColumnFormula>
    </tableColumn>
    <tableColumn id="7" xr3:uid="{00000000-0010-0000-0200-000007000000}" name="Qtde (S5)" dataDxfId="66">
      <calculatedColumnFormula>SUMIFS(super1[Qtde],super1[Item],tab_alimentos[[#This Row],[Item]],super1[Bairro],mercado5)+SUMIFS(supercb[Qtde],supercb[Item],tab_alimentos[[#This Row],[Item]],supercb[Bairro],mercado5)</calculatedColumnFormula>
    </tableColumn>
    <tableColumn id="8" xr3:uid="{00000000-0010-0000-0200-000008000000}" name="Qtde (S6)" dataDxfId="65">
      <calculatedColumnFormula>SUMIFS(super1[Qtde],super1[Item],tab_alimentos[[#This Row],[Item]],super1[Bairro],mercado6)+SUMIFS(supercb[Qtde],supercb[Item],tab_alimentos[[#This Row],[Item]],supercb[Bairro],mercado6)</calculatedColumnFormula>
    </tableColumn>
    <tableColumn id="9" xr3:uid="{00000000-0010-0000-0200-000009000000}" name="Qtde (S7)" dataDxfId="64">
      <calculatedColumnFormula>SUMIFS(super1[Qtde],super1[Item],tab_alimentos[[#This Row],[Item]],super1[Bairro],mercado7)+SUMIFS(supercb[Qtde],supercb[Item],tab_alimentos[[#This Row],[Item]],supercb[Bairro],mercado7)</calculatedColumnFormula>
    </tableColumn>
    <tableColumn id="10" xr3:uid="{00000000-0010-0000-0200-00000A000000}" name="Qtde (S8)" dataDxfId="63">
      <calculatedColumnFormula>SUMIFS(super1[Qtde],super1[Item],tab_alimentos[[#This Row],[Item]],super1[Bairro],mercado8)+SUMIFS(supercb[Qtde],supercb[Item],tab_alimentos[[#This Row],[Item]],supercb[Bairro],mercado8)</calculatedColumnFormula>
    </tableColumn>
    <tableColumn id="11" xr3:uid="{00000000-0010-0000-0200-00000B000000}" name="Qtde (S9)" dataDxfId="62">
      <calculatedColumnFormula>SUMIFS(super1[Qtde],super1[Item],tab_alimentos[[#This Row],[Item]],super1[Bairro],mercado9)+SUMIFS(supercb[Qtde],supercb[Item],tab_alimentos[[#This Row],[Item]],supercb[Bairro],mercado9)</calculatedColumnFormula>
    </tableColumn>
    <tableColumn id="12" xr3:uid="{00000000-0010-0000-0200-00000C000000}" name="Qtde (S10)" dataDxfId="61">
      <calculatedColumnFormula>SUMIFS(super1[Qtde],super1[Item],tab_alimentos[[#This Row],[Item]],super1[Bairro],mercado10)+SUMIFS(supercb[Qtde],supercb[Item],tab_alimentos[[#This Row],[Item]],supercb[Bairro],mercado10)</calculatedColumnFormula>
    </tableColumn>
    <tableColumn id="13" xr3:uid="{00000000-0010-0000-0200-00000D000000}" name="Qtde (S11)" dataDxfId="60">
      <calculatedColumnFormula>SUMIFS(super1[Qtde],super1[Item],tab_alimentos[[#This Row],[Item]],super1[Bairro],mercado11)+SUMIFS(supercb[Qtde],supercb[Item],tab_alimentos[[#This Row],[Item]],supercb[Bairro],mercado11)</calculatedColumnFormula>
    </tableColumn>
    <tableColumn id="14" xr3:uid="{00000000-0010-0000-0200-00000E000000}" name="Qtde (S12)" dataDxfId="59">
      <calculatedColumnFormula>SUMIFS(super1[Qtde],super1[Item],tab_alimentos[[#This Row],[Item]],super1[Bairro],mercado12)+SUMIFS(supercb[Qtde],supercb[Item],tab_alimentos[[#This Row],[Item]],supercb[Bairro],mercado12)</calculatedColumnFormula>
    </tableColumn>
    <tableColumn id="15" xr3:uid="{00000000-0010-0000-0200-00000F000000}" name="Qtde (S13)" dataDxfId="58">
      <calculatedColumnFormula>SUMIFS(super1[Qtde],super1[Item],tab_alimentos[[#This Row],[Item]],super1[Bairro],mercado13)+SUMIFS(supercb[Qtde],supercb[Item],tab_alimentos[[#This Row],[Item]],supercb[Bairro],mercado13)</calculatedColumnFormula>
    </tableColumn>
    <tableColumn id="16" xr3:uid="{00000000-0010-0000-0200-000010000000}" name="Qtde (S14)" dataDxfId="57">
      <calculatedColumnFormula>SUMIFS(super1[Qtde],super1[Item],tab_alimentos[[#This Row],[Item]],super1[Bairro],mercado14)+SUMIFS(supercb[Qtde],supercb[Item],tab_alimentos[[#This Row],[Item]],supercb[Bairro],mercado14)</calculatedColumnFormula>
    </tableColumn>
    <tableColumn id="17" xr3:uid="{00000000-0010-0000-0200-000011000000}" name="Qtde (S15)" dataDxfId="56">
      <calculatedColumnFormula>SUMIFS(super1[Qtde],super1[Item],tab_alimentos[[#This Row],[Item]],super1[Bairro],mercado15)+SUMIFS(supercb[Qtde],supercb[Item],tab_alimentos[[#This Row],[Item]],supercb[Bairro],mercado15)</calculatedColumnFormula>
    </tableColumn>
    <tableColumn id="25" xr3:uid="{00000000-0010-0000-0200-000019000000}" name="Qtde (S16)" dataDxfId="55">
      <calculatedColumnFormula>SUMIFS(super1[Qtde],super1[Item],tab_alimentos[[#This Row],[Item]],super1[Bairro],mercado16)+SUMIFS(supercb[Qtde],supercb[Item],tab_alimentos[[#This Row],[Item]],supercb[Bairro],mercado16)</calculatedColumnFormula>
    </tableColumn>
    <tableColumn id="24" xr3:uid="{00000000-0010-0000-0200-000018000000}" name="Qtde (S17)" dataDxfId="54">
      <calculatedColumnFormula>SUMIFS(super1[Qtde],super1[Item],tab_alimentos[[#This Row],[Item]],super1[Bairro],mercado17)+SUMIFS(supercb[Qtde],supercb[Item],tab_alimentos[[#This Row],[Item]],supercb[Bairro],mercado17)</calculatedColumnFormula>
    </tableColumn>
    <tableColumn id="18" xr3:uid="{00000000-0010-0000-0200-000012000000}" name="Qtde (S18)" dataDxfId="53">
      <calculatedColumnFormula>SUMIFS(super1[Qtde],super1[Item],tab_alimentos[[#This Row],[Item]],super1[Bairro],mercado18)+SUMIFS(supercb[Qtde],supercb[Item],tab_alimentos[[#This Row],[Item]],supercb[Bairro],mercado18)</calculatedColumnFormula>
    </tableColumn>
    <tableColumn id="23" xr3:uid="{00000000-0010-0000-0200-000017000000}" name="Qtde (ex)" dataDxfId="52">
      <calculatedColumnFormula>SUMIFS(super1[Qtde],super1[Item],tab_alimentos[[#This Row],[Item]],super1[Bairro],extras)+SUMIFS(supercb[Qtde],supercb[Item],tab_alimentos[[#This Row],[Item]],supercb[Bairro],extras)</calculatedColumnFormula>
    </tableColumn>
    <tableColumn id="19" xr3:uid="{00000000-0010-0000-0200-000013000000}" name="Qtde (tot)" dataDxfId="51">
      <calculatedColumnFormula>SUM(L5:AC5)</calculatedColumnFormula>
    </tableColumn>
    <tableColumn id="21" xr3:uid="{00000000-0010-0000-0200-000015000000}" name="Preço x Qtde" dataDxfId="50">
      <calculatedColumnFormula>IFERROR(AE5*K5,0)</calculatedColumnFormula>
    </tableColumn>
    <tableColumn id="22" xr3:uid="{00000000-0010-0000-0200-000016000000}" name="kg" dataDxfId="49">
      <calculatedColumnFormula>IFERROR(J5*AE5,0)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_higiene" displayName="tab_higiene" ref="AH4:BF315" totalsRowShown="0" headerRowDxfId="48" dataDxfId="46" headerRowBorderDxfId="47" tableBorderDxfId="45" totalsRowBorderDxfId="44">
  <autoFilter ref="AH4:BF315" xr:uid="{00000000-0009-0000-0100-000005000000}"/>
  <tableColumns count="25">
    <tableColumn id="1" xr3:uid="{00000000-0010-0000-0300-000001000000}" name="Item" dataDxfId="43">
      <calculatedColumnFormula>higiene[[#This Row],[Item]]</calculatedColumnFormula>
    </tableColumn>
    <tableColumn id="2" xr3:uid="{00000000-0010-0000-0300-000002000000}" name="kg/embalagem" dataDxfId="42">
      <calculatedColumnFormula>IFERROR(higiene[[#This Row],[Kg equivalente]],0)</calculatedColumnFormula>
    </tableColumn>
    <tableColumn id="20" xr3:uid="{00000000-0010-0000-0300-000014000000}" name="Preço" dataDxfId="41">
      <calculatedColumnFormula>IFERROR(higiene[[#This Row],[Preço por produto]],0)</calculatedColumnFormula>
    </tableColumn>
    <tableColumn id="3" xr3:uid="{00000000-0010-0000-0300-000003000000}" name="Qtde (S1)" dataDxfId="40">
      <calculatedColumnFormula>SUMIFS(super1[Qtde],super1[Item],tab_higiene[[#This Row],[Item]],super1[Bairro],mercado1)+SUMIFS(supercb[Qtde],supercb[Item],tab_higiene[[#This Row],[Item]],supercb[Bairro],mercado1)</calculatedColumnFormula>
    </tableColumn>
    <tableColumn id="4" xr3:uid="{00000000-0010-0000-0300-000004000000}" name="Qtde (S2)" dataDxfId="39">
      <calculatedColumnFormula>SUMIFS(super1[Qtde],super1[Item],tab_higiene[[#This Row],[Item]],super1[Bairro],mercado2)+SUMIFS(supercb[Qtde],supercb[Item],tab_higiene[[#This Row],[Item]],supercb[Bairro],mercado2)</calculatedColumnFormula>
    </tableColumn>
    <tableColumn id="5" xr3:uid="{00000000-0010-0000-0300-000005000000}" name="Qtde (S3)" dataDxfId="38">
      <calculatedColumnFormula>SUMIFS(super1[Qtde],super1[Item],tab_higiene[[#This Row],[Item]],super1[Bairro],mercado3)+SUMIFS(supercb[Qtde],supercb[Item],tab_higiene[[#This Row],[Item]],supercb[Bairro],mercado3)</calculatedColumnFormula>
    </tableColumn>
    <tableColumn id="6" xr3:uid="{00000000-0010-0000-0300-000006000000}" name="Qtde (S4)" dataDxfId="37">
      <calculatedColumnFormula>SUMIFS(super1[Qtde],super1[Item],tab_higiene[[#This Row],[Item]],super1[Bairro],mercado4)+SUMIFS(supercb[Qtde],supercb[Item],tab_higiene[[#This Row],[Item]],supercb[Bairro],mercado4)</calculatedColumnFormula>
    </tableColumn>
    <tableColumn id="7" xr3:uid="{00000000-0010-0000-0300-000007000000}" name="Qtde (S5)" dataDxfId="36">
      <calculatedColumnFormula>SUMIFS(super1[Qtde],super1[Item],tab_higiene[[#This Row],[Item]],super1[Bairro],mercado5)+SUMIFS(supercb[Qtde],supercb[Item],tab_higiene[[#This Row],[Item]],supercb[Bairro],mercado5)</calculatedColumnFormula>
    </tableColumn>
    <tableColumn id="8" xr3:uid="{00000000-0010-0000-0300-000008000000}" name="Qtde (S6)" dataDxfId="35">
      <calculatedColumnFormula>SUMIFS(super1[Qtde],super1[Item],tab_higiene[[#This Row],[Item]],super1[Bairro],mercado6)+SUMIFS(supercb[Qtde],supercb[Item],tab_higiene[[#This Row],[Item]],supercb[Bairro],mercado6)</calculatedColumnFormula>
    </tableColumn>
    <tableColumn id="9" xr3:uid="{00000000-0010-0000-0300-000009000000}" name="Qtde (S7)" dataDxfId="34">
      <calculatedColumnFormula>SUMIFS(super1[Qtde],super1[Item],tab_higiene[[#This Row],[Item]],super1[Bairro],mercado7)+SUMIFS(supercb[Qtde],supercb[Item],tab_higiene[[#This Row],[Item]],supercb[Bairro],mercado7)</calculatedColumnFormula>
    </tableColumn>
    <tableColumn id="10" xr3:uid="{00000000-0010-0000-0300-00000A000000}" name="Qtde (S8)" dataDxfId="33">
      <calculatedColumnFormula>SUMIFS(super1[Qtde],super1[Item],tab_higiene[[#This Row],[Item]],super1[Bairro],mercado8)+SUMIFS(supercb[Qtde],supercb[Item],tab_higiene[[#This Row],[Item]],supercb[Bairro],mercado8)</calculatedColumnFormula>
    </tableColumn>
    <tableColumn id="11" xr3:uid="{00000000-0010-0000-0300-00000B000000}" name="Qtde (S9)" dataDxfId="32">
      <calculatedColumnFormula>SUMIFS(super1[Qtde],super1[Item],tab_higiene[[#This Row],[Item]],super1[Bairro],mercado9)+SUMIFS(supercb[Qtde],supercb[Item],tab_higiene[[#This Row],[Item]],supercb[Bairro],mercado9)</calculatedColumnFormula>
    </tableColumn>
    <tableColumn id="12" xr3:uid="{00000000-0010-0000-0300-00000C000000}" name="Qtde (S10)" dataDxfId="31">
      <calculatedColumnFormula>SUMIFS(super1[Qtde],super1[Item],tab_higiene[[#This Row],[Item]],super1[Bairro],mercado10)+SUMIFS(supercb[Qtde],supercb[Item],tab_higiene[[#This Row],[Item]],supercb[Bairro],mercado10)</calculatedColumnFormula>
    </tableColumn>
    <tableColumn id="13" xr3:uid="{00000000-0010-0000-0300-00000D000000}" name="Qtde (S11)" dataDxfId="30">
      <calculatedColumnFormula>SUMIFS(super1[Qtde],super1[Item],tab_higiene[[#This Row],[Item]],super1[Bairro],mercado11)+SUMIFS(supercb[Qtde],supercb[Item],tab_higiene[[#This Row],[Item]],supercb[Bairro],mercado11)</calculatedColumnFormula>
    </tableColumn>
    <tableColumn id="14" xr3:uid="{00000000-0010-0000-0300-00000E000000}" name="Qtde (S12)" dataDxfId="29">
      <calculatedColumnFormula>SUMIFS(super1[Qtde],super1[Item],tab_higiene[[#This Row],[Item]],super1[Bairro],mercado12)+SUMIFS(supercb[Qtde],supercb[Item],tab_higiene[[#This Row],[Item]],supercb[Bairro],mercado12)</calculatedColumnFormula>
    </tableColumn>
    <tableColumn id="15" xr3:uid="{00000000-0010-0000-0300-00000F000000}" name="Qtde (S13)" dataDxfId="28">
      <calculatedColumnFormula>SUMIFS(super1[Qtde],super1[Item],tab_higiene[[#This Row],[Item]],super1[Bairro],mercado13)+SUMIFS(supercb[Qtde],supercb[Item],tab_higiene[[#This Row],[Item]],supercb[Bairro],mercado13)</calculatedColumnFormula>
    </tableColumn>
    <tableColumn id="16" xr3:uid="{00000000-0010-0000-0300-000010000000}" name="Qtde (S14)" dataDxfId="27">
      <calculatedColumnFormula>SUMIFS(super1[Qtde],super1[Item],tab_higiene[[#This Row],[Item]],super1[Bairro],mercado14)+SUMIFS(supercb[Qtde],supercb[Item],tab_higiene[[#This Row],[Item]],supercb[Bairro],mercado14)</calculatedColumnFormula>
    </tableColumn>
    <tableColumn id="17" xr3:uid="{00000000-0010-0000-0300-000011000000}" name="Qtde (S15)" dataDxfId="26">
      <calculatedColumnFormula>SUMIFS(super1[Qtde],super1[Item],tab_higiene[[#This Row],[Item]],super1[Bairro],mercado15)+SUMIFS(supercb[Qtde],supercb[Item],tab_higiene[[#This Row],[Item]],supercb[Bairro],mercado15)</calculatedColumnFormula>
    </tableColumn>
    <tableColumn id="23" xr3:uid="{00000000-0010-0000-0300-000017000000}" name="Qtde (S16)" dataDxfId="25">
      <calculatedColumnFormula>SUMIFS(super1[Qtde],super1[Item],tab_higiene[[#This Row],[Item]],super1[Bairro],mercado16)+SUMIFS(supercb[Qtde],supercb[Item],tab_higiene[[#This Row],[Item]],supercb[Bairro],mercado16)</calculatedColumnFormula>
    </tableColumn>
    <tableColumn id="24" xr3:uid="{00000000-0010-0000-0300-000018000000}" name="Qtde (S17)" dataDxfId="24">
      <calculatedColumnFormula>SUMIFS(super1[Qtde],super1[Item],tab_higiene[[#This Row],[Item]],super1[Bairro],mercado17)+SUMIFS(supercb[Qtde],supercb[Item],tab_higiene[[#This Row],[Item]],supercb[Bairro],mercado17)</calculatedColumnFormula>
    </tableColumn>
    <tableColumn id="18" xr3:uid="{00000000-0010-0000-0300-000012000000}" name="Qtde (S18)" dataDxfId="23">
      <calculatedColumnFormula>SUMIFS(super1[Qtde],super1[Item],tab_higiene[[#This Row],[Item]],super1[Bairro],mercado18)+SUMIFS(supercb[Qtde],supercb[Item],tab_higiene[[#This Row],[Item]],supercb[Bairro],mercado18)</calculatedColumnFormula>
    </tableColumn>
    <tableColumn id="25" xr3:uid="{00000000-0010-0000-0300-000019000000}" name="Qtde (ex)" dataDxfId="22">
      <calculatedColumnFormula>SUMIFS(super1[Qtde],super1[Item],tab_higiene[[#This Row],[Item]],super1[Bairro],extras)+SUMIFS(supercb[Qtde],supercb[Item],tab_higiene[[#This Row],[Item]],supercb[Bairro],extras)</calculatedColumnFormula>
    </tableColumn>
    <tableColumn id="19" xr3:uid="{00000000-0010-0000-0300-000013000000}" name="Qtde (tot)" dataDxfId="21">
      <calculatedColumnFormula>SUM(AK5:BB5)</calculatedColumnFormula>
    </tableColumn>
    <tableColumn id="21" xr3:uid="{00000000-0010-0000-0300-000015000000}" name="Preço x Qtde" dataDxfId="20">
      <calculatedColumnFormula>IFERROR(BD5*AJ5,0)</calculatedColumnFormula>
    </tableColumn>
    <tableColumn id="22" xr3:uid="{00000000-0010-0000-0300-000016000000}" name="kg" dataDxfId="19">
      <calculatedColumnFormula>IFERROR(AI5*BD5,0)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higiene" displayName="higiene" ref="H4:K270" totalsRowShown="0" headerRowDxfId="18" dataDxfId="16" headerRowBorderDxfId="17" tableBorderDxfId="15" totalsRowBorderDxfId="14">
  <autoFilter ref="H4:K270" xr:uid="{00000000-0009-0000-0100-000003000000}"/>
  <sortState xmlns:xlrd2="http://schemas.microsoft.com/office/spreadsheetml/2017/richdata2" ref="H5:K270">
    <sortCondition ref="H4:H270"/>
  </sortState>
  <tableColumns count="4">
    <tableColumn id="1" xr3:uid="{00000000-0010-0000-0400-000001000000}" name="Item" dataDxfId="13"/>
    <tableColumn id="2" xr3:uid="{00000000-0010-0000-0400-000002000000}" name="Quantidade" dataDxfId="12"/>
    <tableColumn id="4" xr3:uid="{00000000-0010-0000-0400-000004000000}" name="Preço por produto" dataDxfId="11"/>
    <tableColumn id="3" xr3:uid="{00000000-0010-0000-0400-000003000000}" name="Kg equivalente" dataDxfId="10">
      <calculatedColumnFormula>IFERROR(higiene[[#This Row],[Preço por produto]]/PMA,0)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5000000}" name="tabMercados" displayName="tabMercados" ref="M8:M29" totalsRowShown="0">
  <autoFilter ref="M8:M29" xr:uid="{00000000-0009-0000-0100-000015000000}"/>
  <sortState xmlns:xlrd2="http://schemas.microsoft.com/office/spreadsheetml/2017/richdata2" ref="M9:M29">
    <sortCondition ref="M9:M29"/>
  </sortState>
  <tableColumns count="1">
    <tableColumn id="1" xr3:uid="{00000000-0010-0000-0500-000001000000}" name="Mercado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alimentos" displayName="alimentos" ref="D4:F456" totalsRowShown="0" headerRowDxfId="9" headerRowBorderDxfId="8" tableBorderDxfId="7">
  <autoFilter ref="D4:F456" xr:uid="{00000000-0009-0000-0100-000002000000}"/>
  <sortState xmlns:xlrd2="http://schemas.microsoft.com/office/spreadsheetml/2017/richdata2" ref="D5:F456">
    <sortCondition ref="D5:D456"/>
  </sortState>
  <tableColumns count="3">
    <tableColumn id="1" xr3:uid="{00000000-0010-0000-0600-000001000000}" name="Item" dataDxfId="6"/>
    <tableColumn id="2" xr3:uid="{00000000-0010-0000-0600-000002000000}" name="kg/embalagem" dataDxfId="5"/>
    <tableColumn id="3" xr3:uid="{00000000-0010-0000-0600-000003000000}" name="Preço" dataDxfId="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basedados" displayName="basedados" ref="D4:F2855" totalsRowShown="0" dataDxfId="3">
  <autoFilter ref="D4:F2855" xr:uid="{00000000-0009-0000-0100-000007000000}"/>
  <sortState xmlns:xlrd2="http://schemas.microsoft.com/office/spreadsheetml/2017/richdata2" ref="D5:F2667">
    <sortCondition ref="E5:E2667"/>
  </sortState>
  <tableColumns count="3">
    <tableColumn id="1" xr3:uid="{00000000-0010-0000-0700-000001000000}" name="CB" dataDxfId="2"/>
    <tableColumn id="2" xr3:uid="{00000000-0010-0000-0700-000002000000}" name="Item" dataDxfId="1"/>
    <tableColumn id="3" xr3:uid="{00000000-0010-0000-0700-000003000000}" name="Marc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324" Type="http://schemas.openxmlformats.org/officeDocument/2006/relationships/ctrlProp" Target="../ctrlProps/ctrlProp320.xml"/><Relationship Id="rId531" Type="http://schemas.openxmlformats.org/officeDocument/2006/relationships/ctrlProp" Target="../ctrlProps/ctrlProp527.xml"/><Relationship Id="rId170" Type="http://schemas.openxmlformats.org/officeDocument/2006/relationships/ctrlProp" Target="../ctrlProps/ctrlProp166.xml"/><Relationship Id="rId268" Type="http://schemas.openxmlformats.org/officeDocument/2006/relationships/ctrlProp" Target="../ctrlProps/ctrlProp264.xml"/><Relationship Id="rId475" Type="http://schemas.openxmlformats.org/officeDocument/2006/relationships/ctrlProp" Target="../ctrlProps/ctrlProp471.xml"/><Relationship Id="rId32" Type="http://schemas.openxmlformats.org/officeDocument/2006/relationships/ctrlProp" Target="../ctrlProps/ctrlProp28.xml"/><Relationship Id="rId128" Type="http://schemas.openxmlformats.org/officeDocument/2006/relationships/ctrlProp" Target="../ctrlProps/ctrlProp124.xml"/><Relationship Id="rId335" Type="http://schemas.openxmlformats.org/officeDocument/2006/relationships/ctrlProp" Target="../ctrlProps/ctrlProp331.xml"/><Relationship Id="rId181" Type="http://schemas.openxmlformats.org/officeDocument/2006/relationships/ctrlProp" Target="../ctrlProps/ctrlProp177.xml"/><Relationship Id="rId402" Type="http://schemas.openxmlformats.org/officeDocument/2006/relationships/ctrlProp" Target="../ctrlProps/ctrlProp398.xml"/><Relationship Id="rId279" Type="http://schemas.openxmlformats.org/officeDocument/2006/relationships/ctrlProp" Target="../ctrlProps/ctrlProp275.xml"/><Relationship Id="rId444" Type="http://schemas.openxmlformats.org/officeDocument/2006/relationships/ctrlProp" Target="../ctrlProps/ctrlProp440.xml"/><Relationship Id="rId486" Type="http://schemas.openxmlformats.org/officeDocument/2006/relationships/ctrlProp" Target="../ctrlProps/ctrlProp482.xml"/><Relationship Id="rId43" Type="http://schemas.openxmlformats.org/officeDocument/2006/relationships/ctrlProp" Target="../ctrlProps/ctrlProp39.xml"/><Relationship Id="rId139" Type="http://schemas.openxmlformats.org/officeDocument/2006/relationships/ctrlProp" Target="../ctrlProps/ctrlProp135.xml"/><Relationship Id="rId290" Type="http://schemas.openxmlformats.org/officeDocument/2006/relationships/ctrlProp" Target="../ctrlProps/ctrlProp286.xml"/><Relationship Id="rId304" Type="http://schemas.openxmlformats.org/officeDocument/2006/relationships/ctrlProp" Target="../ctrlProps/ctrlProp300.xml"/><Relationship Id="rId346" Type="http://schemas.openxmlformats.org/officeDocument/2006/relationships/ctrlProp" Target="../ctrlProps/ctrlProp342.xml"/><Relationship Id="rId388" Type="http://schemas.openxmlformats.org/officeDocument/2006/relationships/ctrlProp" Target="../ctrlProps/ctrlProp384.xml"/><Relationship Id="rId511" Type="http://schemas.openxmlformats.org/officeDocument/2006/relationships/ctrlProp" Target="../ctrlProps/ctrlProp507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413" Type="http://schemas.openxmlformats.org/officeDocument/2006/relationships/ctrlProp" Target="../ctrlProps/ctrlProp409.xml"/><Relationship Id="rId248" Type="http://schemas.openxmlformats.org/officeDocument/2006/relationships/ctrlProp" Target="../ctrlProps/ctrlProp244.xml"/><Relationship Id="rId455" Type="http://schemas.openxmlformats.org/officeDocument/2006/relationships/ctrlProp" Target="../ctrlProps/ctrlProp451.xml"/><Relationship Id="rId497" Type="http://schemas.openxmlformats.org/officeDocument/2006/relationships/ctrlProp" Target="../ctrlProps/ctrlProp493.xml"/><Relationship Id="rId12" Type="http://schemas.openxmlformats.org/officeDocument/2006/relationships/ctrlProp" Target="../ctrlProps/ctrlProp8.xml"/><Relationship Id="rId108" Type="http://schemas.openxmlformats.org/officeDocument/2006/relationships/ctrlProp" Target="../ctrlProps/ctrlProp104.xml"/><Relationship Id="rId315" Type="http://schemas.openxmlformats.org/officeDocument/2006/relationships/ctrlProp" Target="../ctrlProps/ctrlProp311.xml"/><Relationship Id="rId357" Type="http://schemas.openxmlformats.org/officeDocument/2006/relationships/ctrlProp" Target="../ctrlProps/ctrlProp353.xml"/><Relationship Id="rId522" Type="http://schemas.openxmlformats.org/officeDocument/2006/relationships/ctrlProp" Target="../ctrlProps/ctrlProp518.xml"/><Relationship Id="rId54" Type="http://schemas.openxmlformats.org/officeDocument/2006/relationships/ctrlProp" Target="../ctrlProps/ctrlProp50.xml"/><Relationship Id="rId96" Type="http://schemas.openxmlformats.org/officeDocument/2006/relationships/ctrlProp" Target="../ctrlProps/ctrlProp92.xml"/><Relationship Id="rId161" Type="http://schemas.openxmlformats.org/officeDocument/2006/relationships/ctrlProp" Target="../ctrlProps/ctrlProp157.xml"/><Relationship Id="rId217" Type="http://schemas.openxmlformats.org/officeDocument/2006/relationships/ctrlProp" Target="../ctrlProps/ctrlProp213.xml"/><Relationship Id="rId399" Type="http://schemas.openxmlformats.org/officeDocument/2006/relationships/ctrlProp" Target="../ctrlProps/ctrlProp395.xml"/><Relationship Id="rId259" Type="http://schemas.openxmlformats.org/officeDocument/2006/relationships/ctrlProp" Target="../ctrlProps/ctrlProp255.xml"/><Relationship Id="rId424" Type="http://schemas.openxmlformats.org/officeDocument/2006/relationships/ctrlProp" Target="../ctrlProps/ctrlProp420.xml"/><Relationship Id="rId466" Type="http://schemas.openxmlformats.org/officeDocument/2006/relationships/ctrlProp" Target="../ctrlProps/ctrlProp462.xml"/><Relationship Id="rId23" Type="http://schemas.openxmlformats.org/officeDocument/2006/relationships/ctrlProp" Target="../ctrlProps/ctrlProp19.xml"/><Relationship Id="rId119" Type="http://schemas.openxmlformats.org/officeDocument/2006/relationships/ctrlProp" Target="../ctrlProps/ctrlProp115.xml"/><Relationship Id="rId270" Type="http://schemas.openxmlformats.org/officeDocument/2006/relationships/ctrlProp" Target="../ctrlProps/ctrlProp266.xml"/><Relationship Id="rId326" Type="http://schemas.openxmlformats.org/officeDocument/2006/relationships/ctrlProp" Target="../ctrlProps/ctrlProp322.xml"/><Relationship Id="rId533" Type="http://schemas.openxmlformats.org/officeDocument/2006/relationships/table" Target="../tables/table1.xml"/><Relationship Id="rId65" Type="http://schemas.openxmlformats.org/officeDocument/2006/relationships/ctrlProp" Target="../ctrlProps/ctrlProp61.xml"/><Relationship Id="rId130" Type="http://schemas.openxmlformats.org/officeDocument/2006/relationships/ctrlProp" Target="../ctrlProps/ctrlProp126.xml"/><Relationship Id="rId368" Type="http://schemas.openxmlformats.org/officeDocument/2006/relationships/ctrlProp" Target="../ctrlProps/ctrlProp364.xml"/><Relationship Id="rId172" Type="http://schemas.openxmlformats.org/officeDocument/2006/relationships/ctrlProp" Target="../ctrlProps/ctrlProp168.xml"/><Relationship Id="rId228" Type="http://schemas.openxmlformats.org/officeDocument/2006/relationships/ctrlProp" Target="../ctrlProps/ctrlProp224.xml"/><Relationship Id="rId435" Type="http://schemas.openxmlformats.org/officeDocument/2006/relationships/ctrlProp" Target="../ctrlProps/ctrlProp431.xml"/><Relationship Id="rId477" Type="http://schemas.openxmlformats.org/officeDocument/2006/relationships/ctrlProp" Target="../ctrlProps/ctrlProp473.xml"/><Relationship Id="rId281" Type="http://schemas.openxmlformats.org/officeDocument/2006/relationships/ctrlProp" Target="../ctrlProps/ctrlProp277.xml"/><Relationship Id="rId337" Type="http://schemas.openxmlformats.org/officeDocument/2006/relationships/ctrlProp" Target="../ctrlProps/ctrlProp333.xml"/><Relationship Id="rId502" Type="http://schemas.openxmlformats.org/officeDocument/2006/relationships/ctrlProp" Target="../ctrlProps/ctrlProp498.xml"/><Relationship Id="rId34" Type="http://schemas.openxmlformats.org/officeDocument/2006/relationships/ctrlProp" Target="../ctrlProps/ctrlProp30.xml"/><Relationship Id="rId76" Type="http://schemas.openxmlformats.org/officeDocument/2006/relationships/ctrlProp" Target="../ctrlProps/ctrlProp72.xml"/><Relationship Id="rId141" Type="http://schemas.openxmlformats.org/officeDocument/2006/relationships/ctrlProp" Target="../ctrlProps/ctrlProp137.xml"/><Relationship Id="rId379" Type="http://schemas.openxmlformats.org/officeDocument/2006/relationships/ctrlProp" Target="../ctrlProps/ctrlProp375.xml"/><Relationship Id="rId7" Type="http://schemas.openxmlformats.org/officeDocument/2006/relationships/ctrlProp" Target="../ctrlProps/ctrlProp3.xml"/><Relationship Id="rId183" Type="http://schemas.openxmlformats.org/officeDocument/2006/relationships/ctrlProp" Target="../ctrlProps/ctrlProp179.xml"/><Relationship Id="rId239" Type="http://schemas.openxmlformats.org/officeDocument/2006/relationships/ctrlProp" Target="../ctrlProps/ctrlProp235.xml"/><Relationship Id="rId390" Type="http://schemas.openxmlformats.org/officeDocument/2006/relationships/ctrlProp" Target="../ctrlProps/ctrlProp386.xml"/><Relationship Id="rId404" Type="http://schemas.openxmlformats.org/officeDocument/2006/relationships/ctrlProp" Target="../ctrlProps/ctrlProp400.xml"/><Relationship Id="rId446" Type="http://schemas.openxmlformats.org/officeDocument/2006/relationships/ctrlProp" Target="../ctrlProps/ctrlProp442.xml"/><Relationship Id="rId250" Type="http://schemas.openxmlformats.org/officeDocument/2006/relationships/ctrlProp" Target="../ctrlProps/ctrlProp246.xml"/><Relationship Id="rId292" Type="http://schemas.openxmlformats.org/officeDocument/2006/relationships/ctrlProp" Target="../ctrlProps/ctrlProp288.xml"/><Relationship Id="rId306" Type="http://schemas.openxmlformats.org/officeDocument/2006/relationships/ctrlProp" Target="../ctrlProps/ctrlProp302.xml"/><Relationship Id="rId488" Type="http://schemas.openxmlformats.org/officeDocument/2006/relationships/ctrlProp" Target="../ctrlProps/ctrlProp484.xml"/><Relationship Id="rId45" Type="http://schemas.openxmlformats.org/officeDocument/2006/relationships/ctrlProp" Target="../ctrlProps/ctrlProp41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348" Type="http://schemas.openxmlformats.org/officeDocument/2006/relationships/ctrlProp" Target="../ctrlProps/ctrlProp344.xml"/><Relationship Id="rId513" Type="http://schemas.openxmlformats.org/officeDocument/2006/relationships/ctrlProp" Target="../ctrlProps/ctrlProp509.xml"/><Relationship Id="rId152" Type="http://schemas.openxmlformats.org/officeDocument/2006/relationships/ctrlProp" Target="../ctrlProps/ctrlProp148.xml"/><Relationship Id="rId194" Type="http://schemas.openxmlformats.org/officeDocument/2006/relationships/ctrlProp" Target="../ctrlProps/ctrlProp190.xml"/><Relationship Id="rId208" Type="http://schemas.openxmlformats.org/officeDocument/2006/relationships/ctrlProp" Target="../ctrlProps/ctrlProp204.xml"/><Relationship Id="rId415" Type="http://schemas.openxmlformats.org/officeDocument/2006/relationships/ctrlProp" Target="../ctrlProps/ctrlProp411.xml"/><Relationship Id="rId457" Type="http://schemas.openxmlformats.org/officeDocument/2006/relationships/ctrlProp" Target="../ctrlProps/ctrlProp453.xml"/><Relationship Id="rId261" Type="http://schemas.openxmlformats.org/officeDocument/2006/relationships/ctrlProp" Target="../ctrlProps/ctrlProp257.xml"/><Relationship Id="rId499" Type="http://schemas.openxmlformats.org/officeDocument/2006/relationships/ctrlProp" Target="../ctrlProps/ctrlProp495.xml"/><Relationship Id="rId14" Type="http://schemas.openxmlformats.org/officeDocument/2006/relationships/ctrlProp" Target="../ctrlProps/ctrlProp10.xml"/><Relationship Id="rId56" Type="http://schemas.openxmlformats.org/officeDocument/2006/relationships/ctrlProp" Target="../ctrlProps/ctrlProp52.xml"/><Relationship Id="rId317" Type="http://schemas.openxmlformats.org/officeDocument/2006/relationships/ctrlProp" Target="../ctrlProps/ctrlProp313.xml"/><Relationship Id="rId359" Type="http://schemas.openxmlformats.org/officeDocument/2006/relationships/ctrlProp" Target="../ctrlProps/ctrlProp355.xml"/><Relationship Id="rId524" Type="http://schemas.openxmlformats.org/officeDocument/2006/relationships/ctrlProp" Target="../ctrlProps/ctrlProp520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63" Type="http://schemas.openxmlformats.org/officeDocument/2006/relationships/ctrlProp" Target="../ctrlProps/ctrlProp159.xml"/><Relationship Id="rId219" Type="http://schemas.openxmlformats.org/officeDocument/2006/relationships/ctrlProp" Target="../ctrlProps/ctrlProp215.xml"/><Relationship Id="rId370" Type="http://schemas.openxmlformats.org/officeDocument/2006/relationships/ctrlProp" Target="../ctrlProps/ctrlProp366.xml"/><Relationship Id="rId426" Type="http://schemas.openxmlformats.org/officeDocument/2006/relationships/ctrlProp" Target="../ctrlProps/ctrlProp422.xml"/><Relationship Id="rId230" Type="http://schemas.openxmlformats.org/officeDocument/2006/relationships/ctrlProp" Target="../ctrlProps/ctrlProp226.xml"/><Relationship Id="rId468" Type="http://schemas.openxmlformats.org/officeDocument/2006/relationships/ctrlProp" Target="../ctrlProps/ctrlProp464.xml"/><Relationship Id="rId25" Type="http://schemas.openxmlformats.org/officeDocument/2006/relationships/ctrlProp" Target="../ctrlProps/ctrlProp21.xml"/><Relationship Id="rId67" Type="http://schemas.openxmlformats.org/officeDocument/2006/relationships/ctrlProp" Target="../ctrlProps/ctrlProp63.xml"/><Relationship Id="rId272" Type="http://schemas.openxmlformats.org/officeDocument/2006/relationships/ctrlProp" Target="../ctrlProps/ctrlProp268.xml"/><Relationship Id="rId328" Type="http://schemas.openxmlformats.org/officeDocument/2006/relationships/ctrlProp" Target="../ctrlProps/ctrlProp324.xml"/><Relationship Id="rId132" Type="http://schemas.openxmlformats.org/officeDocument/2006/relationships/ctrlProp" Target="../ctrlProps/ctrlProp128.xml"/><Relationship Id="rId174" Type="http://schemas.openxmlformats.org/officeDocument/2006/relationships/ctrlProp" Target="../ctrlProps/ctrlProp170.xml"/><Relationship Id="rId381" Type="http://schemas.openxmlformats.org/officeDocument/2006/relationships/ctrlProp" Target="../ctrlProps/ctrlProp377.xml"/><Relationship Id="rId241" Type="http://schemas.openxmlformats.org/officeDocument/2006/relationships/ctrlProp" Target="../ctrlProps/ctrlProp237.xml"/><Relationship Id="rId437" Type="http://schemas.openxmlformats.org/officeDocument/2006/relationships/ctrlProp" Target="../ctrlProps/ctrlProp433.xml"/><Relationship Id="rId479" Type="http://schemas.openxmlformats.org/officeDocument/2006/relationships/ctrlProp" Target="../ctrlProps/ctrlProp475.xml"/><Relationship Id="rId36" Type="http://schemas.openxmlformats.org/officeDocument/2006/relationships/ctrlProp" Target="../ctrlProps/ctrlProp32.xml"/><Relationship Id="rId283" Type="http://schemas.openxmlformats.org/officeDocument/2006/relationships/ctrlProp" Target="../ctrlProps/ctrlProp279.xml"/><Relationship Id="rId339" Type="http://schemas.openxmlformats.org/officeDocument/2006/relationships/ctrlProp" Target="../ctrlProps/ctrlProp335.xml"/><Relationship Id="rId490" Type="http://schemas.openxmlformats.org/officeDocument/2006/relationships/ctrlProp" Target="../ctrlProps/ctrlProp486.xml"/><Relationship Id="rId504" Type="http://schemas.openxmlformats.org/officeDocument/2006/relationships/ctrlProp" Target="../ctrlProps/ctrlProp500.xml"/><Relationship Id="rId78" Type="http://schemas.openxmlformats.org/officeDocument/2006/relationships/ctrlProp" Target="../ctrlProps/ctrlProp74.xml"/><Relationship Id="rId101" Type="http://schemas.openxmlformats.org/officeDocument/2006/relationships/ctrlProp" Target="../ctrlProps/ctrlProp97.xml"/><Relationship Id="rId143" Type="http://schemas.openxmlformats.org/officeDocument/2006/relationships/ctrlProp" Target="../ctrlProps/ctrlProp139.xml"/><Relationship Id="rId185" Type="http://schemas.openxmlformats.org/officeDocument/2006/relationships/ctrlProp" Target="../ctrlProps/ctrlProp181.xml"/><Relationship Id="rId350" Type="http://schemas.openxmlformats.org/officeDocument/2006/relationships/ctrlProp" Target="../ctrlProps/ctrlProp346.xml"/><Relationship Id="rId406" Type="http://schemas.openxmlformats.org/officeDocument/2006/relationships/ctrlProp" Target="../ctrlProps/ctrlProp402.xml"/><Relationship Id="rId9" Type="http://schemas.openxmlformats.org/officeDocument/2006/relationships/ctrlProp" Target="../ctrlProps/ctrlProp5.xml"/><Relationship Id="rId210" Type="http://schemas.openxmlformats.org/officeDocument/2006/relationships/ctrlProp" Target="../ctrlProps/ctrlProp206.xml"/><Relationship Id="rId392" Type="http://schemas.openxmlformats.org/officeDocument/2006/relationships/ctrlProp" Target="../ctrlProps/ctrlProp388.xml"/><Relationship Id="rId448" Type="http://schemas.openxmlformats.org/officeDocument/2006/relationships/ctrlProp" Target="../ctrlProps/ctrlProp444.xml"/><Relationship Id="rId252" Type="http://schemas.openxmlformats.org/officeDocument/2006/relationships/ctrlProp" Target="../ctrlProps/ctrlProp248.xml"/><Relationship Id="rId294" Type="http://schemas.openxmlformats.org/officeDocument/2006/relationships/ctrlProp" Target="../ctrlProps/ctrlProp290.xml"/><Relationship Id="rId308" Type="http://schemas.openxmlformats.org/officeDocument/2006/relationships/ctrlProp" Target="../ctrlProps/ctrlProp304.xml"/><Relationship Id="rId515" Type="http://schemas.openxmlformats.org/officeDocument/2006/relationships/ctrlProp" Target="../ctrlProps/ctrlProp511.xml"/><Relationship Id="rId47" Type="http://schemas.openxmlformats.org/officeDocument/2006/relationships/ctrlProp" Target="../ctrlProps/ctrlProp43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54" Type="http://schemas.openxmlformats.org/officeDocument/2006/relationships/ctrlProp" Target="../ctrlProps/ctrlProp150.xml"/><Relationship Id="rId361" Type="http://schemas.openxmlformats.org/officeDocument/2006/relationships/ctrlProp" Target="../ctrlProps/ctrlProp357.xml"/><Relationship Id="rId196" Type="http://schemas.openxmlformats.org/officeDocument/2006/relationships/ctrlProp" Target="../ctrlProps/ctrlProp192.xml"/><Relationship Id="rId417" Type="http://schemas.openxmlformats.org/officeDocument/2006/relationships/ctrlProp" Target="../ctrlProps/ctrlProp413.xml"/><Relationship Id="rId459" Type="http://schemas.openxmlformats.org/officeDocument/2006/relationships/ctrlProp" Target="../ctrlProps/ctrlProp455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63" Type="http://schemas.openxmlformats.org/officeDocument/2006/relationships/ctrlProp" Target="../ctrlProps/ctrlProp259.xml"/><Relationship Id="rId319" Type="http://schemas.openxmlformats.org/officeDocument/2006/relationships/ctrlProp" Target="../ctrlProps/ctrlProp315.xml"/><Relationship Id="rId470" Type="http://schemas.openxmlformats.org/officeDocument/2006/relationships/ctrlProp" Target="../ctrlProps/ctrlProp466.xml"/><Relationship Id="rId526" Type="http://schemas.openxmlformats.org/officeDocument/2006/relationships/ctrlProp" Target="../ctrlProps/ctrlProp522.xml"/><Relationship Id="rId58" Type="http://schemas.openxmlformats.org/officeDocument/2006/relationships/ctrlProp" Target="../ctrlProps/ctrlProp54.xml"/><Relationship Id="rId123" Type="http://schemas.openxmlformats.org/officeDocument/2006/relationships/ctrlProp" Target="../ctrlProps/ctrlProp119.xml"/><Relationship Id="rId330" Type="http://schemas.openxmlformats.org/officeDocument/2006/relationships/ctrlProp" Target="../ctrlProps/ctrlProp326.xml"/><Relationship Id="rId165" Type="http://schemas.openxmlformats.org/officeDocument/2006/relationships/ctrlProp" Target="../ctrlProps/ctrlProp161.xml"/><Relationship Id="rId372" Type="http://schemas.openxmlformats.org/officeDocument/2006/relationships/ctrlProp" Target="../ctrlProps/ctrlProp368.xml"/><Relationship Id="rId428" Type="http://schemas.openxmlformats.org/officeDocument/2006/relationships/ctrlProp" Target="../ctrlProps/ctrlProp424.xml"/><Relationship Id="rId232" Type="http://schemas.openxmlformats.org/officeDocument/2006/relationships/ctrlProp" Target="../ctrlProps/ctrlProp228.xml"/><Relationship Id="rId274" Type="http://schemas.openxmlformats.org/officeDocument/2006/relationships/ctrlProp" Target="../ctrlProps/ctrlProp270.xml"/><Relationship Id="rId481" Type="http://schemas.openxmlformats.org/officeDocument/2006/relationships/ctrlProp" Target="../ctrlProps/ctrlProp477.xml"/><Relationship Id="rId27" Type="http://schemas.openxmlformats.org/officeDocument/2006/relationships/ctrlProp" Target="../ctrlProps/ctrlProp23.xml"/><Relationship Id="rId69" Type="http://schemas.openxmlformats.org/officeDocument/2006/relationships/ctrlProp" Target="../ctrlProps/ctrlProp65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76" Type="http://schemas.openxmlformats.org/officeDocument/2006/relationships/ctrlProp" Target="../ctrlProps/ctrlProp172.xml"/><Relationship Id="rId341" Type="http://schemas.openxmlformats.org/officeDocument/2006/relationships/ctrlProp" Target="../ctrlProps/ctrlProp337.xml"/><Relationship Id="rId383" Type="http://schemas.openxmlformats.org/officeDocument/2006/relationships/ctrlProp" Target="../ctrlProps/ctrlProp379.xml"/><Relationship Id="rId439" Type="http://schemas.openxmlformats.org/officeDocument/2006/relationships/ctrlProp" Target="../ctrlProps/ctrlProp435.xml"/><Relationship Id="rId201" Type="http://schemas.openxmlformats.org/officeDocument/2006/relationships/ctrlProp" Target="../ctrlProps/ctrlProp197.xml"/><Relationship Id="rId243" Type="http://schemas.openxmlformats.org/officeDocument/2006/relationships/ctrlProp" Target="../ctrlProps/ctrlProp239.xml"/><Relationship Id="rId285" Type="http://schemas.openxmlformats.org/officeDocument/2006/relationships/ctrlProp" Target="../ctrlProps/ctrlProp281.xml"/><Relationship Id="rId450" Type="http://schemas.openxmlformats.org/officeDocument/2006/relationships/ctrlProp" Target="../ctrlProps/ctrlProp446.xml"/><Relationship Id="rId506" Type="http://schemas.openxmlformats.org/officeDocument/2006/relationships/ctrlProp" Target="../ctrlProps/ctrlProp502.xml"/><Relationship Id="rId38" Type="http://schemas.openxmlformats.org/officeDocument/2006/relationships/ctrlProp" Target="../ctrlProps/ctrlProp34.xml"/><Relationship Id="rId103" Type="http://schemas.openxmlformats.org/officeDocument/2006/relationships/ctrlProp" Target="../ctrlProps/ctrlProp99.xml"/><Relationship Id="rId310" Type="http://schemas.openxmlformats.org/officeDocument/2006/relationships/ctrlProp" Target="../ctrlProps/ctrlProp306.xml"/><Relationship Id="rId492" Type="http://schemas.openxmlformats.org/officeDocument/2006/relationships/ctrlProp" Target="../ctrlProps/ctrlProp488.xml"/><Relationship Id="rId91" Type="http://schemas.openxmlformats.org/officeDocument/2006/relationships/ctrlProp" Target="../ctrlProps/ctrlProp87.xml"/><Relationship Id="rId145" Type="http://schemas.openxmlformats.org/officeDocument/2006/relationships/ctrlProp" Target="../ctrlProps/ctrlProp141.xml"/><Relationship Id="rId187" Type="http://schemas.openxmlformats.org/officeDocument/2006/relationships/ctrlProp" Target="../ctrlProps/ctrlProp183.xml"/><Relationship Id="rId352" Type="http://schemas.openxmlformats.org/officeDocument/2006/relationships/ctrlProp" Target="../ctrlProps/ctrlProp348.xml"/><Relationship Id="rId394" Type="http://schemas.openxmlformats.org/officeDocument/2006/relationships/ctrlProp" Target="../ctrlProps/ctrlProp390.xml"/><Relationship Id="rId408" Type="http://schemas.openxmlformats.org/officeDocument/2006/relationships/ctrlProp" Target="../ctrlProps/ctrlProp404.xml"/><Relationship Id="rId212" Type="http://schemas.openxmlformats.org/officeDocument/2006/relationships/ctrlProp" Target="../ctrlProps/ctrlProp208.xml"/><Relationship Id="rId254" Type="http://schemas.openxmlformats.org/officeDocument/2006/relationships/ctrlProp" Target="../ctrlProps/ctrlProp250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296" Type="http://schemas.openxmlformats.org/officeDocument/2006/relationships/ctrlProp" Target="../ctrlProps/ctrlProp292.xml"/><Relationship Id="rId461" Type="http://schemas.openxmlformats.org/officeDocument/2006/relationships/ctrlProp" Target="../ctrlProps/ctrlProp457.xml"/><Relationship Id="rId517" Type="http://schemas.openxmlformats.org/officeDocument/2006/relationships/ctrlProp" Target="../ctrlProps/ctrlProp513.xml"/><Relationship Id="rId60" Type="http://schemas.openxmlformats.org/officeDocument/2006/relationships/ctrlProp" Target="../ctrlProps/ctrlProp56.xml"/><Relationship Id="rId156" Type="http://schemas.openxmlformats.org/officeDocument/2006/relationships/ctrlProp" Target="../ctrlProps/ctrlProp152.xml"/><Relationship Id="rId198" Type="http://schemas.openxmlformats.org/officeDocument/2006/relationships/ctrlProp" Target="../ctrlProps/ctrlProp194.xml"/><Relationship Id="rId321" Type="http://schemas.openxmlformats.org/officeDocument/2006/relationships/ctrlProp" Target="../ctrlProps/ctrlProp317.xml"/><Relationship Id="rId363" Type="http://schemas.openxmlformats.org/officeDocument/2006/relationships/ctrlProp" Target="../ctrlProps/ctrlProp359.xml"/><Relationship Id="rId419" Type="http://schemas.openxmlformats.org/officeDocument/2006/relationships/ctrlProp" Target="../ctrlProps/ctrlProp415.xml"/><Relationship Id="rId223" Type="http://schemas.openxmlformats.org/officeDocument/2006/relationships/ctrlProp" Target="../ctrlProps/ctrlProp219.xml"/><Relationship Id="rId430" Type="http://schemas.openxmlformats.org/officeDocument/2006/relationships/ctrlProp" Target="../ctrlProps/ctrlProp426.xml"/><Relationship Id="rId18" Type="http://schemas.openxmlformats.org/officeDocument/2006/relationships/ctrlProp" Target="../ctrlProps/ctrlProp14.xml"/><Relationship Id="rId265" Type="http://schemas.openxmlformats.org/officeDocument/2006/relationships/ctrlProp" Target="../ctrlProps/ctrlProp261.xml"/><Relationship Id="rId472" Type="http://schemas.openxmlformats.org/officeDocument/2006/relationships/ctrlProp" Target="../ctrlProps/ctrlProp468.xml"/><Relationship Id="rId528" Type="http://schemas.openxmlformats.org/officeDocument/2006/relationships/ctrlProp" Target="../ctrlProps/ctrlProp524.xml"/><Relationship Id="rId125" Type="http://schemas.openxmlformats.org/officeDocument/2006/relationships/ctrlProp" Target="../ctrlProps/ctrlProp121.xml"/><Relationship Id="rId167" Type="http://schemas.openxmlformats.org/officeDocument/2006/relationships/ctrlProp" Target="../ctrlProps/ctrlProp163.xml"/><Relationship Id="rId332" Type="http://schemas.openxmlformats.org/officeDocument/2006/relationships/ctrlProp" Target="../ctrlProps/ctrlProp328.xml"/><Relationship Id="rId374" Type="http://schemas.openxmlformats.org/officeDocument/2006/relationships/ctrlProp" Target="../ctrlProps/ctrlProp370.xml"/><Relationship Id="rId71" Type="http://schemas.openxmlformats.org/officeDocument/2006/relationships/ctrlProp" Target="../ctrlProps/ctrlProp67.xml"/><Relationship Id="rId234" Type="http://schemas.openxmlformats.org/officeDocument/2006/relationships/ctrlProp" Target="../ctrlProps/ctrlProp23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5.xml"/><Relationship Id="rId276" Type="http://schemas.openxmlformats.org/officeDocument/2006/relationships/ctrlProp" Target="../ctrlProps/ctrlProp272.xml"/><Relationship Id="rId441" Type="http://schemas.openxmlformats.org/officeDocument/2006/relationships/ctrlProp" Target="../ctrlProps/ctrlProp437.xml"/><Relationship Id="rId483" Type="http://schemas.openxmlformats.org/officeDocument/2006/relationships/ctrlProp" Target="../ctrlProps/ctrlProp479.xml"/><Relationship Id="rId40" Type="http://schemas.openxmlformats.org/officeDocument/2006/relationships/ctrlProp" Target="../ctrlProps/ctrlProp36.xml"/><Relationship Id="rId136" Type="http://schemas.openxmlformats.org/officeDocument/2006/relationships/ctrlProp" Target="../ctrlProps/ctrlProp132.xml"/><Relationship Id="rId178" Type="http://schemas.openxmlformats.org/officeDocument/2006/relationships/ctrlProp" Target="../ctrlProps/ctrlProp174.xml"/><Relationship Id="rId301" Type="http://schemas.openxmlformats.org/officeDocument/2006/relationships/ctrlProp" Target="../ctrlProps/ctrlProp297.xml"/><Relationship Id="rId343" Type="http://schemas.openxmlformats.org/officeDocument/2006/relationships/ctrlProp" Target="../ctrlProps/ctrlProp339.xml"/><Relationship Id="rId82" Type="http://schemas.openxmlformats.org/officeDocument/2006/relationships/ctrlProp" Target="../ctrlProps/ctrlProp78.xml"/><Relationship Id="rId203" Type="http://schemas.openxmlformats.org/officeDocument/2006/relationships/ctrlProp" Target="../ctrlProps/ctrlProp199.xml"/><Relationship Id="rId385" Type="http://schemas.openxmlformats.org/officeDocument/2006/relationships/ctrlProp" Target="../ctrlProps/ctrlProp381.xml"/><Relationship Id="rId245" Type="http://schemas.openxmlformats.org/officeDocument/2006/relationships/ctrlProp" Target="../ctrlProps/ctrlProp241.xml"/><Relationship Id="rId287" Type="http://schemas.openxmlformats.org/officeDocument/2006/relationships/ctrlProp" Target="../ctrlProps/ctrlProp283.xml"/><Relationship Id="rId410" Type="http://schemas.openxmlformats.org/officeDocument/2006/relationships/ctrlProp" Target="../ctrlProps/ctrlProp406.xml"/><Relationship Id="rId452" Type="http://schemas.openxmlformats.org/officeDocument/2006/relationships/ctrlProp" Target="../ctrlProps/ctrlProp448.xml"/><Relationship Id="rId494" Type="http://schemas.openxmlformats.org/officeDocument/2006/relationships/ctrlProp" Target="../ctrlProps/ctrlProp490.xml"/><Relationship Id="rId508" Type="http://schemas.openxmlformats.org/officeDocument/2006/relationships/ctrlProp" Target="../ctrlProps/ctrlProp504.xml"/><Relationship Id="rId105" Type="http://schemas.openxmlformats.org/officeDocument/2006/relationships/ctrlProp" Target="../ctrlProps/ctrlProp101.xml"/><Relationship Id="rId147" Type="http://schemas.openxmlformats.org/officeDocument/2006/relationships/ctrlProp" Target="../ctrlProps/ctrlProp143.xml"/><Relationship Id="rId312" Type="http://schemas.openxmlformats.org/officeDocument/2006/relationships/ctrlProp" Target="../ctrlProps/ctrlProp308.xml"/><Relationship Id="rId354" Type="http://schemas.openxmlformats.org/officeDocument/2006/relationships/ctrlProp" Target="../ctrlProps/ctrlProp350.xml"/><Relationship Id="rId51" Type="http://schemas.openxmlformats.org/officeDocument/2006/relationships/ctrlProp" Target="../ctrlProps/ctrlProp47.xml"/><Relationship Id="rId93" Type="http://schemas.openxmlformats.org/officeDocument/2006/relationships/ctrlProp" Target="../ctrlProps/ctrlProp89.xml"/><Relationship Id="rId189" Type="http://schemas.openxmlformats.org/officeDocument/2006/relationships/ctrlProp" Target="../ctrlProps/ctrlProp185.xml"/><Relationship Id="rId396" Type="http://schemas.openxmlformats.org/officeDocument/2006/relationships/ctrlProp" Target="../ctrlProps/ctrlProp392.xml"/><Relationship Id="rId214" Type="http://schemas.openxmlformats.org/officeDocument/2006/relationships/ctrlProp" Target="../ctrlProps/ctrlProp210.xml"/><Relationship Id="rId256" Type="http://schemas.openxmlformats.org/officeDocument/2006/relationships/ctrlProp" Target="../ctrlProps/ctrlProp252.xml"/><Relationship Id="rId298" Type="http://schemas.openxmlformats.org/officeDocument/2006/relationships/ctrlProp" Target="../ctrlProps/ctrlProp294.xml"/><Relationship Id="rId421" Type="http://schemas.openxmlformats.org/officeDocument/2006/relationships/ctrlProp" Target="../ctrlProps/ctrlProp417.xml"/><Relationship Id="rId463" Type="http://schemas.openxmlformats.org/officeDocument/2006/relationships/ctrlProp" Target="../ctrlProps/ctrlProp459.xml"/><Relationship Id="rId519" Type="http://schemas.openxmlformats.org/officeDocument/2006/relationships/ctrlProp" Target="../ctrlProps/ctrlProp515.xml"/><Relationship Id="rId116" Type="http://schemas.openxmlformats.org/officeDocument/2006/relationships/ctrlProp" Target="../ctrlProps/ctrlProp112.xml"/><Relationship Id="rId158" Type="http://schemas.openxmlformats.org/officeDocument/2006/relationships/ctrlProp" Target="../ctrlProps/ctrlProp154.xml"/><Relationship Id="rId323" Type="http://schemas.openxmlformats.org/officeDocument/2006/relationships/ctrlProp" Target="../ctrlProps/ctrlProp319.xml"/><Relationship Id="rId530" Type="http://schemas.openxmlformats.org/officeDocument/2006/relationships/ctrlProp" Target="../ctrlProps/ctrlProp526.xml"/><Relationship Id="rId20" Type="http://schemas.openxmlformats.org/officeDocument/2006/relationships/ctrlProp" Target="../ctrlProps/ctrlProp16.xml"/><Relationship Id="rId62" Type="http://schemas.openxmlformats.org/officeDocument/2006/relationships/ctrlProp" Target="../ctrlProps/ctrlProp58.xml"/><Relationship Id="rId365" Type="http://schemas.openxmlformats.org/officeDocument/2006/relationships/ctrlProp" Target="../ctrlProps/ctrlProp361.xml"/><Relationship Id="rId225" Type="http://schemas.openxmlformats.org/officeDocument/2006/relationships/ctrlProp" Target="../ctrlProps/ctrlProp221.xml"/><Relationship Id="rId267" Type="http://schemas.openxmlformats.org/officeDocument/2006/relationships/ctrlProp" Target="../ctrlProps/ctrlProp263.xml"/><Relationship Id="rId432" Type="http://schemas.openxmlformats.org/officeDocument/2006/relationships/ctrlProp" Target="../ctrlProps/ctrlProp428.xml"/><Relationship Id="rId474" Type="http://schemas.openxmlformats.org/officeDocument/2006/relationships/ctrlProp" Target="../ctrlProps/ctrlProp470.xml"/><Relationship Id="rId127" Type="http://schemas.openxmlformats.org/officeDocument/2006/relationships/ctrlProp" Target="../ctrlProps/ctrlProp123.xml"/><Relationship Id="rId31" Type="http://schemas.openxmlformats.org/officeDocument/2006/relationships/ctrlProp" Target="../ctrlProps/ctrlProp27.xml"/><Relationship Id="rId73" Type="http://schemas.openxmlformats.org/officeDocument/2006/relationships/ctrlProp" Target="../ctrlProps/ctrlProp69.xml"/><Relationship Id="rId169" Type="http://schemas.openxmlformats.org/officeDocument/2006/relationships/ctrlProp" Target="../ctrlProps/ctrlProp165.xml"/><Relationship Id="rId334" Type="http://schemas.openxmlformats.org/officeDocument/2006/relationships/ctrlProp" Target="../ctrlProps/ctrlProp330.xml"/><Relationship Id="rId376" Type="http://schemas.openxmlformats.org/officeDocument/2006/relationships/ctrlProp" Target="../ctrlProps/ctrlProp372.xml"/><Relationship Id="rId4" Type="http://schemas.openxmlformats.org/officeDocument/2006/relationships/vmlDrawing" Target="../drawings/vmlDrawing2.vml"/><Relationship Id="rId180" Type="http://schemas.openxmlformats.org/officeDocument/2006/relationships/ctrlProp" Target="../ctrlProps/ctrlProp176.xml"/><Relationship Id="rId236" Type="http://schemas.openxmlformats.org/officeDocument/2006/relationships/ctrlProp" Target="../ctrlProps/ctrlProp232.xml"/><Relationship Id="rId278" Type="http://schemas.openxmlformats.org/officeDocument/2006/relationships/ctrlProp" Target="../ctrlProps/ctrlProp274.xml"/><Relationship Id="rId401" Type="http://schemas.openxmlformats.org/officeDocument/2006/relationships/ctrlProp" Target="../ctrlProps/ctrlProp397.xml"/><Relationship Id="rId443" Type="http://schemas.openxmlformats.org/officeDocument/2006/relationships/ctrlProp" Target="../ctrlProps/ctrlProp439.xml"/><Relationship Id="rId303" Type="http://schemas.openxmlformats.org/officeDocument/2006/relationships/ctrlProp" Target="../ctrlProps/ctrlProp299.xml"/><Relationship Id="rId485" Type="http://schemas.openxmlformats.org/officeDocument/2006/relationships/ctrlProp" Target="../ctrlProps/ctrlProp481.xml"/><Relationship Id="rId42" Type="http://schemas.openxmlformats.org/officeDocument/2006/relationships/ctrlProp" Target="../ctrlProps/ctrlProp38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345" Type="http://schemas.openxmlformats.org/officeDocument/2006/relationships/ctrlProp" Target="../ctrlProps/ctrlProp341.xml"/><Relationship Id="rId387" Type="http://schemas.openxmlformats.org/officeDocument/2006/relationships/ctrlProp" Target="../ctrlProps/ctrlProp383.xml"/><Relationship Id="rId510" Type="http://schemas.openxmlformats.org/officeDocument/2006/relationships/ctrlProp" Target="../ctrlProps/ctrlProp50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47" Type="http://schemas.openxmlformats.org/officeDocument/2006/relationships/ctrlProp" Target="../ctrlProps/ctrlProp243.xml"/><Relationship Id="rId412" Type="http://schemas.openxmlformats.org/officeDocument/2006/relationships/ctrlProp" Target="../ctrlProps/ctrlProp408.xml"/><Relationship Id="rId107" Type="http://schemas.openxmlformats.org/officeDocument/2006/relationships/ctrlProp" Target="../ctrlProps/ctrlProp103.xml"/><Relationship Id="rId289" Type="http://schemas.openxmlformats.org/officeDocument/2006/relationships/ctrlProp" Target="../ctrlProps/ctrlProp285.xml"/><Relationship Id="rId454" Type="http://schemas.openxmlformats.org/officeDocument/2006/relationships/ctrlProp" Target="../ctrlProps/ctrlProp450.xml"/><Relationship Id="rId496" Type="http://schemas.openxmlformats.org/officeDocument/2006/relationships/ctrlProp" Target="../ctrlProps/ctrlProp492.xml"/><Relationship Id="rId11" Type="http://schemas.openxmlformats.org/officeDocument/2006/relationships/ctrlProp" Target="../ctrlProps/ctrlProp7.xml"/><Relationship Id="rId53" Type="http://schemas.openxmlformats.org/officeDocument/2006/relationships/ctrlProp" Target="../ctrlProps/ctrlProp49.xml"/><Relationship Id="rId149" Type="http://schemas.openxmlformats.org/officeDocument/2006/relationships/ctrlProp" Target="../ctrlProps/ctrlProp145.xml"/><Relationship Id="rId314" Type="http://schemas.openxmlformats.org/officeDocument/2006/relationships/ctrlProp" Target="../ctrlProps/ctrlProp310.xml"/><Relationship Id="rId356" Type="http://schemas.openxmlformats.org/officeDocument/2006/relationships/ctrlProp" Target="../ctrlProps/ctrlProp352.xml"/><Relationship Id="rId398" Type="http://schemas.openxmlformats.org/officeDocument/2006/relationships/ctrlProp" Target="../ctrlProps/ctrlProp394.xml"/><Relationship Id="rId521" Type="http://schemas.openxmlformats.org/officeDocument/2006/relationships/ctrlProp" Target="../ctrlProps/ctrlProp517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216" Type="http://schemas.openxmlformats.org/officeDocument/2006/relationships/ctrlProp" Target="../ctrlProps/ctrlProp212.xml"/><Relationship Id="rId423" Type="http://schemas.openxmlformats.org/officeDocument/2006/relationships/ctrlProp" Target="../ctrlProps/ctrlProp419.xml"/><Relationship Id="rId258" Type="http://schemas.openxmlformats.org/officeDocument/2006/relationships/ctrlProp" Target="../ctrlProps/ctrlProp254.xml"/><Relationship Id="rId465" Type="http://schemas.openxmlformats.org/officeDocument/2006/relationships/ctrlProp" Target="../ctrlProps/ctrlProp461.xml"/><Relationship Id="rId22" Type="http://schemas.openxmlformats.org/officeDocument/2006/relationships/ctrlProp" Target="../ctrlProps/ctrlProp18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325" Type="http://schemas.openxmlformats.org/officeDocument/2006/relationships/ctrlProp" Target="../ctrlProps/ctrlProp321.xml"/><Relationship Id="rId367" Type="http://schemas.openxmlformats.org/officeDocument/2006/relationships/ctrlProp" Target="../ctrlProps/ctrlProp363.xml"/><Relationship Id="rId532" Type="http://schemas.openxmlformats.org/officeDocument/2006/relationships/ctrlProp" Target="../ctrlProps/ctrlProp528.xml"/><Relationship Id="rId171" Type="http://schemas.openxmlformats.org/officeDocument/2006/relationships/ctrlProp" Target="../ctrlProps/ctrlProp167.xml"/><Relationship Id="rId227" Type="http://schemas.openxmlformats.org/officeDocument/2006/relationships/ctrlProp" Target="../ctrlProps/ctrlProp223.xml"/><Relationship Id="rId269" Type="http://schemas.openxmlformats.org/officeDocument/2006/relationships/ctrlProp" Target="../ctrlProps/ctrlProp265.xml"/><Relationship Id="rId434" Type="http://schemas.openxmlformats.org/officeDocument/2006/relationships/ctrlProp" Target="../ctrlProps/ctrlProp430.xml"/><Relationship Id="rId476" Type="http://schemas.openxmlformats.org/officeDocument/2006/relationships/ctrlProp" Target="../ctrlProps/ctrlProp472.xml"/><Relationship Id="rId33" Type="http://schemas.openxmlformats.org/officeDocument/2006/relationships/ctrlProp" Target="../ctrlProps/ctrlProp29.xml"/><Relationship Id="rId129" Type="http://schemas.openxmlformats.org/officeDocument/2006/relationships/ctrlProp" Target="../ctrlProps/ctrlProp125.xml"/><Relationship Id="rId280" Type="http://schemas.openxmlformats.org/officeDocument/2006/relationships/ctrlProp" Target="../ctrlProps/ctrlProp276.xml"/><Relationship Id="rId336" Type="http://schemas.openxmlformats.org/officeDocument/2006/relationships/ctrlProp" Target="../ctrlProps/ctrlProp332.xml"/><Relationship Id="rId501" Type="http://schemas.openxmlformats.org/officeDocument/2006/relationships/ctrlProp" Target="../ctrlProps/ctrlProp497.xml"/><Relationship Id="rId75" Type="http://schemas.openxmlformats.org/officeDocument/2006/relationships/ctrlProp" Target="../ctrlProps/ctrlProp71.xml"/><Relationship Id="rId140" Type="http://schemas.openxmlformats.org/officeDocument/2006/relationships/ctrlProp" Target="../ctrlProps/ctrlProp136.xml"/><Relationship Id="rId182" Type="http://schemas.openxmlformats.org/officeDocument/2006/relationships/ctrlProp" Target="../ctrlProps/ctrlProp178.xml"/><Relationship Id="rId378" Type="http://schemas.openxmlformats.org/officeDocument/2006/relationships/ctrlProp" Target="../ctrlProps/ctrlProp374.xml"/><Relationship Id="rId403" Type="http://schemas.openxmlformats.org/officeDocument/2006/relationships/ctrlProp" Target="../ctrlProps/ctrlProp399.xml"/><Relationship Id="rId6" Type="http://schemas.openxmlformats.org/officeDocument/2006/relationships/ctrlProp" Target="../ctrlProps/ctrlProp2.xml"/><Relationship Id="rId238" Type="http://schemas.openxmlformats.org/officeDocument/2006/relationships/ctrlProp" Target="../ctrlProps/ctrlProp234.xml"/><Relationship Id="rId445" Type="http://schemas.openxmlformats.org/officeDocument/2006/relationships/ctrlProp" Target="../ctrlProps/ctrlProp441.xml"/><Relationship Id="rId487" Type="http://schemas.openxmlformats.org/officeDocument/2006/relationships/ctrlProp" Target="../ctrlProps/ctrlProp483.xml"/><Relationship Id="rId291" Type="http://schemas.openxmlformats.org/officeDocument/2006/relationships/ctrlProp" Target="../ctrlProps/ctrlProp287.xml"/><Relationship Id="rId305" Type="http://schemas.openxmlformats.org/officeDocument/2006/relationships/ctrlProp" Target="../ctrlProps/ctrlProp301.xml"/><Relationship Id="rId347" Type="http://schemas.openxmlformats.org/officeDocument/2006/relationships/ctrlProp" Target="../ctrlProps/ctrlProp343.xml"/><Relationship Id="rId512" Type="http://schemas.openxmlformats.org/officeDocument/2006/relationships/ctrlProp" Target="../ctrlProps/ctrlProp508.xml"/><Relationship Id="rId44" Type="http://schemas.openxmlformats.org/officeDocument/2006/relationships/ctrlProp" Target="../ctrlProps/ctrlProp40.xml"/><Relationship Id="rId86" Type="http://schemas.openxmlformats.org/officeDocument/2006/relationships/ctrlProp" Target="../ctrlProps/ctrlProp82.xml"/><Relationship Id="rId151" Type="http://schemas.openxmlformats.org/officeDocument/2006/relationships/ctrlProp" Target="../ctrlProps/ctrlProp147.xml"/><Relationship Id="rId389" Type="http://schemas.openxmlformats.org/officeDocument/2006/relationships/ctrlProp" Target="../ctrlProps/ctrlProp385.xml"/><Relationship Id="rId193" Type="http://schemas.openxmlformats.org/officeDocument/2006/relationships/ctrlProp" Target="../ctrlProps/ctrlProp189.xml"/><Relationship Id="rId207" Type="http://schemas.openxmlformats.org/officeDocument/2006/relationships/ctrlProp" Target="../ctrlProps/ctrlProp203.xml"/><Relationship Id="rId249" Type="http://schemas.openxmlformats.org/officeDocument/2006/relationships/ctrlProp" Target="../ctrlProps/ctrlProp245.xml"/><Relationship Id="rId414" Type="http://schemas.openxmlformats.org/officeDocument/2006/relationships/ctrlProp" Target="../ctrlProps/ctrlProp410.xml"/><Relationship Id="rId456" Type="http://schemas.openxmlformats.org/officeDocument/2006/relationships/ctrlProp" Target="../ctrlProps/ctrlProp452.xml"/><Relationship Id="rId498" Type="http://schemas.openxmlformats.org/officeDocument/2006/relationships/ctrlProp" Target="../ctrlProps/ctrlProp494.xml"/><Relationship Id="rId13" Type="http://schemas.openxmlformats.org/officeDocument/2006/relationships/ctrlProp" Target="../ctrlProps/ctrlProp9.xml"/><Relationship Id="rId109" Type="http://schemas.openxmlformats.org/officeDocument/2006/relationships/ctrlProp" Target="../ctrlProps/ctrlProp105.xml"/><Relationship Id="rId260" Type="http://schemas.openxmlformats.org/officeDocument/2006/relationships/ctrlProp" Target="../ctrlProps/ctrlProp256.xml"/><Relationship Id="rId316" Type="http://schemas.openxmlformats.org/officeDocument/2006/relationships/ctrlProp" Target="../ctrlProps/ctrlProp312.xml"/><Relationship Id="rId523" Type="http://schemas.openxmlformats.org/officeDocument/2006/relationships/ctrlProp" Target="../ctrlProps/ctrlProp519.xml"/><Relationship Id="rId55" Type="http://schemas.openxmlformats.org/officeDocument/2006/relationships/ctrlProp" Target="../ctrlProps/ctrlProp51.xml"/><Relationship Id="rId97" Type="http://schemas.openxmlformats.org/officeDocument/2006/relationships/ctrlProp" Target="../ctrlProps/ctrlProp93.xml"/><Relationship Id="rId120" Type="http://schemas.openxmlformats.org/officeDocument/2006/relationships/ctrlProp" Target="../ctrlProps/ctrlProp116.xml"/><Relationship Id="rId358" Type="http://schemas.openxmlformats.org/officeDocument/2006/relationships/ctrlProp" Target="../ctrlProps/ctrlProp354.xml"/><Relationship Id="rId162" Type="http://schemas.openxmlformats.org/officeDocument/2006/relationships/ctrlProp" Target="../ctrlProps/ctrlProp158.xml"/><Relationship Id="rId218" Type="http://schemas.openxmlformats.org/officeDocument/2006/relationships/ctrlProp" Target="../ctrlProps/ctrlProp214.xml"/><Relationship Id="rId425" Type="http://schemas.openxmlformats.org/officeDocument/2006/relationships/ctrlProp" Target="../ctrlProps/ctrlProp421.xml"/><Relationship Id="rId467" Type="http://schemas.openxmlformats.org/officeDocument/2006/relationships/ctrlProp" Target="../ctrlProps/ctrlProp463.xml"/><Relationship Id="rId271" Type="http://schemas.openxmlformats.org/officeDocument/2006/relationships/ctrlProp" Target="../ctrlProps/ctrlProp267.xml"/><Relationship Id="rId24" Type="http://schemas.openxmlformats.org/officeDocument/2006/relationships/ctrlProp" Target="../ctrlProps/ctrlProp20.xml"/><Relationship Id="rId66" Type="http://schemas.openxmlformats.org/officeDocument/2006/relationships/ctrlProp" Target="../ctrlProps/ctrlProp62.xml"/><Relationship Id="rId131" Type="http://schemas.openxmlformats.org/officeDocument/2006/relationships/ctrlProp" Target="../ctrlProps/ctrlProp127.xml"/><Relationship Id="rId327" Type="http://schemas.openxmlformats.org/officeDocument/2006/relationships/ctrlProp" Target="../ctrlProps/ctrlProp323.xml"/><Relationship Id="rId369" Type="http://schemas.openxmlformats.org/officeDocument/2006/relationships/ctrlProp" Target="../ctrlProps/ctrlProp365.xml"/><Relationship Id="rId173" Type="http://schemas.openxmlformats.org/officeDocument/2006/relationships/ctrlProp" Target="../ctrlProps/ctrlProp169.xml"/><Relationship Id="rId229" Type="http://schemas.openxmlformats.org/officeDocument/2006/relationships/ctrlProp" Target="../ctrlProps/ctrlProp225.xml"/><Relationship Id="rId380" Type="http://schemas.openxmlformats.org/officeDocument/2006/relationships/ctrlProp" Target="../ctrlProps/ctrlProp376.xml"/><Relationship Id="rId436" Type="http://schemas.openxmlformats.org/officeDocument/2006/relationships/ctrlProp" Target="../ctrlProps/ctrlProp432.xml"/><Relationship Id="rId240" Type="http://schemas.openxmlformats.org/officeDocument/2006/relationships/ctrlProp" Target="../ctrlProps/ctrlProp236.xml"/><Relationship Id="rId478" Type="http://schemas.openxmlformats.org/officeDocument/2006/relationships/ctrlProp" Target="../ctrlProps/ctrlProp474.xml"/><Relationship Id="rId35" Type="http://schemas.openxmlformats.org/officeDocument/2006/relationships/ctrlProp" Target="../ctrlProps/ctrlProp31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282" Type="http://schemas.openxmlformats.org/officeDocument/2006/relationships/ctrlProp" Target="../ctrlProps/ctrlProp278.xml"/><Relationship Id="rId338" Type="http://schemas.openxmlformats.org/officeDocument/2006/relationships/ctrlProp" Target="../ctrlProps/ctrlProp334.xml"/><Relationship Id="rId503" Type="http://schemas.openxmlformats.org/officeDocument/2006/relationships/ctrlProp" Target="../ctrlProps/ctrlProp499.xml"/><Relationship Id="rId8" Type="http://schemas.openxmlformats.org/officeDocument/2006/relationships/ctrlProp" Target="../ctrlProps/ctrlProp4.xml"/><Relationship Id="rId142" Type="http://schemas.openxmlformats.org/officeDocument/2006/relationships/ctrlProp" Target="../ctrlProps/ctrlProp138.xml"/><Relationship Id="rId184" Type="http://schemas.openxmlformats.org/officeDocument/2006/relationships/ctrlProp" Target="../ctrlProps/ctrlProp180.xml"/><Relationship Id="rId391" Type="http://schemas.openxmlformats.org/officeDocument/2006/relationships/ctrlProp" Target="../ctrlProps/ctrlProp387.xml"/><Relationship Id="rId405" Type="http://schemas.openxmlformats.org/officeDocument/2006/relationships/ctrlProp" Target="../ctrlProps/ctrlProp401.xml"/><Relationship Id="rId447" Type="http://schemas.openxmlformats.org/officeDocument/2006/relationships/ctrlProp" Target="../ctrlProps/ctrlProp443.xml"/><Relationship Id="rId251" Type="http://schemas.openxmlformats.org/officeDocument/2006/relationships/ctrlProp" Target="../ctrlProps/ctrlProp247.xml"/><Relationship Id="rId489" Type="http://schemas.openxmlformats.org/officeDocument/2006/relationships/ctrlProp" Target="../ctrlProps/ctrlProp485.xml"/><Relationship Id="rId46" Type="http://schemas.openxmlformats.org/officeDocument/2006/relationships/ctrlProp" Target="../ctrlProps/ctrlProp42.xml"/><Relationship Id="rId293" Type="http://schemas.openxmlformats.org/officeDocument/2006/relationships/ctrlProp" Target="../ctrlProps/ctrlProp289.xml"/><Relationship Id="rId307" Type="http://schemas.openxmlformats.org/officeDocument/2006/relationships/ctrlProp" Target="../ctrlProps/ctrlProp303.xml"/><Relationship Id="rId349" Type="http://schemas.openxmlformats.org/officeDocument/2006/relationships/ctrlProp" Target="../ctrlProps/ctrlProp345.xml"/><Relationship Id="rId514" Type="http://schemas.openxmlformats.org/officeDocument/2006/relationships/ctrlProp" Target="../ctrlProps/ctrlProp510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53" Type="http://schemas.openxmlformats.org/officeDocument/2006/relationships/ctrlProp" Target="../ctrlProps/ctrlProp149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360" Type="http://schemas.openxmlformats.org/officeDocument/2006/relationships/ctrlProp" Target="../ctrlProps/ctrlProp356.xml"/><Relationship Id="rId416" Type="http://schemas.openxmlformats.org/officeDocument/2006/relationships/ctrlProp" Target="../ctrlProps/ctrlProp412.xml"/><Relationship Id="rId220" Type="http://schemas.openxmlformats.org/officeDocument/2006/relationships/ctrlProp" Target="../ctrlProps/ctrlProp216.xml"/><Relationship Id="rId458" Type="http://schemas.openxmlformats.org/officeDocument/2006/relationships/ctrlProp" Target="../ctrlProps/ctrlProp454.xml"/><Relationship Id="rId15" Type="http://schemas.openxmlformats.org/officeDocument/2006/relationships/ctrlProp" Target="../ctrlProps/ctrlProp11.xml"/><Relationship Id="rId57" Type="http://schemas.openxmlformats.org/officeDocument/2006/relationships/ctrlProp" Target="../ctrlProps/ctrlProp53.xml"/><Relationship Id="rId262" Type="http://schemas.openxmlformats.org/officeDocument/2006/relationships/ctrlProp" Target="../ctrlProps/ctrlProp258.xml"/><Relationship Id="rId318" Type="http://schemas.openxmlformats.org/officeDocument/2006/relationships/ctrlProp" Target="../ctrlProps/ctrlProp314.xml"/><Relationship Id="rId525" Type="http://schemas.openxmlformats.org/officeDocument/2006/relationships/ctrlProp" Target="../ctrlProps/ctrlProp521.xml"/><Relationship Id="rId99" Type="http://schemas.openxmlformats.org/officeDocument/2006/relationships/ctrlProp" Target="../ctrlProps/ctrlProp95.xml"/><Relationship Id="rId122" Type="http://schemas.openxmlformats.org/officeDocument/2006/relationships/ctrlProp" Target="../ctrlProps/ctrlProp118.xml"/><Relationship Id="rId164" Type="http://schemas.openxmlformats.org/officeDocument/2006/relationships/ctrlProp" Target="../ctrlProps/ctrlProp160.xml"/><Relationship Id="rId371" Type="http://schemas.openxmlformats.org/officeDocument/2006/relationships/ctrlProp" Target="../ctrlProps/ctrlProp367.xml"/><Relationship Id="rId427" Type="http://schemas.openxmlformats.org/officeDocument/2006/relationships/ctrlProp" Target="../ctrlProps/ctrlProp423.xml"/><Relationship Id="rId469" Type="http://schemas.openxmlformats.org/officeDocument/2006/relationships/ctrlProp" Target="../ctrlProps/ctrlProp465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273" Type="http://schemas.openxmlformats.org/officeDocument/2006/relationships/ctrlProp" Target="../ctrlProps/ctrlProp269.xml"/><Relationship Id="rId329" Type="http://schemas.openxmlformats.org/officeDocument/2006/relationships/ctrlProp" Target="../ctrlProps/ctrlProp325.xml"/><Relationship Id="rId480" Type="http://schemas.openxmlformats.org/officeDocument/2006/relationships/ctrlProp" Target="../ctrlProps/ctrlProp476.xml"/><Relationship Id="rId68" Type="http://schemas.openxmlformats.org/officeDocument/2006/relationships/ctrlProp" Target="../ctrlProps/ctrlProp64.xml"/><Relationship Id="rId133" Type="http://schemas.openxmlformats.org/officeDocument/2006/relationships/ctrlProp" Target="../ctrlProps/ctrlProp129.xml"/><Relationship Id="rId175" Type="http://schemas.openxmlformats.org/officeDocument/2006/relationships/ctrlProp" Target="../ctrlProps/ctrlProp171.xml"/><Relationship Id="rId340" Type="http://schemas.openxmlformats.org/officeDocument/2006/relationships/ctrlProp" Target="../ctrlProps/ctrlProp336.xml"/><Relationship Id="rId200" Type="http://schemas.openxmlformats.org/officeDocument/2006/relationships/ctrlProp" Target="../ctrlProps/ctrlProp196.xml"/><Relationship Id="rId382" Type="http://schemas.openxmlformats.org/officeDocument/2006/relationships/ctrlProp" Target="../ctrlProps/ctrlProp378.xml"/><Relationship Id="rId438" Type="http://schemas.openxmlformats.org/officeDocument/2006/relationships/ctrlProp" Target="../ctrlProps/ctrlProp434.xml"/><Relationship Id="rId242" Type="http://schemas.openxmlformats.org/officeDocument/2006/relationships/ctrlProp" Target="../ctrlProps/ctrlProp238.xml"/><Relationship Id="rId284" Type="http://schemas.openxmlformats.org/officeDocument/2006/relationships/ctrlProp" Target="../ctrlProps/ctrlProp280.xml"/><Relationship Id="rId491" Type="http://schemas.openxmlformats.org/officeDocument/2006/relationships/ctrlProp" Target="../ctrlProps/ctrlProp487.xml"/><Relationship Id="rId505" Type="http://schemas.openxmlformats.org/officeDocument/2006/relationships/ctrlProp" Target="../ctrlProps/ctrlProp501.xml"/><Relationship Id="rId37" Type="http://schemas.openxmlformats.org/officeDocument/2006/relationships/ctrlProp" Target="../ctrlProps/ctrlProp33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86" Type="http://schemas.openxmlformats.org/officeDocument/2006/relationships/ctrlProp" Target="../ctrlProps/ctrlProp182.xml"/><Relationship Id="rId351" Type="http://schemas.openxmlformats.org/officeDocument/2006/relationships/ctrlProp" Target="../ctrlProps/ctrlProp347.xml"/><Relationship Id="rId393" Type="http://schemas.openxmlformats.org/officeDocument/2006/relationships/ctrlProp" Target="../ctrlProps/ctrlProp389.xml"/><Relationship Id="rId407" Type="http://schemas.openxmlformats.org/officeDocument/2006/relationships/ctrlProp" Target="../ctrlProps/ctrlProp403.xml"/><Relationship Id="rId449" Type="http://schemas.openxmlformats.org/officeDocument/2006/relationships/ctrlProp" Target="../ctrlProps/ctrlProp445.xml"/><Relationship Id="rId211" Type="http://schemas.openxmlformats.org/officeDocument/2006/relationships/ctrlProp" Target="../ctrlProps/ctrlProp207.xml"/><Relationship Id="rId253" Type="http://schemas.openxmlformats.org/officeDocument/2006/relationships/ctrlProp" Target="../ctrlProps/ctrlProp249.xml"/><Relationship Id="rId295" Type="http://schemas.openxmlformats.org/officeDocument/2006/relationships/ctrlProp" Target="../ctrlProps/ctrlProp291.xml"/><Relationship Id="rId309" Type="http://schemas.openxmlformats.org/officeDocument/2006/relationships/ctrlProp" Target="../ctrlProps/ctrlProp305.xml"/><Relationship Id="rId460" Type="http://schemas.openxmlformats.org/officeDocument/2006/relationships/ctrlProp" Target="../ctrlProps/ctrlProp456.xml"/><Relationship Id="rId516" Type="http://schemas.openxmlformats.org/officeDocument/2006/relationships/ctrlProp" Target="../ctrlProps/ctrlProp512.xml"/><Relationship Id="rId48" Type="http://schemas.openxmlformats.org/officeDocument/2006/relationships/ctrlProp" Target="../ctrlProps/ctrlProp44.xml"/><Relationship Id="rId113" Type="http://schemas.openxmlformats.org/officeDocument/2006/relationships/ctrlProp" Target="../ctrlProps/ctrlProp109.xml"/><Relationship Id="rId320" Type="http://schemas.openxmlformats.org/officeDocument/2006/relationships/ctrlProp" Target="../ctrlProps/ctrlProp316.xml"/><Relationship Id="rId155" Type="http://schemas.openxmlformats.org/officeDocument/2006/relationships/ctrlProp" Target="../ctrlProps/ctrlProp151.xml"/><Relationship Id="rId197" Type="http://schemas.openxmlformats.org/officeDocument/2006/relationships/ctrlProp" Target="../ctrlProps/ctrlProp193.xml"/><Relationship Id="rId362" Type="http://schemas.openxmlformats.org/officeDocument/2006/relationships/ctrlProp" Target="../ctrlProps/ctrlProp358.xml"/><Relationship Id="rId418" Type="http://schemas.openxmlformats.org/officeDocument/2006/relationships/ctrlProp" Target="../ctrlProps/ctrlProp414.xml"/><Relationship Id="rId222" Type="http://schemas.openxmlformats.org/officeDocument/2006/relationships/ctrlProp" Target="../ctrlProps/ctrlProp218.xml"/><Relationship Id="rId264" Type="http://schemas.openxmlformats.org/officeDocument/2006/relationships/ctrlProp" Target="../ctrlProps/ctrlProp260.xml"/><Relationship Id="rId471" Type="http://schemas.openxmlformats.org/officeDocument/2006/relationships/ctrlProp" Target="../ctrlProps/ctrlProp467.xml"/><Relationship Id="rId17" Type="http://schemas.openxmlformats.org/officeDocument/2006/relationships/ctrlProp" Target="../ctrlProps/ctrlProp13.xml"/><Relationship Id="rId59" Type="http://schemas.openxmlformats.org/officeDocument/2006/relationships/ctrlProp" Target="../ctrlProps/ctrlProp55.xml"/><Relationship Id="rId124" Type="http://schemas.openxmlformats.org/officeDocument/2006/relationships/ctrlProp" Target="../ctrlProps/ctrlProp120.xml"/><Relationship Id="rId527" Type="http://schemas.openxmlformats.org/officeDocument/2006/relationships/ctrlProp" Target="../ctrlProps/ctrlProp523.xml"/><Relationship Id="rId70" Type="http://schemas.openxmlformats.org/officeDocument/2006/relationships/ctrlProp" Target="../ctrlProps/ctrlProp66.xml"/><Relationship Id="rId166" Type="http://schemas.openxmlformats.org/officeDocument/2006/relationships/ctrlProp" Target="../ctrlProps/ctrlProp162.xml"/><Relationship Id="rId331" Type="http://schemas.openxmlformats.org/officeDocument/2006/relationships/ctrlProp" Target="../ctrlProps/ctrlProp327.xml"/><Relationship Id="rId373" Type="http://schemas.openxmlformats.org/officeDocument/2006/relationships/ctrlProp" Target="../ctrlProps/ctrlProp369.xml"/><Relationship Id="rId429" Type="http://schemas.openxmlformats.org/officeDocument/2006/relationships/ctrlProp" Target="../ctrlProps/ctrlProp425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29.xml"/><Relationship Id="rId440" Type="http://schemas.openxmlformats.org/officeDocument/2006/relationships/ctrlProp" Target="../ctrlProps/ctrlProp436.xml"/><Relationship Id="rId28" Type="http://schemas.openxmlformats.org/officeDocument/2006/relationships/ctrlProp" Target="../ctrlProps/ctrlProp24.xml"/><Relationship Id="rId275" Type="http://schemas.openxmlformats.org/officeDocument/2006/relationships/ctrlProp" Target="../ctrlProps/ctrlProp271.xml"/><Relationship Id="rId300" Type="http://schemas.openxmlformats.org/officeDocument/2006/relationships/ctrlProp" Target="../ctrlProps/ctrlProp296.xml"/><Relationship Id="rId482" Type="http://schemas.openxmlformats.org/officeDocument/2006/relationships/ctrlProp" Target="../ctrlProps/ctrlProp478.xml"/><Relationship Id="rId81" Type="http://schemas.openxmlformats.org/officeDocument/2006/relationships/ctrlProp" Target="../ctrlProps/ctrlProp77.xml"/><Relationship Id="rId135" Type="http://schemas.openxmlformats.org/officeDocument/2006/relationships/ctrlProp" Target="../ctrlProps/ctrlProp131.xml"/><Relationship Id="rId177" Type="http://schemas.openxmlformats.org/officeDocument/2006/relationships/ctrlProp" Target="../ctrlProps/ctrlProp173.xml"/><Relationship Id="rId342" Type="http://schemas.openxmlformats.org/officeDocument/2006/relationships/ctrlProp" Target="../ctrlProps/ctrlProp338.xml"/><Relationship Id="rId384" Type="http://schemas.openxmlformats.org/officeDocument/2006/relationships/ctrlProp" Target="../ctrlProps/ctrlProp380.xml"/><Relationship Id="rId202" Type="http://schemas.openxmlformats.org/officeDocument/2006/relationships/ctrlProp" Target="../ctrlProps/ctrlProp198.xml"/><Relationship Id="rId244" Type="http://schemas.openxmlformats.org/officeDocument/2006/relationships/ctrlProp" Target="../ctrlProps/ctrlProp240.xml"/><Relationship Id="rId39" Type="http://schemas.openxmlformats.org/officeDocument/2006/relationships/ctrlProp" Target="../ctrlProps/ctrlProp35.xml"/><Relationship Id="rId286" Type="http://schemas.openxmlformats.org/officeDocument/2006/relationships/ctrlProp" Target="../ctrlProps/ctrlProp282.xml"/><Relationship Id="rId451" Type="http://schemas.openxmlformats.org/officeDocument/2006/relationships/ctrlProp" Target="../ctrlProps/ctrlProp447.xml"/><Relationship Id="rId493" Type="http://schemas.openxmlformats.org/officeDocument/2006/relationships/ctrlProp" Target="../ctrlProps/ctrlProp489.xml"/><Relationship Id="rId507" Type="http://schemas.openxmlformats.org/officeDocument/2006/relationships/ctrlProp" Target="../ctrlProps/ctrlProp503.xml"/><Relationship Id="rId50" Type="http://schemas.openxmlformats.org/officeDocument/2006/relationships/ctrlProp" Target="../ctrlProps/ctrlProp46.xml"/><Relationship Id="rId104" Type="http://schemas.openxmlformats.org/officeDocument/2006/relationships/ctrlProp" Target="../ctrlProps/ctrlProp100.xml"/><Relationship Id="rId146" Type="http://schemas.openxmlformats.org/officeDocument/2006/relationships/ctrlProp" Target="../ctrlProps/ctrlProp142.xml"/><Relationship Id="rId188" Type="http://schemas.openxmlformats.org/officeDocument/2006/relationships/ctrlProp" Target="../ctrlProps/ctrlProp184.xml"/><Relationship Id="rId311" Type="http://schemas.openxmlformats.org/officeDocument/2006/relationships/ctrlProp" Target="../ctrlProps/ctrlProp307.xml"/><Relationship Id="rId353" Type="http://schemas.openxmlformats.org/officeDocument/2006/relationships/ctrlProp" Target="../ctrlProps/ctrlProp349.xml"/><Relationship Id="rId395" Type="http://schemas.openxmlformats.org/officeDocument/2006/relationships/ctrlProp" Target="../ctrlProps/ctrlProp391.xml"/><Relationship Id="rId409" Type="http://schemas.openxmlformats.org/officeDocument/2006/relationships/ctrlProp" Target="../ctrlProps/ctrlProp405.xml"/><Relationship Id="rId92" Type="http://schemas.openxmlformats.org/officeDocument/2006/relationships/ctrlProp" Target="../ctrlProps/ctrlProp88.xml"/><Relationship Id="rId213" Type="http://schemas.openxmlformats.org/officeDocument/2006/relationships/ctrlProp" Target="../ctrlProps/ctrlProp209.xml"/><Relationship Id="rId420" Type="http://schemas.openxmlformats.org/officeDocument/2006/relationships/ctrlProp" Target="../ctrlProps/ctrlProp416.xml"/><Relationship Id="rId255" Type="http://schemas.openxmlformats.org/officeDocument/2006/relationships/ctrlProp" Target="../ctrlProps/ctrlProp251.xml"/><Relationship Id="rId297" Type="http://schemas.openxmlformats.org/officeDocument/2006/relationships/ctrlProp" Target="../ctrlProps/ctrlProp293.xml"/><Relationship Id="rId462" Type="http://schemas.openxmlformats.org/officeDocument/2006/relationships/ctrlProp" Target="../ctrlProps/ctrlProp458.xml"/><Relationship Id="rId518" Type="http://schemas.openxmlformats.org/officeDocument/2006/relationships/ctrlProp" Target="../ctrlProps/ctrlProp514.xml"/><Relationship Id="rId115" Type="http://schemas.openxmlformats.org/officeDocument/2006/relationships/ctrlProp" Target="../ctrlProps/ctrlProp111.xml"/><Relationship Id="rId157" Type="http://schemas.openxmlformats.org/officeDocument/2006/relationships/ctrlProp" Target="../ctrlProps/ctrlProp153.xml"/><Relationship Id="rId322" Type="http://schemas.openxmlformats.org/officeDocument/2006/relationships/ctrlProp" Target="../ctrlProps/ctrlProp318.xml"/><Relationship Id="rId364" Type="http://schemas.openxmlformats.org/officeDocument/2006/relationships/ctrlProp" Target="../ctrlProps/ctrlProp360.xml"/><Relationship Id="rId61" Type="http://schemas.openxmlformats.org/officeDocument/2006/relationships/ctrlProp" Target="../ctrlProps/ctrlProp57.xml"/><Relationship Id="rId199" Type="http://schemas.openxmlformats.org/officeDocument/2006/relationships/ctrlProp" Target="../ctrlProps/ctrlProp19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66" Type="http://schemas.openxmlformats.org/officeDocument/2006/relationships/ctrlProp" Target="../ctrlProps/ctrlProp262.xml"/><Relationship Id="rId431" Type="http://schemas.openxmlformats.org/officeDocument/2006/relationships/ctrlProp" Target="../ctrlProps/ctrlProp427.xml"/><Relationship Id="rId473" Type="http://schemas.openxmlformats.org/officeDocument/2006/relationships/ctrlProp" Target="../ctrlProps/ctrlProp469.xml"/><Relationship Id="rId529" Type="http://schemas.openxmlformats.org/officeDocument/2006/relationships/ctrlProp" Target="../ctrlProps/ctrlProp525.xml"/><Relationship Id="rId30" Type="http://schemas.openxmlformats.org/officeDocument/2006/relationships/ctrlProp" Target="../ctrlProps/ctrlProp26.xml"/><Relationship Id="rId126" Type="http://schemas.openxmlformats.org/officeDocument/2006/relationships/ctrlProp" Target="../ctrlProps/ctrlProp122.xml"/><Relationship Id="rId168" Type="http://schemas.openxmlformats.org/officeDocument/2006/relationships/ctrlProp" Target="../ctrlProps/ctrlProp164.xml"/><Relationship Id="rId333" Type="http://schemas.openxmlformats.org/officeDocument/2006/relationships/ctrlProp" Target="../ctrlProps/ctrlProp329.xml"/><Relationship Id="rId72" Type="http://schemas.openxmlformats.org/officeDocument/2006/relationships/ctrlProp" Target="../ctrlProps/ctrlProp68.xml"/><Relationship Id="rId375" Type="http://schemas.openxmlformats.org/officeDocument/2006/relationships/ctrlProp" Target="../ctrlProps/ctrlProp371.xml"/><Relationship Id="rId3" Type="http://schemas.openxmlformats.org/officeDocument/2006/relationships/vmlDrawing" Target="../drawings/vmlDrawing1.vml"/><Relationship Id="rId235" Type="http://schemas.openxmlformats.org/officeDocument/2006/relationships/ctrlProp" Target="../ctrlProps/ctrlProp231.xml"/><Relationship Id="rId277" Type="http://schemas.openxmlformats.org/officeDocument/2006/relationships/ctrlProp" Target="../ctrlProps/ctrlProp273.xml"/><Relationship Id="rId400" Type="http://schemas.openxmlformats.org/officeDocument/2006/relationships/ctrlProp" Target="../ctrlProps/ctrlProp396.xml"/><Relationship Id="rId442" Type="http://schemas.openxmlformats.org/officeDocument/2006/relationships/ctrlProp" Target="../ctrlProps/ctrlProp438.xml"/><Relationship Id="rId484" Type="http://schemas.openxmlformats.org/officeDocument/2006/relationships/ctrlProp" Target="../ctrlProps/ctrlProp480.xml"/><Relationship Id="rId137" Type="http://schemas.openxmlformats.org/officeDocument/2006/relationships/ctrlProp" Target="../ctrlProps/ctrlProp133.xml"/><Relationship Id="rId302" Type="http://schemas.openxmlformats.org/officeDocument/2006/relationships/ctrlProp" Target="../ctrlProps/ctrlProp298.xml"/><Relationship Id="rId344" Type="http://schemas.openxmlformats.org/officeDocument/2006/relationships/ctrlProp" Target="../ctrlProps/ctrlProp340.xml"/><Relationship Id="rId41" Type="http://schemas.openxmlformats.org/officeDocument/2006/relationships/ctrlProp" Target="../ctrlProps/ctrlProp37.xml"/><Relationship Id="rId83" Type="http://schemas.openxmlformats.org/officeDocument/2006/relationships/ctrlProp" Target="../ctrlProps/ctrlProp79.xml"/><Relationship Id="rId179" Type="http://schemas.openxmlformats.org/officeDocument/2006/relationships/ctrlProp" Target="../ctrlProps/ctrlProp175.xml"/><Relationship Id="rId386" Type="http://schemas.openxmlformats.org/officeDocument/2006/relationships/ctrlProp" Target="../ctrlProps/ctrlProp382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46" Type="http://schemas.openxmlformats.org/officeDocument/2006/relationships/ctrlProp" Target="../ctrlProps/ctrlProp242.xml"/><Relationship Id="rId288" Type="http://schemas.openxmlformats.org/officeDocument/2006/relationships/ctrlProp" Target="../ctrlProps/ctrlProp284.xml"/><Relationship Id="rId411" Type="http://schemas.openxmlformats.org/officeDocument/2006/relationships/ctrlProp" Target="../ctrlProps/ctrlProp407.xml"/><Relationship Id="rId453" Type="http://schemas.openxmlformats.org/officeDocument/2006/relationships/ctrlProp" Target="../ctrlProps/ctrlProp449.xml"/><Relationship Id="rId509" Type="http://schemas.openxmlformats.org/officeDocument/2006/relationships/ctrlProp" Target="../ctrlProps/ctrlProp505.xml"/><Relationship Id="rId106" Type="http://schemas.openxmlformats.org/officeDocument/2006/relationships/ctrlProp" Target="../ctrlProps/ctrlProp102.xml"/><Relationship Id="rId313" Type="http://schemas.openxmlformats.org/officeDocument/2006/relationships/ctrlProp" Target="../ctrlProps/ctrlProp309.xml"/><Relationship Id="rId495" Type="http://schemas.openxmlformats.org/officeDocument/2006/relationships/ctrlProp" Target="../ctrlProps/ctrlProp491.xml"/><Relationship Id="rId10" Type="http://schemas.openxmlformats.org/officeDocument/2006/relationships/ctrlProp" Target="../ctrlProps/ctrlProp6.xml"/><Relationship Id="rId52" Type="http://schemas.openxmlformats.org/officeDocument/2006/relationships/ctrlProp" Target="../ctrlProps/ctrlProp48.xml"/><Relationship Id="rId94" Type="http://schemas.openxmlformats.org/officeDocument/2006/relationships/ctrlProp" Target="../ctrlProps/ctrlProp90.xml"/><Relationship Id="rId148" Type="http://schemas.openxmlformats.org/officeDocument/2006/relationships/ctrlProp" Target="../ctrlProps/ctrlProp144.xml"/><Relationship Id="rId355" Type="http://schemas.openxmlformats.org/officeDocument/2006/relationships/ctrlProp" Target="../ctrlProps/ctrlProp351.xml"/><Relationship Id="rId397" Type="http://schemas.openxmlformats.org/officeDocument/2006/relationships/ctrlProp" Target="../ctrlProps/ctrlProp393.xml"/><Relationship Id="rId520" Type="http://schemas.openxmlformats.org/officeDocument/2006/relationships/ctrlProp" Target="../ctrlProps/ctrlProp516.xml"/><Relationship Id="rId215" Type="http://schemas.openxmlformats.org/officeDocument/2006/relationships/ctrlProp" Target="../ctrlProps/ctrlProp211.xml"/><Relationship Id="rId257" Type="http://schemas.openxmlformats.org/officeDocument/2006/relationships/ctrlProp" Target="../ctrlProps/ctrlProp253.xml"/><Relationship Id="rId422" Type="http://schemas.openxmlformats.org/officeDocument/2006/relationships/ctrlProp" Target="../ctrlProps/ctrlProp418.xml"/><Relationship Id="rId464" Type="http://schemas.openxmlformats.org/officeDocument/2006/relationships/ctrlProp" Target="../ctrlProps/ctrlProp460.xml"/><Relationship Id="rId299" Type="http://schemas.openxmlformats.org/officeDocument/2006/relationships/ctrlProp" Target="../ctrlProps/ctrlProp295.xml"/><Relationship Id="rId63" Type="http://schemas.openxmlformats.org/officeDocument/2006/relationships/ctrlProp" Target="../ctrlProps/ctrlProp59.xml"/><Relationship Id="rId159" Type="http://schemas.openxmlformats.org/officeDocument/2006/relationships/ctrlProp" Target="../ctrlProps/ctrlProp155.xml"/><Relationship Id="rId366" Type="http://schemas.openxmlformats.org/officeDocument/2006/relationships/ctrlProp" Target="../ctrlProps/ctrlProp362.xml"/><Relationship Id="rId226" Type="http://schemas.openxmlformats.org/officeDocument/2006/relationships/ctrlProp" Target="../ctrlProps/ctrlProp222.xml"/><Relationship Id="rId433" Type="http://schemas.openxmlformats.org/officeDocument/2006/relationships/ctrlProp" Target="../ctrlProps/ctrlProp429.xml"/><Relationship Id="rId74" Type="http://schemas.openxmlformats.org/officeDocument/2006/relationships/ctrlProp" Target="../ctrlProps/ctrlProp70.xml"/><Relationship Id="rId377" Type="http://schemas.openxmlformats.org/officeDocument/2006/relationships/ctrlProp" Target="../ctrlProps/ctrlProp373.xml"/><Relationship Id="rId500" Type="http://schemas.openxmlformats.org/officeDocument/2006/relationships/ctrlProp" Target="../ctrlProps/ctrlProp496.xml"/><Relationship Id="rId5" Type="http://schemas.openxmlformats.org/officeDocument/2006/relationships/ctrlProp" Target="../ctrlProps/ctrlProp1.xml"/><Relationship Id="rId237" Type="http://schemas.openxmlformats.org/officeDocument/2006/relationships/ctrlProp" Target="../ctrlProps/ctrlProp23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0.xml"/><Relationship Id="rId5" Type="http://schemas.openxmlformats.org/officeDocument/2006/relationships/ctrlProp" Target="../ctrlProps/ctrlProp52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32.xml"/><Relationship Id="rId5" Type="http://schemas.openxmlformats.org/officeDocument/2006/relationships/ctrlProp" Target="../ctrlProps/ctrlProp531.xml"/><Relationship Id="rId4" Type="http://schemas.openxmlformats.org/officeDocument/2006/relationships/vmlDrawing" Target="../drawings/vmlDrawing7.vml"/><Relationship Id="rId9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K364"/>
  <sheetViews>
    <sheetView showGridLines="0" workbookViewId="0">
      <pane xSplit="2" ySplit="2" topLeftCell="C3" activePane="bottomRight" state="frozen"/>
      <selection activeCell="E11" sqref="E11"/>
      <selection pane="topRight" activeCell="E11" sqref="E11"/>
      <selection pane="bottomLeft" activeCell="E11" sqref="E11"/>
      <selection pane="bottomRight" activeCell="A7" sqref="A7"/>
    </sheetView>
  </sheetViews>
  <sheetFormatPr defaultRowHeight="15" x14ac:dyDescent="0.25"/>
  <cols>
    <col min="1" max="1" width="30.42578125" customWidth="1"/>
    <col min="2" max="2" width="2.5703125" customWidth="1"/>
    <col min="3" max="3" width="2.28515625" customWidth="1"/>
    <col min="4" max="4" width="32.85546875" bestFit="1" customWidth="1"/>
    <col min="5" max="5" width="16" customWidth="1"/>
    <col min="6" max="6" width="25" bestFit="1" customWidth="1"/>
    <col min="8" max="8" width="39" customWidth="1"/>
    <col min="10" max="10" width="30.42578125" bestFit="1" customWidth="1"/>
    <col min="11" max="11" width="22.7109375" customWidth="1"/>
    <col min="15" max="15" width="11.140625" bestFit="1" customWidth="1"/>
  </cols>
  <sheetData>
    <row r="1" spans="1:11" ht="21" x14ac:dyDescent="0.35">
      <c r="D1" s="10" t="s">
        <v>82</v>
      </c>
      <c r="E1" s="96" t="str">
        <f>A7</f>
        <v>Corrida</v>
      </c>
      <c r="F1" s="97"/>
    </row>
    <row r="2" spans="1:11" x14ac:dyDescent="0.25">
      <c r="D2" s="10"/>
    </row>
    <row r="3" spans="1:11" x14ac:dyDescent="0.25">
      <c r="A3" s="98" t="s">
        <v>81</v>
      </c>
      <c r="B3" s="98"/>
      <c r="C3" s="24"/>
    </row>
    <row r="4" spans="1:11" x14ac:dyDescent="0.25">
      <c r="A4" s="10"/>
      <c r="B4" s="10"/>
      <c r="D4" s="8" t="s">
        <v>0</v>
      </c>
      <c r="F4" s="8" t="s">
        <v>18</v>
      </c>
      <c r="H4" t="s">
        <v>19</v>
      </c>
      <c r="I4" t="s">
        <v>165</v>
      </c>
      <c r="J4" t="s">
        <v>1011</v>
      </c>
      <c r="K4" t="s">
        <v>314</v>
      </c>
    </row>
    <row r="5" spans="1:11" x14ac:dyDescent="0.25">
      <c r="A5" s="10"/>
      <c r="B5" s="10"/>
      <c r="D5" s="7" t="str">
        <f>alimentos[[#This Row],[Item]]</f>
        <v>A</v>
      </c>
      <c r="F5" s="7" t="str">
        <f>higiene[[#This Row],[Item]]</f>
        <v>A</v>
      </c>
      <c r="K5" s="32"/>
    </row>
    <row r="6" spans="1:11" x14ac:dyDescent="0.25">
      <c r="A6" s="98" t="s">
        <v>290</v>
      </c>
      <c r="B6" s="98"/>
      <c r="D6" s="7" t="str">
        <f>alimentos[[#This Row],[Item]]</f>
        <v>Abacaxi em Calda (820g)</v>
      </c>
      <c r="F6" s="7" t="str">
        <f>higiene[[#This Row],[Item]]</f>
        <v>Absorvente (08un)</v>
      </c>
    </row>
    <row r="7" spans="1:11" x14ac:dyDescent="0.25">
      <c r="A7" s="16" t="s">
        <v>3109</v>
      </c>
      <c r="B7" s="17"/>
      <c r="D7" s="7" t="str">
        <f>alimentos[[#This Row],[Item]]</f>
        <v>Abacaxi em Calda (830g)</v>
      </c>
      <c r="F7" s="7" t="str">
        <f>higiene[[#This Row],[Item]]</f>
        <v>Absorvente (10un)</v>
      </c>
    </row>
    <row r="8" spans="1:11" x14ac:dyDescent="0.25">
      <c r="D8" s="7" t="str">
        <f>alimentos[[#This Row],[Item]]</f>
        <v>Achocolatado (1,1kg)</v>
      </c>
      <c r="F8" s="7" t="str">
        <f>higiene[[#This Row],[Item]]</f>
        <v>Absorvente (15un)</v>
      </c>
    </row>
    <row r="9" spans="1:11" x14ac:dyDescent="0.25">
      <c r="A9" s="98" t="s">
        <v>84</v>
      </c>
      <c r="B9" s="98"/>
      <c r="D9" s="7" t="str">
        <f>alimentos[[#This Row],[Item]]</f>
        <v>Achocolatado (100g)</v>
      </c>
      <c r="F9" s="7" t="str">
        <f>higiene[[#This Row],[Item]]</f>
        <v>Absorvente (16un)</v>
      </c>
    </row>
    <row r="10" spans="1:11" x14ac:dyDescent="0.25">
      <c r="B10" s="12"/>
      <c r="D10" s="7" t="str">
        <f>alimentos[[#This Row],[Item]]</f>
        <v>Achocolatado (1kg)</v>
      </c>
      <c r="E10" s="28"/>
      <c r="F10" s="7" t="str">
        <f>higiene[[#This Row],[Item]]</f>
        <v>Absorvente (20un)</v>
      </c>
    </row>
    <row r="11" spans="1:11" x14ac:dyDescent="0.25">
      <c r="A11" s="11"/>
      <c r="B11" s="11"/>
      <c r="D11" s="7" t="str">
        <f>alimentos[[#This Row],[Item]]</f>
        <v>Achocolatado (1L)</v>
      </c>
      <c r="F11" s="7" t="str">
        <f>higiene[[#This Row],[Item]]</f>
        <v>Absorvente (30un)</v>
      </c>
    </row>
    <row r="12" spans="1:11" x14ac:dyDescent="0.25">
      <c r="A12" s="11"/>
      <c r="B12" s="11"/>
      <c r="D12" s="7" t="str">
        <f>alimentos[[#This Row],[Item]]</f>
        <v>Achocolatado (200g)</v>
      </c>
      <c r="F12" s="7" t="str">
        <f>higiene[[#This Row],[Item]]</f>
        <v>Absorvente (32un)</v>
      </c>
    </row>
    <row r="13" spans="1:11" x14ac:dyDescent="0.25">
      <c r="A13" s="11"/>
      <c r="B13" s="11"/>
      <c r="D13" s="7" t="str">
        <f>alimentos[[#This Row],[Item]]</f>
        <v>Achocolatado (300g)</v>
      </c>
      <c r="F13" s="7" t="str">
        <f>higiene[[#This Row],[Item]]</f>
        <v>Absorvente (36un)</v>
      </c>
    </row>
    <row r="14" spans="1:11" x14ac:dyDescent="0.25">
      <c r="A14" s="11"/>
      <c r="B14" s="11"/>
      <c r="D14" s="7" t="str">
        <f>alimentos[[#This Row],[Item]]</f>
        <v>Achocolatado (370g)</v>
      </c>
      <c r="F14" s="7" t="str">
        <f>higiene[[#This Row],[Item]]</f>
        <v>Absorvente (40un)</v>
      </c>
    </row>
    <row r="15" spans="1:11" x14ac:dyDescent="0.25">
      <c r="A15" s="11"/>
      <c r="B15" s="11"/>
      <c r="D15" s="7" t="str">
        <f>alimentos[[#This Row],[Item]]</f>
        <v>Achocolatado (400g)</v>
      </c>
      <c r="F15" s="7" t="str">
        <f>higiene[[#This Row],[Item]]</f>
        <v>Absorvente (60un)</v>
      </c>
    </row>
    <row r="16" spans="1:11" x14ac:dyDescent="0.25">
      <c r="A16" s="11"/>
      <c r="B16" s="11"/>
      <c r="D16" s="7" t="str">
        <f>alimentos[[#This Row],[Item]]</f>
        <v>Achocolatado (500g)</v>
      </c>
      <c r="F16" s="7" t="str">
        <f>higiene[[#This Row],[Item]]</f>
        <v>Absorvente (80un)</v>
      </c>
    </row>
    <row r="17" spans="1:6" x14ac:dyDescent="0.25">
      <c r="A17" s="11"/>
      <c r="B17" s="11"/>
      <c r="D17" s="7" t="str">
        <f>alimentos[[#This Row],[Item]]</f>
        <v>Achocolatado (600g)</v>
      </c>
      <c r="F17" s="7" t="str">
        <f>higiene[[#This Row],[Item]]</f>
        <v>Água Sanitária (1L)</v>
      </c>
    </row>
    <row r="18" spans="1:6" x14ac:dyDescent="0.25">
      <c r="A18" s="11"/>
      <c r="B18" s="11"/>
      <c r="D18" s="7" t="str">
        <f>alimentos[[#This Row],[Item]]</f>
        <v>Achocolatado (700g)</v>
      </c>
      <c r="F18" s="7" t="str">
        <f>higiene[[#This Row],[Item]]</f>
        <v>Água Sanitária (2L)</v>
      </c>
    </row>
    <row r="19" spans="1:6" x14ac:dyDescent="0.25">
      <c r="A19" s="11"/>
      <c r="B19" s="11"/>
      <c r="D19" s="7" t="str">
        <f>alimentos[[#This Row],[Item]]</f>
        <v>Achocolatado (800g)</v>
      </c>
      <c r="F19" s="7" t="str">
        <f>higiene[[#This Row],[Item]]</f>
        <v>Água Sanitária (5L)</v>
      </c>
    </row>
    <row r="20" spans="1:6" x14ac:dyDescent="0.25">
      <c r="A20" s="11"/>
      <c r="B20" s="11"/>
      <c r="D20" s="7" t="str">
        <f>alimentos[[#This Row],[Item]]</f>
        <v>Achocolatado (900g)</v>
      </c>
      <c r="F20" s="7" t="str">
        <f>higiene[[#This Row],[Item]]</f>
        <v>Álcool (1L)</v>
      </c>
    </row>
    <row r="21" spans="1:6" x14ac:dyDescent="0.25">
      <c r="A21" s="11"/>
      <c r="B21" s="11"/>
      <c r="D21" s="7" t="str">
        <f>alimentos[[#This Row],[Item]]</f>
        <v>Açúcar (1kg)</v>
      </c>
      <c r="F21" s="7" t="str">
        <f>higiene[[#This Row],[Item]]</f>
        <v>Álcool (500mL)</v>
      </c>
    </row>
    <row r="22" spans="1:6" x14ac:dyDescent="0.25">
      <c r="A22" s="11"/>
      <c r="B22" s="11"/>
      <c r="D22" s="7" t="str">
        <f>alimentos[[#This Row],[Item]]</f>
        <v>Açúcar (2kg)</v>
      </c>
      <c r="F22" s="7" t="str">
        <f>higiene[[#This Row],[Item]]</f>
        <v>Álcool Gel (1L)</v>
      </c>
    </row>
    <row r="23" spans="1:6" x14ac:dyDescent="0.25">
      <c r="A23" s="11"/>
      <c r="B23" s="11"/>
      <c r="D23" s="7" t="str">
        <f>alimentos[[#This Row],[Item]]</f>
        <v>Açúcar (300g)</v>
      </c>
      <c r="F23" s="7" t="str">
        <f>higiene[[#This Row],[Item]]</f>
        <v>Álcool Gel (500mL)</v>
      </c>
    </row>
    <row r="24" spans="1:6" x14ac:dyDescent="0.25">
      <c r="D24" s="7" t="str">
        <f>alimentos[[#This Row],[Item]]</f>
        <v>Açúcar (500g)</v>
      </c>
      <c r="F24" s="7" t="str">
        <f>higiene[[#This Row],[Item]]</f>
        <v>Algodão (25g)</v>
      </c>
    </row>
    <row r="25" spans="1:6" x14ac:dyDescent="0.25">
      <c r="D25" s="7" t="str">
        <f>alimentos[[#This Row],[Item]]</f>
        <v>Açúcar (5kg)</v>
      </c>
      <c r="F25" s="7" t="str">
        <f>higiene[[#This Row],[Item]]</f>
        <v>Algodão (50g)</v>
      </c>
    </row>
    <row r="26" spans="1:6" x14ac:dyDescent="0.25">
      <c r="D26" s="7" t="str">
        <f>alimentos[[#This Row],[Item]]</f>
        <v>Adoçante (100mL)</v>
      </c>
      <c r="F26" s="7" t="str">
        <f>higiene[[#This Row],[Item]]</f>
        <v>Alvejante (1L)</v>
      </c>
    </row>
    <row r="27" spans="1:6" x14ac:dyDescent="0.25">
      <c r="D27" s="7" t="str">
        <f>alimentos[[#This Row],[Item]]</f>
        <v>Água de Coco (2L)</v>
      </c>
      <c r="F27" s="7" t="str">
        <f>higiene[[#This Row],[Item]]</f>
        <v>Alvejante (2L)</v>
      </c>
    </row>
    <row r="28" spans="1:6" x14ac:dyDescent="0.25">
      <c r="D28" s="7" t="str">
        <f>alimentos[[#This Row],[Item]]</f>
        <v>Água Tônica (237mL)</v>
      </c>
      <c r="F28" s="7" t="str">
        <f>higiene[[#This Row],[Item]]</f>
        <v>Alvejante (500mL)</v>
      </c>
    </row>
    <row r="29" spans="1:6" x14ac:dyDescent="0.25">
      <c r="D29" s="7" t="str">
        <f>alimentos[[#This Row],[Item]]</f>
        <v>Amendoim (27g)</v>
      </c>
      <c r="F29" s="7" t="str">
        <f>higiene[[#This Row],[Item]]</f>
        <v>Amaciante (1L)</v>
      </c>
    </row>
    <row r="30" spans="1:6" x14ac:dyDescent="0.25">
      <c r="D30" s="7" t="str">
        <f>alimentos[[#This Row],[Item]]</f>
        <v>Amendoim (500g)</v>
      </c>
      <c r="F30" s="7" t="str">
        <f>higiene[[#This Row],[Item]]</f>
        <v>Amaciante (2L)</v>
      </c>
    </row>
    <row r="31" spans="1:6" x14ac:dyDescent="0.25">
      <c r="D31" s="7" t="str">
        <f>alimentos[[#This Row],[Item]]</f>
        <v>Amido de Milho (150g)</v>
      </c>
      <c r="F31" s="7" t="str">
        <f>higiene[[#This Row],[Item]]</f>
        <v>Amaciante (500mL)</v>
      </c>
    </row>
    <row r="32" spans="1:6" x14ac:dyDescent="0.25">
      <c r="D32" s="7" t="str">
        <f>alimentos[[#This Row],[Item]]</f>
        <v>Amido de Milho (200g)</v>
      </c>
      <c r="F32" s="7" t="str">
        <f>higiene[[#This Row],[Item]]</f>
        <v>Amaciante (5L)</v>
      </c>
    </row>
    <row r="33" spans="4:6" x14ac:dyDescent="0.25">
      <c r="D33" s="7" t="str">
        <f>alimentos[[#This Row],[Item]]</f>
        <v>Amido de Milho (500g)</v>
      </c>
      <c r="F33" s="7" t="str">
        <f>higiene[[#This Row],[Item]]</f>
        <v>Amaciante (900mL)</v>
      </c>
    </row>
    <row r="34" spans="4:6" x14ac:dyDescent="0.25">
      <c r="D34" s="7" t="str">
        <f>alimentos[[#This Row],[Item]]</f>
        <v>Arroz (1kg)</v>
      </c>
      <c r="F34" s="7" t="str">
        <f>higiene[[#This Row],[Item]]</f>
        <v>Antisséptico (100mL)</v>
      </c>
    </row>
    <row r="35" spans="4:6" x14ac:dyDescent="0.25">
      <c r="D35" s="7" t="str">
        <f>alimentos[[#This Row],[Item]]</f>
        <v>Arroz (2kg)</v>
      </c>
      <c r="F35" s="7" t="str">
        <f>higiene[[#This Row],[Item]]</f>
        <v>Antisséptico (440mL)</v>
      </c>
    </row>
    <row r="36" spans="4:6" x14ac:dyDescent="0.25">
      <c r="D36" s="7" t="str">
        <f>alimentos[[#This Row],[Item]]</f>
        <v>Arroz (5kg)</v>
      </c>
      <c r="F36" s="7" t="str">
        <f>higiene[[#This Row],[Item]]</f>
        <v>Aparelho Barbear (2un)</v>
      </c>
    </row>
    <row r="37" spans="4:6" x14ac:dyDescent="0.25">
      <c r="D37" s="7" t="str">
        <f>alimentos[[#This Row],[Item]]</f>
        <v>Arroz Doce (175g)</v>
      </c>
      <c r="F37" s="7" t="str">
        <f>higiene[[#This Row],[Item]]</f>
        <v>B</v>
      </c>
    </row>
    <row r="38" spans="4:6" x14ac:dyDescent="0.25">
      <c r="D38" s="7" t="str">
        <f>alimentos[[#This Row],[Item]]</f>
        <v>Arroz integral (1kg)</v>
      </c>
      <c r="F38" s="7" t="str">
        <f>higiene[[#This Row],[Item]]</f>
        <v>Band Aid (10un)</v>
      </c>
    </row>
    <row r="39" spans="4:6" x14ac:dyDescent="0.25">
      <c r="D39" s="7" t="str">
        <f>alimentos[[#This Row],[Item]]</f>
        <v>Arroz integral (500g)</v>
      </c>
      <c r="F39" s="7" t="str">
        <f>higiene[[#This Row],[Item]]</f>
        <v>Band Aid (40un)</v>
      </c>
    </row>
    <row r="40" spans="4:6" x14ac:dyDescent="0.25">
      <c r="D40" s="7" t="str">
        <f>alimentos[[#This Row],[Item]]</f>
        <v>Atum (170g)</v>
      </c>
      <c r="F40" s="7" t="str">
        <f>higiene[[#This Row],[Item]]</f>
        <v>Bob (8un)</v>
      </c>
    </row>
    <row r="41" spans="4:6" x14ac:dyDescent="0.25">
      <c r="D41" s="7" t="str">
        <f>alimentos[[#This Row],[Item]]</f>
        <v>Atum (325g)</v>
      </c>
      <c r="F41" s="7" t="str">
        <f>higiene[[#This Row],[Item]]</f>
        <v>Brilho Alumínio (2L)</v>
      </c>
    </row>
    <row r="42" spans="4:6" x14ac:dyDescent="0.25">
      <c r="D42" s="7" t="str">
        <f>alimentos[[#This Row],[Item]]</f>
        <v>Atum Lata (140g)</v>
      </c>
      <c r="F42" s="7" t="str">
        <f>higiene[[#This Row],[Item]]</f>
        <v>Brilho Alumínio (500mL)</v>
      </c>
    </row>
    <row r="43" spans="4:6" x14ac:dyDescent="0.25">
      <c r="D43" s="7" t="str">
        <f>alimentos[[#This Row],[Item]]</f>
        <v>Aveia (170g)</v>
      </c>
      <c r="F43" s="7" t="str">
        <f>higiene[[#This Row],[Item]]</f>
        <v>Bucha (1un)</v>
      </c>
    </row>
    <row r="44" spans="4:6" x14ac:dyDescent="0.25">
      <c r="D44" s="7" t="str">
        <f>alimentos[[#This Row],[Item]]</f>
        <v>Aveia (200g)</v>
      </c>
      <c r="F44" s="7" t="str">
        <f>higiene[[#This Row],[Item]]</f>
        <v>C</v>
      </c>
    </row>
    <row r="45" spans="4:6" x14ac:dyDescent="0.25">
      <c r="D45" s="7" t="str">
        <f>alimentos[[#This Row],[Item]]</f>
        <v>Aveia (500g)</v>
      </c>
      <c r="F45" s="7" t="str">
        <f>higiene[[#This Row],[Item]]</f>
        <v>Cloro Ativo (500mL)</v>
      </c>
    </row>
    <row r="46" spans="4:6" x14ac:dyDescent="0.25">
      <c r="D46" s="7" t="str">
        <f>alimentos[[#This Row],[Item]]</f>
        <v>Azeite (200mL)</v>
      </c>
      <c r="F46" s="7" t="str">
        <f>higiene[[#This Row],[Item]]</f>
        <v>Cloro Ativo (5L)</v>
      </c>
    </row>
    <row r="47" spans="4:6" x14ac:dyDescent="0.25">
      <c r="D47" s="7" t="str">
        <f>alimentos[[#This Row],[Item]]</f>
        <v>Azeite (500mL)</v>
      </c>
      <c r="F47" s="7" t="str">
        <f>higiene[[#This Row],[Item]]</f>
        <v>Condicionador (200mL)</v>
      </c>
    </row>
    <row r="48" spans="4:6" x14ac:dyDescent="0.25">
      <c r="D48" s="7" t="str">
        <f>alimentos[[#This Row],[Item]]</f>
        <v>Azeitona (100g)</v>
      </c>
      <c r="F48" s="7" t="str">
        <f>higiene[[#This Row],[Item]]</f>
        <v>Condicionador (325mL)</v>
      </c>
    </row>
    <row r="49" spans="4:6" x14ac:dyDescent="0.25">
      <c r="D49" s="7" t="str">
        <f>alimentos[[#This Row],[Item]]</f>
        <v>Azeitona (120g)</v>
      </c>
      <c r="F49" s="7" t="str">
        <f>higiene[[#This Row],[Item]]</f>
        <v>Condicionador (350mL)</v>
      </c>
    </row>
    <row r="50" spans="4:6" x14ac:dyDescent="0.25">
      <c r="D50" s="7" t="str">
        <f>alimentos[[#This Row],[Item]]</f>
        <v>Azeitona (150g)</v>
      </c>
      <c r="F50" s="7" t="str">
        <f>higiene[[#This Row],[Item]]</f>
        <v>Condicionador (400mL)</v>
      </c>
    </row>
    <row r="51" spans="4:6" x14ac:dyDescent="0.25">
      <c r="D51" s="7" t="str">
        <f>alimentos[[#This Row],[Item]]</f>
        <v>Azeitona (160g)</v>
      </c>
      <c r="F51" s="7" t="str">
        <f>higiene[[#This Row],[Item]]</f>
        <v>Condicionador (500mL)</v>
      </c>
    </row>
    <row r="52" spans="4:6" x14ac:dyDescent="0.25">
      <c r="D52" s="7" t="str">
        <f>alimentos[[#This Row],[Item]]</f>
        <v>Azeitona (1kg)</v>
      </c>
      <c r="F52" s="7" t="str">
        <f>higiene[[#This Row],[Item]]</f>
        <v>Creme (400mL)</v>
      </c>
    </row>
    <row r="53" spans="4:6" x14ac:dyDescent="0.25">
      <c r="D53" s="7" t="str">
        <f>alimentos[[#This Row],[Item]]</f>
        <v>Azeitona (270g)</v>
      </c>
      <c r="F53" s="7" t="str">
        <f>higiene[[#This Row],[Item]]</f>
        <v>D</v>
      </c>
    </row>
    <row r="54" spans="4:6" x14ac:dyDescent="0.25">
      <c r="D54" s="7" t="str">
        <f>alimentos[[#This Row],[Item]]</f>
        <v>Azeitona (280g)</v>
      </c>
      <c r="F54" s="7" t="str">
        <f>higiene[[#This Row],[Item]]</f>
        <v>Desengordurante (500mL)</v>
      </c>
    </row>
    <row r="55" spans="4:6" x14ac:dyDescent="0.25">
      <c r="D55" s="7" t="str">
        <f>alimentos[[#This Row],[Item]]</f>
        <v>Azeitona (50g)</v>
      </c>
      <c r="F55" s="7" t="str">
        <f>higiene[[#This Row],[Item]]</f>
        <v>Desinfetante (1,75L)</v>
      </c>
    </row>
    <row r="56" spans="4:6" x14ac:dyDescent="0.25">
      <c r="D56" s="7" t="str">
        <f>alimentos[[#This Row],[Item]]</f>
        <v>B</v>
      </c>
      <c r="F56" s="7" t="str">
        <f>higiene[[#This Row],[Item]]</f>
        <v>Desinfetante (1L)</v>
      </c>
    </row>
    <row r="57" spans="4:6" x14ac:dyDescent="0.25">
      <c r="D57" s="7" t="str">
        <f>alimentos[[#This Row],[Item]]</f>
        <v>Bala de Goma (20g)</v>
      </c>
      <c r="F57" s="7" t="str">
        <f>higiene[[#This Row],[Item]]</f>
        <v>Desinfetante (2L)</v>
      </c>
    </row>
    <row r="58" spans="4:6" x14ac:dyDescent="0.25">
      <c r="D58" s="7" t="str">
        <f>alimentos[[#This Row],[Item]]</f>
        <v>Bala Pacote (150g)</v>
      </c>
      <c r="F58" s="7" t="str">
        <f>higiene[[#This Row],[Item]]</f>
        <v>Desinfetante (300mL)</v>
      </c>
    </row>
    <row r="59" spans="4:6" x14ac:dyDescent="0.25">
      <c r="D59" s="7" t="str">
        <f>alimentos[[#This Row],[Item]]</f>
        <v>Bala Pacote (200g)</v>
      </c>
      <c r="F59" s="7" t="str">
        <f>higiene[[#This Row],[Item]]</f>
        <v>Desinfetante (500mL)</v>
      </c>
    </row>
    <row r="60" spans="4:6" x14ac:dyDescent="0.25">
      <c r="D60" s="7" t="str">
        <f>alimentos[[#This Row],[Item]]</f>
        <v>Bala Pacote (250g)</v>
      </c>
      <c r="F60" s="7" t="str">
        <f>higiene[[#This Row],[Item]]</f>
        <v>Desinfetante (5L)</v>
      </c>
    </row>
    <row r="61" spans="4:6" x14ac:dyDescent="0.25">
      <c r="D61" s="7" t="str">
        <f>alimentos[[#This Row],[Item]]</f>
        <v>Bala Pacote (300g)</v>
      </c>
      <c r="F61" s="7" t="str">
        <f>higiene[[#This Row],[Item]]</f>
        <v>Desinfetante (750mL)</v>
      </c>
    </row>
    <row r="62" spans="4:6" x14ac:dyDescent="0.25">
      <c r="D62" s="7" t="str">
        <f>alimentos[[#This Row],[Item]]</f>
        <v>Bala Pacote (500g)</v>
      </c>
      <c r="F62" s="7" t="str">
        <f>higiene[[#This Row],[Item]]</f>
        <v>Desodorante (50g)</v>
      </c>
    </row>
    <row r="63" spans="4:6" x14ac:dyDescent="0.25">
      <c r="D63" s="7" t="str">
        <f>alimentos[[#This Row],[Item]]</f>
        <v>Bala Pacote (600g)</v>
      </c>
      <c r="F63" s="7" t="str">
        <f>higiene[[#This Row],[Item]]</f>
        <v>Desodorante (90g)</v>
      </c>
    </row>
    <row r="64" spans="4:6" x14ac:dyDescent="0.25">
      <c r="D64" s="7" t="str">
        <f>alimentos[[#This Row],[Item]]</f>
        <v>Bala Pacote (70g)</v>
      </c>
      <c r="F64" s="7" t="str">
        <f>higiene[[#This Row],[Item]]</f>
        <v>Desodorante Creme</v>
      </c>
    </row>
    <row r="65" spans="4:6" x14ac:dyDescent="0.25">
      <c r="D65" s="7" t="str">
        <f>alimentos[[#This Row],[Item]]</f>
        <v>Barra de Cereal (1un)</v>
      </c>
      <c r="F65" s="7" t="str">
        <f>higiene[[#This Row],[Item]]</f>
        <v>Desodorante Rollon</v>
      </c>
    </row>
    <row r="66" spans="4:6" x14ac:dyDescent="0.25">
      <c r="D66" s="7" t="str">
        <f>alimentos[[#This Row],[Item]]</f>
        <v>Barra de Cereal (4un)</v>
      </c>
      <c r="F66" s="7" t="str">
        <f>higiene[[#This Row],[Item]]</f>
        <v>Desodorante Spray</v>
      </c>
    </row>
    <row r="67" spans="4:6" x14ac:dyDescent="0.25">
      <c r="D67" s="7" t="str">
        <f>alimentos[[#This Row],[Item]]</f>
        <v>Base para Sorvete (80g)</v>
      </c>
      <c r="F67" s="7" t="str">
        <f>higiene[[#This Row],[Item]]</f>
        <v>Desodorante Spray (02un)</v>
      </c>
    </row>
    <row r="68" spans="4:6" x14ac:dyDescent="0.25">
      <c r="D68" s="7" t="str">
        <f>alimentos[[#This Row],[Item]]</f>
        <v>Batata Palha (120g)</v>
      </c>
      <c r="F68" s="7" t="str">
        <f>higiene[[#This Row],[Item]]</f>
        <v>Detergente (1L)</v>
      </c>
    </row>
    <row r="69" spans="4:6" x14ac:dyDescent="0.25">
      <c r="D69" s="7" t="str">
        <f>alimentos[[#This Row],[Item]]</f>
        <v>Batata Palha (140g)</v>
      </c>
      <c r="F69" s="7" t="str">
        <f>higiene[[#This Row],[Item]]</f>
        <v>Detergente (500mL)</v>
      </c>
    </row>
    <row r="70" spans="4:6" x14ac:dyDescent="0.25">
      <c r="D70" s="7" t="str">
        <f>alimentos[[#This Row],[Item]]</f>
        <v>Batata Palha (1kg)</v>
      </c>
      <c r="F70" s="7" t="str">
        <f>higiene[[#This Row],[Item]]</f>
        <v>Detergente (5L)</v>
      </c>
    </row>
    <row r="71" spans="4:6" x14ac:dyDescent="0.25">
      <c r="D71" s="7" t="str">
        <f>alimentos[[#This Row],[Item]]</f>
        <v>Batata Palha (200g)</v>
      </c>
      <c r="F71" s="7" t="str">
        <f>higiene[[#This Row],[Item]]</f>
        <v>Detergente (6un)</v>
      </c>
    </row>
    <row r="72" spans="4:6" x14ac:dyDescent="0.25">
      <c r="D72" s="7" t="str">
        <f>alimentos[[#This Row],[Item]]</f>
        <v>Batata Palha (400g)</v>
      </c>
      <c r="F72" s="7" t="str">
        <f>higiene[[#This Row],[Item]]</f>
        <v xml:space="preserve">Detergente Concentrado </v>
      </c>
    </row>
    <row r="73" spans="4:6" x14ac:dyDescent="0.25">
      <c r="D73" s="7" t="str">
        <f>alimentos[[#This Row],[Item]]</f>
        <v>Bebida Láctea Baunilha (200mL)</v>
      </c>
      <c r="F73" s="7" t="str">
        <f>higiene[[#This Row],[Item]]</f>
        <v>E</v>
      </c>
    </row>
    <row r="74" spans="4:6" x14ac:dyDescent="0.25">
      <c r="D74" s="7" t="str">
        <f>alimentos[[#This Row],[Item]]</f>
        <v>Bebida Láctea Chocolate (180mL)</v>
      </c>
      <c r="F74" s="7" t="str">
        <f>higiene[[#This Row],[Item]]</f>
        <v>Enxaguante Bucal (250mL)</v>
      </c>
    </row>
    <row r="75" spans="4:6" x14ac:dyDescent="0.25">
      <c r="D75" s="7" t="str">
        <f>alimentos[[#This Row],[Item]]</f>
        <v>Bebida Láctea Chocolate (1L)</v>
      </c>
      <c r="F75" s="7" t="str">
        <f>higiene[[#This Row],[Item]]</f>
        <v>Enxaguante Bucal (350mL)</v>
      </c>
    </row>
    <row r="76" spans="4:6" x14ac:dyDescent="0.25">
      <c r="D76" s="7" t="str">
        <f>alimentos[[#This Row],[Item]]</f>
        <v>Bife Vegetal (400g)</v>
      </c>
      <c r="F76" s="7" t="str">
        <f>higiene[[#This Row],[Item]]</f>
        <v>Enxaguante Bucal (500mL)</v>
      </c>
    </row>
    <row r="77" spans="4:6" x14ac:dyDescent="0.25">
      <c r="D77" s="7" t="str">
        <f>alimentos[[#This Row],[Item]]</f>
        <v>Biscoito de Polvilho Doce (100g)</v>
      </c>
      <c r="F77" s="7" t="str">
        <f>higiene[[#This Row],[Item]]</f>
        <v>Escova de Dente (1un)</v>
      </c>
    </row>
    <row r="78" spans="4:6" x14ac:dyDescent="0.25">
      <c r="D78" s="7" t="str">
        <f>alimentos[[#This Row],[Item]]</f>
        <v>Biscoito de Polvilho Salgado (100g)</v>
      </c>
      <c r="F78" s="7" t="str">
        <f>higiene[[#This Row],[Item]]</f>
        <v>Escova de Dente (2un)</v>
      </c>
    </row>
    <row r="79" spans="4:6" x14ac:dyDescent="0.25">
      <c r="D79" s="7" t="str">
        <f>alimentos[[#This Row],[Item]]</f>
        <v>Biscoito de Polvinho Doce (300g)</v>
      </c>
      <c r="F79" s="7" t="str">
        <f>higiene[[#This Row],[Item]]</f>
        <v>Escova de Dente (3un)</v>
      </c>
    </row>
    <row r="80" spans="4:6" x14ac:dyDescent="0.25">
      <c r="D80" s="7" t="str">
        <f>alimentos[[#This Row],[Item]]</f>
        <v>Biscoito de Polvinho Salgado (300g)</v>
      </c>
      <c r="F80" s="7" t="str">
        <f>higiene[[#This Row],[Item]]</f>
        <v>Escova de Dente (4un)</v>
      </c>
    </row>
    <row r="81" spans="4:6" x14ac:dyDescent="0.25">
      <c r="D81" s="7" t="str">
        <f>alimentos[[#This Row],[Item]]</f>
        <v>Biscoito Doce (140g)</v>
      </c>
      <c r="F81" s="7" t="str">
        <f>higiene[[#This Row],[Item]]</f>
        <v>Escova de Dente (5un)</v>
      </c>
    </row>
    <row r="82" spans="4:6" x14ac:dyDescent="0.25">
      <c r="D82" s="7" t="str">
        <f>alimentos[[#This Row],[Item]]</f>
        <v>Biscoito Doce (140g)</v>
      </c>
      <c r="F82" s="7" t="str">
        <f>higiene[[#This Row],[Item]]</f>
        <v>Esponja (1un)</v>
      </c>
    </row>
    <row r="83" spans="4:6" x14ac:dyDescent="0.25">
      <c r="D83" s="7" t="str">
        <f>alimentos[[#This Row],[Item]]</f>
        <v>Biscoito Doce (170g)</v>
      </c>
      <c r="F83" s="7" t="str">
        <f>higiene[[#This Row],[Item]]</f>
        <v>Esponja (3un)</v>
      </c>
    </row>
    <row r="84" spans="4:6" x14ac:dyDescent="0.25">
      <c r="D84" s="7" t="str">
        <f>alimentos[[#This Row],[Item]]</f>
        <v>Biscoito Doce (200g)</v>
      </c>
      <c r="F84" s="7" t="str">
        <f>higiene[[#This Row],[Item]]</f>
        <v>Esponja (4un)</v>
      </c>
    </row>
    <row r="85" spans="4:6" x14ac:dyDescent="0.25">
      <c r="D85" s="7" t="str">
        <f>alimentos[[#This Row],[Item]]</f>
        <v>Biscoito Doce (300g)</v>
      </c>
      <c r="F85" s="7" t="str">
        <f>higiene[[#This Row],[Item]]</f>
        <v>esponja lã de aço</v>
      </c>
    </row>
    <row r="86" spans="4:6" x14ac:dyDescent="0.25">
      <c r="D86" s="7" t="str">
        <f>alimentos[[#This Row],[Item]]</f>
        <v>Biscoito Doce (330g)</v>
      </c>
      <c r="F86" s="7" t="str">
        <f>higiene[[#This Row],[Item]]</f>
        <v>F</v>
      </c>
    </row>
    <row r="87" spans="4:6" x14ac:dyDescent="0.25">
      <c r="D87" s="7" t="str">
        <f>alimentos[[#This Row],[Item]]</f>
        <v>Biscoito Doce (350g)</v>
      </c>
      <c r="F87" s="7" t="str">
        <f>higiene[[#This Row],[Item]]</f>
        <v>Filtro de Café (30un)</v>
      </c>
    </row>
    <row r="88" spans="4:6" x14ac:dyDescent="0.25">
      <c r="D88" s="7" t="str">
        <f>alimentos[[#This Row],[Item]]</f>
        <v>Biscoito Doce (360g)</v>
      </c>
      <c r="F88" s="7" t="str">
        <f>higiene[[#This Row],[Item]]</f>
        <v>Fio Dental</v>
      </c>
    </row>
    <row r="89" spans="4:6" x14ac:dyDescent="0.25">
      <c r="D89" s="7" t="str">
        <f>alimentos[[#This Row],[Item]]</f>
        <v>Biscoito Doce (375g)</v>
      </c>
      <c r="F89" s="7" t="str">
        <f>higiene[[#This Row],[Item]]</f>
        <v>Fósforo (200un)</v>
      </c>
    </row>
    <row r="90" spans="4:6" x14ac:dyDescent="0.25">
      <c r="D90" s="7" t="str">
        <f>alimentos[[#This Row],[Item]]</f>
        <v>Biscoito Doce (400g)</v>
      </c>
      <c r="F90" s="7" t="str">
        <f>higiene[[#This Row],[Item]]</f>
        <v>Fósforo (40un)</v>
      </c>
    </row>
    <row r="91" spans="4:6" x14ac:dyDescent="0.25">
      <c r="D91" s="7" t="str">
        <f>alimentos[[#This Row],[Item]]</f>
        <v>Biscoito Doce (500g)</v>
      </c>
      <c r="F91" s="7" t="str">
        <f>higiene[[#This Row],[Item]]</f>
        <v>Fósforo (50un)</v>
      </c>
    </row>
    <row r="92" spans="4:6" x14ac:dyDescent="0.25">
      <c r="D92" s="7" t="str">
        <f>alimentos[[#This Row],[Item]]</f>
        <v>Biscoito Doce (60g)</v>
      </c>
      <c r="F92" s="7" t="str">
        <f>higiene[[#This Row],[Item]]</f>
        <v>Fósforo Pacote 10 Caixas (40un)</v>
      </c>
    </row>
    <row r="93" spans="4:6" x14ac:dyDescent="0.25">
      <c r="D93" s="7" t="str">
        <f>alimentos[[#This Row],[Item]]</f>
        <v>Biscoito Doce (90g)</v>
      </c>
      <c r="F93" s="7" t="str">
        <f>higiene[[#This Row],[Item]]</f>
        <v>Fraldas Geriátricas (10un)</v>
      </c>
    </row>
    <row r="94" spans="4:6" x14ac:dyDescent="0.25">
      <c r="D94" s="7" t="str">
        <f>alimentos[[#This Row],[Item]]</f>
        <v>Biscoito Maisena (400g)</v>
      </c>
      <c r="F94" s="7" t="str">
        <f>higiene[[#This Row],[Item]]</f>
        <v>Fraldas Geriátricas (16un)</v>
      </c>
    </row>
    <row r="95" spans="4:6" x14ac:dyDescent="0.25">
      <c r="D95" s="7" t="str">
        <f>alimentos[[#This Row],[Item]]</f>
        <v>Biscoito Salgado (100g)</v>
      </c>
      <c r="F95" s="7" t="str">
        <f>higiene[[#This Row],[Item]]</f>
        <v>Fraldas Geriátricas (18un)</v>
      </c>
    </row>
    <row r="96" spans="4:6" x14ac:dyDescent="0.25">
      <c r="D96" s="7" t="str">
        <f>alimentos[[#This Row],[Item]]</f>
        <v>Biscoito Salgado (110g)</v>
      </c>
      <c r="F96" s="7" t="str">
        <f>higiene[[#This Row],[Item]]</f>
        <v>Fraldas Geriátricas (20un)</v>
      </c>
    </row>
    <row r="97" spans="4:6" x14ac:dyDescent="0.25">
      <c r="D97" s="7" t="str">
        <f>alimentos[[#This Row],[Item]]</f>
        <v>Biscoito Salgado (126g)</v>
      </c>
      <c r="F97" s="7" t="str">
        <f>higiene[[#This Row],[Item]]</f>
        <v>Fraldas Geriátricas (24un)</v>
      </c>
    </row>
    <row r="98" spans="4:6" x14ac:dyDescent="0.25">
      <c r="D98" s="7" t="str">
        <f>alimentos[[#This Row],[Item]]</f>
        <v>Biscoito Salgado (140g)</v>
      </c>
      <c r="F98" s="7" t="str">
        <f>higiene[[#This Row],[Item]]</f>
        <v>Fraldas Geriátricas (30un)</v>
      </c>
    </row>
    <row r="99" spans="4:6" x14ac:dyDescent="0.25">
      <c r="D99" s="7" t="str">
        <f>alimentos[[#This Row],[Item]]</f>
        <v>Biscoito Salgado (145g)</v>
      </c>
      <c r="F99" s="7" t="str">
        <f>higiene[[#This Row],[Item]]</f>
        <v>Fraldas Geriátricas (7un)</v>
      </c>
    </row>
    <row r="100" spans="4:6" x14ac:dyDescent="0.25">
      <c r="D100" s="7" t="str">
        <f>alimentos[[#This Row],[Item]]</f>
        <v>Biscoito Salgado (150g)</v>
      </c>
      <c r="F100" s="7" t="str">
        <f>higiene[[#This Row],[Item]]</f>
        <v>Fraldas Geriátricas (9un)</v>
      </c>
    </row>
    <row r="101" spans="4:6" x14ac:dyDescent="0.25">
      <c r="D101" s="7" t="str">
        <f>alimentos[[#This Row],[Item]]</f>
        <v>Biscoito Salgado (160g)</v>
      </c>
      <c r="F101" s="7" t="str">
        <f>higiene[[#This Row],[Item]]</f>
        <v>Fraldas Infantis (12un)</v>
      </c>
    </row>
    <row r="102" spans="4:6" x14ac:dyDescent="0.25">
      <c r="D102" s="7" t="str">
        <f>alimentos[[#This Row],[Item]]</f>
        <v>Biscoito Salgado (170g)</v>
      </c>
      <c r="F102" s="7" t="str">
        <f>higiene[[#This Row],[Item]]</f>
        <v>Fraldas Infantis (14un)</v>
      </c>
    </row>
    <row r="103" spans="4:6" x14ac:dyDescent="0.25">
      <c r="D103" s="7" t="str">
        <f>alimentos[[#This Row],[Item]]</f>
        <v>Biscoito Salgado (200g)</v>
      </c>
      <c r="F103" s="7" t="str">
        <f>higiene[[#This Row],[Item]]</f>
        <v>Fraldas Infantis (16un)</v>
      </c>
    </row>
    <row r="104" spans="4:6" x14ac:dyDescent="0.25">
      <c r="D104" s="7" t="str">
        <f>alimentos[[#This Row],[Item]]</f>
        <v>Biscoito Salgado (27g)</v>
      </c>
      <c r="F104" s="7" t="str">
        <f>higiene[[#This Row],[Item]]</f>
        <v>Fraldas Infantis (18un)</v>
      </c>
    </row>
    <row r="105" spans="4:6" x14ac:dyDescent="0.25">
      <c r="D105" s="7" t="str">
        <f>alimentos[[#This Row],[Item]]</f>
        <v>Biscoito Salgado (360g)</v>
      </c>
      <c r="F105" s="7" t="str">
        <f>higiene[[#This Row],[Item]]</f>
        <v>Fraldas Infantis (20un)</v>
      </c>
    </row>
    <row r="106" spans="4:6" x14ac:dyDescent="0.25">
      <c r="D106" s="7" t="str">
        <f>alimentos[[#This Row],[Item]]</f>
        <v>Biscoito Salgado (375g)</v>
      </c>
      <c r="F106" s="7" t="str">
        <f>higiene[[#This Row],[Item]]</f>
        <v>Fraldas Infantis (22un)</v>
      </c>
    </row>
    <row r="107" spans="4:6" x14ac:dyDescent="0.25">
      <c r="D107" s="7" t="str">
        <f>alimentos[[#This Row],[Item]]</f>
        <v>Biscoito Salgado (400g)</v>
      </c>
      <c r="F107" s="7" t="str">
        <f>higiene[[#This Row],[Item]]</f>
        <v>Fraldas Infantis (24un)</v>
      </c>
    </row>
    <row r="108" spans="4:6" x14ac:dyDescent="0.25">
      <c r="D108" s="7" t="str">
        <f>alimentos[[#This Row],[Item]]</f>
        <v>Biscoito Salgado (500g)</v>
      </c>
      <c r="F108" s="7" t="str">
        <f>higiene[[#This Row],[Item]]</f>
        <v>Fraldas Infantis (26un)</v>
      </c>
    </row>
    <row r="109" spans="4:6" x14ac:dyDescent="0.25">
      <c r="D109" s="7" t="str">
        <f>alimentos[[#This Row],[Item]]</f>
        <v>Biscoito Salgado (80g)</v>
      </c>
      <c r="F109" s="7" t="str">
        <f>higiene[[#This Row],[Item]]</f>
        <v>Fraldas Infantis (28un)</v>
      </c>
    </row>
    <row r="110" spans="4:6" x14ac:dyDescent="0.25">
      <c r="D110" s="7" t="str">
        <f>alimentos[[#This Row],[Item]]</f>
        <v>Biscoito Salgado (90g)</v>
      </c>
      <c r="F110" s="7" t="str">
        <f>higiene[[#This Row],[Item]]</f>
        <v>Fraldas Infantis (30un)</v>
      </c>
    </row>
    <row r="111" spans="4:6" x14ac:dyDescent="0.25">
      <c r="D111" s="7" t="str">
        <f>alimentos[[#This Row],[Item]]</f>
        <v>Bisnaguinha (300g)</v>
      </c>
      <c r="F111" s="7" t="str">
        <f>higiene[[#This Row],[Item]]</f>
        <v>Fraldas Infantis (32un)</v>
      </c>
    </row>
    <row r="112" spans="4:6" x14ac:dyDescent="0.25">
      <c r="D112" s="7" t="str">
        <f>alimentos[[#This Row],[Item]]</f>
        <v>Bolacha Doce Recheada (122g)</v>
      </c>
      <c r="F112" s="7" t="str">
        <f>higiene[[#This Row],[Item]]</f>
        <v>Fraldas Infantis (34un)</v>
      </c>
    </row>
    <row r="113" spans="4:6" x14ac:dyDescent="0.25">
      <c r="D113" s="7" t="str">
        <f>alimentos[[#This Row],[Item]]</f>
        <v>Bolacha Doce Recheio (100g)</v>
      </c>
      <c r="F113" s="7" t="str">
        <f>higiene[[#This Row],[Item]]</f>
        <v>Fraldas Infantis (36un)</v>
      </c>
    </row>
    <row r="114" spans="4:6" x14ac:dyDescent="0.25">
      <c r="D114" s="7" t="str">
        <f>alimentos[[#This Row],[Item]]</f>
        <v>Bolacha Doce Recheio (110g)</v>
      </c>
      <c r="F114" s="7" t="str">
        <f>higiene[[#This Row],[Item]]</f>
        <v>Fraldas Infantis (38un)</v>
      </c>
    </row>
    <row r="115" spans="4:6" x14ac:dyDescent="0.25">
      <c r="D115" s="7" t="str">
        <f>alimentos[[#This Row],[Item]]</f>
        <v>Bolacha Doce Recheio (112g)</v>
      </c>
      <c r="F115" s="7" t="str">
        <f>higiene[[#This Row],[Item]]</f>
        <v>Fraldas Infantis (40un)</v>
      </c>
    </row>
    <row r="116" spans="4:6" x14ac:dyDescent="0.25">
      <c r="D116" s="7" t="str">
        <f>alimentos[[#This Row],[Item]]</f>
        <v>Bolacha Doce Recheio (115g)</v>
      </c>
      <c r="F116" s="7" t="str">
        <f>higiene[[#This Row],[Item]]</f>
        <v>Fraldas Infantis (42un)</v>
      </c>
    </row>
    <row r="117" spans="4:6" x14ac:dyDescent="0.25">
      <c r="D117" s="7" t="str">
        <f>alimentos[[#This Row],[Item]]</f>
        <v>Bolacha Doce Recheio (120g)</v>
      </c>
      <c r="F117" s="7" t="str">
        <f>higiene[[#This Row],[Item]]</f>
        <v>Fraldas Infantis (44un)</v>
      </c>
    </row>
    <row r="118" spans="4:6" x14ac:dyDescent="0.25">
      <c r="D118" s="7" t="str">
        <f>alimentos[[#This Row],[Item]]</f>
        <v>Bolacha Doce Recheio (126g)</v>
      </c>
      <c r="F118" s="7" t="str">
        <f>higiene[[#This Row],[Item]]</f>
        <v>Fraldas Infantis (46un)</v>
      </c>
    </row>
    <row r="119" spans="4:6" x14ac:dyDescent="0.25">
      <c r="D119" s="7" t="str">
        <f>alimentos[[#This Row],[Item]]</f>
        <v>Bolacha Doce Recheio (130g)</v>
      </c>
      <c r="F119" s="7" t="str">
        <f>higiene[[#This Row],[Item]]</f>
        <v>Fraldas Infantis (48un)</v>
      </c>
    </row>
    <row r="120" spans="4:6" x14ac:dyDescent="0.25">
      <c r="D120" s="7" t="str">
        <f>alimentos[[#This Row],[Item]]</f>
        <v>Bolacha Doce Recheio (135g)</v>
      </c>
      <c r="F120" s="7" t="str">
        <f>higiene[[#This Row],[Item]]</f>
        <v>Fraldas Infantis (50un)</v>
      </c>
    </row>
    <row r="121" spans="4:6" x14ac:dyDescent="0.25">
      <c r="D121" s="7" t="str">
        <f>alimentos[[#This Row],[Item]]</f>
        <v>Bolacha Doce Recheio (140g)</v>
      </c>
      <c r="F121" s="7" t="str">
        <f>higiene[[#This Row],[Item]]</f>
        <v>Fraldas Infantis (52un)</v>
      </c>
    </row>
    <row r="122" spans="4:6" x14ac:dyDescent="0.25">
      <c r="D122" s="7" t="str">
        <f>alimentos[[#This Row],[Item]]</f>
        <v>Bolacha Doce Recheio (145g)</v>
      </c>
      <c r="F122" s="7" t="str">
        <f>higiene[[#This Row],[Item]]</f>
        <v>Fraldas Infantis (56un)</v>
      </c>
    </row>
    <row r="123" spans="4:6" x14ac:dyDescent="0.25">
      <c r="D123" s="7" t="str">
        <f>alimentos[[#This Row],[Item]]</f>
        <v>Bolacha Doce Recheio (150g)</v>
      </c>
      <c r="F123" s="7" t="str">
        <f>higiene[[#This Row],[Item]]</f>
        <v>Fraldas Infantis (58un)</v>
      </c>
    </row>
    <row r="124" spans="4:6" x14ac:dyDescent="0.25">
      <c r="D124" s="7" t="str">
        <f>alimentos[[#This Row],[Item]]</f>
        <v>Bolacha Doce Recheio (160g)</v>
      </c>
      <c r="F124" s="7" t="str">
        <f>higiene[[#This Row],[Item]]</f>
        <v>Fraldas Infantis (60un)</v>
      </c>
    </row>
    <row r="125" spans="4:6" x14ac:dyDescent="0.25">
      <c r="D125" s="7" t="str">
        <f>alimentos[[#This Row],[Item]]</f>
        <v>Bolacha Doce Recheio (250g)</v>
      </c>
      <c r="F125" s="7" t="str">
        <f>higiene[[#This Row],[Item]]</f>
        <v>Fraldas Infantis (70un)</v>
      </c>
    </row>
    <row r="126" spans="4:6" x14ac:dyDescent="0.25">
      <c r="D126" s="7" t="str">
        <f>alimentos[[#This Row],[Item]]</f>
        <v>Bolacha Doce Recheio (375g)</v>
      </c>
      <c r="F126" s="7" t="str">
        <f>higiene[[#This Row],[Item]]</f>
        <v>Fraldas Infantis (7un)</v>
      </c>
    </row>
    <row r="127" spans="4:6" x14ac:dyDescent="0.25">
      <c r="D127" s="7" t="str">
        <f>alimentos[[#This Row],[Item]]</f>
        <v>Bolacha Doce Recheio (80g)</v>
      </c>
      <c r="F127" s="7" t="str">
        <f>higiene[[#This Row],[Item]]</f>
        <v>Fraldas Infantis (8un)</v>
      </c>
    </row>
    <row r="128" spans="4:6" x14ac:dyDescent="0.25">
      <c r="D128" s="7" t="str">
        <f>alimentos[[#This Row],[Item]]</f>
        <v>Bolacha Doce Recheio (90g)</v>
      </c>
      <c r="F128" s="7" t="str">
        <f>higiene[[#This Row],[Item]]</f>
        <v>G</v>
      </c>
    </row>
    <row r="129" spans="4:6" x14ac:dyDescent="0.25">
      <c r="D129" s="7" t="str">
        <f>alimentos[[#This Row],[Item]]</f>
        <v>Bolacha Doce Recheio (90g)</v>
      </c>
      <c r="F129" s="7" t="str">
        <f>higiene[[#This Row],[Item]]</f>
        <v>Gaze</v>
      </c>
    </row>
    <row r="130" spans="4:6" x14ac:dyDescent="0.25">
      <c r="D130" s="7" t="str">
        <f>alimentos[[#This Row],[Item]]</f>
        <v>Bolacha Maizena (350g)</v>
      </c>
      <c r="F130" s="7" t="str">
        <f>higiene[[#This Row],[Item]]</f>
        <v>Glicerina (250g)</v>
      </c>
    </row>
    <row r="131" spans="4:6" x14ac:dyDescent="0.25">
      <c r="D131" s="7" t="str">
        <f>alimentos[[#This Row],[Item]]</f>
        <v>Bolacha Salg (144g)</v>
      </c>
      <c r="F131" s="7" t="str">
        <f>higiene[[#This Row],[Item]]</f>
        <v>Guardanapo</v>
      </c>
    </row>
    <row r="132" spans="4:6" x14ac:dyDescent="0.25">
      <c r="D132" s="7" t="str">
        <f>alimentos[[#This Row],[Item]]</f>
        <v>Bolacha Salg Recheio (100g)</v>
      </c>
      <c r="F132" s="7" t="str">
        <f>higiene[[#This Row],[Item]]</f>
        <v>H</v>
      </c>
    </row>
    <row r="133" spans="4:6" x14ac:dyDescent="0.25">
      <c r="D133" s="7" t="str">
        <f>alimentos[[#This Row],[Item]]</f>
        <v>Bolacha Salg Recheio (110g)</v>
      </c>
      <c r="F133" s="7" t="str">
        <f>higiene[[#This Row],[Item]]</f>
        <v>Hastes Flexíveis (75un)</v>
      </c>
    </row>
    <row r="134" spans="4:6" x14ac:dyDescent="0.25">
      <c r="D134" s="7" t="str">
        <f>alimentos[[#This Row],[Item]]</f>
        <v>Bolacha Salg Recheio (140g)</v>
      </c>
      <c r="F134" s="7" t="str">
        <f>higiene[[#This Row],[Item]]</f>
        <v>Hidratante (150mL)</v>
      </c>
    </row>
    <row r="135" spans="4:6" x14ac:dyDescent="0.25">
      <c r="D135" s="7" t="str">
        <f>alimentos[[#This Row],[Item]]</f>
        <v>Bolacha Salg Recheio (145g)</v>
      </c>
      <c r="F135" s="7" t="str">
        <f>higiene[[#This Row],[Item]]</f>
        <v>Hidratante (200mL)</v>
      </c>
    </row>
    <row r="136" spans="4:6" x14ac:dyDescent="0.25">
      <c r="D136" s="7" t="str">
        <f>alimentos[[#This Row],[Item]]</f>
        <v>Bolacha Salg Recheio (80g)</v>
      </c>
      <c r="F136" s="7" t="str">
        <f>higiene[[#This Row],[Item]]</f>
        <v>Hidratante (400mL)</v>
      </c>
    </row>
    <row r="137" spans="4:6" x14ac:dyDescent="0.25">
      <c r="D137" s="7" t="str">
        <f>alimentos[[#This Row],[Item]]</f>
        <v>Bolinho (35g)</v>
      </c>
      <c r="F137" s="7" t="str">
        <f>higiene[[#This Row],[Item]]</f>
        <v>Hidratante (500mL)</v>
      </c>
    </row>
    <row r="138" spans="4:6" x14ac:dyDescent="0.25">
      <c r="D138" s="7" t="str">
        <f>alimentos[[#This Row],[Item]]</f>
        <v>Bolo (100g)</v>
      </c>
      <c r="F138" s="7" t="str">
        <f>higiene[[#This Row],[Item]]</f>
        <v>Hidratante para Cabelo (300mL)</v>
      </c>
    </row>
    <row r="139" spans="4:6" x14ac:dyDescent="0.25">
      <c r="D139" s="7" t="str">
        <f>alimentos[[#This Row],[Item]]</f>
        <v>Bolo (300g)</v>
      </c>
      <c r="F139" s="7" t="str">
        <f>higiene[[#This Row],[Item]]</f>
        <v>I</v>
      </c>
    </row>
    <row r="140" spans="4:6" x14ac:dyDescent="0.25">
      <c r="D140" s="7" t="str">
        <f>alimentos[[#This Row],[Item]]</f>
        <v>Bolo (380g)</v>
      </c>
      <c r="F140" s="7" t="str">
        <f>higiene[[#This Row],[Item]]</f>
        <v>J</v>
      </c>
    </row>
    <row r="141" spans="4:6" x14ac:dyDescent="0.25">
      <c r="D141" s="7" t="str">
        <f>alimentos[[#This Row],[Item]]</f>
        <v>Bolo (400g)</v>
      </c>
      <c r="F141" s="7" t="str">
        <f>higiene[[#This Row],[Item]]</f>
        <v>Kit Shampoo e Condicionador</v>
      </c>
    </row>
    <row r="142" spans="4:6" x14ac:dyDescent="0.25">
      <c r="D142" s="7" t="str">
        <f>alimentos[[#This Row],[Item]]</f>
        <v>Bolo (450g)</v>
      </c>
      <c r="F142" s="7" t="str">
        <f>higiene[[#This Row],[Item]]</f>
        <v>L</v>
      </c>
    </row>
    <row r="143" spans="4:6" x14ac:dyDescent="0.25">
      <c r="D143" s="7" t="str">
        <f>alimentos[[#This Row],[Item]]</f>
        <v>Bolo de Caneca (70g)</v>
      </c>
      <c r="F143" s="7" t="str">
        <f>higiene[[#This Row],[Item]]</f>
        <v>Lâmina de Barbear (1un)</v>
      </c>
    </row>
    <row r="144" spans="4:6" x14ac:dyDescent="0.25">
      <c r="D144" s="7" t="str">
        <f>alimentos[[#This Row],[Item]]</f>
        <v>Bolo Pronto (250g)</v>
      </c>
      <c r="F144" s="7" t="str">
        <f>higiene[[#This Row],[Item]]</f>
        <v>Lâmina de Barbear (2un)</v>
      </c>
    </row>
    <row r="145" spans="4:6" x14ac:dyDescent="0.25">
      <c r="D145" s="7" t="str">
        <f>alimentos[[#This Row],[Item]]</f>
        <v>Bombom de Cereja (94g)</v>
      </c>
      <c r="F145" s="7" t="str">
        <f>higiene[[#This Row],[Item]]</f>
        <v>Lâmina de Barbear (3un)</v>
      </c>
    </row>
    <row r="146" spans="4:6" x14ac:dyDescent="0.25">
      <c r="D146" s="7" t="str">
        <f>alimentos[[#This Row],[Item]]</f>
        <v>Bombons sortidos (250g)</v>
      </c>
      <c r="F146" s="7" t="str">
        <f>higiene[[#This Row],[Item]]</f>
        <v>Lâmina de Barbear (4un)</v>
      </c>
    </row>
    <row r="147" spans="4:6" x14ac:dyDescent="0.25">
      <c r="D147" s="7" t="str">
        <f>alimentos[[#This Row],[Item]]</f>
        <v>C</v>
      </c>
      <c r="F147" s="7" t="str">
        <f>higiene[[#This Row],[Item]]</f>
        <v>Lâmina de Barbear (5un)</v>
      </c>
    </row>
    <row r="148" spans="4:6" x14ac:dyDescent="0.25">
      <c r="D148" s="7" t="str">
        <f>alimentos[[#This Row],[Item]]</f>
        <v>Café (1kg)</v>
      </c>
      <c r="F148" s="7" t="str">
        <f>higiene[[#This Row],[Item]]</f>
        <v>Lâmina de Barbear (7un)</v>
      </c>
    </row>
    <row r="149" spans="4:6" x14ac:dyDescent="0.25">
      <c r="D149" s="7" t="str">
        <f>alimentos[[#This Row],[Item]]</f>
        <v>Café (250g)</v>
      </c>
      <c r="F149" s="7" t="str">
        <f>higiene[[#This Row],[Item]]</f>
        <v>Lâmina de Barbear (8un)</v>
      </c>
    </row>
    <row r="150" spans="4:6" x14ac:dyDescent="0.25">
      <c r="D150" s="7" t="str">
        <f>alimentos[[#This Row],[Item]]</f>
        <v>Café (500g)</v>
      </c>
      <c r="F150" s="7" t="str">
        <f>higiene[[#This Row],[Item]]</f>
        <v>Lâmina Refil (2un)</v>
      </c>
    </row>
    <row r="151" spans="4:6" x14ac:dyDescent="0.25">
      <c r="D151" s="7" t="str">
        <f>alimentos[[#This Row],[Item]]</f>
        <v>Café Solúvel (50g)</v>
      </c>
      <c r="F151" s="7" t="str">
        <f>higiene[[#This Row],[Item]]</f>
        <v>Lâmina Refil (4un)</v>
      </c>
    </row>
    <row r="152" spans="4:6" x14ac:dyDescent="0.25">
      <c r="D152" s="7" t="str">
        <f>alimentos[[#This Row],[Item]]</f>
        <v>Caixa de Bombons (300g)</v>
      </c>
      <c r="F152" s="7" t="str">
        <f>higiene[[#This Row],[Item]]</f>
        <v>Lâmina Refil (5un)</v>
      </c>
    </row>
    <row r="153" spans="4:6" x14ac:dyDescent="0.25">
      <c r="D153" s="7" t="str">
        <f>alimentos[[#This Row],[Item]]</f>
        <v>Caldo de Carne (19g)</v>
      </c>
      <c r="F153" s="7" t="str">
        <f>higiene[[#This Row],[Item]]</f>
        <v>Lava Roupas em Pó (1kg)</v>
      </c>
    </row>
    <row r="154" spans="4:6" x14ac:dyDescent="0.25">
      <c r="D154" s="7" t="str">
        <f>alimentos[[#This Row],[Item]]</f>
        <v>Caldo Galinha (50g)</v>
      </c>
      <c r="F154" s="7" t="str">
        <f>higiene[[#This Row],[Item]]</f>
        <v>Lava Roupas em Pó (800g)</v>
      </c>
    </row>
    <row r="155" spans="4:6" x14ac:dyDescent="0.25">
      <c r="D155" s="7" t="str">
        <f>alimentos[[#This Row],[Item]]</f>
        <v>Caldo Knorr (114g)</v>
      </c>
      <c r="F155" s="7" t="str">
        <f>higiene[[#This Row],[Item]]</f>
        <v>Lava Roupas Líquido (900mL)</v>
      </c>
    </row>
    <row r="156" spans="4:6" x14ac:dyDescent="0.25">
      <c r="D156" s="7" t="str">
        <f>alimentos[[#This Row],[Item]]</f>
        <v>Caldo Verde (17g)</v>
      </c>
      <c r="F156" s="7" t="str">
        <f>higiene[[#This Row],[Item]]</f>
        <v>Lenços de Papel (50un)</v>
      </c>
    </row>
    <row r="157" spans="4:6" x14ac:dyDescent="0.25">
      <c r="D157" s="7" t="str">
        <f>alimentos[[#This Row],[Item]]</f>
        <v>Canjica (500g)</v>
      </c>
      <c r="F157" s="7" t="str">
        <f>higiene[[#This Row],[Item]]</f>
        <v>Lenços Papel (100un)</v>
      </c>
    </row>
    <row r="158" spans="4:6" x14ac:dyDescent="0.25">
      <c r="D158" s="7" t="str">
        <f>alimentos[[#This Row],[Item]]</f>
        <v>Cappuccino (200g)</v>
      </c>
      <c r="F158" s="7" t="str">
        <f>higiene[[#This Row],[Item]]</f>
        <v>Lenços Umedecidos (40un)</v>
      </c>
    </row>
    <row r="159" spans="4:6" x14ac:dyDescent="0.25">
      <c r="D159" s="7" t="str">
        <f>alimentos[[#This Row],[Item]]</f>
        <v>Cappuccino (20g)</v>
      </c>
      <c r="F159" s="7" t="str">
        <f>higiene[[#This Row],[Item]]</f>
        <v>Lenços Umedecidos (48 un)</v>
      </c>
    </row>
    <row r="160" spans="4:6" x14ac:dyDescent="0.25">
      <c r="D160" s="7" t="str">
        <f>alimentos[[#This Row],[Item]]</f>
        <v>Cereal (120g)</v>
      </c>
      <c r="F160" s="7" t="str">
        <f>higiene[[#This Row],[Item]]</f>
        <v>Lenços Umedecidos (75un)</v>
      </c>
    </row>
    <row r="161" spans="4:6" x14ac:dyDescent="0.25">
      <c r="D161" s="7" t="str">
        <f>alimentos[[#This Row],[Item]]</f>
        <v>Cereal Infantil (230g)</v>
      </c>
      <c r="F161" s="7" t="str">
        <f>higiene[[#This Row],[Item]]</f>
        <v>Limpa Vidros</v>
      </c>
    </row>
    <row r="162" spans="4:6" x14ac:dyDescent="0.25">
      <c r="D162" s="7" t="str">
        <f>alimentos[[#This Row],[Item]]</f>
        <v>Cevada (500g)</v>
      </c>
      <c r="F162" s="7" t="str">
        <f>higiene[[#This Row],[Item]]</f>
        <v>Limpador (1L)</v>
      </c>
    </row>
    <row r="163" spans="4:6" x14ac:dyDescent="0.25">
      <c r="D163" s="7" t="str">
        <f>alimentos[[#This Row],[Item]]</f>
        <v xml:space="preserve">Chá </v>
      </c>
      <c r="F163" s="7" t="str">
        <f>higiene[[#This Row],[Item]]</f>
        <v>Limpador (2L)</v>
      </c>
    </row>
    <row r="164" spans="4:6" x14ac:dyDescent="0.25">
      <c r="D164" s="7" t="str">
        <f>alimentos[[#This Row],[Item]]</f>
        <v>Chá (100g)</v>
      </c>
      <c r="F164" s="7" t="str">
        <f>higiene[[#This Row],[Item]]</f>
        <v>Limpador (500mL)</v>
      </c>
    </row>
    <row r="165" spans="4:6" x14ac:dyDescent="0.25">
      <c r="D165" s="7" t="str">
        <f>alimentos[[#This Row],[Item]]</f>
        <v>Chá (10un)</v>
      </c>
      <c r="F165" s="7" t="str">
        <f>higiene[[#This Row],[Item]]</f>
        <v>Loção Pós-Barba</v>
      </c>
    </row>
    <row r="166" spans="4:6" x14ac:dyDescent="0.25">
      <c r="D166" s="7" t="str">
        <f>alimentos[[#This Row],[Item]]</f>
        <v>Chá (12g)</v>
      </c>
      <c r="F166" s="7" t="str">
        <f>higiene[[#This Row],[Item]]</f>
        <v>Lustra Móveis (200mL)</v>
      </c>
    </row>
    <row r="167" spans="4:6" x14ac:dyDescent="0.25">
      <c r="D167" s="7" t="str">
        <f>alimentos[[#This Row],[Item]]</f>
        <v>Chá (15un)</v>
      </c>
      <c r="F167" s="7" t="str">
        <f>higiene[[#This Row],[Item]]</f>
        <v>M</v>
      </c>
    </row>
    <row r="168" spans="4:6" x14ac:dyDescent="0.25">
      <c r="D168" s="7" t="str">
        <f>alimentos[[#This Row],[Item]]</f>
        <v>Chá (22,5g)</v>
      </c>
      <c r="F168" s="7" t="str">
        <f>higiene[[#This Row],[Item]]</f>
        <v>Multiuso (1L)</v>
      </c>
    </row>
    <row r="169" spans="4:6" x14ac:dyDescent="0.25">
      <c r="D169" s="7" t="str">
        <f>alimentos[[#This Row],[Item]]</f>
        <v>Chá (250g)</v>
      </c>
      <c r="F169" s="7" t="str">
        <f>higiene[[#This Row],[Item]]</f>
        <v>Multiuso (200ml)</v>
      </c>
    </row>
    <row r="170" spans="4:6" x14ac:dyDescent="0.25">
      <c r="D170" s="7" t="str">
        <f>alimentos[[#This Row],[Item]]</f>
        <v>Chá (32g)</v>
      </c>
      <c r="F170" s="7" t="str">
        <f>higiene[[#This Row],[Item]]</f>
        <v>Multiuso (450mL)</v>
      </c>
    </row>
    <row r="171" spans="4:6" x14ac:dyDescent="0.25">
      <c r="D171" s="7" t="str">
        <f>alimentos[[#This Row],[Item]]</f>
        <v>Chá (40g)</v>
      </c>
      <c r="F171" s="7" t="str">
        <f>higiene[[#This Row],[Item]]</f>
        <v>Multiuso (500mL)</v>
      </c>
    </row>
    <row r="172" spans="4:6" x14ac:dyDescent="0.25">
      <c r="D172" s="7" t="str">
        <f>alimentos[[#This Row],[Item]]</f>
        <v>Chimarrão (500g)</v>
      </c>
      <c r="F172" s="7" t="str">
        <f>higiene[[#This Row],[Item]]</f>
        <v>Multiuso (750mL)</v>
      </c>
    </row>
    <row r="173" spans="4:6" x14ac:dyDescent="0.25">
      <c r="D173" s="7" t="str">
        <f>alimentos[[#This Row],[Item]]</f>
        <v>Chocolate (126g)</v>
      </c>
      <c r="F173" s="7" t="str">
        <f>higiene[[#This Row],[Item]]</f>
        <v>Multiuso Pacote 3 Unidades (500mL)</v>
      </c>
    </row>
    <row r="174" spans="4:6" x14ac:dyDescent="0.25">
      <c r="D174" s="7" t="str">
        <f>alimentos[[#This Row],[Item]]</f>
        <v>Chocolate Barra (100g)</v>
      </c>
      <c r="F174" s="7" t="str">
        <f>higiene[[#This Row],[Item]]</f>
        <v>N</v>
      </c>
    </row>
    <row r="175" spans="4:6" x14ac:dyDescent="0.25">
      <c r="D175" s="7" t="str">
        <f>alimentos[[#This Row],[Item]]</f>
        <v>Chocolate Barra (41,5g)</v>
      </c>
      <c r="F175" s="7" t="str">
        <f>higiene[[#This Row],[Item]]</f>
        <v>O</v>
      </c>
    </row>
    <row r="176" spans="4:6" x14ac:dyDescent="0.25">
      <c r="D176" s="7" t="str">
        <f>alimentos[[#This Row],[Item]]</f>
        <v>Chocolate Bis (126g)</v>
      </c>
      <c r="F176" s="7" t="str">
        <f>higiene[[#This Row],[Item]]</f>
        <v>P</v>
      </c>
    </row>
    <row r="177" spans="4:6" x14ac:dyDescent="0.25">
      <c r="D177" s="7" t="str">
        <f>alimentos[[#This Row],[Item]]</f>
        <v>Chocotone (90g)</v>
      </c>
      <c r="F177" s="7" t="str">
        <f>higiene[[#This Row],[Item]]</f>
        <v>Pano de Limpeza (5un)</v>
      </c>
    </row>
    <row r="178" spans="4:6" x14ac:dyDescent="0.25">
      <c r="D178" s="7" t="str">
        <f>alimentos[[#This Row],[Item]]</f>
        <v>Club Social (1un)</v>
      </c>
      <c r="F178" s="7" t="str">
        <f>higiene[[#This Row],[Item]]</f>
        <v>Papel Higiênico (12un)</v>
      </c>
    </row>
    <row r="179" spans="4:6" x14ac:dyDescent="0.25">
      <c r="D179" s="7" t="str">
        <f>alimentos[[#This Row],[Item]]</f>
        <v>Club Social (6un)</v>
      </c>
      <c r="F179" s="7" t="str">
        <f>higiene[[#This Row],[Item]]</f>
        <v>Papel Higiênico (16un)</v>
      </c>
    </row>
    <row r="180" spans="4:6" x14ac:dyDescent="0.25">
      <c r="D180" s="7" t="str">
        <f>alimentos[[#This Row],[Item]]</f>
        <v>Cocada (300g)</v>
      </c>
      <c r="F180" s="7" t="str">
        <f>higiene[[#This Row],[Item]]</f>
        <v>Papel Higiênico (24un)</v>
      </c>
    </row>
    <row r="181" spans="4:6" x14ac:dyDescent="0.25">
      <c r="D181" s="7" t="str">
        <f>alimentos[[#This Row],[Item]]</f>
        <v>Coco Ralado (100g)</v>
      </c>
      <c r="F181" s="7" t="str">
        <f>higiene[[#This Row],[Item]]</f>
        <v>Papel Higiênico (44uni)</v>
      </c>
    </row>
    <row r="182" spans="4:6" x14ac:dyDescent="0.25">
      <c r="D182" s="7" t="str">
        <f>alimentos[[#This Row],[Item]]</f>
        <v>Coco Ralado (50g)</v>
      </c>
      <c r="F182" s="7" t="str">
        <f>higiene[[#This Row],[Item]]</f>
        <v>Papel Higiênico (4un)</v>
      </c>
    </row>
    <row r="183" spans="4:6" x14ac:dyDescent="0.25">
      <c r="D183" s="7" t="str">
        <f>alimentos[[#This Row],[Item]]</f>
        <v>Cookie (400g)</v>
      </c>
      <c r="F183" s="7" t="str">
        <f>higiene[[#This Row],[Item]]</f>
        <v>Papel Higiênico (8un)</v>
      </c>
    </row>
    <row r="184" spans="4:6" x14ac:dyDescent="0.25">
      <c r="D184" s="7" t="str">
        <f>alimentos[[#This Row],[Item]]</f>
        <v>Creme de Cebola em Pó (68g)</v>
      </c>
      <c r="F184" s="7" t="str">
        <f>higiene[[#This Row],[Item]]</f>
        <v>Papel Manteiga (7,5m)</v>
      </c>
    </row>
    <row r="185" spans="4:6" x14ac:dyDescent="0.25">
      <c r="D185" s="7" t="str">
        <f>alimentos[[#This Row],[Item]]</f>
        <v>Creme de Leite (200g)</v>
      </c>
      <c r="F185" s="7" t="str">
        <f>higiene[[#This Row],[Item]]</f>
        <v>Papel Toalha (12un)</v>
      </c>
    </row>
    <row r="186" spans="4:6" x14ac:dyDescent="0.25">
      <c r="D186" s="7" t="str">
        <f>alimentos[[#This Row],[Item]]</f>
        <v>Cuscuz (500g)</v>
      </c>
      <c r="F186" s="7" t="str">
        <f>higiene[[#This Row],[Item]]</f>
        <v>Papel Toalha (2un)</v>
      </c>
    </row>
    <row r="187" spans="4:6" x14ac:dyDescent="0.25">
      <c r="D187" s="7" t="str">
        <f>alimentos[[#This Row],[Item]]</f>
        <v>D</v>
      </c>
      <c r="F187" s="7" t="str">
        <f>higiene[[#This Row],[Item]]</f>
        <v>Pasta de Dente (100g)</v>
      </c>
    </row>
    <row r="188" spans="4:6" x14ac:dyDescent="0.25">
      <c r="D188" s="7" t="str">
        <f>alimentos[[#This Row],[Item]]</f>
        <v>Doce de Abóbora (220g)</v>
      </c>
      <c r="F188" s="7" t="str">
        <f>higiene[[#This Row],[Item]]</f>
        <v>Pasta de Dente (120g)</v>
      </c>
    </row>
    <row r="189" spans="4:6" x14ac:dyDescent="0.25">
      <c r="D189" s="7" t="str">
        <f>alimentos[[#This Row],[Item]]</f>
        <v>Doce de Leite (250g)</v>
      </c>
      <c r="F189" s="7" t="str">
        <f>higiene[[#This Row],[Item]]</f>
        <v>Pasta de Dente (140g)</v>
      </c>
    </row>
    <row r="190" spans="4:6" x14ac:dyDescent="0.25">
      <c r="D190" s="7" t="str">
        <f>alimentos[[#This Row],[Item]]</f>
        <v>Doce de Leite (300g)</v>
      </c>
      <c r="F190" s="7" t="str">
        <f>higiene[[#This Row],[Item]]</f>
        <v>Pasta de Dente (180g)</v>
      </c>
    </row>
    <row r="191" spans="4:6" x14ac:dyDescent="0.25">
      <c r="D191" s="7" t="str">
        <f>alimentos[[#This Row],[Item]]</f>
        <v>Doce de Leite (400g)</v>
      </c>
      <c r="F191" s="7" t="str">
        <f>higiene[[#This Row],[Item]]</f>
        <v>Pasta de Dente (30g)</v>
      </c>
    </row>
    <row r="192" spans="4:6" x14ac:dyDescent="0.25">
      <c r="D192" s="7" t="str">
        <f>alimentos[[#This Row],[Item]]</f>
        <v>E</v>
      </c>
      <c r="F192" s="7" t="str">
        <f>higiene[[#This Row],[Item]]</f>
        <v>Pasta de Dente (50g)</v>
      </c>
    </row>
    <row r="193" spans="4:6" x14ac:dyDescent="0.25">
      <c r="D193" s="7" t="str">
        <f>alimentos[[#This Row],[Item]]</f>
        <v>Erva-Doce (40g)</v>
      </c>
      <c r="F193" s="7" t="str">
        <f>higiene[[#This Row],[Item]]</f>
        <v>Pasta de Dente (70g)</v>
      </c>
    </row>
    <row r="194" spans="4:6" x14ac:dyDescent="0.25">
      <c r="D194" s="7" t="str">
        <f>alimentos[[#This Row],[Item]]</f>
        <v>Ervilha Lata (200g)</v>
      </c>
      <c r="F194" s="7" t="str">
        <f>higiene[[#This Row],[Item]]</f>
        <v>Pasta de Dente (90g)</v>
      </c>
    </row>
    <row r="195" spans="4:6" x14ac:dyDescent="0.25">
      <c r="D195" s="7" t="str">
        <f>alimentos[[#This Row],[Item]]</f>
        <v>Ervilha Lata (280g)</v>
      </c>
      <c r="F195" s="7" t="str">
        <f>higiene[[#This Row],[Item]]</f>
        <v>Pasta de Dente Pacote 3 Unidades (70g)</v>
      </c>
    </row>
    <row r="196" spans="4:6" x14ac:dyDescent="0.25">
      <c r="D196" s="7" t="str">
        <f>alimentos[[#This Row],[Item]]</f>
        <v>Ervilha Lata (300g)</v>
      </c>
      <c r="F196" s="7" t="str">
        <f>higiene[[#This Row],[Item]]</f>
        <v>Perfume (100mL)</v>
      </c>
    </row>
    <row r="197" spans="4:6" x14ac:dyDescent="0.25">
      <c r="D197" s="7" t="str">
        <f>alimentos[[#This Row],[Item]]</f>
        <v>Ervilha Sachê (300g)</v>
      </c>
      <c r="F197" s="7" t="str">
        <f>higiene[[#This Row],[Item]]</f>
        <v>Perfume de Bebê (500 mL)</v>
      </c>
    </row>
    <row r="198" spans="4:6" x14ac:dyDescent="0.25">
      <c r="D198" s="7" t="str">
        <f>alimentos[[#This Row],[Item]]</f>
        <v>Ervilha Seca (500g)</v>
      </c>
      <c r="F198" s="7" t="str">
        <f>higiene[[#This Row],[Item]]</f>
        <v>Polvilho Antisséptico (100g)</v>
      </c>
    </row>
    <row r="199" spans="4:6" x14ac:dyDescent="0.25">
      <c r="D199" s="7" t="str">
        <f>alimentos[[#This Row],[Item]]</f>
        <v>Espumante (660mL)</v>
      </c>
      <c r="F199" s="7" t="str">
        <f>higiene[[#This Row],[Item]]</f>
        <v>Pregadores (10un)</v>
      </c>
    </row>
    <row r="200" spans="4:6" x14ac:dyDescent="0.25">
      <c r="D200" s="7" t="str">
        <f>alimentos[[#This Row],[Item]]</f>
        <v>Extrato de Tomate (130g)</v>
      </c>
      <c r="F200" s="7" t="str">
        <f>higiene[[#This Row],[Item]]</f>
        <v>Protetor Solar (400mL)</v>
      </c>
    </row>
    <row r="201" spans="4:6" x14ac:dyDescent="0.25">
      <c r="D201" s="7" t="str">
        <f>alimentos[[#This Row],[Item]]</f>
        <v>Extrato de Tomate (140g)</v>
      </c>
      <c r="F201" s="7" t="str">
        <f>higiene[[#This Row],[Item]]</f>
        <v>Q</v>
      </c>
    </row>
    <row r="202" spans="4:6" x14ac:dyDescent="0.25">
      <c r="D202" s="7" t="str">
        <f>alimentos[[#This Row],[Item]]</f>
        <v>Extrato de Tomate (190g)</v>
      </c>
      <c r="F202" s="7" t="str">
        <f>higiene[[#This Row],[Item]]</f>
        <v>Querosene (1L)</v>
      </c>
    </row>
    <row r="203" spans="4:6" x14ac:dyDescent="0.25">
      <c r="D203" s="7" t="str">
        <f>alimentos[[#This Row],[Item]]</f>
        <v>Extrato de Tomate (280g)</v>
      </c>
      <c r="F203" s="7" t="str">
        <f>higiene[[#This Row],[Item]]</f>
        <v>Querosene (500mL)</v>
      </c>
    </row>
    <row r="204" spans="4:6" x14ac:dyDescent="0.25">
      <c r="D204" s="7" t="str">
        <f>alimentos[[#This Row],[Item]]</f>
        <v>Extrato de Tomate (320g)</v>
      </c>
      <c r="F204" s="7" t="str">
        <f>higiene[[#This Row],[Item]]</f>
        <v>Querosene (900mL)</v>
      </c>
    </row>
    <row r="205" spans="4:6" x14ac:dyDescent="0.25">
      <c r="D205" s="7" t="str">
        <f>alimentos[[#This Row],[Item]]</f>
        <v>Extrato de Tomate (340g)</v>
      </c>
      <c r="F205" s="7" t="str">
        <f>higiene[[#This Row],[Item]]</f>
        <v>R</v>
      </c>
    </row>
    <row r="206" spans="4:6" x14ac:dyDescent="0.25">
      <c r="D206" s="7" t="str">
        <f>alimentos[[#This Row],[Item]]</f>
        <v>Extrato de Tomate (375g)</v>
      </c>
      <c r="F206" s="7" t="str">
        <f>higiene[[#This Row],[Item]]</f>
        <v>Roupa Íntima Descartável</v>
      </c>
    </row>
    <row r="207" spans="4:6" x14ac:dyDescent="0.25">
      <c r="D207" s="7" t="str">
        <f>alimentos[[#This Row],[Item]]</f>
        <v>Extrato de Tomate (400g)</v>
      </c>
      <c r="F207" s="7" t="str">
        <f>higiene[[#This Row],[Item]]</f>
        <v>S</v>
      </c>
    </row>
    <row r="208" spans="4:6" x14ac:dyDescent="0.25">
      <c r="D208" s="7" t="str">
        <f>alimentos[[#This Row],[Item]]</f>
        <v>Extrato de Tomate (520g)</v>
      </c>
      <c r="F208" s="7" t="str">
        <f>higiene[[#This Row],[Item]]</f>
        <v>Sabão em Barra (1un)</v>
      </c>
    </row>
    <row r="209" spans="4:6" x14ac:dyDescent="0.25">
      <c r="D209" s="7" t="str">
        <f>alimentos[[#This Row],[Item]]</f>
        <v>F</v>
      </c>
      <c r="F209" s="7" t="str">
        <f>higiene[[#This Row],[Item]]</f>
        <v>Sabão em Barra (5un)</v>
      </c>
    </row>
    <row r="210" spans="4:6" x14ac:dyDescent="0.25">
      <c r="D210" s="7" t="str">
        <f>alimentos[[#This Row],[Item]]</f>
        <v>Farinha de Arroz (1kg)</v>
      </c>
      <c r="F210" s="7" t="str">
        <f>higiene[[#This Row],[Item]]</f>
        <v>Sabao em Pó (1,6kg)</v>
      </c>
    </row>
    <row r="211" spans="4:6" x14ac:dyDescent="0.25">
      <c r="D211" s="7" t="str">
        <f>alimentos[[#This Row],[Item]]</f>
        <v>Farinha de Aveia (170g)</v>
      </c>
      <c r="F211" s="7" t="str">
        <f>higiene[[#This Row],[Item]]</f>
        <v>Sabão em Pó (1kg)</v>
      </c>
    </row>
    <row r="212" spans="4:6" x14ac:dyDescent="0.25">
      <c r="D212" s="7" t="str">
        <f>alimentos[[#This Row],[Item]]</f>
        <v>Farinha de Kibe (500g)</v>
      </c>
      <c r="F212" s="7" t="str">
        <f>higiene[[#This Row],[Item]]</f>
        <v>Sabão em Pó (2,8kg)</v>
      </c>
    </row>
    <row r="213" spans="4:6" x14ac:dyDescent="0.25">
      <c r="D213" s="7" t="str">
        <f>alimentos[[#This Row],[Item]]</f>
        <v>Farinha de Mandioca (1kg)</v>
      </c>
      <c r="F213" s="7" t="str">
        <f>higiene[[#This Row],[Item]]</f>
        <v>Sabão em Pó (2kg)</v>
      </c>
    </row>
    <row r="214" spans="4:6" x14ac:dyDescent="0.25">
      <c r="D214" s="7" t="str">
        <f>alimentos[[#This Row],[Item]]</f>
        <v>Farinha de Mandioca (300g)</v>
      </c>
      <c r="F214" s="7" t="str">
        <f>higiene[[#This Row],[Item]]</f>
        <v>Sabão em Pó (3kg)</v>
      </c>
    </row>
    <row r="215" spans="4:6" x14ac:dyDescent="0.25">
      <c r="D215" s="7" t="str">
        <f>alimentos[[#This Row],[Item]]</f>
        <v>Farinha de Mandioca (500g)</v>
      </c>
      <c r="F215" s="7" t="str">
        <f>higiene[[#This Row],[Item]]</f>
        <v>Sabão em Pó (400g)</v>
      </c>
    </row>
    <row r="216" spans="4:6" x14ac:dyDescent="0.25">
      <c r="D216" s="7" t="str">
        <f>alimentos[[#This Row],[Item]]</f>
        <v>Farinha de Milho (450g)</v>
      </c>
      <c r="F216" s="7" t="str">
        <f>higiene[[#This Row],[Item]]</f>
        <v>Sabão em Pó (420g)</v>
      </c>
    </row>
    <row r="217" spans="4:6" x14ac:dyDescent="0.25">
      <c r="D217" s="7" t="str">
        <f>alimentos[[#This Row],[Item]]</f>
        <v>Farinha de Milho (500g)</v>
      </c>
      <c r="F217" s="7" t="str">
        <f>higiene[[#This Row],[Item]]</f>
        <v>Sabão em Pó (800g)</v>
      </c>
    </row>
    <row r="218" spans="4:6" x14ac:dyDescent="0.25">
      <c r="D218" s="7" t="str">
        <f>alimentos[[#This Row],[Item]]</f>
        <v>Farinha de Milho Temperada (350g)</v>
      </c>
      <c r="F218" s="7" t="str">
        <f>higiene[[#This Row],[Item]]</f>
        <v>Sabão em Pó (850g)</v>
      </c>
    </row>
    <row r="219" spans="4:6" x14ac:dyDescent="0.25">
      <c r="D219" s="7" t="str">
        <f>alimentos[[#This Row],[Item]]</f>
        <v>Farinha de Rosca (500g)</v>
      </c>
      <c r="F219" s="7" t="str">
        <f>higiene[[#This Row],[Item]]</f>
        <v>Sabão Líquido (1L)</v>
      </c>
    </row>
    <row r="220" spans="4:6" x14ac:dyDescent="0.25">
      <c r="D220" s="7" t="str">
        <f>alimentos[[#This Row],[Item]]</f>
        <v>Farinha de Trigo (1kg)</v>
      </c>
      <c r="F220" s="7" t="str">
        <f>higiene[[#This Row],[Item]]</f>
        <v>Sabão Líquido (1L)</v>
      </c>
    </row>
    <row r="221" spans="4:6" x14ac:dyDescent="0.25">
      <c r="D221" s="7" t="str">
        <f>alimentos[[#This Row],[Item]]</f>
        <v>Farinha Láctea (210g)</v>
      </c>
      <c r="F221" s="7" t="str">
        <f>higiene[[#This Row],[Item]]</f>
        <v>Sabão Líquido (2L)</v>
      </c>
    </row>
    <row r="222" spans="4:6" x14ac:dyDescent="0.25">
      <c r="D222" s="7" t="str">
        <f>alimentos[[#This Row],[Item]]</f>
        <v>Farinha Láctea (230g)</v>
      </c>
      <c r="F222" s="7" t="str">
        <f>higiene[[#This Row],[Item]]</f>
        <v>Sabão Líquido (3L)</v>
      </c>
    </row>
    <row r="223" spans="4:6" x14ac:dyDescent="0.25">
      <c r="D223" s="7" t="str">
        <f>alimentos[[#This Row],[Item]]</f>
        <v>Farofa (150g)</v>
      </c>
      <c r="F223" s="7" t="str">
        <f>higiene[[#This Row],[Item]]</f>
        <v>Sabão Líquido (450mL)</v>
      </c>
    </row>
    <row r="224" spans="4:6" x14ac:dyDescent="0.25">
      <c r="D224" s="7" t="str">
        <f>alimentos[[#This Row],[Item]]</f>
        <v>Farofa (200g)</v>
      </c>
      <c r="F224" s="7" t="str">
        <f>higiene[[#This Row],[Item]]</f>
        <v>Sabão Líquido (5L)</v>
      </c>
    </row>
    <row r="225" spans="4:6" x14ac:dyDescent="0.25">
      <c r="D225" s="7" t="str">
        <f>alimentos[[#This Row],[Item]]</f>
        <v>Farofa (250g)</v>
      </c>
      <c r="F225" s="7" t="str">
        <f>higiene[[#This Row],[Item]]</f>
        <v>Sabonete (100g)</v>
      </c>
    </row>
    <row r="226" spans="4:6" x14ac:dyDescent="0.25">
      <c r="D226" s="7" t="str">
        <f>alimentos[[#This Row],[Item]]</f>
        <v>Farofa (300g)</v>
      </c>
      <c r="F226" s="7" t="str">
        <f>higiene[[#This Row],[Item]]</f>
        <v>Sabonete (125g)</v>
      </c>
    </row>
    <row r="227" spans="4:6" x14ac:dyDescent="0.25">
      <c r="D227" s="7" t="str">
        <f>alimentos[[#This Row],[Item]]</f>
        <v>Farofa (400g)</v>
      </c>
      <c r="F227" s="7" t="str">
        <f>higiene[[#This Row],[Item]]</f>
        <v>Sabonete (150g)</v>
      </c>
    </row>
    <row r="228" spans="4:6" x14ac:dyDescent="0.25">
      <c r="D228" s="7" t="str">
        <f>alimentos[[#This Row],[Item]]</f>
        <v>Farofa (500g)</v>
      </c>
      <c r="F228" s="7" t="str">
        <f>higiene[[#This Row],[Item]]</f>
        <v>Sabonete (180g)</v>
      </c>
    </row>
    <row r="229" spans="4:6" x14ac:dyDescent="0.25">
      <c r="D229" s="7" t="str">
        <f>alimentos[[#This Row],[Item]]</f>
        <v>Farofa de Mandioca (250g)</v>
      </c>
      <c r="F229" s="7" t="str">
        <f>higiene[[#This Row],[Item]]</f>
        <v>Sabonete (200g)</v>
      </c>
    </row>
    <row r="230" spans="4:6" x14ac:dyDescent="0.25">
      <c r="D230" s="7" t="str">
        <f>alimentos[[#This Row],[Item]]</f>
        <v>Farofa de Mandioca (400g)</v>
      </c>
      <c r="F230" s="7" t="str">
        <f>higiene[[#This Row],[Item]]</f>
        <v>Sabonete (3un)</v>
      </c>
    </row>
    <row r="231" spans="4:6" x14ac:dyDescent="0.25">
      <c r="D231" s="7" t="str">
        <f>alimentos[[#This Row],[Item]]</f>
        <v>Feijão (1kg)</v>
      </c>
      <c r="F231" s="7" t="str">
        <f>higiene[[#This Row],[Item]]</f>
        <v>Sabonete (4un)</v>
      </c>
    </row>
    <row r="232" spans="4:6" x14ac:dyDescent="0.25">
      <c r="D232" s="7" t="str">
        <f>alimentos[[#This Row],[Item]]</f>
        <v>Feijão (2kg)</v>
      </c>
      <c r="F232" s="7" t="str">
        <f>higiene[[#This Row],[Item]]</f>
        <v>Sabonete (6un)</v>
      </c>
    </row>
    <row r="233" spans="4:6" x14ac:dyDescent="0.25">
      <c r="D233" s="7" t="str">
        <f>alimentos[[#This Row],[Item]]</f>
        <v>Feijão (500g)</v>
      </c>
      <c r="F233" s="7" t="str">
        <f>higiene[[#This Row],[Item]]</f>
        <v>Sabonete (75g)</v>
      </c>
    </row>
    <row r="234" spans="4:6" x14ac:dyDescent="0.25">
      <c r="D234" s="7" t="str">
        <f>alimentos[[#This Row],[Item]]</f>
        <v>Feijão de Caixa (380g)</v>
      </c>
      <c r="F234" s="7" t="str">
        <f>higiene[[#This Row],[Item]]</f>
        <v>Sabonete (80g)</v>
      </c>
    </row>
    <row r="235" spans="4:6" x14ac:dyDescent="0.25">
      <c r="D235" s="7" t="str">
        <f>alimentos[[#This Row],[Item]]</f>
        <v>Feijão de Caixa (490g)</v>
      </c>
      <c r="F235" s="7" t="str">
        <f>higiene[[#This Row],[Item]]</f>
        <v>Sabonete (84g)</v>
      </c>
    </row>
    <row r="236" spans="4:6" x14ac:dyDescent="0.25">
      <c r="D236" s="7" t="str">
        <f>alimentos[[#This Row],[Item]]</f>
        <v>Feijoada (430g)</v>
      </c>
      <c r="F236" s="7" t="str">
        <f>higiene[[#This Row],[Item]]</f>
        <v>Sabonete (85g)</v>
      </c>
    </row>
    <row r="237" spans="4:6" x14ac:dyDescent="0.25">
      <c r="D237" s="7" t="str">
        <f>alimentos[[#This Row],[Item]]</f>
        <v>Feijoada Enlatada (830g)</v>
      </c>
      <c r="F237" s="7" t="str">
        <f>higiene[[#This Row],[Item]]</f>
        <v>Sabonete (8un)</v>
      </c>
    </row>
    <row r="238" spans="4:6" x14ac:dyDescent="0.25">
      <c r="D238" s="7" t="str">
        <f>alimentos[[#This Row],[Item]]</f>
        <v>Fermento (100g)</v>
      </c>
      <c r="F238" s="7" t="str">
        <f>higiene[[#This Row],[Item]]</f>
        <v>Sabonete (90g)</v>
      </c>
    </row>
    <row r="239" spans="4:6" x14ac:dyDescent="0.25">
      <c r="D239" s="7" t="str">
        <f>alimentos[[#This Row],[Item]]</f>
        <v>Fermento (250g)</v>
      </c>
      <c r="F239" s="7" t="str">
        <f>higiene[[#This Row],[Item]]</f>
        <v>Sabonete Líquido (200mL)</v>
      </c>
    </row>
    <row r="240" spans="4:6" x14ac:dyDescent="0.25">
      <c r="D240" s="7" t="str">
        <f>alimentos[[#This Row],[Item]]</f>
        <v>Figo em Calda (850g)</v>
      </c>
      <c r="F240" s="7" t="str">
        <f>higiene[[#This Row],[Item]]</f>
        <v>Sabonete Líquido (250mL)</v>
      </c>
    </row>
    <row r="241" spans="4:6" x14ac:dyDescent="0.25">
      <c r="D241" s="7" t="str">
        <f>alimentos[[#This Row],[Item]]</f>
        <v>Filtro de Café (30un)</v>
      </c>
      <c r="F241" s="7" t="str">
        <f>higiene[[#This Row],[Item]]</f>
        <v>Sabonete Líquido (500mL)</v>
      </c>
    </row>
    <row r="242" spans="4:6" x14ac:dyDescent="0.25">
      <c r="D242" s="7" t="str">
        <f>alimentos[[#This Row],[Item]]</f>
        <v>Flocos de Arroz (500g)</v>
      </c>
      <c r="F242" s="7" t="str">
        <f>higiene[[#This Row],[Item]]</f>
        <v>Saco de Lixo 100L (5un)</v>
      </c>
    </row>
    <row r="243" spans="4:6" x14ac:dyDescent="0.25">
      <c r="D243" s="7" t="str">
        <f>alimentos[[#This Row],[Item]]</f>
        <v>Flocos de Milho (500g)</v>
      </c>
      <c r="F243" s="7" t="str">
        <f>higiene[[#This Row],[Item]]</f>
        <v>Saco de Lixo 15L (100un)</v>
      </c>
    </row>
    <row r="244" spans="4:6" x14ac:dyDescent="0.25">
      <c r="D244" s="7" t="str">
        <f>alimentos[[#This Row],[Item]]</f>
        <v>Fuba (1kg)</v>
      </c>
      <c r="F244" s="7" t="str">
        <f>higiene[[#This Row],[Item]]</f>
        <v>Saco de Lixo 15L (20un)</v>
      </c>
    </row>
    <row r="245" spans="4:6" x14ac:dyDescent="0.25">
      <c r="D245" s="7" t="str">
        <f>alimentos[[#This Row],[Item]]</f>
        <v>Fuba (500g)</v>
      </c>
      <c r="F245" s="7" t="str">
        <f>higiene[[#This Row],[Item]]</f>
        <v>Saco de Lixo 15L (6un)</v>
      </c>
    </row>
    <row r="246" spans="4:6" x14ac:dyDescent="0.25">
      <c r="D246" s="7" t="str">
        <f>alimentos[[#This Row],[Item]]</f>
        <v>Fuba (5kg)</v>
      </c>
      <c r="F246" s="7" t="str">
        <f>higiene[[#This Row],[Item]]</f>
        <v>Saco de Lixo 30L (50un)</v>
      </c>
    </row>
    <row r="247" spans="4:6" x14ac:dyDescent="0.25">
      <c r="D247" s="7" t="str">
        <f>alimentos[[#This Row],[Item]]</f>
        <v>G</v>
      </c>
      <c r="F247" s="7" t="str">
        <f>higiene[[#This Row],[Item]]</f>
        <v>Saco de Lixo 50L (10un)</v>
      </c>
    </row>
    <row r="248" spans="4:6" x14ac:dyDescent="0.25">
      <c r="D248" s="7" t="str">
        <f>alimentos[[#This Row],[Item]]</f>
        <v>Gatorade (500mL)</v>
      </c>
      <c r="F248" s="7" t="str">
        <f>higiene[[#This Row],[Item]]</f>
        <v>Sanitizante para Tecidos e Roupas (800g)</v>
      </c>
    </row>
    <row r="249" spans="4:6" x14ac:dyDescent="0.25">
      <c r="D249" s="7" t="str">
        <f>alimentos[[#This Row],[Item]]</f>
        <v>Gelatina (12g)</v>
      </c>
      <c r="F249" s="7" t="str">
        <f>higiene[[#This Row],[Item]]</f>
        <v>SBP</v>
      </c>
    </row>
    <row r="250" spans="4:6" x14ac:dyDescent="0.25">
      <c r="D250" s="7" t="str">
        <f>alimentos[[#This Row],[Item]]</f>
        <v>Gelatina (20g)</v>
      </c>
      <c r="F250" s="7" t="str">
        <f>higiene[[#This Row],[Item]]</f>
        <v>Shampoo (175 mL)</v>
      </c>
    </row>
    <row r="251" spans="4:6" x14ac:dyDescent="0.25">
      <c r="D251" s="7" t="str">
        <f>alimentos[[#This Row],[Item]]</f>
        <v>Gelatina (25g)</v>
      </c>
      <c r="F251" s="7" t="str">
        <f>higiene[[#This Row],[Item]]</f>
        <v>Shampoo (250mL)</v>
      </c>
    </row>
    <row r="252" spans="4:6" x14ac:dyDescent="0.25">
      <c r="D252" s="7" t="str">
        <f>alimentos[[#This Row],[Item]]</f>
        <v>Gelatina (25g)</v>
      </c>
      <c r="F252" s="7" t="str">
        <f>higiene[[#This Row],[Item]]</f>
        <v>Shampoo (300mL)</v>
      </c>
    </row>
    <row r="253" spans="4:6" x14ac:dyDescent="0.25">
      <c r="D253" s="7" t="str">
        <f>alimentos[[#This Row],[Item]]</f>
        <v>Gelatina (30g)</v>
      </c>
      <c r="F253" s="7" t="str">
        <f>higiene[[#This Row],[Item]]</f>
        <v>Shampoo (325mL)</v>
      </c>
    </row>
    <row r="254" spans="4:6" x14ac:dyDescent="0.25">
      <c r="D254" s="7" t="str">
        <f>alimentos[[#This Row],[Item]]</f>
        <v>Gelatina (35g)</v>
      </c>
      <c r="F254" s="7" t="str">
        <f>higiene[[#This Row],[Item]]</f>
        <v>Shampoo (350mL)</v>
      </c>
    </row>
    <row r="255" spans="4:6" x14ac:dyDescent="0.25">
      <c r="D255" s="7" t="str">
        <f>alimentos[[#This Row],[Item]]</f>
        <v>Gelatina (50g)</v>
      </c>
      <c r="F255" s="7" t="str">
        <f>higiene[[#This Row],[Item]]</f>
        <v xml:space="preserve">Shampoo (400mL) </v>
      </c>
    </row>
    <row r="256" spans="4:6" x14ac:dyDescent="0.25">
      <c r="D256" s="7" t="str">
        <f>alimentos[[#This Row],[Item]]</f>
        <v>Geléia de Damasco (230g)</v>
      </c>
      <c r="F256" s="7" t="str">
        <f>higiene[[#This Row],[Item]]</f>
        <v>Shampoo (425mL)</v>
      </c>
    </row>
    <row r="257" spans="4:6" x14ac:dyDescent="0.25">
      <c r="D257" s="7" t="str">
        <f>alimentos[[#This Row],[Item]]</f>
        <v>Geléia de Goiaba (100g)</v>
      </c>
      <c r="F257" s="7" t="str">
        <f>higiene[[#This Row],[Item]]</f>
        <v>Shampoo (500mL)</v>
      </c>
    </row>
    <row r="258" spans="4:6" x14ac:dyDescent="0.25">
      <c r="D258" s="7" t="str">
        <f>alimentos[[#This Row],[Item]]</f>
        <v>Goiabada (200g)</v>
      </c>
      <c r="F258" s="7" t="str">
        <f>higiene[[#This Row],[Item]]</f>
        <v>Shampoo e Condicionador (325mL)</v>
      </c>
    </row>
    <row r="259" spans="4:6" x14ac:dyDescent="0.25">
      <c r="D259" s="7" t="str">
        <f>alimentos[[#This Row],[Item]]</f>
        <v>Goiabada (250g)</v>
      </c>
      <c r="F259" s="7" t="str">
        <f>higiene[[#This Row],[Item]]</f>
        <v>T</v>
      </c>
    </row>
    <row r="260" spans="4:6" x14ac:dyDescent="0.25">
      <c r="D260" s="7" t="str">
        <f>alimentos[[#This Row],[Item]]</f>
        <v>Goiabada (300g)</v>
      </c>
      <c r="F260" s="7" t="str">
        <f>higiene[[#This Row],[Item]]</f>
        <v>Talco (100g)</v>
      </c>
    </row>
    <row r="261" spans="4:6" x14ac:dyDescent="0.25">
      <c r="D261" s="7" t="str">
        <f>alimentos[[#This Row],[Item]]</f>
        <v>Goiabada (400g)</v>
      </c>
      <c r="F261" s="7" t="str">
        <f>higiene[[#This Row],[Item]]</f>
        <v>Talco (200g)</v>
      </c>
    </row>
    <row r="262" spans="4:6" x14ac:dyDescent="0.25">
      <c r="D262" s="7" t="str">
        <f>alimentos[[#This Row],[Item]]</f>
        <v>Goiabada (500g)</v>
      </c>
      <c r="F262" s="7" t="str">
        <f>higiene[[#This Row],[Item]]</f>
        <v>Tira Manchas (450g)</v>
      </c>
    </row>
    <row r="263" spans="4:6" x14ac:dyDescent="0.25">
      <c r="D263" s="7" t="str">
        <f>alimentos[[#This Row],[Item]]</f>
        <v>Granulado (130g)</v>
      </c>
      <c r="F263" s="7" t="str">
        <f>higiene[[#This Row],[Item]]</f>
        <v>Tira Manchas (450mL)</v>
      </c>
    </row>
    <row r="264" spans="4:6" x14ac:dyDescent="0.25">
      <c r="D264" s="7" t="str">
        <f>alimentos[[#This Row],[Item]]</f>
        <v>Granulado (150g)</v>
      </c>
      <c r="F264" s="7" t="str">
        <f>higiene[[#This Row],[Item]]</f>
        <v>U</v>
      </c>
    </row>
    <row r="265" spans="4:6" x14ac:dyDescent="0.25">
      <c r="D265" s="7" t="str">
        <f>alimentos[[#This Row],[Item]]</f>
        <v>Granulado (1kg)</v>
      </c>
      <c r="F265" s="7" t="str">
        <f>higiene[[#This Row],[Item]]</f>
        <v>V</v>
      </c>
    </row>
    <row r="266" spans="4:6" x14ac:dyDescent="0.25">
      <c r="D266" s="7" t="str">
        <f>alimentos[[#This Row],[Item]]</f>
        <v>Granulado (500g)</v>
      </c>
    </row>
    <row r="267" spans="4:6" x14ac:dyDescent="0.25">
      <c r="D267" s="7" t="str">
        <f>alimentos[[#This Row],[Item]]</f>
        <v>Granulado (50g)</v>
      </c>
    </row>
    <row r="268" spans="4:6" x14ac:dyDescent="0.25">
      <c r="D268" s="7" t="str">
        <f>alimentos[[#This Row],[Item]]</f>
        <v>Grão de Bico (300g)</v>
      </c>
    </row>
    <row r="269" spans="4:6" x14ac:dyDescent="0.25">
      <c r="D269" s="7" t="str">
        <f>alimentos[[#This Row],[Item]]</f>
        <v>Grão de Bico (500g)</v>
      </c>
    </row>
    <row r="270" spans="4:6" x14ac:dyDescent="0.25">
      <c r="D270" s="7" t="str">
        <f>alimentos[[#This Row],[Item]]</f>
        <v>Grão de Bico (80g)</v>
      </c>
    </row>
    <row r="271" spans="4:6" x14ac:dyDescent="0.25">
      <c r="D271" s="7" t="str">
        <f>alimentos[[#This Row],[Item]]</f>
        <v>H</v>
      </c>
    </row>
    <row r="272" spans="4:6" x14ac:dyDescent="0.25">
      <c r="D272" s="7" t="str">
        <f>alimentos[[#This Row],[Item]]</f>
        <v>I</v>
      </c>
    </row>
    <row r="273" spans="4:4" x14ac:dyDescent="0.25">
      <c r="D273" s="7" t="str">
        <f>alimentos[[#This Row],[Item]]</f>
        <v>J</v>
      </c>
    </row>
    <row r="274" spans="4:4" x14ac:dyDescent="0.25">
      <c r="D274" s="7" t="str">
        <f>alimentos[[#This Row],[Item]]</f>
        <v>Jujuba (500g)</v>
      </c>
    </row>
    <row r="275" spans="4:4" x14ac:dyDescent="0.25">
      <c r="D275" s="7" t="str">
        <f>alimentos[[#This Row],[Item]]</f>
        <v>K</v>
      </c>
    </row>
    <row r="276" spans="4:4" x14ac:dyDescent="0.25">
      <c r="D276" s="7" t="str">
        <f>alimentos[[#This Row],[Item]]</f>
        <v>Ketchup (1kg)</v>
      </c>
    </row>
    <row r="277" spans="4:4" x14ac:dyDescent="0.25">
      <c r="D277" s="7" t="str">
        <f>alimentos[[#This Row],[Item]]</f>
        <v>Ketchup (400g)</v>
      </c>
    </row>
    <row r="278" spans="4:4" x14ac:dyDescent="0.25">
      <c r="D278" s="7" t="str">
        <f>alimentos[[#This Row],[Item]]</f>
        <v>Kibe (500g)</v>
      </c>
    </row>
    <row r="279" spans="4:4" x14ac:dyDescent="0.25">
      <c r="D279" s="7" t="str">
        <f>alimentos[[#This Row],[Item]]</f>
        <v>L</v>
      </c>
    </row>
    <row r="280" spans="4:4" x14ac:dyDescent="0.25">
      <c r="D280" s="7" t="str">
        <f>alimentos[[#This Row],[Item]]</f>
        <v>Leite (12un)</v>
      </c>
    </row>
    <row r="281" spans="4:4" x14ac:dyDescent="0.25">
      <c r="D281" s="7" t="str">
        <f>alimentos[[#This Row],[Item]]</f>
        <v>Leite (1L)</v>
      </c>
    </row>
    <row r="282" spans="4:4" x14ac:dyDescent="0.25">
      <c r="D282" s="7" t="str">
        <f>alimentos[[#This Row],[Item]]</f>
        <v>Leite (6un)</v>
      </c>
    </row>
    <row r="283" spans="4:4" x14ac:dyDescent="0.25">
      <c r="D283" s="7" t="str">
        <f>alimentos[[#This Row],[Item]]</f>
        <v>Leite Condensado (400g)</v>
      </c>
    </row>
    <row r="284" spans="4:4" x14ac:dyDescent="0.25">
      <c r="D284" s="7" t="str">
        <f>alimentos[[#This Row],[Item]]</f>
        <v>Leite de Coco (200mL)</v>
      </c>
    </row>
    <row r="285" spans="4:4" x14ac:dyDescent="0.25">
      <c r="D285" s="7" t="str">
        <f>alimentos[[#This Row],[Item]]</f>
        <v>Leite de Soja (1L)</v>
      </c>
    </row>
    <row r="286" spans="4:4" x14ac:dyDescent="0.25">
      <c r="D286" s="7" t="str">
        <f>alimentos[[#This Row],[Item]]</f>
        <v>Leite em Pó (1kg)</v>
      </c>
    </row>
    <row r="287" spans="4:4" x14ac:dyDescent="0.25">
      <c r="D287" s="7" t="str">
        <f>alimentos[[#This Row],[Item]]</f>
        <v>Leite em Pó (200g)</v>
      </c>
    </row>
    <row r="288" spans="4:4" x14ac:dyDescent="0.25">
      <c r="D288" s="7" t="str">
        <f>alimentos[[#This Row],[Item]]</f>
        <v>Leite em Pó (280g)</v>
      </c>
    </row>
    <row r="289" spans="4:4" x14ac:dyDescent="0.25">
      <c r="D289" s="7" t="str">
        <f>alimentos[[#This Row],[Item]]</f>
        <v>Leite em Pó (300g)</v>
      </c>
    </row>
    <row r="290" spans="4:4" x14ac:dyDescent="0.25">
      <c r="D290" s="7" t="str">
        <f>alimentos[[#This Row],[Item]]</f>
        <v>Leite em Pó (380g)</v>
      </c>
    </row>
    <row r="291" spans="4:4" x14ac:dyDescent="0.25">
      <c r="D291" s="7" t="str">
        <f>alimentos[[#This Row],[Item]]</f>
        <v>Leite em Pó (400g)</v>
      </c>
    </row>
    <row r="292" spans="4:4" x14ac:dyDescent="0.25">
      <c r="D292" s="7" t="str">
        <f>alimentos[[#This Row],[Item]]</f>
        <v>Leite em Pó (500g)</v>
      </c>
    </row>
    <row r="293" spans="4:4" x14ac:dyDescent="0.25">
      <c r="D293" s="7" t="str">
        <f>alimentos[[#This Row],[Item]]</f>
        <v>Leite em Pó (800g)</v>
      </c>
    </row>
    <row r="294" spans="4:4" x14ac:dyDescent="0.25">
      <c r="D294" s="7" t="str">
        <f>alimentos[[#This Row],[Item]]</f>
        <v>Lentilha (1kg)</v>
      </c>
    </row>
    <row r="295" spans="4:4" x14ac:dyDescent="0.25">
      <c r="D295" s="7" t="str">
        <f>alimentos[[#This Row],[Item]]</f>
        <v>Lentilha (200g)</v>
      </c>
    </row>
    <row r="296" spans="4:4" x14ac:dyDescent="0.25">
      <c r="D296" s="7" t="str">
        <f>alimentos[[#This Row],[Item]]</f>
        <v>Lentilha (300g)</v>
      </c>
    </row>
    <row r="297" spans="4:4" x14ac:dyDescent="0.25">
      <c r="D297" s="7" t="str">
        <f>alimentos[[#This Row],[Item]]</f>
        <v>Lentilha (380g)</v>
      </c>
    </row>
    <row r="298" spans="4:4" x14ac:dyDescent="0.25">
      <c r="D298" s="7" t="str">
        <f>alimentos[[#This Row],[Item]]</f>
        <v>Lentilha (500g)</v>
      </c>
    </row>
    <row r="299" spans="4:4" x14ac:dyDescent="0.25">
      <c r="D299" s="7" t="str">
        <f>alimentos[[#This Row],[Item]]</f>
        <v>M</v>
      </c>
    </row>
    <row r="300" spans="4:4" x14ac:dyDescent="0.25">
      <c r="D300" s="7" t="str">
        <f>alimentos[[#This Row],[Item]]</f>
        <v>M&amp;M (45g)</v>
      </c>
    </row>
    <row r="301" spans="4:4" x14ac:dyDescent="0.25">
      <c r="D301" s="7" t="str">
        <f>alimentos[[#This Row],[Item]]</f>
        <v>Macarrão (1kg)</v>
      </c>
    </row>
    <row r="302" spans="4:4" x14ac:dyDescent="0.25">
      <c r="D302" s="7" t="str">
        <f>alimentos[[#This Row],[Item]]</f>
        <v>Macarrão (200g)</v>
      </c>
    </row>
    <row r="303" spans="4:4" x14ac:dyDescent="0.25">
      <c r="D303" s="7" t="str">
        <f>alimentos[[#This Row],[Item]]</f>
        <v>Macarrão (300g)</v>
      </c>
    </row>
    <row r="304" spans="4:4" x14ac:dyDescent="0.25">
      <c r="D304" s="7" t="str">
        <f>alimentos[[#This Row],[Item]]</f>
        <v>Macarrão (500g)</v>
      </c>
    </row>
    <row r="305" spans="4:4" x14ac:dyDescent="0.25">
      <c r="D305" s="7" t="str">
        <f>alimentos[[#This Row],[Item]]</f>
        <v>Maionese (1kg)</v>
      </c>
    </row>
    <row r="306" spans="4:4" x14ac:dyDescent="0.25">
      <c r="D306" s="7" t="str">
        <f>alimentos[[#This Row],[Item]]</f>
        <v>Maionese (200g)</v>
      </c>
    </row>
    <row r="307" spans="4:4" x14ac:dyDescent="0.25">
      <c r="D307" s="7" t="str">
        <f>alimentos[[#This Row],[Item]]</f>
        <v>Maionese (250g)</v>
      </c>
    </row>
    <row r="308" spans="4:4" x14ac:dyDescent="0.25">
      <c r="D308" s="7" t="str">
        <f>alimentos[[#This Row],[Item]]</f>
        <v>Maionese (270g)</v>
      </c>
    </row>
    <row r="309" spans="4:4" x14ac:dyDescent="0.25">
      <c r="D309" s="7" t="str">
        <f>alimentos[[#This Row],[Item]]</f>
        <v>Maionese (300g)</v>
      </c>
    </row>
    <row r="310" spans="4:4" x14ac:dyDescent="0.25">
      <c r="D310" s="7" t="str">
        <f>alimentos[[#This Row],[Item]]</f>
        <v>Maionese (400g)</v>
      </c>
    </row>
    <row r="311" spans="4:4" x14ac:dyDescent="0.25">
      <c r="D311" s="7" t="str">
        <f>alimentos[[#This Row],[Item]]</f>
        <v>Maionese (500g)</v>
      </c>
    </row>
    <row r="312" spans="4:4" x14ac:dyDescent="0.25">
      <c r="D312" s="7" t="str">
        <f>alimentos[[#This Row],[Item]]</f>
        <v>Maionese (700g)</v>
      </c>
    </row>
    <row r="313" spans="4:4" x14ac:dyDescent="0.25">
      <c r="D313" s="7" t="str">
        <f>alimentos[[#This Row],[Item]]</f>
        <v>Maizena (200g)</v>
      </c>
    </row>
    <row r="314" spans="4:4" x14ac:dyDescent="0.25">
      <c r="D314" s="7" t="str">
        <f>alimentos[[#This Row],[Item]]</f>
        <v>Maizena (500g)</v>
      </c>
    </row>
    <row r="315" spans="4:4" x14ac:dyDescent="0.25">
      <c r="D315" s="7" t="str">
        <f>alimentos[[#This Row],[Item]]</f>
        <v>Maria Mole (50g)</v>
      </c>
    </row>
    <row r="316" spans="4:4" x14ac:dyDescent="0.25">
      <c r="D316" s="7" t="str">
        <f>alimentos[[#This Row],[Item]]</f>
        <v>Massa Lasanha (200g)</v>
      </c>
    </row>
    <row r="317" spans="4:4" x14ac:dyDescent="0.25">
      <c r="D317" s="7" t="str">
        <f>alimentos[[#This Row],[Item]]</f>
        <v>Massa Lasanha (500g)</v>
      </c>
    </row>
    <row r="318" spans="4:4" x14ac:dyDescent="0.25">
      <c r="D318" s="7" t="str">
        <f>alimentos[[#This Row],[Item]]</f>
        <v>Milho Conserva (230g)</v>
      </c>
    </row>
    <row r="319" spans="4:4" x14ac:dyDescent="0.25">
      <c r="D319" s="7" t="str">
        <f>alimentos[[#This Row],[Item]]</f>
        <v>Milho Conserva (500g)</v>
      </c>
    </row>
    <row r="320" spans="4:4" x14ac:dyDescent="0.25">
      <c r="D320" s="7" t="str">
        <f>alimentos[[#This Row],[Item]]</f>
        <v>Milho de Pipoca (200g)</v>
      </c>
    </row>
    <row r="321" spans="4:4" x14ac:dyDescent="0.25">
      <c r="D321" s="7" t="str">
        <f>alimentos[[#This Row],[Item]]</f>
        <v>Milho de Pipoca (500g)</v>
      </c>
    </row>
    <row r="322" spans="4:4" x14ac:dyDescent="0.25">
      <c r="D322" s="7" t="str">
        <f>alimentos[[#This Row],[Item]]</f>
        <v>Milho e Ervilha (200g)</v>
      </c>
    </row>
    <row r="323" spans="4:4" x14ac:dyDescent="0.25">
      <c r="D323" s="7" t="str">
        <f>alimentos[[#This Row],[Item]]</f>
        <v>Mingau (230g)</v>
      </c>
    </row>
    <row r="324" spans="4:4" x14ac:dyDescent="0.25">
      <c r="D324" s="7" t="str">
        <f>alimentos[[#This Row],[Item]]</f>
        <v>Miojo (500g)</v>
      </c>
    </row>
    <row r="325" spans="4:4" x14ac:dyDescent="0.25">
      <c r="D325" s="7" t="str">
        <f>alimentos[[#This Row],[Item]]</f>
        <v>Miojo (80g)</v>
      </c>
    </row>
    <row r="326" spans="4:4" x14ac:dyDescent="0.25">
      <c r="D326" s="7" t="str">
        <f>alimentos[[#This Row],[Item]]</f>
        <v>Mistura para Bolo (300g)</v>
      </c>
    </row>
    <row r="327" spans="4:4" x14ac:dyDescent="0.25">
      <c r="D327" s="7" t="str">
        <f>alimentos[[#This Row],[Item]]</f>
        <v>Mistura para Bolo (400g)</v>
      </c>
    </row>
    <row r="328" spans="4:4" x14ac:dyDescent="0.25">
      <c r="D328" s="7" t="str">
        <f>alimentos[[#This Row],[Item]]</f>
        <v>Mistura para Bolo (450g)</v>
      </c>
    </row>
    <row r="329" spans="4:4" x14ac:dyDescent="0.25">
      <c r="D329" s="7" t="str">
        <f>alimentos[[#This Row],[Item]]</f>
        <v>Mistura para Empanar (300g)</v>
      </c>
    </row>
    <row r="330" spans="4:4" x14ac:dyDescent="0.25">
      <c r="D330" s="7" t="str">
        <f>alimentos[[#This Row],[Item]]</f>
        <v>Molho 4 Queijos (300g)</v>
      </c>
    </row>
    <row r="331" spans="4:4" x14ac:dyDescent="0.25">
      <c r="D331" s="7" t="str">
        <f>alimentos[[#This Row],[Item]]</f>
        <v>Molho Curry (210g)</v>
      </c>
    </row>
    <row r="332" spans="4:4" x14ac:dyDescent="0.25">
      <c r="D332" s="7" t="str">
        <f>alimentos[[#This Row],[Item]]</f>
        <v>Molho de Pimenta (150mL)</v>
      </c>
    </row>
    <row r="333" spans="4:4" x14ac:dyDescent="0.25">
      <c r="D333" s="7" t="str">
        <f>alimentos[[#This Row],[Item]]</f>
        <v>Molho de Pimenta (200mL)</v>
      </c>
    </row>
    <row r="334" spans="4:4" x14ac:dyDescent="0.25">
      <c r="D334" s="7" t="str">
        <f>alimentos[[#This Row],[Item]]</f>
        <v>Molho de Tomate (130g)</v>
      </c>
    </row>
    <row r="335" spans="4:4" x14ac:dyDescent="0.25">
      <c r="D335" s="7" t="str">
        <f>alimentos[[#This Row],[Item]]</f>
        <v>Molho de Tomate (190g)</v>
      </c>
    </row>
    <row r="336" spans="4:4" x14ac:dyDescent="0.25">
      <c r="D336" s="7" t="str">
        <f>alimentos[[#This Row],[Item]]</f>
        <v>Molho de Tomate (260g)</v>
      </c>
    </row>
    <row r="337" spans="4:4" x14ac:dyDescent="0.25">
      <c r="D337" s="7" t="str">
        <f>alimentos[[#This Row],[Item]]</f>
        <v>Molho de Tomate (2kg)</v>
      </c>
    </row>
    <row r="338" spans="4:4" x14ac:dyDescent="0.25">
      <c r="D338" s="7" t="str">
        <f>alimentos[[#This Row],[Item]]</f>
        <v>Molho de Tomate (300g)</v>
      </c>
    </row>
    <row r="339" spans="4:4" x14ac:dyDescent="0.25">
      <c r="D339" s="7" t="str">
        <f>alimentos[[#This Row],[Item]]</f>
        <v>Molho de Tomate (320g)</v>
      </c>
    </row>
    <row r="340" spans="4:4" x14ac:dyDescent="0.25">
      <c r="D340" s="7" t="str">
        <f>alimentos[[#This Row],[Item]]</f>
        <v>Molho de Tomate (340g)</v>
      </c>
    </row>
    <row r="341" spans="4:4" x14ac:dyDescent="0.25">
      <c r="D341" s="7" t="str">
        <f>alimentos[[#This Row],[Item]]</f>
        <v>Molho de Tomate (390g)</v>
      </c>
    </row>
    <row r="342" spans="4:4" x14ac:dyDescent="0.25">
      <c r="D342" s="7" t="str">
        <f>alimentos[[#This Row],[Item]]</f>
        <v>Molho de Tomate (400g)</v>
      </c>
    </row>
    <row r="343" spans="4:4" x14ac:dyDescent="0.25">
      <c r="D343" s="7" t="str">
        <f>alimentos[[#This Row],[Item]]</f>
        <v>Molho de Tomate (440g)</v>
      </c>
    </row>
    <row r="344" spans="4:4" x14ac:dyDescent="0.25">
      <c r="D344" s="7" t="str">
        <f>alimentos[[#This Row],[Item]]</f>
        <v>Molho de Tomate (520g)</v>
      </c>
    </row>
    <row r="345" spans="4:4" x14ac:dyDescent="0.25">
      <c r="D345" s="7" t="str">
        <f>alimentos[[#This Row],[Item]]</f>
        <v>Molho de Tomate (680g)</v>
      </c>
    </row>
    <row r="346" spans="4:4" x14ac:dyDescent="0.25">
      <c r="D346" s="7" t="str">
        <f>alimentos[[#This Row],[Item]]</f>
        <v>Molho Yakisoba (300g)</v>
      </c>
    </row>
    <row r="347" spans="4:4" x14ac:dyDescent="0.25">
      <c r="D347" s="7" t="str">
        <f>alimentos[[#This Row],[Item]]</f>
        <v>Mostarda (190g)</v>
      </c>
    </row>
    <row r="348" spans="4:4" x14ac:dyDescent="0.25">
      <c r="D348" s="7" t="str">
        <f>alimentos[[#This Row],[Item]]</f>
        <v>Mostarda (200g)</v>
      </c>
    </row>
    <row r="349" spans="4:4" x14ac:dyDescent="0.25">
      <c r="D349" s="7" t="str">
        <f>alimentos[[#This Row],[Item]]</f>
        <v>N</v>
      </c>
    </row>
    <row r="350" spans="4:4" x14ac:dyDescent="0.25">
      <c r="D350" s="7" t="str">
        <f>alimentos[[#This Row],[Item]]</f>
        <v>Nozes (200g)</v>
      </c>
    </row>
    <row r="351" spans="4:4" x14ac:dyDescent="0.25">
      <c r="D351" s="7" t="str">
        <f>alimentos[[#This Row],[Item]]</f>
        <v>O</v>
      </c>
    </row>
    <row r="352" spans="4:4" x14ac:dyDescent="0.25">
      <c r="D352" s="7" t="str">
        <f>alimentos[[#This Row],[Item]]</f>
        <v>Óleo (200mL)</v>
      </c>
    </row>
    <row r="353" spans="4:4" x14ac:dyDescent="0.25">
      <c r="D353" s="7" t="str">
        <f>alimentos[[#This Row],[Item]]</f>
        <v>Óleo (900mL)</v>
      </c>
    </row>
    <row r="354" spans="4:4" x14ac:dyDescent="0.25">
      <c r="D354" s="7" t="str">
        <f>alimentos[[#This Row],[Item]]</f>
        <v>Orégano (10g)</v>
      </c>
    </row>
    <row r="355" spans="4:4" x14ac:dyDescent="0.25">
      <c r="D355" s="7" t="str">
        <f>alimentos[[#This Row],[Item]]</f>
        <v>P</v>
      </c>
    </row>
    <row r="356" spans="4:4" x14ac:dyDescent="0.25">
      <c r="D356" s="7" t="str">
        <f>alimentos[[#This Row],[Item]]</f>
        <v>Palmito (300g)</v>
      </c>
    </row>
    <row r="357" spans="4:4" x14ac:dyDescent="0.25">
      <c r="D357" s="7" t="str">
        <f>alimentos[[#This Row],[Item]]</f>
        <v>Palmito (500g)</v>
      </c>
    </row>
    <row r="358" spans="4:4" x14ac:dyDescent="0.25">
      <c r="D358" s="7" t="str">
        <f>alimentos[[#This Row],[Item]]</f>
        <v>Palmito (530g)</v>
      </c>
    </row>
    <row r="359" spans="4:4" x14ac:dyDescent="0.25">
      <c r="D359" s="7" t="str">
        <f>alimentos[[#This Row],[Item]]</f>
        <v>Panetone (400g)</v>
      </c>
    </row>
    <row r="360" spans="4:4" x14ac:dyDescent="0.25">
      <c r="D360" s="7" t="str">
        <f>alimentos[[#This Row],[Item]]</f>
        <v>Panetone (500g)</v>
      </c>
    </row>
    <row r="361" spans="4:4" x14ac:dyDescent="0.25">
      <c r="D361" s="7" t="str">
        <f>alimentos[[#This Row],[Item]]</f>
        <v>Panetone (80g)</v>
      </c>
    </row>
    <row r="362" spans="4:4" x14ac:dyDescent="0.25">
      <c r="D362" s="7" t="str">
        <f>alimentos[[#This Row],[Item]]</f>
        <v>Pão de Forma (500g)</v>
      </c>
    </row>
    <row r="363" spans="4:4" x14ac:dyDescent="0.25">
      <c r="D363" s="7" t="str">
        <f>alimentos[[#This Row],[Item]]</f>
        <v>Pão de Mel (200g)</v>
      </c>
    </row>
    <row r="364" spans="4:4" x14ac:dyDescent="0.25">
      <c r="D364" s="7" t="str">
        <f>alimentos[[#This Row],[Item]]</f>
        <v>Pão de Mel (240g)</v>
      </c>
    </row>
  </sheetData>
  <mergeCells count="4">
    <mergeCell ref="E1:F1"/>
    <mergeCell ref="A3:B3"/>
    <mergeCell ref="A6:B6"/>
    <mergeCell ref="A9:B9"/>
  </mergeCells>
  <conditionalFormatting sqref="D5:D364">
    <cfRule type="expression" dxfId="99" priority="10">
      <formula>OR(D5="A",D5="B",D5="C",D5="D",D5="E",D5="F",D5="G",D5="H",D5="I",D5="J",D5="K",D5="L",D5="M",D5="N",D5="O",D5="P",D5="Q",D5="R",D5="S",D5="T",D5="U",D5="V",D5="W",D5="X",D5="Y",D5="Z")</formula>
    </cfRule>
  </conditionalFormatting>
  <conditionalFormatting sqref="F5:F265">
    <cfRule type="expression" dxfId="98" priority="9">
      <formula>OR(F5="A",F5="B",F5="C",F5="D",F5="E",F5="F",F5="G",F5="H",F5="I",F5="J",F5="K",F5="L",F5="M",F5="N",F5="O",F5="P",F5="Q",F5="R",F5="S",F5="T",F5="U",F5="V",F5="W",F5="X",F5="Y",F5="Z")</formula>
    </cfRule>
  </conditionalFormatting>
  <conditionalFormatting sqref="A7">
    <cfRule type="expression" dxfId="97" priority="8">
      <formula>OR(A7="A",A7="B",A7="C",A7="D",A7="E",A7="F",A7="G",A7="H",A7="I",A7="J",A7="K",A7="L",A7="M",A7="N",A7="O",A7="P",A7="Q",A7="R",A7="S",A7="T",A7="U",A7="V",A7="W",A7="X",A7="Y",A7="Z")</formula>
    </cfRule>
  </conditionalFormatting>
  <conditionalFormatting sqref="H5">
    <cfRule type="expression" dxfId="96" priority="4">
      <formula>COUNTIF(lista,H5)=0</formula>
    </cfRule>
  </conditionalFormatting>
  <hyperlinks>
    <hyperlink ref="D1" location="topo1" display="Topo" xr:uid="{00000000-0004-0000-0000-000000000000}"/>
    <hyperlink ref="A3" location="Categorias!A1" display="Categorias" xr:uid="{00000000-0004-0000-0000-000001000000}"/>
    <hyperlink ref="A9:B9" location="'Resumo total'!A1" display="Resumo" xr:uid="{00000000-0004-0000-0000-000002000000}"/>
    <hyperlink ref="A3:B3" location="topocategorias" display="Categorias" xr:uid="{00000000-0004-0000-0000-000003000000}"/>
    <hyperlink ref="A6:B6" location="topo_cb" display="CadastroCB" xr:uid="{00000000-0004-0000-0000-000004000000}"/>
  </hyperlinks>
  <pageMargins left="0.7" right="0.7" top="0.75" bottom="0.75" header="0.3" footer="0.3"/>
  <pageSetup paperSize="9"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4</xdr:row>
                    <xdr:rowOff>9525</xdr:rowOff>
                  </from>
                  <to>
                    <xdr:col>4</xdr:col>
                    <xdr:colOff>219075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6</xdr:row>
                    <xdr:rowOff>9525</xdr:rowOff>
                  </from>
                  <to>
                    <xdr:col>4</xdr:col>
                    <xdr:colOff>219075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7</xdr:row>
                    <xdr:rowOff>9525</xdr:rowOff>
                  </from>
                  <to>
                    <xdr:col>4</xdr:col>
                    <xdr:colOff>219075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8</xdr:row>
                    <xdr:rowOff>9525</xdr:rowOff>
                  </from>
                  <to>
                    <xdr:col>4</xdr:col>
                    <xdr:colOff>219075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9</xdr:row>
                    <xdr:rowOff>9525</xdr:rowOff>
                  </from>
                  <to>
                    <xdr:col>4</xdr:col>
                    <xdr:colOff>219075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5</xdr:row>
                    <xdr:rowOff>9525</xdr:rowOff>
                  </from>
                  <to>
                    <xdr:col>4</xdr:col>
                    <xdr:colOff>219075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utton 9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10</xdr:row>
                    <xdr:rowOff>9525</xdr:rowOff>
                  </from>
                  <to>
                    <xdr:col>4</xdr:col>
                    <xdr:colOff>219075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Button 10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11</xdr:row>
                    <xdr:rowOff>9525</xdr:rowOff>
                  </from>
                  <to>
                    <xdr:col>4</xdr:col>
                    <xdr:colOff>219075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Button 11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12</xdr:row>
                    <xdr:rowOff>9525</xdr:rowOff>
                  </from>
                  <to>
                    <xdr:col>4</xdr:col>
                    <xdr:colOff>219075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4" name="Button 1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13</xdr:row>
                    <xdr:rowOff>9525</xdr:rowOff>
                  </from>
                  <to>
                    <xdr:col>4</xdr:col>
                    <xdr:colOff>219075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5" name="Button 13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14</xdr:row>
                    <xdr:rowOff>9525</xdr:rowOff>
                  </from>
                  <to>
                    <xdr:col>4</xdr:col>
                    <xdr:colOff>219075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6" name="Button 14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15</xdr:row>
                    <xdr:rowOff>9525</xdr:rowOff>
                  </from>
                  <to>
                    <xdr:col>4</xdr:col>
                    <xdr:colOff>219075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7" name="Button 15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16</xdr:row>
                    <xdr:rowOff>9525</xdr:rowOff>
                  </from>
                  <to>
                    <xdr:col>4</xdr:col>
                    <xdr:colOff>219075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8" name="Button 16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17</xdr:row>
                    <xdr:rowOff>9525</xdr:rowOff>
                  </from>
                  <to>
                    <xdr:col>4</xdr:col>
                    <xdr:colOff>219075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9" name="Button 17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18</xdr:row>
                    <xdr:rowOff>9525</xdr:rowOff>
                  </from>
                  <to>
                    <xdr:col>4</xdr:col>
                    <xdr:colOff>219075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0" name="Button 18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19</xdr:row>
                    <xdr:rowOff>9525</xdr:rowOff>
                  </from>
                  <to>
                    <xdr:col>4</xdr:col>
                    <xdr:colOff>219075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1" name="Button 19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20</xdr:row>
                    <xdr:rowOff>9525</xdr:rowOff>
                  </from>
                  <to>
                    <xdr:col>4</xdr:col>
                    <xdr:colOff>219075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2" name="Button 20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21</xdr:row>
                    <xdr:rowOff>9525</xdr:rowOff>
                  </from>
                  <to>
                    <xdr:col>4</xdr:col>
                    <xdr:colOff>219075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3" name="Button 21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22</xdr:row>
                    <xdr:rowOff>9525</xdr:rowOff>
                  </from>
                  <to>
                    <xdr:col>4</xdr:col>
                    <xdr:colOff>219075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4" name="Button 2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23</xdr:row>
                    <xdr:rowOff>9525</xdr:rowOff>
                  </from>
                  <to>
                    <xdr:col>4</xdr:col>
                    <xdr:colOff>219075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5" name="Button 23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24</xdr:row>
                    <xdr:rowOff>9525</xdr:rowOff>
                  </from>
                  <to>
                    <xdr:col>4</xdr:col>
                    <xdr:colOff>219075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6" name="Button 24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25</xdr:row>
                    <xdr:rowOff>9525</xdr:rowOff>
                  </from>
                  <to>
                    <xdr:col>4</xdr:col>
                    <xdr:colOff>219075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7" name="Button 25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27</xdr:row>
                    <xdr:rowOff>9525</xdr:rowOff>
                  </from>
                  <to>
                    <xdr:col>4</xdr:col>
                    <xdr:colOff>219075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8" name="Button 26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26</xdr:row>
                    <xdr:rowOff>9525</xdr:rowOff>
                  </from>
                  <to>
                    <xdr:col>4</xdr:col>
                    <xdr:colOff>219075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9" name="Button 27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28</xdr:row>
                    <xdr:rowOff>9525</xdr:rowOff>
                  </from>
                  <to>
                    <xdr:col>4</xdr:col>
                    <xdr:colOff>219075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0" name="Button 28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29</xdr:row>
                    <xdr:rowOff>9525</xdr:rowOff>
                  </from>
                  <to>
                    <xdr:col>4</xdr:col>
                    <xdr:colOff>219075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1" name="Button 29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30</xdr:row>
                    <xdr:rowOff>9525</xdr:rowOff>
                  </from>
                  <to>
                    <xdr:col>4</xdr:col>
                    <xdr:colOff>219075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2" name="Button 30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31</xdr:row>
                    <xdr:rowOff>9525</xdr:rowOff>
                  </from>
                  <to>
                    <xdr:col>4</xdr:col>
                    <xdr:colOff>219075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3" name="Button 31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32</xdr:row>
                    <xdr:rowOff>9525</xdr:rowOff>
                  </from>
                  <to>
                    <xdr:col>4</xdr:col>
                    <xdr:colOff>219075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4" name="Button 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33</xdr:row>
                    <xdr:rowOff>9525</xdr:rowOff>
                  </from>
                  <to>
                    <xdr:col>4</xdr:col>
                    <xdr:colOff>219075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5" name="Button 33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34</xdr:row>
                    <xdr:rowOff>9525</xdr:rowOff>
                  </from>
                  <to>
                    <xdr:col>4</xdr:col>
                    <xdr:colOff>219075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6" name="Button 34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35</xdr:row>
                    <xdr:rowOff>9525</xdr:rowOff>
                  </from>
                  <to>
                    <xdr:col>4</xdr:col>
                    <xdr:colOff>219075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7" name="Button 35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36</xdr:row>
                    <xdr:rowOff>9525</xdr:rowOff>
                  </from>
                  <to>
                    <xdr:col>4</xdr:col>
                    <xdr:colOff>219075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8" name="Button 36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37</xdr:row>
                    <xdr:rowOff>9525</xdr:rowOff>
                  </from>
                  <to>
                    <xdr:col>4</xdr:col>
                    <xdr:colOff>219075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39" name="Button 37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38</xdr:row>
                    <xdr:rowOff>9525</xdr:rowOff>
                  </from>
                  <to>
                    <xdr:col>4</xdr:col>
                    <xdr:colOff>219075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0" name="Button 38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39</xdr:row>
                    <xdr:rowOff>9525</xdr:rowOff>
                  </from>
                  <to>
                    <xdr:col>4</xdr:col>
                    <xdr:colOff>219075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1" name="Button 39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40</xdr:row>
                    <xdr:rowOff>9525</xdr:rowOff>
                  </from>
                  <to>
                    <xdr:col>4</xdr:col>
                    <xdr:colOff>219075</xdr:colOff>
                    <xdr:row>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2" name="Button 40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41</xdr:row>
                    <xdr:rowOff>9525</xdr:rowOff>
                  </from>
                  <to>
                    <xdr:col>4</xdr:col>
                    <xdr:colOff>219075</xdr:colOff>
                    <xdr:row>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3" name="Button 41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42</xdr:row>
                    <xdr:rowOff>9525</xdr:rowOff>
                  </from>
                  <to>
                    <xdr:col>4</xdr:col>
                    <xdr:colOff>219075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44" name="Button 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43</xdr:row>
                    <xdr:rowOff>9525</xdr:rowOff>
                  </from>
                  <to>
                    <xdr:col>4</xdr:col>
                    <xdr:colOff>219075</xdr:colOff>
                    <xdr:row>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45" name="Button 43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44</xdr:row>
                    <xdr:rowOff>9525</xdr:rowOff>
                  </from>
                  <to>
                    <xdr:col>4</xdr:col>
                    <xdr:colOff>219075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46" name="Button 44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45</xdr:row>
                    <xdr:rowOff>9525</xdr:rowOff>
                  </from>
                  <to>
                    <xdr:col>4</xdr:col>
                    <xdr:colOff>219075</xdr:colOff>
                    <xdr:row>45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47" name="Button 45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46</xdr:row>
                    <xdr:rowOff>9525</xdr:rowOff>
                  </from>
                  <to>
                    <xdr:col>4</xdr:col>
                    <xdr:colOff>219075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48" name="Button 46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47</xdr:row>
                    <xdr:rowOff>9525</xdr:rowOff>
                  </from>
                  <to>
                    <xdr:col>4</xdr:col>
                    <xdr:colOff>219075</xdr:colOff>
                    <xdr:row>47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49" name="Button 47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48</xdr:row>
                    <xdr:rowOff>9525</xdr:rowOff>
                  </from>
                  <to>
                    <xdr:col>4</xdr:col>
                    <xdr:colOff>219075</xdr:colOff>
                    <xdr:row>48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50" name="Button 48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49</xdr:row>
                    <xdr:rowOff>9525</xdr:rowOff>
                  </from>
                  <to>
                    <xdr:col>4</xdr:col>
                    <xdr:colOff>219075</xdr:colOff>
                    <xdr:row>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51" name="Button 49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50</xdr:row>
                    <xdr:rowOff>9525</xdr:rowOff>
                  </from>
                  <to>
                    <xdr:col>4</xdr:col>
                    <xdr:colOff>219075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2" name="Button 50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51</xdr:row>
                    <xdr:rowOff>9525</xdr:rowOff>
                  </from>
                  <to>
                    <xdr:col>4</xdr:col>
                    <xdr:colOff>219075</xdr:colOff>
                    <xdr:row>51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53" name="Button 51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52</xdr:row>
                    <xdr:rowOff>9525</xdr:rowOff>
                  </from>
                  <to>
                    <xdr:col>4</xdr:col>
                    <xdr:colOff>219075</xdr:colOff>
                    <xdr:row>52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4" name="Button 5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53</xdr:row>
                    <xdr:rowOff>9525</xdr:rowOff>
                  </from>
                  <to>
                    <xdr:col>4</xdr:col>
                    <xdr:colOff>219075</xdr:colOff>
                    <xdr:row>53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55" name="Button 53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54</xdr:row>
                    <xdr:rowOff>9525</xdr:rowOff>
                  </from>
                  <to>
                    <xdr:col>4</xdr:col>
                    <xdr:colOff>219075</xdr:colOff>
                    <xdr:row>54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6" name="Button 54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55</xdr:row>
                    <xdr:rowOff>9525</xdr:rowOff>
                  </from>
                  <to>
                    <xdr:col>4</xdr:col>
                    <xdr:colOff>219075</xdr:colOff>
                    <xdr:row>55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57" name="Button 55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56</xdr:row>
                    <xdr:rowOff>9525</xdr:rowOff>
                  </from>
                  <to>
                    <xdr:col>4</xdr:col>
                    <xdr:colOff>219075</xdr:colOff>
                    <xdr:row>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58" name="Button 56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57</xdr:row>
                    <xdr:rowOff>9525</xdr:rowOff>
                  </from>
                  <to>
                    <xdr:col>4</xdr:col>
                    <xdr:colOff>219075</xdr:colOff>
                    <xdr:row>57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59" name="Button 57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59</xdr:row>
                    <xdr:rowOff>9525</xdr:rowOff>
                  </from>
                  <to>
                    <xdr:col>4</xdr:col>
                    <xdr:colOff>219075</xdr:colOff>
                    <xdr:row>59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60" name="Button 58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58</xdr:row>
                    <xdr:rowOff>9525</xdr:rowOff>
                  </from>
                  <to>
                    <xdr:col>4</xdr:col>
                    <xdr:colOff>219075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61" name="Button 59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60</xdr:row>
                    <xdr:rowOff>9525</xdr:rowOff>
                  </from>
                  <to>
                    <xdr:col>4</xdr:col>
                    <xdr:colOff>219075</xdr:colOff>
                    <xdr:row>60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62" name="Button 60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61</xdr:row>
                    <xdr:rowOff>9525</xdr:rowOff>
                  </from>
                  <to>
                    <xdr:col>4</xdr:col>
                    <xdr:colOff>219075</xdr:colOff>
                    <xdr:row>61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63" name="Button 61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62</xdr:row>
                    <xdr:rowOff>9525</xdr:rowOff>
                  </from>
                  <to>
                    <xdr:col>4</xdr:col>
                    <xdr:colOff>219075</xdr:colOff>
                    <xdr:row>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64" name="Button 6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63</xdr:row>
                    <xdr:rowOff>9525</xdr:rowOff>
                  </from>
                  <to>
                    <xdr:col>4</xdr:col>
                    <xdr:colOff>219075</xdr:colOff>
                    <xdr:row>63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5" name="Button 63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64</xdr:row>
                    <xdr:rowOff>9525</xdr:rowOff>
                  </from>
                  <to>
                    <xdr:col>4</xdr:col>
                    <xdr:colOff>219075</xdr:colOff>
                    <xdr:row>64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66" name="Button 64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65</xdr:row>
                    <xdr:rowOff>9525</xdr:rowOff>
                  </from>
                  <to>
                    <xdr:col>4</xdr:col>
                    <xdr:colOff>219075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7" name="Button 65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66</xdr:row>
                    <xdr:rowOff>9525</xdr:rowOff>
                  </from>
                  <to>
                    <xdr:col>4</xdr:col>
                    <xdr:colOff>219075</xdr:colOff>
                    <xdr:row>66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68" name="Button 66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67</xdr:row>
                    <xdr:rowOff>9525</xdr:rowOff>
                  </from>
                  <to>
                    <xdr:col>4</xdr:col>
                    <xdr:colOff>219075</xdr:colOff>
                    <xdr:row>67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69" name="Button 67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68</xdr:row>
                    <xdr:rowOff>9525</xdr:rowOff>
                  </from>
                  <to>
                    <xdr:col>4</xdr:col>
                    <xdr:colOff>219075</xdr:colOff>
                    <xdr:row>68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70" name="Button 68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69</xdr:row>
                    <xdr:rowOff>9525</xdr:rowOff>
                  </from>
                  <to>
                    <xdr:col>4</xdr:col>
                    <xdr:colOff>219075</xdr:colOff>
                    <xdr:row>69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71" name="Button 69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70</xdr:row>
                    <xdr:rowOff>9525</xdr:rowOff>
                  </from>
                  <to>
                    <xdr:col>4</xdr:col>
                    <xdr:colOff>219075</xdr:colOff>
                    <xdr:row>70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72" name="Button 70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71</xdr:row>
                    <xdr:rowOff>9525</xdr:rowOff>
                  </from>
                  <to>
                    <xdr:col>4</xdr:col>
                    <xdr:colOff>219075</xdr:colOff>
                    <xdr:row>71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73" name="Button 71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72</xdr:row>
                    <xdr:rowOff>9525</xdr:rowOff>
                  </from>
                  <to>
                    <xdr:col>4</xdr:col>
                    <xdr:colOff>219075</xdr:colOff>
                    <xdr:row>72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74" name="Button 7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73</xdr:row>
                    <xdr:rowOff>9525</xdr:rowOff>
                  </from>
                  <to>
                    <xdr:col>4</xdr:col>
                    <xdr:colOff>219075</xdr:colOff>
                    <xdr:row>73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75" name="Button 73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74</xdr:row>
                    <xdr:rowOff>9525</xdr:rowOff>
                  </from>
                  <to>
                    <xdr:col>4</xdr:col>
                    <xdr:colOff>219075</xdr:colOff>
                    <xdr:row>74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76" name="Button 74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75</xdr:row>
                    <xdr:rowOff>9525</xdr:rowOff>
                  </from>
                  <to>
                    <xdr:col>4</xdr:col>
                    <xdr:colOff>219075</xdr:colOff>
                    <xdr:row>75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77" name="Button 75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76</xdr:row>
                    <xdr:rowOff>9525</xdr:rowOff>
                  </from>
                  <to>
                    <xdr:col>4</xdr:col>
                    <xdr:colOff>219075</xdr:colOff>
                    <xdr:row>76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78" name="Button 76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77</xdr:row>
                    <xdr:rowOff>9525</xdr:rowOff>
                  </from>
                  <to>
                    <xdr:col>4</xdr:col>
                    <xdr:colOff>219075</xdr:colOff>
                    <xdr:row>77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79" name="Button 77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78</xdr:row>
                    <xdr:rowOff>9525</xdr:rowOff>
                  </from>
                  <to>
                    <xdr:col>4</xdr:col>
                    <xdr:colOff>219075</xdr:colOff>
                    <xdr:row>78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80" name="Button 78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79</xdr:row>
                    <xdr:rowOff>9525</xdr:rowOff>
                  </from>
                  <to>
                    <xdr:col>4</xdr:col>
                    <xdr:colOff>219075</xdr:colOff>
                    <xdr:row>79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81" name="Button 79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80</xdr:row>
                    <xdr:rowOff>9525</xdr:rowOff>
                  </from>
                  <to>
                    <xdr:col>4</xdr:col>
                    <xdr:colOff>219075</xdr:colOff>
                    <xdr:row>80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82" name="Button 80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81</xdr:row>
                    <xdr:rowOff>9525</xdr:rowOff>
                  </from>
                  <to>
                    <xdr:col>4</xdr:col>
                    <xdr:colOff>219075</xdr:colOff>
                    <xdr:row>81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83" name="Button 81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82</xdr:row>
                    <xdr:rowOff>9525</xdr:rowOff>
                  </from>
                  <to>
                    <xdr:col>4</xdr:col>
                    <xdr:colOff>219075</xdr:colOff>
                    <xdr:row>82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84" name="Button 8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83</xdr:row>
                    <xdr:rowOff>9525</xdr:rowOff>
                  </from>
                  <to>
                    <xdr:col>4</xdr:col>
                    <xdr:colOff>219075</xdr:colOff>
                    <xdr:row>83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85" name="Button 83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84</xdr:row>
                    <xdr:rowOff>9525</xdr:rowOff>
                  </from>
                  <to>
                    <xdr:col>4</xdr:col>
                    <xdr:colOff>219075</xdr:colOff>
                    <xdr:row>84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86" name="Button 84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85</xdr:row>
                    <xdr:rowOff>9525</xdr:rowOff>
                  </from>
                  <to>
                    <xdr:col>4</xdr:col>
                    <xdr:colOff>219075</xdr:colOff>
                    <xdr:row>85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87" name="Button 85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86</xdr:row>
                    <xdr:rowOff>9525</xdr:rowOff>
                  </from>
                  <to>
                    <xdr:col>4</xdr:col>
                    <xdr:colOff>219075</xdr:colOff>
                    <xdr:row>86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88" name="Button 86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4</xdr:row>
                    <xdr:rowOff>9525</xdr:rowOff>
                  </from>
                  <to>
                    <xdr:col>6</xdr:col>
                    <xdr:colOff>219075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89" name="Button 87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5</xdr:row>
                    <xdr:rowOff>9525</xdr:rowOff>
                  </from>
                  <to>
                    <xdr:col>6</xdr:col>
                    <xdr:colOff>219075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90" name="Button 88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6</xdr:row>
                    <xdr:rowOff>9525</xdr:rowOff>
                  </from>
                  <to>
                    <xdr:col>6</xdr:col>
                    <xdr:colOff>219075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91" name="Button 89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7</xdr:row>
                    <xdr:rowOff>9525</xdr:rowOff>
                  </from>
                  <to>
                    <xdr:col>6</xdr:col>
                    <xdr:colOff>219075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92" name="Button 90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8</xdr:row>
                    <xdr:rowOff>9525</xdr:rowOff>
                  </from>
                  <to>
                    <xdr:col>6</xdr:col>
                    <xdr:colOff>219075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3" name="Button 91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9</xdr:row>
                    <xdr:rowOff>9525</xdr:rowOff>
                  </from>
                  <to>
                    <xdr:col>6</xdr:col>
                    <xdr:colOff>219075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94" name="Button 9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11</xdr:row>
                    <xdr:rowOff>9525</xdr:rowOff>
                  </from>
                  <to>
                    <xdr:col>6</xdr:col>
                    <xdr:colOff>219075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95" name="Button 93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10</xdr:row>
                    <xdr:rowOff>9525</xdr:rowOff>
                  </from>
                  <to>
                    <xdr:col>6</xdr:col>
                    <xdr:colOff>219075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96" name="Button 94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12</xdr:row>
                    <xdr:rowOff>9525</xdr:rowOff>
                  </from>
                  <to>
                    <xdr:col>6</xdr:col>
                    <xdr:colOff>219075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97" name="Button 95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13</xdr:row>
                    <xdr:rowOff>9525</xdr:rowOff>
                  </from>
                  <to>
                    <xdr:col>6</xdr:col>
                    <xdr:colOff>219075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98" name="Button 96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15</xdr:row>
                    <xdr:rowOff>9525</xdr:rowOff>
                  </from>
                  <to>
                    <xdr:col>6</xdr:col>
                    <xdr:colOff>219075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99" name="Button 97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14</xdr:row>
                    <xdr:rowOff>9525</xdr:rowOff>
                  </from>
                  <to>
                    <xdr:col>6</xdr:col>
                    <xdr:colOff>219075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00" name="Button 98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17</xdr:row>
                    <xdr:rowOff>9525</xdr:rowOff>
                  </from>
                  <to>
                    <xdr:col>6</xdr:col>
                    <xdr:colOff>219075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01" name="Button 99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16</xdr:row>
                    <xdr:rowOff>9525</xdr:rowOff>
                  </from>
                  <to>
                    <xdr:col>6</xdr:col>
                    <xdr:colOff>219075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02" name="Button 100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19</xdr:row>
                    <xdr:rowOff>9525</xdr:rowOff>
                  </from>
                  <to>
                    <xdr:col>6</xdr:col>
                    <xdr:colOff>219075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03" name="Button 101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18</xdr:row>
                    <xdr:rowOff>9525</xdr:rowOff>
                  </from>
                  <to>
                    <xdr:col>6</xdr:col>
                    <xdr:colOff>219075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104" name="Button 10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20</xdr:row>
                    <xdr:rowOff>9525</xdr:rowOff>
                  </from>
                  <to>
                    <xdr:col>6</xdr:col>
                    <xdr:colOff>219075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105" name="Button 103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22</xdr:row>
                    <xdr:rowOff>9525</xdr:rowOff>
                  </from>
                  <to>
                    <xdr:col>6</xdr:col>
                    <xdr:colOff>219075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106" name="Button 104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21</xdr:row>
                    <xdr:rowOff>9525</xdr:rowOff>
                  </from>
                  <to>
                    <xdr:col>6</xdr:col>
                    <xdr:colOff>219075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107" name="Button 105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23</xdr:row>
                    <xdr:rowOff>9525</xdr:rowOff>
                  </from>
                  <to>
                    <xdr:col>6</xdr:col>
                    <xdr:colOff>219075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108" name="Button 106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24</xdr:row>
                    <xdr:rowOff>9525</xdr:rowOff>
                  </from>
                  <to>
                    <xdr:col>6</xdr:col>
                    <xdr:colOff>219075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109" name="Button 107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25</xdr:row>
                    <xdr:rowOff>9525</xdr:rowOff>
                  </from>
                  <to>
                    <xdr:col>6</xdr:col>
                    <xdr:colOff>219075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110" name="Button 108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26</xdr:row>
                    <xdr:rowOff>9525</xdr:rowOff>
                  </from>
                  <to>
                    <xdr:col>6</xdr:col>
                    <xdr:colOff>219075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111" name="Button 109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27</xdr:row>
                    <xdr:rowOff>9525</xdr:rowOff>
                  </from>
                  <to>
                    <xdr:col>6</xdr:col>
                    <xdr:colOff>219075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112" name="Button 110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28</xdr:row>
                    <xdr:rowOff>9525</xdr:rowOff>
                  </from>
                  <to>
                    <xdr:col>6</xdr:col>
                    <xdr:colOff>219075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113" name="Button 111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29</xdr:row>
                    <xdr:rowOff>9525</xdr:rowOff>
                  </from>
                  <to>
                    <xdr:col>6</xdr:col>
                    <xdr:colOff>219075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114" name="Button 11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31</xdr:row>
                    <xdr:rowOff>9525</xdr:rowOff>
                  </from>
                  <to>
                    <xdr:col>6</xdr:col>
                    <xdr:colOff>219075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15" name="Button 113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30</xdr:row>
                    <xdr:rowOff>9525</xdr:rowOff>
                  </from>
                  <to>
                    <xdr:col>6</xdr:col>
                    <xdr:colOff>219075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16" name="Button 114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32</xdr:row>
                    <xdr:rowOff>9525</xdr:rowOff>
                  </from>
                  <to>
                    <xdr:col>6</xdr:col>
                    <xdr:colOff>219075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17" name="Button 115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33</xdr:row>
                    <xdr:rowOff>9525</xdr:rowOff>
                  </from>
                  <to>
                    <xdr:col>6</xdr:col>
                    <xdr:colOff>219075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18" name="Button 116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34</xdr:row>
                    <xdr:rowOff>9525</xdr:rowOff>
                  </from>
                  <to>
                    <xdr:col>6</xdr:col>
                    <xdr:colOff>219075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19" name="Button 117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35</xdr:row>
                    <xdr:rowOff>9525</xdr:rowOff>
                  </from>
                  <to>
                    <xdr:col>6</xdr:col>
                    <xdr:colOff>219075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20" name="Button 118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36</xdr:row>
                    <xdr:rowOff>9525</xdr:rowOff>
                  </from>
                  <to>
                    <xdr:col>6</xdr:col>
                    <xdr:colOff>219075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21" name="Button 119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37</xdr:row>
                    <xdr:rowOff>9525</xdr:rowOff>
                  </from>
                  <to>
                    <xdr:col>6</xdr:col>
                    <xdr:colOff>219075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22" name="Button 120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38</xdr:row>
                    <xdr:rowOff>9525</xdr:rowOff>
                  </from>
                  <to>
                    <xdr:col>6</xdr:col>
                    <xdr:colOff>219075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23" name="Button 121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39</xdr:row>
                    <xdr:rowOff>9525</xdr:rowOff>
                  </from>
                  <to>
                    <xdr:col>6</xdr:col>
                    <xdr:colOff>219075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24" name="Button 12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40</xdr:row>
                    <xdr:rowOff>9525</xdr:rowOff>
                  </from>
                  <to>
                    <xdr:col>6</xdr:col>
                    <xdr:colOff>219075</xdr:colOff>
                    <xdr:row>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25" name="Button 123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41</xdr:row>
                    <xdr:rowOff>9525</xdr:rowOff>
                  </from>
                  <to>
                    <xdr:col>6</xdr:col>
                    <xdr:colOff>219075</xdr:colOff>
                    <xdr:row>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26" name="Button 124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42</xdr:row>
                    <xdr:rowOff>9525</xdr:rowOff>
                  </from>
                  <to>
                    <xdr:col>6</xdr:col>
                    <xdr:colOff>219075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27" name="Button 125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43</xdr:row>
                    <xdr:rowOff>9525</xdr:rowOff>
                  </from>
                  <to>
                    <xdr:col>6</xdr:col>
                    <xdr:colOff>219075</xdr:colOff>
                    <xdr:row>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28" name="Button 126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44</xdr:row>
                    <xdr:rowOff>9525</xdr:rowOff>
                  </from>
                  <to>
                    <xdr:col>6</xdr:col>
                    <xdr:colOff>219075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29" name="Button 127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45</xdr:row>
                    <xdr:rowOff>9525</xdr:rowOff>
                  </from>
                  <to>
                    <xdr:col>6</xdr:col>
                    <xdr:colOff>219075</xdr:colOff>
                    <xdr:row>45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30" name="Button 128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46</xdr:row>
                    <xdr:rowOff>9525</xdr:rowOff>
                  </from>
                  <to>
                    <xdr:col>6</xdr:col>
                    <xdr:colOff>219075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1" name="Button 129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47</xdr:row>
                    <xdr:rowOff>9525</xdr:rowOff>
                  </from>
                  <to>
                    <xdr:col>6</xdr:col>
                    <xdr:colOff>219075</xdr:colOff>
                    <xdr:row>47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32" name="Button 130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48</xdr:row>
                    <xdr:rowOff>9525</xdr:rowOff>
                  </from>
                  <to>
                    <xdr:col>6</xdr:col>
                    <xdr:colOff>219075</xdr:colOff>
                    <xdr:row>48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33" name="Button 131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49</xdr:row>
                    <xdr:rowOff>9525</xdr:rowOff>
                  </from>
                  <to>
                    <xdr:col>6</xdr:col>
                    <xdr:colOff>219075</xdr:colOff>
                    <xdr:row>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34" name="Button 13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50</xdr:row>
                    <xdr:rowOff>9525</xdr:rowOff>
                  </from>
                  <to>
                    <xdr:col>6</xdr:col>
                    <xdr:colOff>219075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35" name="Button 133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51</xdr:row>
                    <xdr:rowOff>9525</xdr:rowOff>
                  </from>
                  <to>
                    <xdr:col>6</xdr:col>
                    <xdr:colOff>219075</xdr:colOff>
                    <xdr:row>51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36" name="Button 134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52</xdr:row>
                    <xdr:rowOff>9525</xdr:rowOff>
                  </from>
                  <to>
                    <xdr:col>6</xdr:col>
                    <xdr:colOff>219075</xdr:colOff>
                    <xdr:row>52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37" name="Button 135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53</xdr:row>
                    <xdr:rowOff>9525</xdr:rowOff>
                  </from>
                  <to>
                    <xdr:col>6</xdr:col>
                    <xdr:colOff>219075</xdr:colOff>
                    <xdr:row>53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38" name="Button 136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54</xdr:row>
                    <xdr:rowOff>9525</xdr:rowOff>
                  </from>
                  <to>
                    <xdr:col>6</xdr:col>
                    <xdr:colOff>219075</xdr:colOff>
                    <xdr:row>54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39" name="Button 137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55</xdr:row>
                    <xdr:rowOff>9525</xdr:rowOff>
                  </from>
                  <to>
                    <xdr:col>6</xdr:col>
                    <xdr:colOff>219075</xdr:colOff>
                    <xdr:row>55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40" name="Button 138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56</xdr:row>
                    <xdr:rowOff>9525</xdr:rowOff>
                  </from>
                  <to>
                    <xdr:col>6</xdr:col>
                    <xdr:colOff>219075</xdr:colOff>
                    <xdr:row>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41" name="Button 139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57</xdr:row>
                    <xdr:rowOff>9525</xdr:rowOff>
                  </from>
                  <to>
                    <xdr:col>6</xdr:col>
                    <xdr:colOff>219075</xdr:colOff>
                    <xdr:row>57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42" name="Button 140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58</xdr:row>
                    <xdr:rowOff>9525</xdr:rowOff>
                  </from>
                  <to>
                    <xdr:col>6</xdr:col>
                    <xdr:colOff>219075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43" name="Button 141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59</xdr:row>
                    <xdr:rowOff>9525</xdr:rowOff>
                  </from>
                  <to>
                    <xdr:col>6</xdr:col>
                    <xdr:colOff>219075</xdr:colOff>
                    <xdr:row>59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44" name="Button 14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60</xdr:row>
                    <xdr:rowOff>9525</xdr:rowOff>
                  </from>
                  <to>
                    <xdr:col>6</xdr:col>
                    <xdr:colOff>219075</xdr:colOff>
                    <xdr:row>60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45" name="Button 143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61</xdr:row>
                    <xdr:rowOff>9525</xdr:rowOff>
                  </from>
                  <to>
                    <xdr:col>6</xdr:col>
                    <xdr:colOff>219075</xdr:colOff>
                    <xdr:row>61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46" name="Button 144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62</xdr:row>
                    <xdr:rowOff>9525</xdr:rowOff>
                  </from>
                  <to>
                    <xdr:col>6</xdr:col>
                    <xdr:colOff>219075</xdr:colOff>
                    <xdr:row>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47" name="Button 145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63</xdr:row>
                    <xdr:rowOff>9525</xdr:rowOff>
                  </from>
                  <to>
                    <xdr:col>6</xdr:col>
                    <xdr:colOff>219075</xdr:colOff>
                    <xdr:row>63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48" name="Button 146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64</xdr:row>
                    <xdr:rowOff>9525</xdr:rowOff>
                  </from>
                  <to>
                    <xdr:col>6</xdr:col>
                    <xdr:colOff>219075</xdr:colOff>
                    <xdr:row>64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49" name="Button 147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66</xdr:row>
                    <xdr:rowOff>9525</xdr:rowOff>
                  </from>
                  <to>
                    <xdr:col>6</xdr:col>
                    <xdr:colOff>219075</xdr:colOff>
                    <xdr:row>66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50" name="Button 148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65</xdr:row>
                    <xdr:rowOff>9525</xdr:rowOff>
                  </from>
                  <to>
                    <xdr:col>6</xdr:col>
                    <xdr:colOff>219075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51" name="Button 149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67</xdr:row>
                    <xdr:rowOff>9525</xdr:rowOff>
                  </from>
                  <to>
                    <xdr:col>6</xdr:col>
                    <xdr:colOff>219075</xdr:colOff>
                    <xdr:row>67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52" name="Button 150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68</xdr:row>
                    <xdr:rowOff>9525</xdr:rowOff>
                  </from>
                  <to>
                    <xdr:col>6</xdr:col>
                    <xdr:colOff>219075</xdr:colOff>
                    <xdr:row>68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53" name="Button 151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69</xdr:row>
                    <xdr:rowOff>9525</xdr:rowOff>
                  </from>
                  <to>
                    <xdr:col>6</xdr:col>
                    <xdr:colOff>219075</xdr:colOff>
                    <xdr:row>69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54" name="Button 15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70</xdr:row>
                    <xdr:rowOff>9525</xdr:rowOff>
                  </from>
                  <to>
                    <xdr:col>6</xdr:col>
                    <xdr:colOff>219075</xdr:colOff>
                    <xdr:row>70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55" name="Button 153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71</xdr:row>
                    <xdr:rowOff>9525</xdr:rowOff>
                  </from>
                  <to>
                    <xdr:col>6</xdr:col>
                    <xdr:colOff>219075</xdr:colOff>
                    <xdr:row>71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56" name="Button 154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72</xdr:row>
                    <xdr:rowOff>9525</xdr:rowOff>
                  </from>
                  <to>
                    <xdr:col>6</xdr:col>
                    <xdr:colOff>219075</xdr:colOff>
                    <xdr:row>72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57" name="Button 155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73</xdr:row>
                    <xdr:rowOff>9525</xdr:rowOff>
                  </from>
                  <to>
                    <xdr:col>6</xdr:col>
                    <xdr:colOff>219075</xdr:colOff>
                    <xdr:row>73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58" name="Button 156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74</xdr:row>
                    <xdr:rowOff>9525</xdr:rowOff>
                  </from>
                  <to>
                    <xdr:col>6</xdr:col>
                    <xdr:colOff>219075</xdr:colOff>
                    <xdr:row>74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59" name="Button 157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75</xdr:row>
                    <xdr:rowOff>9525</xdr:rowOff>
                  </from>
                  <to>
                    <xdr:col>6</xdr:col>
                    <xdr:colOff>219075</xdr:colOff>
                    <xdr:row>75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60" name="Button 158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76</xdr:row>
                    <xdr:rowOff>9525</xdr:rowOff>
                  </from>
                  <to>
                    <xdr:col>6</xdr:col>
                    <xdr:colOff>219075</xdr:colOff>
                    <xdr:row>76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61" name="Button 159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77</xdr:row>
                    <xdr:rowOff>9525</xdr:rowOff>
                  </from>
                  <to>
                    <xdr:col>6</xdr:col>
                    <xdr:colOff>219075</xdr:colOff>
                    <xdr:row>77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62" name="Button 160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78</xdr:row>
                    <xdr:rowOff>9525</xdr:rowOff>
                  </from>
                  <to>
                    <xdr:col>6</xdr:col>
                    <xdr:colOff>219075</xdr:colOff>
                    <xdr:row>78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63" name="Button 161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79</xdr:row>
                    <xdr:rowOff>9525</xdr:rowOff>
                  </from>
                  <to>
                    <xdr:col>6</xdr:col>
                    <xdr:colOff>219075</xdr:colOff>
                    <xdr:row>79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64" name="Button 16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80</xdr:row>
                    <xdr:rowOff>9525</xdr:rowOff>
                  </from>
                  <to>
                    <xdr:col>6</xdr:col>
                    <xdr:colOff>219075</xdr:colOff>
                    <xdr:row>80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65" name="Button 163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82</xdr:row>
                    <xdr:rowOff>9525</xdr:rowOff>
                  </from>
                  <to>
                    <xdr:col>6</xdr:col>
                    <xdr:colOff>219075</xdr:colOff>
                    <xdr:row>82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66" name="Button 164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81</xdr:row>
                    <xdr:rowOff>9525</xdr:rowOff>
                  </from>
                  <to>
                    <xdr:col>6</xdr:col>
                    <xdr:colOff>219075</xdr:colOff>
                    <xdr:row>81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67" name="Button 165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83</xdr:row>
                    <xdr:rowOff>9525</xdr:rowOff>
                  </from>
                  <to>
                    <xdr:col>6</xdr:col>
                    <xdr:colOff>219075</xdr:colOff>
                    <xdr:row>83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68" name="Button 166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84</xdr:row>
                    <xdr:rowOff>9525</xdr:rowOff>
                  </from>
                  <to>
                    <xdr:col>6</xdr:col>
                    <xdr:colOff>219075</xdr:colOff>
                    <xdr:row>84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69" name="Button 167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85</xdr:row>
                    <xdr:rowOff>9525</xdr:rowOff>
                  </from>
                  <to>
                    <xdr:col>6</xdr:col>
                    <xdr:colOff>219075</xdr:colOff>
                    <xdr:row>85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70" name="Button 168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86</xdr:row>
                    <xdr:rowOff>9525</xdr:rowOff>
                  </from>
                  <to>
                    <xdr:col>6</xdr:col>
                    <xdr:colOff>219075</xdr:colOff>
                    <xdr:row>86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71" name="Button 169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87</xdr:row>
                    <xdr:rowOff>9525</xdr:rowOff>
                  </from>
                  <to>
                    <xdr:col>4</xdr:col>
                    <xdr:colOff>219075</xdr:colOff>
                    <xdr:row>87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72" name="Button 170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88</xdr:row>
                    <xdr:rowOff>9525</xdr:rowOff>
                  </from>
                  <to>
                    <xdr:col>4</xdr:col>
                    <xdr:colOff>219075</xdr:colOff>
                    <xdr:row>88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73" name="Button 171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89</xdr:row>
                    <xdr:rowOff>9525</xdr:rowOff>
                  </from>
                  <to>
                    <xdr:col>4</xdr:col>
                    <xdr:colOff>219075</xdr:colOff>
                    <xdr:row>89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74" name="Button 17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90</xdr:row>
                    <xdr:rowOff>9525</xdr:rowOff>
                  </from>
                  <to>
                    <xdr:col>4</xdr:col>
                    <xdr:colOff>219075</xdr:colOff>
                    <xdr:row>90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75" name="Button 173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91</xdr:row>
                    <xdr:rowOff>9525</xdr:rowOff>
                  </from>
                  <to>
                    <xdr:col>4</xdr:col>
                    <xdr:colOff>219075</xdr:colOff>
                    <xdr:row>91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76" name="Button 174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92</xdr:row>
                    <xdr:rowOff>9525</xdr:rowOff>
                  </from>
                  <to>
                    <xdr:col>4</xdr:col>
                    <xdr:colOff>219075</xdr:colOff>
                    <xdr:row>92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77" name="Button 175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93</xdr:row>
                    <xdr:rowOff>9525</xdr:rowOff>
                  </from>
                  <to>
                    <xdr:col>4</xdr:col>
                    <xdr:colOff>219075</xdr:colOff>
                    <xdr:row>93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78" name="Button 176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94</xdr:row>
                    <xdr:rowOff>9525</xdr:rowOff>
                  </from>
                  <to>
                    <xdr:col>4</xdr:col>
                    <xdr:colOff>219075</xdr:colOff>
                    <xdr:row>94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79" name="Button 177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95</xdr:row>
                    <xdr:rowOff>9525</xdr:rowOff>
                  </from>
                  <to>
                    <xdr:col>4</xdr:col>
                    <xdr:colOff>219075</xdr:colOff>
                    <xdr:row>95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80" name="Button 178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96</xdr:row>
                    <xdr:rowOff>9525</xdr:rowOff>
                  </from>
                  <to>
                    <xdr:col>4</xdr:col>
                    <xdr:colOff>219075</xdr:colOff>
                    <xdr:row>96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81" name="Button 179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97</xdr:row>
                    <xdr:rowOff>9525</xdr:rowOff>
                  </from>
                  <to>
                    <xdr:col>4</xdr:col>
                    <xdr:colOff>219075</xdr:colOff>
                    <xdr:row>97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82" name="Button 180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98</xdr:row>
                    <xdr:rowOff>9525</xdr:rowOff>
                  </from>
                  <to>
                    <xdr:col>4</xdr:col>
                    <xdr:colOff>219075</xdr:colOff>
                    <xdr:row>98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83" name="Button 181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99</xdr:row>
                    <xdr:rowOff>9525</xdr:rowOff>
                  </from>
                  <to>
                    <xdr:col>4</xdr:col>
                    <xdr:colOff>219075</xdr:colOff>
                    <xdr:row>99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84" name="Button 18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100</xdr:row>
                    <xdr:rowOff>9525</xdr:rowOff>
                  </from>
                  <to>
                    <xdr:col>4</xdr:col>
                    <xdr:colOff>219075</xdr:colOff>
                    <xdr:row>100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85" name="Button 183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101</xdr:row>
                    <xdr:rowOff>9525</xdr:rowOff>
                  </from>
                  <to>
                    <xdr:col>4</xdr:col>
                    <xdr:colOff>219075</xdr:colOff>
                    <xdr:row>101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86" name="Button 184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102</xdr:row>
                    <xdr:rowOff>9525</xdr:rowOff>
                  </from>
                  <to>
                    <xdr:col>4</xdr:col>
                    <xdr:colOff>219075</xdr:colOff>
                    <xdr:row>102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87" name="Button 185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103</xdr:row>
                    <xdr:rowOff>9525</xdr:rowOff>
                  </from>
                  <to>
                    <xdr:col>4</xdr:col>
                    <xdr:colOff>219075</xdr:colOff>
                    <xdr:row>103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88" name="Button 186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104</xdr:row>
                    <xdr:rowOff>9525</xdr:rowOff>
                  </from>
                  <to>
                    <xdr:col>4</xdr:col>
                    <xdr:colOff>219075</xdr:colOff>
                    <xdr:row>104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89" name="Button 187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105</xdr:row>
                    <xdr:rowOff>9525</xdr:rowOff>
                  </from>
                  <to>
                    <xdr:col>4</xdr:col>
                    <xdr:colOff>219075</xdr:colOff>
                    <xdr:row>105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90" name="Button 188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106</xdr:row>
                    <xdr:rowOff>9525</xdr:rowOff>
                  </from>
                  <to>
                    <xdr:col>4</xdr:col>
                    <xdr:colOff>219075</xdr:colOff>
                    <xdr:row>106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91" name="Button 189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107</xdr:row>
                    <xdr:rowOff>9525</xdr:rowOff>
                  </from>
                  <to>
                    <xdr:col>4</xdr:col>
                    <xdr:colOff>219075</xdr:colOff>
                    <xdr:row>107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92" name="Button 190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108</xdr:row>
                    <xdr:rowOff>9525</xdr:rowOff>
                  </from>
                  <to>
                    <xdr:col>4</xdr:col>
                    <xdr:colOff>219075</xdr:colOff>
                    <xdr:row>108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93" name="Button 191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109</xdr:row>
                    <xdr:rowOff>9525</xdr:rowOff>
                  </from>
                  <to>
                    <xdr:col>4</xdr:col>
                    <xdr:colOff>219075</xdr:colOff>
                    <xdr:row>109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94" name="Button 19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110</xdr:row>
                    <xdr:rowOff>9525</xdr:rowOff>
                  </from>
                  <to>
                    <xdr:col>4</xdr:col>
                    <xdr:colOff>219075</xdr:colOff>
                    <xdr:row>110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95" name="Button 193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111</xdr:row>
                    <xdr:rowOff>9525</xdr:rowOff>
                  </from>
                  <to>
                    <xdr:col>4</xdr:col>
                    <xdr:colOff>219075</xdr:colOff>
                    <xdr:row>111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96" name="Button 194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112</xdr:row>
                    <xdr:rowOff>9525</xdr:rowOff>
                  </from>
                  <to>
                    <xdr:col>4</xdr:col>
                    <xdr:colOff>219075</xdr:colOff>
                    <xdr:row>112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97" name="Button 195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113</xdr:row>
                    <xdr:rowOff>9525</xdr:rowOff>
                  </from>
                  <to>
                    <xdr:col>4</xdr:col>
                    <xdr:colOff>219075</xdr:colOff>
                    <xdr:row>113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98" name="Button 196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114</xdr:row>
                    <xdr:rowOff>9525</xdr:rowOff>
                  </from>
                  <to>
                    <xdr:col>4</xdr:col>
                    <xdr:colOff>219075</xdr:colOff>
                    <xdr:row>114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99" name="Button 197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115</xdr:row>
                    <xdr:rowOff>9525</xdr:rowOff>
                  </from>
                  <to>
                    <xdr:col>4</xdr:col>
                    <xdr:colOff>219075</xdr:colOff>
                    <xdr:row>115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200" name="Button 198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116</xdr:row>
                    <xdr:rowOff>9525</xdr:rowOff>
                  </from>
                  <to>
                    <xdr:col>4</xdr:col>
                    <xdr:colOff>219075</xdr:colOff>
                    <xdr:row>116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201" name="Button 199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117</xdr:row>
                    <xdr:rowOff>9525</xdr:rowOff>
                  </from>
                  <to>
                    <xdr:col>4</xdr:col>
                    <xdr:colOff>219075</xdr:colOff>
                    <xdr:row>117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202" name="Button 200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118</xdr:row>
                    <xdr:rowOff>9525</xdr:rowOff>
                  </from>
                  <to>
                    <xdr:col>4</xdr:col>
                    <xdr:colOff>219075</xdr:colOff>
                    <xdr:row>118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203" name="Button 201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119</xdr:row>
                    <xdr:rowOff>9525</xdr:rowOff>
                  </from>
                  <to>
                    <xdr:col>4</xdr:col>
                    <xdr:colOff>219075</xdr:colOff>
                    <xdr:row>119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204" name="Button 20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120</xdr:row>
                    <xdr:rowOff>9525</xdr:rowOff>
                  </from>
                  <to>
                    <xdr:col>4</xdr:col>
                    <xdr:colOff>219075</xdr:colOff>
                    <xdr:row>120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205" name="Button 203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121</xdr:row>
                    <xdr:rowOff>9525</xdr:rowOff>
                  </from>
                  <to>
                    <xdr:col>4</xdr:col>
                    <xdr:colOff>219075</xdr:colOff>
                    <xdr:row>121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206" name="Button 204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122</xdr:row>
                    <xdr:rowOff>9525</xdr:rowOff>
                  </from>
                  <to>
                    <xdr:col>4</xdr:col>
                    <xdr:colOff>219075</xdr:colOff>
                    <xdr:row>122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207" name="Button 205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123</xdr:row>
                    <xdr:rowOff>9525</xdr:rowOff>
                  </from>
                  <to>
                    <xdr:col>4</xdr:col>
                    <xdr:colOff>219075</xdr:colOff>
                    <xdr:row>123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208" name="Button 206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124</xdr:row>
                    <xdr:rowOff>9525</xdr:rowOff>
                  </from>
                  <to>
                    <xdr:col>4</xdr:col>
                    <xdr:colOff>219075</xdr:colOff>
                    <xdr:row>124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209" name="Button 207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125</xdr:row>
                    <xdr:rowOff>9525</xdr:rowOff>
                  </from>
                  <to>
                    <xdr:col>4</xdr:col>
                    <xdr:colOff>219075</xdr:colOff>
                    <xdr:row>125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210" name="Button 208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126</xdr:row>
                    <xdr:rowOff>9525</xdr:rowOff>
                  </from>
                  <to>
                    <xdr:col>4</xdr:col>
                    <xdr:colOff>219075</xdr:colOff>
                    <xdr:row>126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211" name="Button 209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127</xdr:row>
                    <xdr:rowOff>9525</xdr:rowOff>
                  </from>
                  <to>
                    <xdr:col>4</xdr:col>
                    <xdr:colOff>219075</xdr:colOff>
                    <xdr:row>127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212" name="Button 210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128</xdr:row>
                    <xdr:rowOff>9525</xdr:rowOff>
                  </from>
                  <to>
                    <xdr:col>4</xdr:col>
                    <xdr:colOff>219075</xdr:colOff>
                    <xdr:row>128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213" name="Button 211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129</xdr:row>
                    <xdr:rowOff>9525</xdr:rowOff>
                  </from>
                  <to>
                    <xdr:col>4</xdr:col>
                    <xdr:colOff>219075</xdr:colOff>
                    <xdr:row>129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214" name="Button 21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130</xdr:row>
                    <xdr:rowOff>9525</xdr:rowOff>
                  </from>
                  <to>
                    <xdr:col>4</xdr:col>
                    <xdr:colOff>219075</xdr:colOff>
                    <xdr:row>130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" r:id="rId215" name="Button 213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131</xdr:row>
                    <xdr:rowOff>9525</xdr:rowOff>
                  </from>
                  <to>
                    <xdr:col>4</xdr:col>
                    <xdr:colOff>219075</xdr:colOff>
                    <xdr:row>131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" r:id="rId216" name="Button 214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132</xdr:row>
                    <xdr:rowOff>9525</xdr:rowOff>
                  </from>
                  <to>
                    <xdr:col>4</xdr:col>
                    <xdr:colOff>219075</xdr:colOff>
                    <xdr:row>132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" r:id="rId217" name="Button 215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133</xdr:row>
                    <xdr:rowOff>9525</xdr:rowOff>
                  </from>
                  <to>
                    <xdr:col>4</xdr:col>
                    <xdr:colOff>219075</xdr:colOff>
                    <xdr:row>133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" r:id="rId218" name="Button 216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134</xdr:row>
                    <xdr:rowOff>9525</xdr:rowOff>
                  </from>
                  <to>
                    <xdr:col>4</xdr:col>
                    <xdr:colOff>219075</xdr:colOff>
                    <xdr:row>134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" r:id="rId219" name="Button 217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135</xdr:row>
                    <xdr:rowOff>9525</xdr:rowOff>
                  </from>
                  <to>
                    <xdr:col>4</xdr:col>
                    <xdr:colOff>219075</xdr:colOff>
                    <xdr:row>135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" r:id="rId220" name="Button 218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136</xdr:row>
                    <xdr:rowOff>9525</xdr:rowOff>
                  </from>
                  <to>
                    <xdr:col>4</xdr:col>
                    <xdr:colOff>219075</xdr:colOff>
                    <xdr:row>136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" r:id="rId221" name="Button 219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137</xdr:row>
                    <xdr:rowOff>9525</xdr:rowOff>
                  </from>
                  <to>
                    <xdr:col>4</xdr:col>
                    <xdr:colOff>219075</xdr:colOff>
                    <xdr:row>137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" r:id="rId222" name="Button 220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138</xdr:row>
                    <xdr:rowOff>9525</xdr:rowOff>
                  </from>
                  <to>
                    <xdr:col>4</xdr:col>
                    <xdr:colOff>219075</xdr:colOff>
                    <xdr:row>138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" r:id="rId223" name="Button 221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139</xdr:row>
                    <xdr:rowOff>9525</xdr:rowOff>
                  </from>
                  <to>
                    <xdr:col>4</xdr:col>
                    <xdr:colOff>219075</xdr:colOff>
                    <xdr:row>139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" r:id="rId224" name="Button 22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140</xdr:row>
                    <xdr:rowOff>9525</xdr:rowOff>
                  </from>
                  <to>
                    <xdr:col>4</xdr:col>
                    <xdr:colOff>219075</xdr:colOff>
                    <xdr:row>140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" r:id="rId225" name="Button 223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141</xdr:row>
                    <xdr:rowOff>9525</xdr:rowOff>
                  </from>
                  <to>
                    <xdr:col>4</xdr:col>
                    <xdr:colOff>219075</xdr:colOff>
                    <xdr:row>141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26" name="Button 224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142</xdr:row>
                    <xdr:rowOff>9525</xdr:rowOff>
                  </from>
                  <to>
                    <xdr:col>4</xdr:col>
                    <xdr:colOff>219075</xdr:colOff>
                    <xdr:row>142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" r:id="rId227" name="Button 225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143</xdr:row>
                    <xdr:rowOff>9525</xdr:rowOff>
                  </from>
                  <to>
                    <xdr:col>4</xdr:col>
                    <xdr:colOff>219075</xdr:colOff>
                    <xdr:row>143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28" name="Button 226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144</xdr:row>
                    <xdr:rowOff>9525</xdr:rowOff>
                  </from>
                  <to>
                    <xdr:col>4</xdr:col>
                    <xdr:colOff>219075</xdr:colOff>
                    <xdr:row>144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29" name="Button 227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145</xdr:row>
                    <xdr:rowOff>9525</xdr:rowOff>
                  </from>
                  <to>
                    <xdr:col>4</xdr:col>
                    <xdr:colOff>219075</xdr:colOff>
                    <xdr:row>145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30" name="Button 228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146</xdr:row>
                    <xdr:rowOff>9525</xdr:rowOff>
                  </from>
                  <to>
                    <xdr:col>4</xdr:col>
                    <xdr:colOff>219075</xdr:colOff>
                    <xdr:row>146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31" name="Button 229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147</xdr:row>
                    <xdr:rowOff>9525</xdr:rowOff>
                  </from>
                  <to>
                    <xdr:col>4</xdr:col>
                    <xdr:colOff>219075</xdr:colOff>
                    <xdr:row>147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32" name="Button 230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148</xdr:row>
                    <xdr:rowOff>9525</xdr:rowOff>
                  </from>
                  <to>
                    <xdr:col>4</xdr:col>
                    <xdr:colOff>219075</xdr:colOff>
                    <xdr:row>148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33" name="Button 231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149</xdr:row>
                    <xdr:rowOff>9525</xdr:rowOff>
                  </from>
                  <to>
                    <xdr:col>4</xdr:col>
                    <xdr:colOff>219075</xdr:colOff>
                    <xdr:row>149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34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150</xdr:row>
                    <xdr:rowOff>9525</xdr:rowOff>
                  </from>
                  <to>
                    <xdr:col>4</xdr:col>
                    <xdr:colOff>219075</xdr:colOff>
                    <xdr:row>150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35" name="Button 283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87</xdr:row>
                    <xdr:rowOff>9525</xdr:rowOff>
                  </from>
                  <to>
                    <xdr:col>6</xdr:col>
                    <xdr:colOff>219075</xdr:colOff>
                    <xdr:row>87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36" name="Button 284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88</xdr:row>
                    <xdr:rowOff>9525</xdr:rowOff>
                  </from>
                  <to>
                    <xdr:col>6</xdr:col>
                    <xdr:colOff>219075</xdr:colOff>
                    <xdr:row>88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37" name="Button 285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89</xdr:row>
                    <xdr:rowOff>9525</xdr:rowOff>
                  </from>
                  <to>
                    <xdr:col>6</xdr:col>
                    <xdr:colOff>219075</xdr:colOff>
                    <xdr:row>89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38" name="Button 286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90</xdr:row>
                    <xdr:rowOff>9525</xdr:rowOff>
                  </from>
                  <to>
                    <xdr:col>6</xdr:col>
                    <xdr:colOff>219075</xdr:colOff>
                    <xdr:row>90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239" name="Button 287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91</xdr:row>
                    <xdr:rowOff>9525</xdr:rowOff>
                  </from>
                  <to>
                    <xdr:col>6</xdr:col>
                    <xdr:colOff>219075</xdr:colOff>
                    <xdr:row>91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240" name="Button 288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92</xdr:row>
                    <xdr:rowOff>9525</xdr:rowOff>
                  </from>
                  <to>
                    <xdr:col>6</xdr:col>
                    <xdr:colOff>219075</xdr:colOff>
                    <xdr:row>92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241" name="Button 289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93</xdr:row>
                    <xdr:rowOff>9525</xdr:rowOff>
                  </from>
                  <to>
                    <xdr:col>6</xdr:col>
                    <xdr:colOff>219075</xdr:colOff>
                    <xdr:row>93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242" name="Button 290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94</xdr:row>
                    <xdr:rowOff>9525</xdr:rowOff>
                  </from>
                  <to>
                    <xdr:col>6</xdr:col>
                    <xdr:colOff>219075</xdr:colOff>
                    <xdr:row>94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243" name="Button 291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95</xdr:row>
                    <xdr:rowOff>9525</xdr:rowOff>
                  </from>
                  <to>
                    <xdr:col>6</xdr:col>
                    <xdr:colOff>219075</xdr:colOff>
                    <xdr:row>95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244" name="Button 29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96</xdr:row>
                    <xdr:rowOff>9525</xdr:rowOff>
                  </from>
                  <to>
                    <xdr:col>6</xdr:col>
                    <xdr:colOff>219075</xdr:colOff>
                    <xdr:row>96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245" name="Button 293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97</xdr:row>
                    <xdr:rowOff>9525</xdr:rowOff>
                  </from>
                  <to>
                    <xdr:col>6</xdr:col>
                    <xdr:colOff>219075</xdr:colOff>
                    <xdr:row>97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2" r:id="rId246" name="Button 294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98</xdr:row>
                    <xdr:rowOff>9525</xdr:rowOff>
                  </from>
                  <to>
                    <xdr:col>6</xdr:col>
                    <xdr:colOff>219075</xdr:colOff>
                    <xdr:row>98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247" name="Button 295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99</xdr:row>
                    <xdr:rowOff>9525</xdr:rowOff>
                  </from>
                  <to>
                    <xdr:col>6</xdr:col>
                    <xdr:colOff>219075</xdr:colOff>
                    <xdr:row>99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248" name="Button 296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100</xdr:row>
                    <xdr:rowOff>9525</xdr:rowOff>
                  </from>
                  <to>
                    <xdr:col>6</xdr:col>
                    <xdr:colOff>219075</xdr:colOff>
                    <xdr:row>100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5" r:id="rId249" name="Button 297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101</xdr:row>
                    <xdr:rowOff>9525</xdr:rowOff>
                  </from>
                  <to>
                    <xdr:col>6</xdr:col>
                    <xdr:colOff>219075</xdr:colOff>
                    <xdr:row>101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6" r:id="rId250" name="Button 298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102</xdr:row>
                    <xdr:rowOff>9525</xdr:rowOff>
                  </from>
                  <to>
                    <xdr:col>6</xdr:col>
                    <xdr:colOff>219075</xdr:colOff>
                    <xdr:row>102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251" name="Button 299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103</xdr:row>
                    <xdr:rowOff>9525</xdr:rowOff>
                  </from>
                  <to>
                    <xdr:col>6</xdr:col>
                    <xdr:colOff>219075</xdr:colOff>
                    <xdr:row>103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252" name="Button 300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104</xdr:row>
                    <xdr:rowOff>9525</xdr:rowOff>
                  </from>
                  <to>
                    <xdr:col>6</xdr:col>
                    <xdr:colOff>219075</xdr:colOff>
                    <xdr:row>104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" r:id="rId253" name="Button 301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105</xdr:row>
                    <xdr:rowOff>9525</xdr:rowOff>
                  </from>
                  <to>
                    <xdr:col>6</xdr:col>
                    <xdr:colOff>219075</xdr:colOff>
                    <xdr:row>105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254" name="Button 30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106</xdr:row>
                    <xdr:rowOff>9525</xdr:rowOff>
                  </from>
                  <to>
                    <xdr:col>6</xdr:col>
                    <xdr:colOff>219075</xdr:colOff>
                    <xdr:row>106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255" name="Button 303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107</xdr:row>
                    <xdr:rowOff>9525</xdr:rowOff>
                  </from>
                  <to>
                    <xdr:col>6</xdr:col>
                    <xdr:colOff>219075</xdr:colOff>
                    <xdr:row>107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256" name="Button 304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108</xdr:row>
                    <xdr:rowOff>9525</xdr:rowOff>
                  </from>
                  <to>
                    <xdr:col>6</xdr:col>
                    <xdr:colOff>219075</xdr:colOff>
                    <xdr:row>108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3" r:id="rId257" name="Button 305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109</xdr:row>
                    <xdr:rowOff>9525</xdr:rowOff>
                  </from>
                  <to>
                    <xdr:col>6</xdr:col>
                    <xdr:colOff>219075</xdr:colOff>
                    <xdr:row>109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4" r:id="rId258" name="Button 306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110</xdr:row>
                    <xdr:rowOff>9525</xdr:rowOff>
                  </from>
                  <to>
                    <xdr:col>6</xdr:col>
                    <xdr:colOff>219075</xdr:colOff>
                    <xdr:row>110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" r:id="rId259" name="Button 307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111</xdr:row>
                    <xdr:rowOff>9525</xdr:rowOff>
                  </from>
                  <to>
                    <xdr:col>6</xdr:col>
                    <xdr:colOff>219075</xdr:colOff>
                    <xdr:row>111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" r:id="rId260" name="Button 308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112</xdr:row>
                    <xdr:rowOff>9525</xdr:rowOff>
                  </from>
                  <to>
                    <xdr:col>6</xdr:col>
                    <xdr:colOff>219075</xdr:colOff>
                    <xdr:row>112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" r:id="rId261" name="Button 309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113</xdr:row>
                    <xdr:rowOff>9525</xdr:rowOff>
                  </from>
                  <to>
                    <xdr:col>6</xdr:col>
                    <xdr:colOff>219075</xdr:colOff>
                    <xdr:row>113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" r:id="rId262" name="Button 310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114</xdr:row>
                    <xdr:rowOff>9525</xdr:rowOff>
                  </from>
                  <to>
                    <xdr:col>6</xdr:col>
                    <xdr:colOff>219075</xdr:colOff>
                    <xdr:row>114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" r:id="rId263" name="Button 311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115</xdr:row>
                    <xdr:rowOff>9525</xdr:rowOff>
                  </from>
                  <to>
                    <xdr:col>6</xdr:col>
                    <xdr:colOff>219075</xdr:colOff>
                    <xdr:row>115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" r:id="rId264" name="Button 31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116</xdr:row>
                    <xdr:rowOff>9525</xdr:rowOff>
                  </from>
                  <to>
                    <xdr:col>6</xdr:col>
                    <xdr:colOff>219075</xdr:colOff>
                    <xdr:row>116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" r:id="rId265" name="Button 313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117</xdr:row>
                    <xdr:rowOff>9525</xdr:rowOff>
                  </from>
                  <to>
                    <xdr:col>6</xdr:col>
                    <xdr:colOff>219075</xdr:colOff>
                    <xdr:row>117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" r:id="rId266" name="Button 314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118</xdr:row>
                    <xdr:rowOff>9525</xdr:rowOff>
                  </from>
                  <to>
                    <xdr:col>6</xdr:col>
                    <xdr:colOff>219075</xdr:colOff>
                    <xdr:row>118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" r:id="rId267" name="Button 315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119</xdr:row>
                    <xdr:rowOff>9525</xdr:rowOff>
                  </from>
                  <to>
                    <xdr:col>6</xdr:col>
                    <xdr:colOff>219075</xdr:colOff>
                    <xdr:row>119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" r:id="rId268" name="Button 316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120</xdr:row>
                    <xdr:rowOff>9525</xdr:rowOff>
                  </from>
                  <to>
                    <xdr:col>6</xdr:col>
                    <xdr:colOff>219075</xdr:colOff>
                    <xdr:row>120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" r:id="rId269" name="Button 317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121</xdr:row>
                    <xdr:rowOff>9525</xdr:rowOff>
                  </from>
                  <to>
                    <xdr:col>6</xdr:col>
                    <xdr:colOff>219075</xdr:colOff>
                    <xdr:row>121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" r:id="rId270" name="Button 318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122</xdr:row>
                    <xdr:rowOff>9525</xdr:rowOff>
                  </from>
                  <to>
                    <xdr:col>6</xdr:col>
                    <xdr:colOff>219075</xdr:colOff>
                    <xdr:row>122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" r:id="rId271" name="Button 319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123</xdr:row>
                    <xdr:rowOff>9525</xdr:rowOff>
                  </from>
                  <to>
                    <xdr:col>6</xdr:col>
                    <xdr:colOff>219075</xdr:colOff>
                    <xdr:row>123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" r:id="rId272" name="Button 320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124</xdr:row>
                    <xdr:rowOff>9525</xdr:rowOff>
                  </from>
                  <to>
                    <xdr:col>6</xdr:col>
                    <xdr:colOff>219075</xdr:colOff>
                    <xdr:row>124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" r:id="rId273" name="Button 321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125</xdr:row>
                    <xdr:rowOff>9525</xdr:rowOff>
                  </from>
                  <to>
                    <xdr:col>6</xdr:col>
                    <xdr:colOff>219075</xdr:colOff>
                    <xdr:row>125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" r:id="rId274" name="Button 32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126</xdr:row>
                    <xdr:rowOff>9525</xdr:rowOff>
                  </from>
                  <to>
                    <xdr:col>6</xdr:col>
                    <xdr:colOff>219075</xdr:colOff>
                    <xdr:row>126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" r:id="rId275" name="Button 323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127</xdr:row>
                    <xdr:rowOff>9525</xdr:rowOff>
                  </from>
                  <to>
                    <xdr:col>6</xdr:col>
                    <xdr:colOff>219075</xdr:colOff>
                    <xdr:row>127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" r:id="rId276" name="Button 324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128</xdr:row>
                    <xdr:rowOff>9525</xdr:rowOff>
                  </from>
                  <to>
                    <xdr:col>6</xdr:col>
                    <xdr:colOff>219075</xdr:colOff>
                    <xdr:row>128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" r:id="rId277" name="Button 325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129</xdr:row>
                    <xdr:rowOff>9525</xdr:rowOff>
                  </from>
                  <to>
                    <xdr:col>6</xdr:col>
                    <xdr:colOff>219075</xdr:colOff>
                    <xdr:row>129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" r:id="rId278" name="Button 326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130</xdr:row>
                    <xdr:rowOff>9525</xdr:rowOff>
                  </from>
                  <to>
                    <xdr:col>6</xdr:col>
                    <xdr:colOff>219075</xdr:colOff>
                    <xdr:row>130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" r:id="rId279" name="Button 327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131</xdr:row>
                    <xdr:rowOff>9525</xdr:rowOff>
                  </from>
                  <to>
                    <xdr:col>6</xdr:col>
                    <xdr:colOff>219075</xdr:colOff>
                    <xdr:row>131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" r:id="rId280" name="Button 328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132</xdr:row>
                    <xdr:rowOff>9525</xdr:rowOff>
                  </from>
                  <to>
                    <xdr:col>6</xdr:col>
                    <xdr:colOff>219075</xdr:colOff>
                    <xdr:row>132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" r:id="rId281" name="Button 329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133</xdr:row>
                    <xdr:rowOff>9525</xdr:rowOff>
                  </from>
                  <to>
                    <xdr:col>6</xdr:col>
                    <xdr:colOff>219075</xdr:colOff>
                    <xdr:row>133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" r:id="rId282" name="Button 330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134</xdr:row>
                    <xdr:rowOff>9525</xdr:rowOff>
                  </from>
                  <to>
                    <xdr:col>6</xdr:col>
                    <xdr:colOff>219075</xdr:colOff>
                    <xdr:row>134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" r:id="rId283" name="Button 331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135</xdr:row>
                    <xdr:rowOff>9525</xdr:rowOff>
                  </from>
                  <to>
                    <xdr:col>6</xdr:col>
                    <xdr:colOff>219075</xdr:colOff>
                    <xdr:row>135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" r:id="rId284" name="Button 33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136</xdr:row>
                    <xdr:rowOff>9525</xdr:rowOff>
                  </from>
                  <to>
                    <xdr:col>6</xdr:col>
                    <xdr:colOff>219075</xdr:colOff>
                    <xdr:row>136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" r:id="rId285" name="Button 333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137</xdr:row>
                    <xdr:rowOff>9525</xdr:rowOff>
                  </from>
                  <to>
                    <xdr:col>6</xdr:col>
                    <xdr:colOff>219075</xdr:colOff>
                    <xdr:row>137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" r:id="rId286" name="Button 334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138</xdr:row>
                    <xdr:rowOff>9525</xdr:rowOff>
                  </from>
                  <to>
                    <xdr:col>6</xdr:col>
                    <xdr:colOff>219075</xdr:colOff>
                    <xdr:row>138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" r:id="rId287" name="Button 335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139</xdr:row>
                    <xdr:rowOff>9525</xdr:rowOff>
                  </from>
                  <to>
                    <xdr:col>6</xdr:col>
                    <xdr:colOff>219075</xdr:colOff>
                    <xdr:row>139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" r:id="rId288" name="Button 336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140</xdr:row>
                    <xdr:rowOff>9525</xdr:rowOff>
                  </from>
                  <to>
                    <xdr:col>6</xdr:col>
                    <xdr:colOff>219075</xdr:colOff>
                    <xdr:row>140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" r:id="rId289" name="Button 337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141</xdr:row>
                    <xdr:rowOff>9525</xdr:rowOff>
                  </from>
                  <to>
                    <xdr:col>6</xdr:col>
                    <xdr:colOff>219075</xdr:colOff>
                    <xdr:row>141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" r:id="rId290" name="Button 338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142</xdr:row>
                    <xdr:rowOff>9525</xdr:rowOff>
                  </from>
                  <to>
                    <xdr:col>6</xdr:col>
                    <xdr:colOff>219075</xdr:colOff>
                    <xdr:row>142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7" r:id="rId291" name="Button 339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143</xdr:row>
                    <xdr:rowOff>9525</xdr:rowOff>
                  </from>
                  <to>
                    <xdr:col>6</xdr:col>
                    <xdr:colOff>219075</xdr:colOff>
                    <xdr:row>143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8" r:id="rId292" name="Button 340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144</xdr:row>
                    <xdr:rowOff>9525</xdr:rowOff>
                  </from>
                  <to>
                    <xdr:col>6</xdr:col>
                    <xdr:colOff>219075</xdr:colOff>
                    <xdr:row>144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9" r:id="rId293" name="Button 341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145</xdr:row>
                    <xdr:rowOff>9525</xdr:rowOff>
                  </from>
                  <to>
                    <xdr:col>6</xdr:col>
                    <xdr:colOff>219075</xdr:colOff>
                    <xdr:row>145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0" r:id="rId294" name="Button 34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146</xdr:row>
                    <xdr:rowOff>9525</xdr:rowOff>
                  </from>
                  <to>
                    <xdr:col>6</xdr:col>
                    <xdr:colOff>219075</xdr:colOff>
                    <xdr:row>146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" r:id="rId295" name="Button 343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147</xdr:row>
                    <xdr:rowOff>9525</xdr:rowOff>
                  </from>
                  <to>
                    <xdr:col>6</xdr:col>
                    <xdr:colOff>219075</xdr:colOff>
                    <xdr:row>147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2" r:id="rId296" name="Button 344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148</xdr:row>
                    <xdr:rowOff>9525</xdr:rowOff>
                  </from>
                  <to>
                    <xdr:col>6</xdr:col>
                    <xdr:colOff>219075</xdr:colOff>
                    <xdr:row>148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3" r:id="rId297" name="Button 345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149</xdr:row>
                    <xdr:rowOff>9525</xdr:rowOff>
                  </from>
                  <to>
                    <xdr:col>6</xdr:col>
                    <xdr:colOff>219075</xdr:colOff>
                    <xdr:row>149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4" r:id="rId298" name="Button 346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150</xdr:row>
                    <xdr:rowOff>9525</xdr:rowOff>
                  </from>
                  <to>
                    <xdr:col>6</xdr:col>
                    <xdr:colOff>219075</xdr:colOff>
                    <xdr:row>150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" r:id="rId299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151</xdr:row>
                    <xdr:rowOff>9525</xdr:rowOff>
                  </from>
                  <to>
                    <xdr:col>4</xdr:col>
                    <xdr:colOff>219075</xdr:colOff>
                    <xdr:row>151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" r:id="rId300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152</xdr:row>
                    <xdr:rowOff>9525</xdr:rowOff>
                  </from>
                  <to>
                    <xdr:col>4</xdr:col>
                    <xdr:colOff>219075</xdr:colOff>
                    <xdr:row>152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8" r:id="rId301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153</xdr:row>
                    <xdr:rowOff>9525</xdr:rowOff>
                  </from>
                  <to>
                    <xdr:col>4</xdr:col>
                    <xdr:colOff>219075</xdr:colOff>
                    <xdr:row>153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9" r:id="rId302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154</xdr:row>
                    <xdr:rowOff>9525</xdr:rowOff>
                  </from>
                  <to>
                    <xdr:col>4</xdr:col>
                    <xdr:colOff>219075</xdr:colOff>
                    <xdr:row>154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0" r:id="rId303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155</xdr:row>
                    <xdr:rowOff>9525</xdr:rowOff>
                  </from>
                  <to>
                    <xdr:col>4</xdr:col>
                    <xdr:colOff>219075</xdr:colOff>
                    <xdr:row>155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1" r:id="rId304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156</xdr:row>
                    <xdr:rowOff>9525</xdr:rowOff>
                  </from>
                  <to>
                    <xdr:col>4</xdr:col>
                    <xdr:colOff>219075</xdr:colOff>
                    <xdr:row>156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2" r:id="rId305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157</xdr:row>
                    <xdr:rowOff>9525</xdr:rowOff>
                  </from>
                  <to>
                    <xdr:col>4</xdr:col>
                    <xdr:colOff>219075</xdr:colOff>
                    <xdr:row>157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" r:id="rId306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158</xdr:row>
                    <xdr:rowOff>9525</xdr:rowOff>
                  </from>
                  <to>
                    <xdr:col>4</xdr:col>
                    <xdr:colOff>219075</xdr:colOff>
                    <xdr:row>158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4" r:id="rId307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159</xdr:row>
                    <xdr:rowOff>9525</xdr:rowOff>
                  </from>
                  <to>
                    <xdr:col>4</xdr:col>
                    <xdr:colOff>219075</xdr:colOff>
                    <xdr:row>159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" r:id="rId308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160</xdr:row>
                    <xdr:rowOff>9525</xdr:rowOff>
                  </from>
                  <to>
                    <xdr:col>4</xdr:col>
                    <xdr:colOff>219075</xdr:colOff>
                    <xdr:row>160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" r:id="rId309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161</xdr:row>
                    <xdr:rowOff>9525</xdr:rowOff>
                  </from>
                  <to>
                    <xdr:col>4</xdr:col>
                    <xdr:colOff>219075</xdr:colOff>
                    <xdr:row>161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7" r:id="rId310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162</xdr:row>
                    <xdr:rowOff>9525</xdr:rowOff>
                  </from>
                  <to>
                    <xdr:col>4</xdr:col>
                    <xdr:colOff>219075</xdr:colOff>
                    <xdr:row>162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" r:id="rId311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163</xdr:row>
                    <xdr:rowOff>9525</xdr:rowOff>
                  </from>
                  <to>
                    <xdr:col>4</xdr:col>
                    <xdr:colOff>219075</xdr:colOff>
                    <xdr:row>163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" r:id="rId312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164</xdr:row>
                    <xdr:rowOff>9525</xdr:rowOff>
                  </from>
                  <to>
                    <xdr:col>4</xdr:col>
                    <xdr:colOff>219075</xdr:colOff>
                    <xdr:row>164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" r:id="rId313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165</xdr:row>
                    <xdr:rowOff>9525</xdr:rowOff>
                  </from>
                  <to>
                    <xdr:col>4</xdr:col>
                    <xdr:colOff>219075</xdr:colOff>
                    <xdr:row>165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" r:id="rId314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166</xdr:row>
                    <xdr:rowOff>9525</xdr:rowOff>
                  </from>
                  <to>
                    <xdr:col>4</xdr:col>
                    <xdr:colOff>219075</xdr:colOff>
                    <xdr:row>166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" r:id="rId315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167</xdr:row>
                    <xdr:rowOff>9525</xdr:rowOff>
                  </from>
                  <to>
                    <xdr:col>4</xdr:col>
                    <xdr:colOff>219075</xdr:colOff>
                    <xdr:row>167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" r:id="rId316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168</xdr:row>
                    <xdr:rowOff>9525</xdr:rowOff>
                  </from>
                  <to>
                    <xdr:col>4</xdr:col>
                    <xdr:colOff>219075</xdr:colOff>
                    <xdr:row>168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4" r:id="rId317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169</xdr:row>
                    <xdr:rowOff>9525</xdr:rowOff>
                  </from>
                  <to>
                    <xdr:col>4</xdr:col>
                    <xdr:colOff>219075</xdr:colOff>
                    <xdr:row>169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5" r:id="rId318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170</xdr:row>
                    <xdr:rowOff>9525</xdr:rowOff>
                  </from>
                  <to>
                    <xdr:col>4</xdr:col>
                    <xdr:colOff>219075</xdr:colOff>
                    <xdr:row>170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" r:id="rId319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171</xdr:row>
                    <xdr:rowOff>9525</xdr:rowOff>
                  </from>
                  <to>
                    <xdr:col>4</xdr:col>
                    <xdr:colOff>219075</xdr:colOff>
                    <xdr:row>171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7" r:id="rId320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172</xdr:row>
                    <xdr:rowOff>9525</xdr:rowOff>
                  </from>
                  <to>
                    <xdr:col>4</xdr:col>
                    <xdr:colOff>219075</xdr:colOff>
                    <xdr:row>172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8" r:id="rId321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173</xdr:row>
                    <xdr:rowOff>9525</xdr:rowOff>
                  </from>
                  <to>
                    <xdr:col>4</xdr:col>
                    <xdr:colOff>219075</xdr:colOff>
                    <xdr:row>173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9" r:id="rId322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174</xdr:row>
                    <xdr:rowOff>9525</xdr:rowOff>
                  </from>
                  <to>
                    <xdr:col>4</xdr:col>
                    <xdr:colOff>219075</xdr:colOff>
                    <xdr:row>174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0" r:id="rId323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175</xdr:row>
                    <xdr:rowOff>9525</xdr:rowOff>
                  </from>
                  <to>
                    <xdr:col>4</xdr:col>
                    <xdr:colOff>219075</xdr:colOff>
                    <xdr:row>175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" r:id="rId324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176</xdr:row>
                    <xdr:rowOff>9525</xdr:rowOff>
                  </from>
                  <to>
                    <xdr:col>4</xdr:col>
                    <xdr:colOff>219075</xdr:colOff>
                    <xdr:row>176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2" r:id="rId325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177</xdr:row>
                    <xdr:rowOff>9525</xdr:rowOff>
                  </from>
                  <to>
                    <xdr:col>4</xdr:col>
                    <xdr:colOff>219075</xdr:colOff>
                    <xdr:row>177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3" r:id="rId326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178</xdr:row>
                    <xdr:rowOff>9525</xdr:rowOff>
                  </from>
                  <to>
                    <xdr:col>4</xdr:col>
                    <xdr:colOff>219075</xdr:colOff>
                    <xdr:row>178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4" r:id="rId327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179</xdr:row>
                    <xdr:rowOff>9525</xdr:rowOff>
                  </from>
                  <to>
                    <xdr:col>4</xdr:col>
                    <xdr:colOff>219075</xdr:colOff>
                    <xdr:row>179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" r:id="rId328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180</xdr:row>
                    <xdr:rowOff>9525</xdr:rowOff>
                  </from>
                  <to>
                    <xdr:col>4</xdr:col>
                    <xdr:colOff>219075</xdr:colOff>
                    <xdr:row>180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" r:id="rId329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181</xdr:row>
                    <xdr:rowOff>9525</xdr:rowOff>
                  </from>
                  <to>
                    <xdr:col>4</xdr:col>
                    <xdr:colOff>219075</xdr:colOff>
                    <xdr:row>181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7" r:id="rId330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182</xdr:row>
                    <xdr:rowOff>9525</xdr:rowOff>
                  </from>
                  <to>
                    <xdr:col>4</xdr:col>
                    <xdr:colOff>219075</xdr:colOff>
                    <xdr:row>182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8" r:id="rId331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183</xdr:row>
                    <xdr:rowOff>9525</xdr:rowOff>
                  </from>
                  <to>
                    <xdr:col>4</xdr:col>
                    <xdr:colOff>219075</xdr:colOff>
                    <xdr:row>183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9" r:id="rId332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184</xdr:row>
                    <xdr:rowOff>9525</xdr:rowOff>
                  </from>
                  <to>
                    <xdr:col>4</xdr:col>
                    <xdr:colOff>219075</xdr:colOff>
                    <xdr:row>184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0" r:id="rId333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185</xdr:row>
                    <xdr:rowOff>9525</xdr:rowOff>
                  </from>
                  <to>
                    <xdr:col>4</xdr:col>
                    <xdr:colOff>219075</xdr:colOff>
                    <xdr:row>185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1" r:id="rId334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186</xdr:row>
                    <xdr:rowOff>9525</xdr:rowOff>
                  </from>
                  <to>
                    <xdr:col>4</xdr:col>
                    <xdr:colOff>219075</xdr:colOff>
                    <xdr:row>186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2" r:id="rId335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187</xdr:row>
                    <xdr:rowOff>9525</xdr:rowOff>
                  </from>
                  <to>
                    <xdr:col>4</xdr:col>
                    <xdr:colOff>219075</xdr:colOff>
                    <xdr:row>187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3" r:id="rId336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188</xdr:row>
                    <xdr:rowOff>9525</xdr:rowOff>
                  </from>
                  <to>
                    <xdr:col>4</xdr:col>
                    <xdr:colOff>219075</xdr:colOff>
                    <xdr:row>188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4" r:id="rId337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189</xdr:row>
                    <xdr:rowOff>9525</xdr:rowOff>
                  </from>
                  <to>
                    <xdr:col>4</xdr:col>
                    <xdr:colOff>219075</xdr:colOff>
                    <xdr:row>189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5" r:id="rId338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190</xdr:row>
                    <xdr:rowOff>9525</xdr:rowOff>
                  </from>
                  <to>
                    <xdr:col>4</xdr:col>
                    <xdr:colOff>219075</xdr:colOff>
                    <xdr:row>190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6" r:id="rId339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191</xdr:row>
                    <xdr:rowOff>9525</xdr:rowOff>
                  </from>
                  <to>
                    <xdr:col>4</xdr:col>
                    <xdr:colOff>219075</xdr:colOff>
                    <xdr:row>191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" r:id="rId340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192</xdr:row>
                    <xdr:rowOff>9525</xdr:rowOff>
                  </from>
                  <to>
                    <xdr:col>4</xdr:col>
                    <xdr:colOff>219075</xdr:colOff>
                    <xdr:row>192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" r:id="rId341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193</xdr:row>
                    <xdr:rowOff>9525</xdr:rowOff>
                  </from>
                  <to>
                    <xdr:col>4</xdr:col>
                    <xdr:colOff>219075</xdr:colOff>
                    <xdr:row>193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9" r:id="rId342" name="Button 2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194</xdr:row>
                    <xdr:rowOff>9525</xdr:rowOff>
                  </from>
                  <to>
                    <xdr:col>4</xdr:col>
                    <xdr:colOff>219075</xdr:colOff>
                    <xdr:row>194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0" r:id="rId343" name="Button 23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151</xdr:row>
                    <xdr:rowOff>9525</xdr:rowOff>
                  </from>
                  <to>
                    <xdr:col>6</xdr:col>
                    <xdr:colOff>219075</xdr:colOff>
                    <xdr:row>151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1" r:id="rId344" name="Button 23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152</xdr:row>
                    <xdr:rowOff>9525</xdr:rowOff>
                  </from>
                  <to>
                    <xdr:col>6</xdr:col>
                    <xdr:colOff>219075</xdr:colOff>
                    <xdr:row>152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2" r:id="rId345" name="Button 23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153</xdr:row>
                    <xdr:rowOff>9525</xdr:rowOff>
                  </from>
                  <to>
                    <xdr:col>6</xdr:col>
                    <xdr:colOff>219075</xdr:colOff>
                    <xdr:row>153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" r:id="rId346" name="Button 23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154</xdr:row>
                    <xdr:rowOff>9525</xdr:rowOff>
                  </from>
                  <to>
                    <xdr:col>6</xdr:col>
                    <xdr:colOff>219075</xdr:colOff>
                    <xdr:row>154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" r:id="rId347" name="Button 23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155</xdr:row>
                    <xdr:rowOff>9525</xdr:rowOff>
                  </from>
                  <to>
                    <xdr:col>6</xdr:col>
                    <xdr:colOff>219075</xdr:colOff>
                    <xdr:row>155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" r:id="rId348" name="Button 23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156</xdr:row>
                    <xdr:rowOff>9525</xdr:rowOff>
                  </from>
                  <to>
                    <xdr:col>6</xdr:col>
                    <xdr:colOff>219075</xdr:colOff>
                    <xdr:row>156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" r:id="rId349" name="Button 23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157</xdr:row>
                    <xdr:rowOff>9525</xdr:rowOff>
                  </from>
                  <to>
                    <xdr:col>6</xdr:col>
                    <xdr:colOff>219075</xdr:colOff>
                    <xdr:row>157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" r:id="rId350" name="Button 23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158</xdr:row>
                    <xdr:rowOff>9525</xdr:rowOff>
                  </from>
                  <to>
                    <xdr:col>6</xdr:col>
                    <xdr:colOff>219075</xdr:colOff>
                    <xdr:row>158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" r:id="rId351" name="Button 23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159</xdr:row>
                    <xdr:rowOff>9525</xdr:rowOff>
                  </from>
                  <to>
                    <xdr:col>6</xdr:col>
                    <xdr:colOff>219075</xdr:colOff>
                    <xdr:row>159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" r:id="rId352" name="Button 23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160</xdr:row>
                    <xdr:rowOff>9525</xdr:rowOff>
                  </from>
                  <to>
                    <xdr:col>6</xdr:col>
                    <xdr:colOff>219075</xdr:colOff>
                    <xdr:row>160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" r:id="rId353" name="Button 23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161</xdr:row>
                    <xdr:rowOff>9525</xdr:rowOff>
                  </from>
                  <to>
                    <xdr:col>6</xdr:col>
                    <xdr:colOff>219075</xdr:colOff>
                    <xdr:row>161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" r:id="rId354" name="Button 23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162</xdr:row>
                    <xdr:rowOff>9525</xdr:rowOff>
                  </from>
                  <to>
                    <xdr:col>6</xdr:col>
                    <xdr:colOff>219075</xdr:colOff>
                    <xdr:row>162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" r:id="rId355" name="Button 23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163</xdr:row>
                    <xdr:rowOff>9525</xdr:rowOff>
                  </from>
                  <to>
                    <xdr:col>6</xdr:col>
                    <xdr:colOff>219075</xdr:colOff>
                    <xdr:row>163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" r:id="rId356" name="Button 23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164</xdr:row>
                    <xdr:rowOff>9525</xdr:rowOff>
                  </from>
                  <to>
                    <xdr:col>6</xdr:col>
                    <xdr:colOff>219075</xdr:colOff>
                    <xdr:row>164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" r:id="rId357" name="Button 23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165</xdr:row>
                    <xdr:rowOff>9525</xdr:rowOff>
                  </from>
                  <to>
                    <xdr:col>6</xdr:col>
                    <xdr:colOff>219075</xdr:colOff>
                    <xdr:row>165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" r:id="rId358" name="Button 23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166</xdr:row>
                    <xdr:rowOff>9525</xdr:rowOff>
                  </from>
                  <to>
                    <xdr:col>6</xdr:col>
                    <xdr:colOff>219075</xdr:colOff>
                    <xdr:row>166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" r:id="rId359" name="Button 23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167</xdr:row>
                    <xdr:rowOff>9525</xdr:rowOff>
                  </from>
                  <to>
                    <xdr:col>6</xdr:col>
                    <xdr:colOff>219075</xdr:colOff>
                    <xdr:row>167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" r:id="rId360" name="Button 23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168</xdr:row>
                    <xdr:rowOff>9525</xdr:rowOff>
                  </from>
                  <to>
                    <xdr:col>6</xdr:col>
                    <xdr:colOff>219075</xdr:colOff>
                    <xdr:row>168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" r:id="rId361" name="Button 23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169</xdr:row>
                    <xdr:rowOff>9525</xdr:rowOff>
                  </from>
                  <to>
                    <xdr:col>6</xdr:col>
                    <xdr:colOff>219075</xdr:colOff>
                    <xdr:row>169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" r:id="rId362" name="Button 23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170</xdr:row>
                    <xdr:rowOff>9525</xdr:rowOff>
                  </from>
                  <to>
                    <xdr:col>6</xdr:col>
                    <xdr:colOff>219075</xdr:colOff>
                    <xdr:row>170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" r:id="rId363" name="Button 23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171</xdr:row>
                    <xdr:rowOff>9525</xdr:rowOff>
                  </from>
                  <to>
                    <xdr:col>6</xdr:col>
                    <xdr:colOff>219075</xdr:colOff>
                    <xdr:row>171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" r:id="rId364" name="Button 423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195</xdr:row>
                    <xdr:rowOff>9525</xdr:rowOff>
                  </from>
                  <to>
                    <xdr:col>4</xdr:col>
                    <xdr:colOff>219075</xdr:colOff>
                    <xdr:row>195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" r:id="rId365" name="Button 424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196</xdr:row>
                    <xdr:rowOff>9525</xdr:rowOff>
                  </from>
                  <to>
                    <xdr:col>4</xdr:col>
                    <xdr:colOff>219075</xdr:colOff>
                    <xdr:row>196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" r:id="rId366" name="Button 425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197</xdr:row>
                    <xdr:rowOff>9525</xdr:rowOff>
                  </from>
                  <to>
                    <xdr:col>4</xdr:col>
                    <xdr:colOff>219075</xdr:colOff>
                    <xdr:row>197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" r:id="rId367" name="Button 426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198</xdr:row>
                    <xdr:rowOff>9525</xdr:rowOff>
                  </from>
                  <to>
                    <xdr:col>4</xdr:col>
                    <xdr:colOff>219075</xdr:colOff>
                    <xdr:row>198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" r:id="rId368" name="Button 427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200</xdr:row>
                    <xdr:rowOff>9525</xdr:rowOff>
                  </from>
                  <to>
                    <xdr:col>4</xdr:col>
                    <xdr:colOff>219075</xdr:colOff>
                    <xdr:row>200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" r:id="rId369" name="Button 428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199</xdr:row>
                    <xdr:rowOff>9525</xdr:rowOff>
                  </from>
                  <to>
                    <xdr:col>4</xdr:col>
                    <xdr:colOff>219075</xdr:colOff>
                    <xdr:row>199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" r:id="rId370" name="Button 430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201</xdr:row>
                    <xdr:rowOff>9525</xdr:rowOff>
                  </from>
                  <to>
                    <xdr:col>4</xdr:col>
                    <xdr:colOff>219075</xdr:colOff>
                    <xdr:row>201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" r:id="rId371" name="Button 431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202</xdr:row>
                    <xdr:rowOff>9525</xdr:rowOff>
                  </from>
                  <to>
                    <xdr:col>4</xdr:col>
                    <xdr:colOff>219075</xdr:colOff>
                    <xdr:row>202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" r:id="rId372" name="Button 43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203</xdr:row>
                    <xdr:rowOff>9525</xdr:rowOff>
                  </from>
                  <to>
                    <xdr:col>4</xdr:col>
                    <xdr:colOff>219075</xdr:colOff>
                    <xdr:row>203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" r:id="rId373" name="Button 433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204</xdr:row>
                    <xdr:rowOff>9525</xdr:rowOff>
                  </from>
                  <to>
                    <xdr:col>4</xdr:col>
                    <xdr:colOff>219075</xdr:colOff>
                    <xdr:row>204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" r:id="rId374" name="Button 434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205</xdr:row>
                    <xdr:rowOff>9525</xdr:rowOff>
                  </from>
                  <to>
                    <xdr:col>4</xdr:col>
                    <xdr:colOff>219075</xdr:colOff>
                    <xdr:row>205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" r:id="rId375" name="Button 435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206</xdr:row>
                    <xdr:rowOff>9525</xdr:rowOff>
                  </from>
                  <to>
                    <xdr:col>4</xdr:col>
                    <xdr:colOff>219075</xdr:colOff>
                    <xdr:row>206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4" r:id="rId376" name="Button 436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207</xdr:row>
                    <xdr:rowOff>9525</xdr:rowOff>
                  </from>
                  <to>
                    <xdr:col>4</xdr:col>
                    <xdr:colOff>219075</xdr:colOff>
                    <xdr:row>207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5" r:id="rId377" name="Button 437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208</xdr:row>
                    <xdr:rowOff>9525</xdr:rowOff>
                  </from>
                  <to>
                    <xdr:col>4</xdr:col>
                    <xdr:colOff>219075</xdr:colOff>
                    <xdr:row>208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" r:id="rId378" name="Button 439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209</xdr:row>
                    <xdr:rowOff>9525</xdr:rowOff>
                  </from>
                  <to>
                    <xdr:col>4</xdr:col>
                    <xdr:colOff>219075</xdr:colOff>
                    <xdr:row>209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" r:id="rId379" name="Button 440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210</xdr:row>
                    <xdr:rowOff>9525</xdr:rowOff>
                  </from>
                  <to>
                    <xdr:col>4</xdr:col>
                    <xdr:colOff>219075</xdr:colOff>
                    <xdr:row>210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9" r:id="rId380" name="Button 441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211</xdr:row>
                    <xdr:rowOff>9525</xdr:rowOff>
                  </from>
                  <to>
                    <xdr:col>4</xdr:col>
                    <xdr:colOff>219075</xdr:colOff>
                    <xdr:row>211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0" r:id="rId381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212</xdr:row>
                    <xdr:rowOff>9525</xdr:rowOff>
                  </from>
                  <to>
                    <xdr:col>4</xdr:col>
                    <xdr:colOff>219075</xdr:colOff>
                    <xdr:row>212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3" r:id="rId382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213</xdr:row>
                    <xdr:rowOff>9525</xdr:rowOff>
                  </from>
                  <to>
                    <xdr:col>4</xdr:col>
                    <xdr:colOff>219075</xdr:colOff>
                    <xdr:row>213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4" r:id="rId383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214</xdr:row>
                    <xdr:rowOff>9525</xdr:rowOff>
                  </from>
                  <to>
                    <xdr:col>4</xdr:col>
                    <xdr:colOff>219075</xdr:colOff>
                    <xdr:row>214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5" r:id="rId384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215</xdr:row>
                    <xdr:rowOff>9525</xdr:rowOff>
                  </from>
                  <to>
                    <xdr:col>4</xdr:col>
                    <xdr:colOff>219075</xdr:colOff>
                    <xdr:row>215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6" r:id="rId385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216</xdr:row>
                    <xdr:rowOff>9525</xdr:rowOff>
                  </from>
                  <to>
                    <xdr:col>4</xdr:col>
                    <xdr:colOff>219075</xdr:colOff>
                    <xdr:row>216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7" r:id="rId386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217</xdr:row>
                    <xdr:rowOff>9525</xdr:rowOff>
                  </from>
                  <to>
                    <xdr:col>4</xdr:col>
                    <xdr:colOff>219075</xdr:colOff>
                    <xdr:row>217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" r:id="rId387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218</xdr:row>
                    <xdr:rowOff>9525</xdr:rowOff>
                  </from>
                  <to>
                    <xdr:col>4</xdr:col>
                    <xdr:colOff>219075</xdr:colOff>
                    <xdr:row>218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9" r:id="rId388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219</xdr:row>
                    <xdr:rowOff>9525</xdr:rowOff>
                  </from>
                  <to>
                    <xdr:col>4</xdr:col>
                    <xdr:colOff>219075</xdr:colOff>
                    <xdr:row>219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0" r:id="rId389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220</xdr:row>
                    <xdr:rowOff>9525</xdr:rowOff>
                  </from>
                  <to>
                    <xdr:col>4</xdr:col>
                    <xdr:colOff>219075</xdr:colOff>
                    <xdr:row>220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1" r:id="rId390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221</xdr:row>
                    <xdr:rowOff>9525</xdr:rowOff>
                  </from>
                  <to>
                    <xdr:col>4</xdr:col>
                    <xdr:colOff>219075</xdr:colOff>
                    <xdr:row>221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2" r:id="rId391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222</xdr:row>
                    <xdr:rowOff>9525</xdr:rowOff>
                  </from>
                  <to>
                    <xdr:col>4</xdr:col>
                    <xdr:colOff>219075</xdr:colOff>
                    <xdr:row>222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3" r:id="rId392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223</xdr:row>
                    <xdr:rowOff>9525</xdr:rowOff>
                  </from>
                  <to>
                    <xdr:col>4</xdr:col>
                    <xdr:colOff>219075</xdr:colOff>
                    <xdr:row>223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4" r:id="rId393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224</xdr:row>
                    <xdr:rowOff>9525</xdr:rowOff>
                  </from>
                  <to>
                    <xdr:col>4</xdr:col>
                    <xdr:colOff>219075</xdr:colOff>
                    <xdr:row>224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5" r:id="rId394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225</xdr:row>
                    <xdr:rowOff>9525</xdr:rowOff>
                  </from>
                  <to>
                    <xdr:col>4</xdr:col>
                    <xdr:colOff>219075</xdr:colOff>
                    <xdr:row>225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6" r:id="rId395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226</xdr:row>
                    <xdr:rowOff>9525</xdr:rowOff>
                  </from>
                  <to>
                    <xdr:col>4</xdr:col>
                    <xdr:colOff>219075</xdr:colOff>
                    <xdr:row>226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7" r:id="rId396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227</xdr:row>
                    <xdr:rowOff>9525</xdr:rowOff>
                  </from>
                  <to>
                    <xdr:col>4</xdr:col>
                    <xdr:colOff>219075</xdr:colOff>
                    <xdr:row>227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" r:id="rId397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229</xdr:row>
                    <xdr:rowOff>9525</xdr:rowOff>
                  </from>
                  <to>
                    <xdr:col>4</xdr:col>
                    <xdr:colOff>219075</xdr:colOff>
                    <xdr:row>229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9" r:id="rId398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230</xdr:row>
                    <xdr:rowOff>9525</xdr:rowOff>
                  </from>
                  <to>
                    <xdr:col>4</xdr:col>
                    <xdr:colOff>219075</xdr:colOff>
                    <xdr:row>230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0" r:id="rId399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231</xdr:row>
                    <xdr:rowOff>9525</xdr:rowOff>
                  </from>
                  <to>
                    <xdr:col>4</xdr:col>
                    <xdr:colOff>219075</xdr:colOff>
                    <xdr:row>231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1" r:id="rId400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232</xdr:row>
                    <xdr:rowOff>9525</xdr:rowOff>
                  </from>
                  <to>
                    <xdr:col>4</xdr:col>
                    <xdr:colOff>219075</xdr:colOff>
                    <xdr:row>232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2" r:id="rId401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233</xdr:row>
                    <xdr:rowOff>9525</xdr:rowOff>
                  </from>
                  <to>
                    <xdr:col>4</xdr:col>
                    <xdr:colOff>219075</xdr:colOff>
                    <xdr:row>233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3" r:id="rId402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234</xdr:row>
                    <xdr:rowOff>9525</xdr:rowOff>
                  </from>
                  <to>
                    <xdr:col>4</xdr:col>
                    <xdr:colOff>219075</xdr:colOff>
                    <xdr:row>234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4" r:id="rId403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235</xdr:row>
                    <xdr:rowOff>9525</xdr:rowOff>
                  </from>
                  <to>
                    <xdr:col>4</xdr:col>
                    <xdr:colOff>219075</xdr:colOff>
                    <xdr:row>235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5" r:id="rId404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236</xdr:row>
                    <xdr:rowOff>9525</xdr:rowOff>
                  </from>
                  <to>
                    <xdr:col>4</xdr:col>
                    <xdr:colOff>219075</xdr:colOff>
                    <xdr:row>236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6" r:id="rId405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237</xdr:row>
                    <xdr:rowOff>9525</xdr:rowOff>
                  </from>
                  <to>
                    <xdr:col>4</xdr:col>
                    <xdr:colOff>219075</xdr:colOff>
                    <xdr:row>237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7" r:id="rId406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238</xdr:row>
                    <xdr:rowOff>19050</xdr:rowOff>
                  </from>
                  <to>
                    <xdr:col>4</xdr:col>
                    <xdr:colOff>219075</xdr:colOff>
                    <xdr:row>238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8" r:id="rId407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239</xdr:row>
                    <xdr:rowOff>9525</xdr:rowOff>
                  </from>
                  <to>
                    <xdr:col>4</xdr:col>
                    <xdr:colOff>219075</xdr:colOff>
                    <xdr:row>239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" r:id="rId408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240</xdr:row>
                    <xdr:rowOff>9525</xdr:rowOff>
                  </from>
                  <to>
                    <xdr:col>4</xdr:col>
                    <xdr:colOff>219075</xdr:colOff>
                    <xdr:row>240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0" r:id="rId409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241</xdr:row>
                    <xdr:rowOff>9525</xdr:rowOff>
                  </from>
                  <to>
                    <xdr:col>4</xdr:col>
                    <xdr:colOff>219075</xdr:colOff>
                    <xdr:row>241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1" r:id="rId410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242</xdr:row>
                    <xdr:rowOff>9525</xdr:rowOff>
                  </from>
                  <to>
                    <xdr:col>4</xdr:col>
                    <xdr:colOff>219075</xdr:colOff>
                    <xdr:row>242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2" r:id="rId411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243</xdr:row>
                    <xdr:rowOff>9525</xdr:rowOff>
                  </from>
                  <to>
                    <xdr:col>4</xdr:col>
                    <xdr:colOff>219075</xdr:colOff>
                    <xdr:row>243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3" r:id="rId412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244</xdr:row>
                    <xdr:rowOff>9525</xdr:rowOff>
                  </from>
                  <to>
                    <xdr:col>4</xdr:col>
                    <xdr:colOff>219075</xdr:colOff>
                    <xdr:row>244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4" r:id="rId413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245</xdr:row>
                    <xdr:rowOff>9525</xdr:rowOff>
                  </from>
                  <to>
                    <xdr:col>4</xdr:col>
                    <xdr:colOff>219075</xdr:colOff>
                    <xdr:row>245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5" r:id="rId414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246</xdr:row>
                    <xdr:rowOff>9525</xdr:rowOff>
                  </from>
                  <to>
                    <xdr:col>4</xdr:col>
                    <xdr:colOff>219075</xdr:colOff>
                    <xdr:row>246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6" r:id="rId415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247</xdr:row>
                    <xdr:rowOff>9525</xdr:rowOff>
                  </from>
                  <to>
                    <xdr:col>4</xdr:col>
                    <xdr:colOff>219075</xdr:colOff>
                    <xdr:row>247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7" r:id="rId416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248</xdr:row>
                    <xdr:rowOff>9525</xdr:rowOff>
                  </from>
                  <to>
                    <xdr:col>4</xdr:col>
                    <xdr:colOff>219075</xdr:colOff>
                    <xdr:row>248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8" r:id="rId417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249</xdr:row>
                    <xdr:rowOff>9525</xdr:rowOff>
                  </from>
                  <to>
                    <xdr:col>4</xdr:col>
                    <xdr:colOff>219075</xdr:colOff>
                    <xdr:row>249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9" r:id="rId418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250</xdr:row>
                    <xdr:rowOff>9525</xdr:rowOff>
                  </from>
                  <to>
                    <xdr:col>4</xdr:col>
                    <xdr:colOff>219075</xdr:colOff>
                    <xdr:row>250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0" r:id="rId419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251</xdr:row>
                    <xdr:rowOff>9525</xdr:rowOff>
                  </from>
                  <to>
                    <xdr:col>4</xdr:col>
                    <xdr:colOff>219075</xdr:colOff>
                    <xdr:row>251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1" r:id="rId420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252</xdr:row>
                    <xdr:rowOff>9525</xdr:rowOff>
                  </from>
                  <to>
                    <xdr:col>4</xdr:col>
                    <xdr:colOff>219075</xdr:colOff>
                    <xdr:row>252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2" r:id="rId421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253</xdr:row>
                    <xdr:rowOff>19050</xdr:rowOff>
                  </from>
                  <to>
                    <xdr:col>4</xdr:col>
                    <xdr:colOff>219075</xdr:colOff>
                    <xdr:row>253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" r:id="rId422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253</xdr:row>
                    <xdr:rowOff>9525</xdr:rowOff>
                  </from>
                  <to>
                    <xdr:col>4</xdr:col>
                    <xdr:colOff>219075</xdr:colOff>
                    <xdr:row>253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4" r:id="rId423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254</xdr:row>
                    <xdr:rowOff>9525</xdr:rowOff>
                  </from>
                  <to>
                    <xdr:col>4</xdr:col>
                    <xdr:colOff>219075</xdr:colOff>
                    <xdr:row>254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5" r:id="rId424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255</xdr:row>
                    <xdr:rowOff>9525</xdr:rowOff>
                  </from>
                  <to>
                    <xdr:col>4</xdr:col>
                    <xdr:colOff>219075</xdr:colOff>
                    <xdr:row>255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6" r:id="rId425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256</xdr:row>
                    <xdr:rowOff>9525</xdr:rowOff>
                  </from>
                  <to>
                    <xdr:col>4</xdr:col>
                    <xdr:colOff>219075</xdr:colOff>
                    <xdr:row>256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7" r:id="rId426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257</xdr:row>
                    <xdr:rowOff>9525</xdr:rowOff>
                  </from>
                  <to>
                    <xdr:col>4</xdr:col>
                    <xdr:colOff>219075</xdr:colOff>
                    <xdr:row>257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8" r:id="rId427" name="Button 44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258</xdr:row>
                    <xdr:rowOff>9525</xdr:rowOff>
                  </from>
                  <to>
                    <xdr:col>4</xdr:col>
                    <xdr:colOff>219075</xdr:colOff>
                    <xdr:row>258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0" r:id="rId428" name="Button 49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259</xdr:row>
                    <xdr:rowOff>9525</xdr:rowOff>
                  </from>
                  <to>
                    <xdr:col>4</xdr:col>
                    <xdr:colOff>219075</xdr:colOff>
                    <xdr:row>259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1" r:id="rId429" name="Button 493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260</xdr:row>
                    <xdr:rowOff>9525</xdr:rowOff>
                  </from>
                  <to>
                    <xdr:col>4</xdr:col>
                    <xdr:colOff>219075</xdr:colOff>
                    <xdr:row>260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2" r:id="rId430" name="Button 494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261</xdr:row>
                    <xdr:rowOff>9525</xdr:rowOff>
                  </from>
                  <to>
                    <xdr:col>4</xdr:col>
                    <xdr:colOff>219075</xdr:colOff>
                    <xdr:row>261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3" r:id="rId431" name="Button 495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262</xdr:row>
                    <xdr:rowOff>9525</xdr:rowOff>
                  </from>
                  <to>
                    <xdr:col>4</xdr:col>
                    <xdr:colOff>219075</xdr:colOff>
                    <xdr:row>262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4" r:id="rId432" name="Button 496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263</xdr:row>
                    <xdr:rowOff>9525</xdr:rowOff>
                  </from>
                  <to>
                    <xdr:col>4</xdr:col>
                    <xdr:colOff>219075</xdr:colOff>
                    <xdr:row>263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5" r:id="rId433" name="Button 497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264</xdr:row>
                    <xdr:rowOff>9525</xdr:rowOff>
                  </from>
                  <to>
                    <xdr:col>4</xdr:col>
                    <xdr:colOff>219075</xdr:colOff>
                    <xdr:row>264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6" r:id="rId434" name="Button 498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265</xdr:row>
                    <xdr:rowOff>9525</xdr:rowOff>
                  </from>
                  <to>
                    <xdr:col>4</xdr:col>
                    <xdr:colOff>219075</xdr:colOff>
                    <xdr:row>265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7" r:id="rId435" name="Button 499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266</xdr:row>
                    <xdr:rowOff>9525</xdr:rowOff>
                  </from>
                  <to>
                    <xdr:col>4</xdr:col>
                    <xdr:colOff>219075</xdr:colOff>
                    <xdr:row>266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8" r:id="rId436" name="Button 500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267</xdr:row>
                    <xdr:rowOff>9525</xdr:rowOff>
                  </from>
                  <to>
                    <xdr:col>4</xdr:col>
                    <xdr:colOff>219075</xdr:colOff>
                    <xdr:row>267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9" r:id="rId437" name="Button 501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268</xdr:row>
                    <xdr:rowOff>9525</xdr:rowOff>
                  </from>
                  <to>
                    <xdr:col>4</xdr:col>
                    <xdr:colOff>219075</xdr:colOff>
                    <xdr:row>268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0" r:id="rId438" name="Button 50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269</xdr:row>
                    <xdr:rowOff>9525</xdr:rowOff>
                  </from>
                  <to>
                    <xdr:col>4</xdr:col>
                    <xdr:colOff>219075</xdr:colOff>
                    <xdr:row>269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1" r:id="rId439" name="Button 503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270</xdr:row>
                    <xdr:rowOff>9525</xdr:rowOff>
                  </from>
                  <to>
                    <xdr:col>4</xdr:col>
                    <xdr:colOff>219075</xdr:colOff>
                    <xdr:row>270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2" r:id="rId440" name="Button 504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271</xdr:row>
                    <xdr:rowOff>9525</xdr:rowOff>
                  </from>
                  <to>
                    <xdr:col>4</xdr:col>
                    <xdr:colOff>219075</xdr:colOff>
                    <xdr:row>271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3" r:id="rId441" name="Button 505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272</xdr:row>
                    <xdr:rowOff>9525</xdr:rowOff>
                  </from>
                  <to>
                    <xdr:col>4</xdr:col>
                    <xdr:colOff>219075</xdr:colOff>
                    <xdr:row>272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4" r:id="rId442" name="Button 506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273</xdr:row>
                    <xdr:rowOff>9525</xdr:rowOff>
                  </from>
                  <to>
                    <xdr:col>4</xdr:col>
                    <xdr:colOff>219075</xdr:colOff>
                    <xdr:row>273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5" r:id="rId443" name="Button 507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274</xdr:row>
                    <xdr:rowOff>9525</xdr:rowOff>
                  </from>
                  <to>
                    <xdr:col>4</xdr:col>
                    <xdr:colOff>219075</xdr:colOff>
                    <xdr:row>274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6" r:id="rId444" name="Button 508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275</xdr:row>
                    <xdr:rowOff>9525</xdr:rowOff>
                  </from>
                  <to>
                    <xdr:col>4</xdr:col>
                    <xdr:colOff>219075</xdr:colOff>
                    <xdr:row>275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7" r:id="rId445" name="Button 509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276</xdr:row>
                    <xdr:rowOff>9525</xdr:rowOff>
                  </from>
                  <to>
                    <xdr:col>4</xdr:col>
                    <xdr:colOff>219075</xdr:colOff>
                    <xdr:row>276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8" r:id="rId446" name="Button 510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277</xdr:row>
                    <xdr:rowOff>9525</xdr:rowOff>
                  </from>
                  <to>
                    <xdr:col>4</xdr:col>
                    <xdr:colOff>219075</xdr:colOff>
                    <xdr:row>277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9" r:id="rId447" name="Button 511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278</xdr:row>
                    <xdr:rowOff>9525</xdr:rowOff>
                  </from>
                  <to>
                    <xdr:col>4</xdr:col>
                    <xdr:colOff>219075</xdr:colOff>
                    <xdr:row>278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" r:id="rId448" name="Button 51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279</xdr:row>
                    <xdr:rowOff>9525</xdr:rowOff>
                  </from>
                  <to>
                    <xdr:col>4</xdr:col>
                    <xdr:colOff>219075</xdr:colOff>
                    <xdr:row>279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" r:id="rId449" name="Button 513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280</xdr:row>
                    <xdr:rowOff>9525</xdr:rowOff>
                  </from>
                  <to>
                    <xdr:col>4</xdr:col>
                    <xdr:colOff>219075</xdr:colOff>
                    <xdr:row>280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" r:id="rId450" name="Button 514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281</xdr:row>
                    <xdr:rowOff>9525</xdr:rowOff>
                  </from>
                  <to>
                    <xdr:col>4</xdr:col>
                    <xdr:colOff>219075</xdr:colOff>
                    <xdr:row>281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" r:id="rId451" name="Button 515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282</xdr:row>
                    <xdr:rowOff>9525</xdr:rowOff>
                  </from>
                  <to>
                    <xdr:col>4</xdr:col>
                    <xdr:colOff>219075</xdr:colOff>
                    <xdr:row>282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" r:id="rId452" name="Button 516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283</xdr:row>
                    <xdr:rowOff>9525</xdr:rowOff>
                  </from>
                  <to>
                    <xdr:col>4</xdr:col>
                    <xdr:colOff>219075</xdr:colOff>
                    <xdr:row>283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" r:id="rId453" name="Button 517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284</xdr:row>
                    <xdr:rowOff>9525</xdr:rowOff>
                  </from>
                  <to>
                    <xdr:col>4</xdr:col>
                    <xdr:colOff>219075</xdr:colOff>
                    <xdr:row>284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" r:id="rId454" name="Button 518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285</xdr:row>
                    <xdr:rowOff>9525</xdr:rowOff>
                  </from>
                  <to>
                    <xdr:col>4</xdr:col>
                    <xdr:colOff>219075</xdr:colOff>
                    <xdr:row>285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" r:id="rId455" name="Button 519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286</xdr:row>
                    <xdr:rowOff>9525</xdr:rowOff>
                  </from>
                  <to>
                    <xdr:col>4</xdr:col>
                    <xdr:colOff>219075</xdr:colOff>
                    <xdr:row>286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" r:id="rId456" name="Button 520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287</xdr:row>
                    <xdr:rowOff>9525</xdr:rowOff>
                  </from>
                  <to>
                    <xdr:col>4</xdr:col>
                    <xdr:colOff>219075</xdr:colOff>
                    <xdr:row>287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" r:id="rId457" name="Button 521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288</xdr:row>
                    <xdr:rowOff>9525</xdr:rowOff>
                  </from>
                  <to>
                    <xdr:col>4</xdr:col>
                    <xdr:colOff>219075</xdr:colOff>
                    <xdr:row>288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" r:id="rId458" name="Button 522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289</xdr:row>
                    <xdr:rowOff>9525</xdr:rowOff>
                  </from>
                  <to>
                    <xdr:col>4</xdr:col>
                    <xdr:colOff>219075</xdr:colOff>
                    <xdr:row>289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" r:id="rId459" name="Button 523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290</xdr:row>
                    <xdr:rowOff>9525</xdr:rowOff>
                  </from>
                  <to>
                    <xdr:col>4</xdr:col>
                    <xdr:colOff>219075</xdr:colOff>
                    <xdr:row>290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" r:id="rId460" name="Button 524">
              <controlPr defaultSize="0" print="0" autoLine="0" autoPict="0" macro="[0]!Add_item">
                <anchor moveWithCells="1" sizeWithCells="1">
                  <from>
                    <xdr:col>4</xdr:col>
                    <xdr:colOff>57150</xdr:colOff>
                    <xdr:row>291</xdr:row>
                    <xdr:rowOff>9525</xdr:rowOff>
                  </from>
                  <to>
                    <xdr:col>4</xdr:col>
                    <xdr:colOff>219075</xdr:colOff>
                    <xdr:row>291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" r:id="rId461" name="Button 525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172</xdr:row>
                    <xdr:rowOff>9525</xdr:rowOff>
                  </from>
                  <to>
                    <xdr:col>6</xdr:col>
                    <xdr:colOff>219075</xdr:colOff>
                    <xdr:row>172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" r:id="rId462" name="Button 526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174</xdr:row>
                    <xdr:rowOff>9525</xdr:rowOff>
                  </from>
                  <to>
                    <xdr:col>6</xdr:col>
                    <xdr:colOff>219075</xdr:colOff>
                    <xdr:row>174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5" r:id="rId463" name="Button 527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173</xdr:row>
                    <xdr:rowOff>9525</xdr:rowOff>
                  </from>
                  <to>
                    <xdr:col>6</xdr:col>
                    <xdr:colOff>219075</xdr:colOff>
                    <xdr:row>173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6" r:id="rId464" name="Button 528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175</xdr:row>
                    <xdr:rowOff>9525</xdr:rowOff>
                  </from>
                  <to>
                    <xdr:col>6</xdr:col>
                    <xdr:colOff>219075</xdr:colOff>
                    <xdr:row>175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7" r:id="rId465" name="Button 529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176</xdr:row>
                    <xdr:rowOff>9525</xdr:rowOff>
                  </from>
                  <to>
                    <xdr:col>6</xdr:col>
                    <xdr:colOff>219075</xdr:colOff>
                    <xdr:row>176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8" r:id="rId466" name="Button 530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177</xdr:row>
                    <xdr:rowOff>9525</xdr:rowOff>
                  </from>
                  <to>
                    <xdr:col>6</xdr:col>
                    <xdr:colOff>219075</xdr:colOff>
                    <xdr:row>177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" r:id="rId467" name="Button 531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178</xdr:row>
                    <xdr:rowOff>9525</xdr:rowOff>
                  </from>
                  <to>
                    <xdr:col>6</xdr:col>
                    <xdr:colOff>219075</xdr:colOff>
                    <xdr:row>178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" r:id="rId468" name="Button 53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179</xdr:row>
                    <xdr:rowOff>9525</xdr:rowOff>
                  </from>
                  <to>
                    <xdr:col>6</xdr:col>
                    <xdr:colOff>219075</xdr:colOff>
                    <xdr:row>179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" r:id="rId469" name="Button 533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180</xdr:row>
                    <xdr:rowOff>9525</xdr:rowOff>
                  </from>
                  <to>
                    <xdr:col>6</xdr:col>
                    <xdr:colOff>219075</xdr:colOff>
                    <xdr:row>180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2" r:id="rId470" name="Button 534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181</xdr:row>
                    <xdr:rowOff>9525</xdr:rowOff>
                  </from>
                  <to>
                    <xdr:col>6</xdr:col>
                    <xdr:colOff>219075</xdr:colOff>
                    <xdr:row>181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3" r:id="rId471" name="Button 535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182</xdr:row>
                    <xdr:rowOff>9525</xdr:rowOff>
                  </from>
                  <to>
                    <xdr:col>6</xdr:col>
                    <xdr:colOff>219075</xdr:colOff>
                    <xdr:row>182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" r:id="rId472" name="Button 536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183</xdr:row>
                    <xdr:rowOff>9525</xdr:rowOff>
                  </from>
                  <to>
                    <xdr:col>6</xdr:col>
                    <xdr:colOff>219075</xdr:colOff>
                    <xdr:row>183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" r:id="rId473" name="Button 537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184</xdr:row>
                    <xdr:rowOff>9525</xdr:rowOff>
                  </from>
                  <to>
                    <xdr:col>6</xdr:col>
                    <xdr:colOff>219075</xdr:colOff>
                    <xdr:row>184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6" r:id="rId474" name="Button 538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185</xdr:row>
                    <xdr:rowOff>9525</xdr:rowOff>
                  </from>
                  <to>
                    <xdr:col>6</xdr:col>
                    <xdr:colOff>219075</xdr:colOff>
                    <xdr:row>185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7" r:id="rId475" name="Button 539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186</xdr:row>
                    <xdr:rowOff>9525</xdr:rowOff>
                  </from>
                  <to>
                    <xdr:col>6</xdr:col>
                    <xdr:colOff>219075</xdr:colOff>
                    <xdr:row>186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8" r:id="rId476" name="Button 540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187</xdr:row>
                    <xdr:rowOff>9525</xdr:rowOff>
                  </from>
                  <to>
                    <xdr:col>6</xdr:col>
                    <xdr:colOff>219075</xdr:colOff>
                    <xdr:row>187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9" r:id="rId477" name="Button 541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188</xdr:row>
                    <xdr:rowOff>9525</xdr:rowOff>
                  </from>
                  <to>
                    <xdr:col>6</xdr:col>
                    <xdr:colOff>219075</xdr:colOff>
                    <xdr:row>188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0" r:id="rId478" name="Button 54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189</xdr:row>
                    <xdr:rowOff>9525</xdr:rowOff>
                  </from>
                  <to>
                    <xdr:col>6</xdr:col>
                    <xdr:colOff>219075</xdr:colOff>
                    <xdr:row>189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" r:id="rId479" name="Button 543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191</xdr:row>
                    <xdr:rowOff>9525</xdr:rowOff>
                  </from>
                  <to>
                    <xdr:col>6</xdr:col>
                    <xdr:colOff>219075</xdr:colOff>
                    <xdr:row>191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" r:id="rId480" name="Button 544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190</xdr:row>
                    <xdr:rowOff>9525</xdr:rowOff>
                  </from>
                  <to>
                    <xdr:col>6</xdr:col>
                    <xdr:colOff>219075</xdr:colOff>
                    <xdr:row>190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" r:id="rId481" name="Button 545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192</xdr:row>
                    <xdr:rowOff>9525</xdr:rowOff>
                  </from>
                  <to>
                    <xdr:col>6</xdr:col>
                    <xdr:colOff>219075</xdr:colOff>
                    <xdr:row>192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" r:id="rId482" name="Button 546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193</xdr:row>
                    <xdr:rowOff>9525</xdr:rowOff>
                  </from>
                  <to>
                    <xdr:col>6</xdr:col>
                    <xdr:colOff>219075</xdr:colOff>
                    <xdr:row>193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5" r:id="rId483" name="Button 547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194</xdr:row>
                    <xdr:rowOff>9525</xdr:rowOff>
                  </from>
                  <to>
                    <xdr:col>6</xdr:col>
                    <xdr:colOff>219075</xdr:colOff>
                    <xdr:row>194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6" r:id="rId484" name="Button 548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195</xdr:row>
                    <xdr:rowOff>9525</xdr:rowOff>
                  </from>
                  <to>
                    <xdr:col>6</xdr:col>
                    <xdr:colOff>219075</xdr:colOff>
                    <xdr:row>195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7" r:id="rId485" name="Button 549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196</xdr:row>
                    <xdr:rowOff>9525</xdr:rowOff>
                  </from>
                  <to>
                    <xdr:col>6</xdr:col>
                    <xdr:colOff>219075</xdr:colOff>
                    <xdr:row>196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8" r:id="rId486" name="Button 550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197</xdr:row>
                    <xdr:rowOff>9525</xdr:rowOff>
                  </from>
                  <to>
                    <xdr:col>6</xdr:col>
                    <xdr:colOff>219075</xdr:colOff>
                    <xdr:row>197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9" r:id="rId487" name="Button 551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198</xdr:row>
                    <xdr:rowOff>9525</xdr:rowOff>
                  </from>
                  <to>
                    <xdr:col>6</xdr:col>
                    <xdr:colOff>219075</xdr:colOff>
                    <xdr:row>198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0" r:id="rId488" name="Button 55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199</xdr:row>
                    <xdr:rowOff>9525</xdr:rowOff>
                  </from>
                  <to>
                    <xdr:col>6</xdr:col>
                    <xdr:colOff>219075</xdr:colOff>
                    <xdr:row>199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1" r:id="rId489" name="Button 553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200</xdr:row>
                    <xdr:rowOff>9525</xdr:rowOff>
                  </from>
                  <to>
                    <xdr:col>6</xdr:col>
                    <xdr:colOff>219075</xdr:colOff>
                    <xdr:row>200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" r:id="rId490" name="Button 554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201</xdr:row>
                    <xdr:rowOff>9525</xdr:rowOff>
                  </from>
                  <to>
                    <xdr:col>6</xdr:col>
                    <xdr:colOff>219075</xdr:colOff>
                    <xdr:row>201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3" r:id="rId491" name="Button 555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202</xdr:row>
                    <xdr:rowOff>9525</xdr:rowOff>
                  </from>
                  <to>
                    <xdr:col>6</xdr:col>
                    <xdr:colOff>219075</xdr:colOff>
                    <xdr:row>202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4" r:id="rId492" name="Button 556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203</xdr:row>
                    <xdr:rowOff>9525</xdr:rowOff>
                  </from>
                  <to>
                    <xdr:col>6</xdr:col>
                    <xdr:colOff>219075</xdr:colOff>
                    <xdr:row>203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5" r:id="rId493" name="Button 557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204</xdr:row>
                    <xdr:rowOff>9525</xdr:rowOff>
                  </from>
                  <to>
                    <xdr:col>6</xdr:col>
                    <xdr:colOff>219075</xdr:colOff>
                    <xdr:row>204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6" r:id="rId494" name="Button 558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205</xdr:row>
                    <xdr:rowOff>9525</xdr:rowOff>
                  </from>
                  <to>
                    <xdr:col>6</xdr:col>
                    <xdr:colOff>219075</xdr:colOff>
                    <xdr:row>205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7" r:id="rId495" name="Button 559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206</xdr:row>
                    <xdr:rowOff>9525</xdr:rowOff>
                  </from>
                  <to>
                    <xdr:col>6</xdr:col>
                    <xdr:colOff>219075</xdr:colOff>
                    <xdr:row>206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8" r:id="rId496" name="Button 560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207</xdr:row>
                    <xdr:rowOff>9525</xdr:rowOff>
                  </from>
                  <to>
                    <xdr:col>6</xdr:col>
                    <xdr:colOff>219075</xdr:colOff>
                    <xdr:row>207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9" r:id="rId497" name="Button 561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208</xdr:row>
                    <xdr:rowOff>9525</xdr:rowOff>
                  </from>
                  <to>
                    <xdr:col>6</xdr:col>
                    <xdr:colOff>219075</xdr:colOff>
                    <xdr:row>208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0" r:id="rId498" name="Button 56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209</xdr:row>
                    <xdr:rowOff>9525</xdr:rowOff>
                  </from>
                  <to>
                    <xdr:col>6</xdr:col>
                    <xdr:colOff>219075</xdr:colOff>
                    <xdr:row>209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" r:id="rId499" name="Button 563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210</xdr:row>
                    <xdr:rowOff>9525</xdr:rowOff>
                  </from>
                  <to>
                    <xdr:col>6</xdr:col>
                    <xdr:colOff>219075</xdr:colOff>
                    <xdr:row>210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2" r:id="rId500" name="Button 564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211</xdr:row>
                    <xdr:rowOff>9525</xdr:rowOff>
                  </from>
                  <to>
                    <xdr:col>6</xdr:col>
                    <xdr:colOff>219075</xdr:colOff>
                    <xdr:row>211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3" r:id="rId501" name="Button 565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212</xdr:row>
                    <xdr:rowOff>9525</xdr:rowOff>
                  </from>
                  <to>
                    <xdr:col>6</xdr:col>
                    <xdr:colOff>219075</xdr:colOff>
                    <xdr:row>212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4" r:id="rId502" name="Button 566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213</xdr:row>
                    <xdr:rowOff>9525</xdr:rowOff>
                  </from>
                  <to>
                    <xdr:col>6</xdr:col>
                    <xdr:colOff>219075</xdr:colOff>
                    <xdr:row>213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5" r:id="rId503" name="Button 567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214</xdr:row>
                    <xdr:rowOff>9525</xdr:rowOff>
                  </from>
                  <to>
                    <xdr:col>6</xdr:col>
                    <xdr:colOff>219075</xdr:colOff>
                    <xdr:row>214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6" r:id="rId504" name="Button 568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215</xdr:row>
                    <xdr:rowOff>9525</xdr:rowOff>
                  </from>
                  <to>
                    <xdr:col>6</xdr:col>
                    <xdr:colOff>219075</xdr:colOff>
                    <xdr:row>215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7" r:id="rId505" name="Button 569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216</xdr:row>
                    <xdr:rowOff>9525</xdr:rowOff>
                  </from>
                  <to>
                    <xdr:col>6</xdr:col>
                    <xdr:colOff>219075</xdr:colOff>
                    <xdr:row>216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8" r:id="rId506" name="Button 570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217</xdr:row>
                    <xdr:rowOff>9525</xdr:rowOff>
                  </from>
                  <to>
                    <xdr:col>6</xdr:col>
                    <xdr:colOff>219075</xdr:colOff>
                    <xdr:row>217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9" r:id="rId507" name="Button 571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218</xdr:row>
                    <xdr:rowOff>9525</xdr:rowOff>
                  </from>
                  <to>
                    <xdr:col>6</xdr:col>
                    <xdr:colOff>219075</xdr:colOff>
                    <xdr:row>218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0" r:id="rId508" name="Button 57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219</xdr:row>
                    <xdr:rowOff>9525</xdr:rowOff>
                  </from>
                  <to>
                    <xdr:col>6</xdr:col>
                    <xdr:colOff>219075</xdr:colOff>
                    <xdr:row>219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1" r:id="rId509" name="Button 573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220</xdr:row>
                    <xdr:rowOff>9525</xdr:rowOff>
                  </from>
                  <to>
                    <xdr:col>6</xdr:col>
                    <xdr:colOff>219075</xdr:colOff>
                    <xdr:row>220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2" r:id="rId510" name="Button 574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221</xdr:row>
                    <xdr:rowOff>9525</xdr:rowOff>
                  </from>
                  <to>
                    <xdr:col>6</xdr:col>
                    <xdr:colOff>219075</xdr:colOff>
                    <xdr:row>221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3" r:id="rId511" name="Button 575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222</xdr:row>
                    <xdr:rowOff>9525</xdr:rowOff>
                  </from>
                  <to>
                    <xdr:col>6</xdr:col>
                    <xdr:colOff>219075</xdr:colOff>
                    <xdr:row>222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4" r:id="rId512" name="Button 576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223</xdr:row>
                    <xdr:rowOff>9525</xdr:rowOff>
                  </from>
                  <to>
                    <xdr:col>6</xdr:col>
                    <xdr:colOff>219075</xdr:colOff>
                    <xdr:row>223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5" r:id="rId513" name="Button 577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224</xdr:row>
                    <xdr:rowOff>9525</xdr:rowOff>
                  </from>
                  <to>
                    <xdr:col>6</xdr:col>
                    <xdr:colOff>219075</xdr:colOff>
                    <xdr:row>224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6" r:id="rId514" name="Button 578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225</xdr:row>
                    <xdr:rowOff>9525</xdr:rowOff>
                  </from>
                  <to>
                    <xdr:col>6</xdr:col>
                    <xdr:colOff>219075</xdr:colOff>
                    <xdr:row>225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7" r:id="rId515" name="Button 579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226</xdr:row>
                    <xdr:rowOff>9525</xdr:rowOff>
                  </from>
                  <to>
                    <xdr:col>6</xdr:col>
                    <xdr:colOff>219075</xdr:colOff>
                    <xdr:row>226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8" r:id="rId516" name="Button 580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227</xdr:row>
                    <xdr:rowOff>9525</xdr:rowOff>
                  </from>
                  <to>
                    <xdr:col>6</xdr:col>
                    <xdr:colOff>219075</xdr:colOff>
                    <xdr:row>227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9" r:id="rId517" name="Button 581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228</xdr:row>
                    <xdr:rowOff>9525</xdr:rowOff>
                  </from>
                  <to>
                    <xdr:col>6</xdr:col>
                    <xdr:colOff>219075</xdr:colOff>
                    <xdr:row>228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0" r:id="rId518" name="Button 58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229</xdr:row>
                    <xdr:rowOff>9525</xdr:rowOff>
                  </from>
                  <to>
                    <xdr:col>6</xdr:col>
                    <xdr:colOff>219075</xdr:colOff>
                    <xdr:row>229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1" r:id="rId519" name="Button 583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230</xdr:row>
                    <xdr:rowOff>9525</xdr:rowOff>
                  </from>
                  <to>
                    <xdr:col>6</xdr:col>
                    <xdr:colOff>219075</xdr:colOff>
                    <xdr:row>230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2" r:id="rId520" name="Button 584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231</xdr:row>
                    <xdr:rowOff>9525</xdr:rowOff>
                  </from>
                  <to>
                    <xdr:col>6</xdr:col>
                    <xdr:colOff>219075</xdr:colOff>
                    <xdr:row>231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3" r:id="rId521" name="Button 585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232</xdr:row>
                    <xdr:rowOff>9525</xdr:rowOff>
                  </from>
                  <to>
                    <xdr:col>6</xdr:col>
                    <xdr:colOff>219075</xdr:colOff>
                    <xdr:row>232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4" r:id="rId522" name="Button 586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233</xdr:row>
                    <xdr:rowOff>9525</xdr:rowOff>
                  </from>
                  <to>
                    <xdr:col>6</xdr:col>
                    <xdr:colOff>219075</xdr:colOff>
                    <xdr:row>233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5" r:id="rId523" name="Button 587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234</xdr:row>
                    <xdr:rowOff>9525</xdr:rowOff>
                  </from>
                  <to>
                    <xdr:col>6</xdr:col>
                    <xdr:colOff>219075</xdr:colOff>
                    <xdr:row>234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6" r:id="rId524" name="Button 588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236</xdr:row>
                    <xdr:rowOff>9525</xdr:rowOff>
                  </from>
                  <to>
                    <xdr:col>6</xdr:col>
                    <xdr:colOff>219075</xdr:colOff>
                    <xdr:row>236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7" r:id="rId525" name="Button 589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235</xdr:row>
                    <xdr:rowOff>9525</xdr:rowOff>
                  </from>
                  <to>
                    <xdr:col>6</xdr:col>
                    <xdr:colOff>219075</xdr:colOff>
                    <xdr:row>235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8" r:id="rId526" name="Button 590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237</xdr:row>
                    <xdr:rowOff>9525</xdr:rowOff>
                  </from>
                  <to>
                    <xdr:col>6</xdr:col>
                    <xdr:colOff>219075</xdr:colOff>
                    <xdr:row>237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9" r:id="rId527" name="Button 591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238</xdr:row>
                    <xdr:rowOff>9525</xdr:rowOff>
                  </from>
                  <to>
                    <xdr:col>6</xdr:col>
                    <xdr:colOff>219075</xdr:colOff>
                    <xdr:row>238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0" r:id="rId528" name="Button 592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239</xdr:row>
                    <xdr:rowOff>9525</xdr:rowOff>
                  </from>
                  <to>
                    <xdr:col>6</xdr:col>
                    <xdr:colOff>219075</xdr:colOff>
                    <xdr:row>239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" r:id="rId529" name="Button 593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240</xdr:row>
                    <xdr:rowOff>9525</xdr:rowOff>
                  </from>
                  <to>
                    <xdr:col>6</xdr:col>
                    <xdr:colOff>219075</xdr:colOff>
                    <xdr:row>240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" r:id="rId530" name="Button 594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241</xdr:row>
                    <xdr:rowOff>9525</xdr:rowOff>
                  </from>
                  <to>
                    <xdr:col>6</xdr:col>
                    <xdr:colOff>219075</xdr:colOff>
                    <xdr:row>241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3" r:id="rId531" name="Button 595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242</xdr:row>
                    <xdr:rowOff>9525</xdr:rowOff>
                  </from>
                  <to>
                    <xdr:col>6</xdr:col>
                    <xdr:colOff>219075</xdr:colOff>
                    <xdr:row>242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4" r:id="rId532" name="Button 596">
              <controlPr defaultSize="0" print="0" autoLine="0" autoPict="0" macro="[0]!Add_item">
                <anchor moveWithCells="1" sizeWithCells="1">
                  <from>
                    <xdr:col>6</xdr:col>
                    <xdr:colOff>57150</xdr:colOff>
                    <xdr:row>243</xdr:row>
                    <xdr:rowOff>9525</xdr:rowOff>
                  </from>
                  <to>
                    <xdr:col>6</xdr:col>
                    <xdr:colOff>219075</xdr:colOff>
                    <xdr:row>243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3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Categorias!$M$9:$M$29</xm:f>
          </x14:formula1>
          <xm:sqref>A7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C00000"/>
  </sheetPr>
  <dimension ref="A1:I207"/>
  <sheetViews>
    <sheetView showGridLines="0"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5" sqref="F5:I132"/>
    </sheetView>
  </sheetViews>
  <sheetFormatPr defaultRowHeight="15" x14ac:dyDescent="0.25"/>
  <cols>
    <col min="1" max="1" width="30.42578125" customWidth="1"/>
    <col min="2" max="2" width="2.5703125" customWidth="1"/>
    <col min="3" max="3" width="2.28515625" customWidth="1"/>
    <col min="4" max="4" width="24" customWidth="1"/>
    <col min="5" max="5" width="12" bestFit="1" customWidth="1"/>
    <col min="6" max="6" width="33.42578125" customWidth="1"/>
    <col min="7" max="7" width="12" bestFit="1" customWidth="1"/>
    <col min="8" max="8" width="23.140625" customWidth="1"/>
    <col min="9" max="9" width="22.7109375" customWidth="1"/>
    <col min="11" max="11" width="10" bestFit="1" customWidth="1"/>
    <col min="13" max="13" width="12" bestFit="1" customWidth="1"/>
  </cols>
  <sheetData>
    <row r="1" spans="1:9" ht="21" customHeight="1" x14ac:dyDescent="0.35">
      <c r="D1" s="10" t="s">
        <v>82</v>
      </c>
      <c r="E1" s="96" t="str">
        <f>A7</f>
        <v>Supermercado Guará</v>
      </c>
      <c r="F1" s="97"/>
    </row>
    <row r="3" spans="1:9" x14ac:dyDescent="0.25">
      <c r="A3" s="98" t="s">
        <v>81</v>
      </c>
      <c r="B3" s="98"/>
      <c r="C3" s="24"/>
    </row>
    <row r="4" spans="1:9" x14ac:dyDescent="0.25">
      <c r="A4" s="10"/>
      <c r="B4" s="10"/>
      <c r="D4" s="27" t="s">
        <v>286</v>
      </c>
      <c r="F4" t="s">
        <v>19</v>
      </c>
      <c r="G4" t="s">
        <v>165</v>
      </c>
      <c r="H4" t="s">
        <v>1011</v>
      </c>
      <c r="I4" t="s">
        <v>314</v>
      </c>
    </row>
    <row r="5" spans="1:9" x14ac:dyDescent="0.25">
      <c r="A5" s="10"/>
      <c r="B5" s="10"/>
      <c r="D5" s="81"/>
      <c r="F5" s="35"/>
      <c r="G5" s="33"/>
      <c r="H5" s="33"/>
      <c r="I5" s="34"/>
    </row>
    <row r="6" spans="1:9" x14ac:dyDescent="0.25">
      <c r="A6" s="98" t="s">
        <v>83</v>
      </c>
      <c r="B6" s="98"/>
      <c r="D6" s="83"/>
      <c r="F6" s="35"/>
      <c r="G6" s="33"/>
      <c r="H6" s="33"/>
      <c r="I6" s="34"/>
    </row>
    <row r="7" spans="1:9" x14ac:dyDescent="0.25">
      <c r="A7" s="16" t="s">
        <v>4182</v>
      </c>
      <c r="B7" s="17"/>
      <c r="D7" s="27" t="s">
        <v>2821</v>
      </c>
      <c r="F7" s="35"/>
      <c r="G7" s="33"/>
      <c r="H7" s="33"/>
      <c r="I7" s="34"/>
    </row>
    <row r="8" spans="1:9" x14ac:dyDescent="0.25">
      <c r="D8" s="72"/>
      <c r="F8" s="35"/>
      <c r="G8" s="33"/>
      <c r="H8" s="33"/>
      <c r="I8" s="34"/>
    </row>
    <row r="9" spans="1:9" x14ac:dyDescent="0.25">
      <c r="A9" s="99" t="s">
        <v>84</v>
      </c>
      <c r="B9" s="99"/>
      <c r="F9" s="35"/>
      <c r="G9" s="33"/>
      <c r="H9" s="33"/>
      <c r="I9" s="34"/>
    </row>
    <row r="10" spans="1:9" ht="45" x14ac:dyDescent="0.25">
      <c r="B10" s="12"/>
      <c r="D10" s="29" t="s">
        <v>4217</v>
      </c>
      <c r="F10" s="35"/>
      <c r="G10" s="33"/>
      <c r="H10" s="33"/>
      <c r="I10" s="34"/>
    </row>
    <row r="11" spans="1:9" x14ac:dyDescent="0.25">
      <c r="F11" s="35"/>
      <c r="G11" s="33"/>
      <c r="H11" s="33"/>
      <c r="I11" s="34"/>
    </row>
    <row r="12" spans="1:9" x14ac:dyDescent="0.25">
      <c r="F12" s="35"/>
      <c r="G12" s="33"/>
      <c r="H12" s="33"/>
      <c r="I12" s="34"/>
    </row>
    <row r="13" spans="1:9" x14ac:dyDescent="0.25">
      <c r="D13" s="24"/>
      <c r="F13" s="35"/>
      <c r="G13" s="33"/>
      <c r="H13" s="33"/>
      <c r="I13" s="34"/>
    </row>
    <row r="14" spans="1:9" x14ac:dyDescent="0.25">
      <c r="F14" s="35"/>
      <c r="G14" s="33"/>
      <c r="H14" s="33"/>
      <c r="I14" s="34"/>
    </row>
    <row r="15" spans="1:9" x14ac:dyDescent="0.25">
      <c r="D15" s="83"/>
      <c r="F15" s="35"/>
      <c r="G15" s="33"/>
      <c r="H15" s="33"/>
      <c r="I15" s="34"/>
    </row>
    <row r="16" spans="1:9" x14ac:dyDescent="0.25">
      <c r="F16" s="35"/>
      <c r="G16" s="33"/>
      <c r="H16" s="33"/>
      <c r="I16" s="34"/>
    </row>
    <row r="17" spans="6:9" x14ac:dyDescent="0.25">
      <c r="F17" s="35"/>
      <c r="G17" s="33"/>
      <c r="H17" s="33"/>
      <c r="I17" s="34"/>
    </row>
    <row r="18" spans="6:9" x14ac:dyDescent="0.25">
      <c r="F18" s="35"/>
      <c r="G18" s="33"/>
      <c r="H18" s="33"/>
      <c r="I18" s="34"/>
    </row>
    <row r="19" spans="6:9" x14ac:dyDescent="0.25">
      <c r="F19" s="35"/>
      <c r="G19" s="33"/>
      <c r="H19" s="33"/>
      <c r="I19" s="34"/>
    </row>
    <row r="20" spans="6:9" x14ac:dyDescent="0.25">
      <c r="F20" s="35"/>
      <c r="G20" s="33"/>
      <c r="H20" s="33"/>
      <c r="I20" s="34"/>
    </row>
    <row r="21" spans="6:9" x14ac:dyDescent="0.25">
      <c r="F21" s="35"/>
      <c r="G21" s="33"/>
      <c r="H21" s="33"/>
      <c r="I21" s="34"/>
    </row>
    <row r="22" spans="6:9" x14ac:dyDescent="0.25">
      <c r="F22" s="35"/>
      <c r="G22" s="33"/>
      <c r="H22" s="33"/>
      <c r="I22" s="34"/>
    </row>
    <row r="23" spans="6:9" x14ac:dyDescent="0.25">
      <c r="F23" s="35"/>
      <c r="G23" s="33"/>
      <c r="H23" s="33"/>
      <c r="I23" s="34"/>
    </row>
    <row r="24" spans="6:9" x14ac:dyDescent="0.25">
      <c r="F24" s="35"/>
      <c r="G24" s="33"/>
      <c r="H24" s="33"/>
      <c r="I24" s="34"/>
    </row>
    <row r="25" spans="6:9" x14ac:dyDescent="0.25">
      <c r="F25" s="35"/>
      <c r="G25" s="33"/>
      <c r="H25" s="33"/>
      <c r="I25" s="34"/>
    </row>
    <row r="26" spans="6:9" x14ac:dyDescent="0.25">
      <c r="F26" s="35"/>
      <c r="G26" s="33"/>
      <c r="H26" s="33"/>
      <c r="I26" s="34"/>
    </row>
    <row r="27" spans="6:9" x14ac:dyDescent="0.25">
      <c r="F27" s="35"/>
      <c r="G27" s="33"/>
      <c r="H27" s="33"/>
      <c r="I27" s="34"/>
    </row>
    <row r="28" spans="6:9" x14ac:dyDescent="0.25">
      <c r="F28" s="35"/>
      <c r="G28" s="33"/>
      <c r="H28" s="33"/>
      <c r="I28" s="34"/>
    </row>
    <row r="29" spans="6:9" x14ac:dyDescent="0.25">
      <c r="F29" s="35"/>
      <c r="G29" s="33"/>
      <c r="H29" s="33"/>
      <c r="I29" s="34"/>
    </row>
    <row r="30" spans="6:9" x14ac:dyDescent="0.25">
      <c r="F30" s="35"/>
      <c r="G30" s="33"/>
      <c r="H30" s="33"/>
      <c r="I30" s="34"/>
    </row>
    <row r="31" spans="6:9" x14ac:dyDescent="0.25">
      <c r="F31" s="35"/>
      <c r="G31" s="33"/>
      <c r="H31" s="33"/>
      <c r="I31" s="34"/>
    </row>
    <row r="32" spans="6:9" x14ac:dyDescent="0.25">
      <c r="F32" s="35"/>
      <c r="G32" s="33"/>
      <c r="H32" s="33"/>
      <c r="I32" s="34"/>
    </row>
    <row r="33" spans="6:9" x14ac:dyDescent="0.25">
      <c r="F33" s="35"/>
      <c r="G33" s="33"/>
      <c r="H33" s="33"/>
      <c r="I33" s="34"/>
    </row>
    <row r="34" spans="6:9" x14ac:dyDescent="0.25">
      <c r="F34" s="35"/>
      <c r="G34" s="33"/>
      <c r="H34" s="33"/>
      <c r="I34" s="34"/>
    </row>
    <row r="35" spans="6:9" x14ac:dyDescent="0.25">
      <c r="F35" s="35"/>
      <c r="G35" s="33"/>
      <c r="H35" s="33"/>
      <c r="I35" s="34"/>
    </row>
    <row r="36" spans="6:9" x14ac:dyDescent="0.25">
      <c r="F36" s="35"/>
      <c r="G36" s="33"/>
      <c r="H36" s="33"/>
      <c r="I36" s="34"/>
    </row>
    <row r="37" spans="6:9" x14ac:dyDescent="0.25">
      <c r="F37" s="35"/>
      <c r="G37" s="33"/>
      <c r="H37" s="33"/>
      <c r="I37" s="34"/>
    </row>
    <row r="38" spans="6:9" x14ac:dyDescent="0.25">
      <c r="F38" s="35"/>
      <c r="G38" s="33"/>
      <c r="H38" s="33"/>
      <c r="I38" s="34"/>
    </row>
    <row r="39" spans="6:9" x14ac:dyDescent="0.25">
      <c r="F39" s="35"/>
      <c r="G39" s="33"/>
      <c r="H39" s="33"/>
      <c r="I39" s="34"/>
    </row>
    <row r="40" spans="6:9" x14ac:dyDescent="0.25">
      <c r="F40" s="35"/>
      <c r="G40" s="33"/>
      <c r="H40" s="33"/>
      <c r="I40" s="34"/>
    </row>
    <row r="41" spans="6:9" x14ac:dyDescent="0.25">
      <c r="F41" s="35"/>
      <c r="G41" s="33"/>
      <c r="H41" s="33"/>
      <c r="I41" s="34"/>
    </row>
    <row r="42" spans="6:9" x14ac:dyDescent="0.25">
      <c r="F42" s="35"/>
      <c r="G42" s="33"/>
      <c r="H42" s="33"/>
      <c r="I42" s="34"/>
    </row>
    <row r="43" spans="6:9" x14ac:dyDescent="0.25">
      <c r="F43" s="35"/>
      <c r="G43" s="33"/>
      <c r="H43" s="33"/>
      <c r="I43" s="34"/>
    </row>
    <row r="44" spans="6:9" x14ac:dyDescent="0.25">
      <c r="F44" s="35"/>
      <c r="G44" s="33"/>
      <c r="H44" s="33"/>
      <c r="I44" s="34"/>
    </row>
    <row r="45" spans="6:9" x14ac:dyDescent="0.25">
      <c r="F45" s="35"/>
      <c r="G45" s="33"/>
      <c r="H45" s="33"/>
      <c r="I45" s="34"/>
    </row>
    <row r="46" spans="6:9" x14ac:dyDescent="0.25">
      <c r="F46" s="35"/>
      <c r="G46" s="33"/>
      <c r="H46" s="33"/>
      <c r="I46" s="34"/>
    </row>
    <row r="47" spans="6:9" x14ac:dyDescent="0.25">
      <c r="F47" s="35"/>
      <c r="G47" s="33"/>
      <c r="H47" s="33"/>
      <c r="I47" s="34"/>
    </row>
    <row r="48" spans="6:9" x14ac:dyDescent="0.25">
      <c r="F48" s="35"/>
      <c r="G48" s="33"/>
      <c r="H48" s="33"/>
      <c r="I48" s="34"/>
    </row>
    <row r="49" spans="6:9" x14ac:dyDescent="0.25">
      <c r="F49" s="35"/>
      <c r="G49" s="33"/>
      <c r="H49" s="33"/>
      <c r="I49" s="34"/>
    </row>
    <row r="50" spans="6:9" x14ac:dyDescent="0.25">
      <c r="F50" s="35"/>
      <c r="G50" s="33"/>
      <c r="H50" s="33"/>
      <c r="I50" s="34"/>
    </row>
    <row r="51" spans="6:9" x14ac:dyDescent="0.25">
      <c r="F51" s="35"/>
      <c r="G51" s="33"/>
      <c r="H51" s="33"/>
      <c r="I51" s="34"/>
    </row>
    <row r="52" spans="6:9" x14ac:dyDescent="0.25">
      <c r="F52" s="35"/>
      <c r="G52" s="33"/>
      <c r="H52" s="33"/>
      <c r="I52" s="34"/>
    </row>
    <row r="53" spans="6:9" x14ac:dyDescent="0.25">
      <c r="F53" s="35"/>
      <c r="G53" s="33"/>
      <c r="H53" s="33"/>
      <c r="I53" s="34"/>
    </row>
    <row r="54" spans="6:9" x14ac:dyDescent="0.25">
      <c r="F54" s="35"/>
      <c r="G54" s="33"/>
      <c r="H54" s="33"/>
      <c r="I54" s="34"/>
    </row>
    <row r="55" spans="6:9" x14ac:dyDescent="0.25">
      <c r="F55" s="35"/>
      <c r="G55" s="33"/>
      <c r="H55" s="33"/>
      <c r="I55" s="34"/>
    </row>
    <row r="56" spans="6:9" x14ac:dyDescent="0.25">
      <c r="F56" s="35"/>
      <c r="G56" s="33"/>
      <c r="H56" s="33"/>
      <c r="I56" s="34"/>
    </row>
    <row r="57" spans="6:9" x14ac:dyDescent="0.25">
      <c r="F57" s="35"/>
      <c r="G57" s="33"/>
      <c r="H57" s="33"/>
      <c r="I57" s="34"/>
    </row>
    <row r="58" spans="6:9" x14ac:dyDescent="0.25">
      <c r="F58" s="35"/>
      <c r="G58" s="33"/>
      <c r="H58" s="33"/>
      <c r="I58" s="34"/>
    </row>
    <row r="59" spans="6:9" x14ac:dyDescent="0.25">
      <c r="F59" s="35"/>
      <c r="G59" s="33"/>
      <c r="H59" s="33"/>
      <c r="I59" s="34"/>
    </row>
    <row r="60" spans="6:9" x14ac:dyDescent="0.25">
      <c r="F60" s="35"/>
      <c r="G60" s="33"/>
      <c r="H60" s="33"/>
      <c r="I60" s="34"/>
    </row>
    <row r="61" spans="6:9" x14ac:dyDescent="0.25">
      <c r="F61" s="35"/>
      <c r="G61" s="33"/>
      <c r="H61" s="33"/>
      <c r="I61" s="34"/>
    </row>
    <row r="62" spans="6:9" x14ac:dyDescent="0.25">
      <c r="F62" s="35"/>
      <c r="G62" s="33"/>
      <c r="H62" s="33"/>
      <c r="I62" s="34"/>
    </row>
    <row r="63" spans="6:9" x14ac:dyDescent="0.25">
      <c r="F63" s="35"/>
      <c r="G63" s="33"/>
      <c r="H63" s="33"/>
      <c r="I63" s="34"/>
    </row>
    <row r="64" spans="6:9" x14ac:dyDescent="0.25">
      <c r="F64" s="35"/>
      <c r="G64" s="33"/>
      <c r="H64" s="33"/>
      <c r="I64" s="34"/>
    </row>
    <row r="65" spans="6:9" x14ac:dyDescent="0.25">
      <c r="F65" s="35"/>
      <c r="G65" s="33"/>
      <c r="H65" s="33"/>
      <c r="I65" s="34"/>
    </row>
    <row r="66" spans="6:9" x14ac:dyDescent="0.25">
      <c r="F66" s="35"/>
      <c r="G66" s="33"/>
      <c r="H66" s="33"/>
      <c r="I66" s="34"/>
    </row>
    <row r="67" spans="6:9" x14ac:dyDescent="0.25">
      <c r="F67" s="35"/>
      <c r="G67" s="33"/>
      <c r="H67" s="33"/>
      <c r="I67" s="34"/>
    </row>
    <row r="68" spans="6:9" x14ac:dyDescent="0.25">
      <c r="F68" s="35"/>
      <c r="G68" s="33"/>
      <c r="H68" s="33"/>
      <c r="I68" s="34"/>
    </row>
    <row r="69" spans="6:9" x14ac:dyDescent="0.25">
      <c r="F69" s="35"/>
      <c r="G69" s="33"/>
      <c r="H69" s="33"/>
      <c r="I69" s="34"/>
    </row>
    <row r="70" spans="6:9" x14ac:dyDescent="0.25">
      <c r="F70" s="35"/>
      <c r="G70" s="33"/>
      <c r="H70" s="33"/>
      <c r="I70" s="34"/>
    </row>
    <row r="71" spans="6:9" x14ac:dyDescent="0.25">
      <c r="F71" s="35"/>
      <c r="G71" s="33"/>
      <c r="H71" s="33"/>
      <c r="I71" s="34"/>
    </row>
    <row r="72" spans="6:9" x14ac:dyDescent="0.25">
      <c r="F72" s="35"/>
      <c r="G72" s="33"/>
      <c r="H72" s="33"/>
      <c r="I72" s="34"/>
    </row>
    <row r="73" spans="6:9" x14ac:dyDescent="0.25">
      <c r="F73" s="35"/>
      <c r="G73" s="33"/>
      <c r="H73" s="33"/>
      <c r="I73" s="34"/>
    </row>
    <row r="74" spans="6:9" x14ac:dyDescent="0.25">
      <c r="F74" s="35"/>
      <c r="G74" s="33"/>
      <c r="H74" s="33"/>
      <c r="I74" s="34"/>
    </row>
    <row r="75" spans="6:9" x14ac:dyDescent="0.25">
      <c r="F75" s="35"/>
      <c r="G75" s="33"/>
      <c r="H75" s="33"/>
      <c r="I75" s="34"/>
    </row>
    <row r="76" spans="6:9" x14ac:dyDescent="0.25">
      <c r="F76" s="35"/>
      <c r="G76" s="33"/>
      <c r="H76" s="33"/>
      <c r="I76" s="34"/>
    </row>
    <row r="77" spans="6:9" x14ac:dyDescent="0.25">
      <c r="F77" s="35"/>
      <c r="G77" s="33"/>
      <c r="H77" s="33"/>
      <c r="I77" s="34"/>
    </row>
    <row r="78" spans="6:9" x14ac:dyDescent="0.25">
      <c r="F78" s="35"/>
      <c r="G78" s="33"/>
      <c r="H78" s="33"/>
      <c r="I78" s="34"/>
    </row>
    <row r="79" spans="6:9" x14ac:dyDescent="0.25">
      <c r="F79" s="35"/>
      <c r="G79" s="33"/>
      <c r="H79" s="33"/>
      <c r="I79" s="34"/>
    </row>
    <row r="80" spans="6:9" x14ac:dyDescent="0.25">
      <c r="F80" s="35"/>
      <c r="G80" s="33"/>
      <c r="H80" s="33"/>
      <c r="I80" s="34"/>
    </row>
    <row r="81" spans="6:9" x14ac:dyDescent="0.25">
      <c r="F81" s="35"/>
      <c r="G81" s="33"/>
      <c r="H81" s="33"/>
      <c r="I81" s="34"/>
    </row>
    <row r="82" spans="6:9" x14ac:dyDescent="0.25">
      <c r="F82" s="35"/>
      <c r="G82" s="33"/>
      <c r="H82" s="33"/>
      <c r="I82" s="34"/>
    </row>
    <row r="83" spans="6:9" x14ac:dyDescent="0.25">
      <c r="F83" s="35"/>
      <c r="G83" s="33"/>
      <c r="H83" s="33"/>
      <c r="I83" s="34"/>
    </row>
    <row r="84" spans="6:9" x14ac:dyDescent="0.25">
      <c r="F84" s="35"/>
      <c r="G84" s="33"/>
      <c r="H84" s="33"/>
      <c r="I84" s="34"/>
    </row>
    <row r="85" spans="6:9" x14ac:dyDescent="0.25">
      <c r="F85" s="35"/>
      <c r="G85" s="33"/>
      <c r="H85" s="33"/>
      <c r="I85" s="34"/>
    </row>
    <row r="86" spans="6:9" x14ac:dyDescent="0.25">
      <c r="F86" s="35"/>
      <c r="G86" s="33"/>
      <c r="H86" s="33"/>
      <c r="I86" s="34"/>
    </row>
    <row r="87" spans="6:9" x14ac:dyDescent="0.25">
      <c r="F87" s="35"/>
      <c r="G87" s="33"/>
      <c r="H87" s="33"/>
      <c r="I87" s="34"/>
    </row>
    <row r="88" spans="6:9" x14ac:dyDescent="0.25">
      <c r="F88" s="35"/>
      <c r="G88" s="33"/>
      <c r="H88" s="33"/>
      <c r="I88" s="34"/>
    </row>
    <row r="89" spans="6:9" x14ac:dyDescent="0.25">
      <c r="F89" s="35"/>
      <c r="G89" s="33"/>
      <c r="H89" s="33"/>
      <c r="I89" s="34"/>
    </row>
    <row r="90" spans="6:9" x14ac:dyDescent="0.25">
      <c r="F90" s="35"/>
      <c r="G90" s="33"/>
      <c r="H90" s="33"/>
      <c r="I90" s="34"/>
    </row>
    <row r="91" spans="6:9" x14ac:dyDescent="0.25">
      <c r="F91" s="35"/>
      <c r="G91" s="33"/>
      <c r="H91" s="33"/>
      <c r="I91" s="34"/>
    </row>
    <row r="92" spans="6:9" x14ac:dyDescent="0.25">
      <c r="F92" s="35"/>
      <c r="G92" s="33"/>
      <c r="H92" s="33"/>
      <c r="I92" s="34"/>
    </row>
    <row r="93" spans="6:9" x14ac:dyDescent="0.25">
      <c r="F93" s="35"/>
      <c r="G93" s="33"/>
      <c r="H93" s="33"/>
      <c r="I93" s="34"/>
    </row>
    <row r="94" spans="6:9" x14ac:dyDescent="0.25">
      <c r="F94" s="35"/>
      <c r="G94" s="33"/>
      <c r="H94" s="33"/>
      <c r="I94" s="34"/>
    </row>
    <row r="95" spans="6:9" x14ac:dyDescent="0.25">
      <c r="F95" s="35"/>
      <c r="G95" s="33"/>
      <c r="H95" s="33"/>
      <c r="I95" s="34"/>
    </row>
    <row r="96" spans="6:9" x14ac:dyDescent="0.25">
      <c r="F96" s="35"/>
      <c r="G96" s="33"/>
      <c r="H96" s="33"/>
      <c r="I96" s="34"/>
    </row>
    <row r="97" spans="6:9" x14ac:dyDescent="0.25">
      <c r="F97" s="35"/>
      <c r="G97" s="33"/>
      <c r="H97" s="33"/>
      <c r="I97" s="34"/>
    </row>
    <row r="98" spans="6:9" x14ac:dyDescent="0.25">
      <c r="F98" s="35"/>
      <c r="G98" s="33"/>
      <c r="H98" s="33"/>
      <c r="I98" s="34"/>
    </row>
    <row r="99" spans="6:9" x14ac:dyDescent="0.25">
      <c r="F99" s="35"/>
      <c r="G99" s="33"/>
      <c r="H99" s="33"/>
      <c r="I99" s="34"/>
    </row>
    <row r="100" spans="6:9" x14ac:dyDescent="0.25">
      <c r="F100" s="35"/>
      <c r="G100" s="33"/>
      <c r="H100" s="33"/>
      <c r="I100" s="34"/>
    </row>
    <row r="101" spans="6:9" x14ac:dyDescent="0.25">
      <c r="F101" s="35"/>
      <c r="G101" s="33"/>
      <c r="H101" s="33"/>
      <c r="I101" s="34"/>
    </row>
    <row r="102" spans="6:9" x14ac:dyDescent="0.25">
      <c r="F102" s="35"/>
      <c r="G102" s="33"/>
      <c r="H102" s="33"/>
      <c r="I102" s="34"/>
    </row>
    <row r="103" spans="6:9" x14ac:dyDescent="0.25">
      <c r="F103" s="35"/>
      <c r="G103" s="33"/>
      <c r="H103" s="33"/>
      <c r="I103" s="34"/>
    </row>
    <row r="104" spans="6:9" x14ac:dyDescent="0.25">
      <c r="F104" s="35"/>
      <c r="G104" s="33"/>
      <c r="H104" s="33"/>
      <c r="I104" s="34"/>
    </row>
    <row r="105" spans="6:9" x14ac:dyDescent="0.25">
      <c r="F105" s="35"/>
      <c r="G105" s="33"/>
      <c r="H105" s="33"/>
      <c r="I105" s="34"/>
    </row>
    <row r="106" spans="6:9" x14ac:dyDescent="0.25">
      <c r="F106" s="35"/>
      <c r="G106" s="33"/>
      <c r="H106" s="33"/>
      <c r="I106" s="34"/>
    </row>
    <row r="107" spans="6:9" x14ac:dyDescent="0.25">
      <c r="F107" s="35"/>
      <c r="G107" s="33"/>
      <c r="H107" s="33"/>
      <c r="I107" s="34"/>
    </row>
    <row r="108" spans="6:9" x14ac:dyDescent="0.25">
      <c r="F108" s="35"/>
      <c r="G108" s="33"/>
      <c r="H108" s="33"/>
      <c r="I108" s="34"/>
    </row>
    <row r="109" spans="6:9" x14ac:dyDescent="0.25">
      <c r="F109" s="35"/>
      <c r="G109" s="33"/>
      <c r="H109" s="33"/>
      <c r="I109" s="34"/>
    </row>
    <row r="110" spans="6:9" x14ac:dyDescent="0.25">
      <c r="F110" s="35"/>
      <c r="G110" s="33"/>
      <c r="H110" s="33"/>
      <c r="I110" s="34"/>
    </row>
    <row r="111" spans="6:9" x14ac:dyDescent="0.25">
      <c r="F111" s="35"/>
      <c r="G111" s="33"/>
      <c r="H111" s="33"/>
      <c r="I111" s="34"/>
    </row>
    <row r="112" spans="6:9" x14ac:dyDescent="0.25">
      <c r="F112" s="35"/>
      <c r="G112" s="33"/>
      <c r="H112" s="33"/>
      <c r="I112" s="34"/>
    </row>
    <row r="113" spans="6:9" x14ac:dyDescent="0.25">
      <c r="F113" s="35"/>
      <c r="G113" s="33"/>
      <c r="H113" s="33"/>
      <c r="I113" s="34"/>
    </row>
    <row r="114" spans="6:9" x14ac:dyDescent="0.25">
      <c r="F114" s="35"/>
      <c r="G114" s="33"/>
      <c r="H114" s="33"/>
      <c r="I114" s="34"/>
    </row>
    <row r="115" spans="6:9" x14ac:dyDescent="0.25">
      <c r="F115" s="35"/>
      <c r="G115" s="33"/>
      <c r="H115" s="33"/>
      <c r="I115" s="34"/>
    </row>
    <row r="116" spans="6:9" x14ac:dyDescent="0.25">
      <c r="F116" s="35"/>
      <c r="G116" s="33"/>
      <c r="H116" s="33"/>
      <c r="I116" s="34"/>
    </row>
    <row r="117" spans="6:9" x14ac:dyDescent="0.25">
      <c r="F117" s="35"/>
      <c r="G117" s="33"/>
      <c r="H117" s="33"/>
      <c r="I117" s="34"/>
    </row>
    <row r="118" spans="6:9" x14ac:dyDescent="0.25">
      <c r="F118" s="35"/>
      <c r="G118" s="33"/>
      <c r="H118" s="33"/>
      <c r="I118" s="34"/>
    </row>
    <row r="119" spans="6:9" x14ac:dyDescent="0.25">
      <c r="F119" s="35"/>
      <c r="G119" s="33"/>
      <c r="H119" s="33"/>
      <c r="I119" s="34"/>
    </row>
    <row r="120" spans="6:9" x14ac:dyDescent="0.25">
      <c r="F120" s="35"/>
      <c r="G120" s="33"/>
      <c r="H120" s="33"/>
      <c r="I120" s="34"/>
    </row>
    <row r="121" spans="6:9" x14ac:dyDescent="0.25">
      <c r="F121" s="35"/>
      <c r="G121" s="33"/>
      <c r="H121" s="33"/>
      <c r="I121" s="34"/>
    </row>
    <row r="122" spans="6:9" x14ac:dyDescent="0.25">
      <c r="F122" s="35"/>
      <c r="G122" s="33"/>
      <c r="H122" s="33"/>
      <c r="I122" s="34"/>
    </row>
    <row r="123" spans="6:9" x14ac:dyDescent="0.25">
      <c r="F123" s="35"/>
      <c r="G123" s="33"/>
      <c r="H123" s="33"/>
      <c r="I123" s="34"/>
    </row>
    <row r="124" spans="6:9" x14ac:dyDescent="0.25">
      <c r="F124" s="35"/>
      <c r="G124" s="33"/>
      <c r="H124" s="33"/>
      <c r="I124" s="34"/>
    </row>
    <row r="125" spans="6:9" x14ac:dyDescent="0.25">
      <c r="F125" s="35"/>
      <c r="G125" s="33"/>
      <c r="H125" s="33"/>
      <c r="I125" s="34"/>
    </row>
    <row r="126" spans="6:9" x14ac:dyDescent="0.25">
      <c r="F126" s="35"/>
      <c r="G126" s="33"/>
      <c r="H126" s="33"/>
      <c r="I126" s="34"/>
    </row>
    <row r="127" spans="6:9" x14ac:dyDescent="0.25">
      <c r="F127" s="35"/>
      <c r="G127" s="33"/>
      <c r="H127" s="33"/>
      <c r="I127" s="34"/>
    </row>
    <row r="128" spans="6:9" x14ac:dyDescent="0.25">
      <c r="F128" s="35"/>
      <c r="G128" s="33"/>
      <c r="H128" s="33"/>
      <c r="I128" s="34"/>
    </row>
    <row r="129" spans="6:9" x14ac:dyDescent="0.25">
      <c r="F129" s="35"/>
      <c r="G129" s="33"/>
      <c r="H129" s="33"/>
      <c r="I129" s="34"/>
    </row>
    <row r="130" spans="6:9" x14ac:dyDescent="0.25">
      <c r="F130" s="35"/>
      <c r="G130" s="33"/>
      <c r="H130" s="33"/>
      <c r="I130" s="34"/>
    </row>
    <row r="131" spans="6:9" x14ac:dyDescent="0.25">
      <c r="F131" s="35"/>
      <c r="G131" s="33"/>
      <c r="H131" s="33"/>
      <c r="I131" s="34"/>
    </row>
    <row r="132" spans="6:9" x14ac:dyDescent="0.25">
      <c r="F132" s="35"/>
      <c r="G132" s="33"/>
      <c r="H132" s="33"/>
      <c r="I132" s="34"/>
    </row>
    <row r="133" spans="6:9" x14ac:dyDescent="0.25">
      <c r="F133" s="35"/>
      <c r="G133" s="33"/>
      <c r="H133" s="33"/>
      <c r="I133" s="34"/>
    </row>
    <row r="134" spans="6:9" x14ac:dyDescent="0.25">
      <c r="F134" s="35"/>
      <c r="G134" s="33"/>
      <c r="H134" s="33"/>
      <c r="I134" s="34"/>
    </row>
    <row r="135" spans="6:9" x14ac:dyDescent="0.25">
      <c r="F135" s="35"/>
      <c r="G135" s="33"/>
      <c r="H135" s="33"/>
      <c r="I135" s="34"/>
    </row>
    <row r="136" spans="6:9" x14ac:dyDescent="0.25">
      <c r="F136" s="35"/>
      <c r="G136" s="33"/>
      <c r="H136" s="33"/>
      <c r="I136" s="34"/>
    </row>
    <row r="137" spans="6:9" x14ac:dyDescent="0.25">
      <c r="F137" s="35"/>
      <c r="G137" s="33"/>
      <c r="H137" s="33"/>
      <c r="I137" s="34"/>
    </row>
    <row r="138" spans="6:9" x14ac:dyDescent="0.25">
      <c r="F138" s="35"/>
      <c r="G138" s="33"/>
      <c r="H138" s="33"/>
      <c r="I138" s="34"/>
    </row>
    <row r="139" spans="6:9" x14ac:dyDescent="0.25">
      <c r="F139" s="35"/>
      <c r="G139" s="33"/>
      <c r="H139" s="33"/>
      <c r="I139" s="34"/>
    </row>
    <row r="140" spans="6:9" x14ac:dyDescent="0.25">
      <c r="F140" s="35"/>
      <c r="G140" s="33"/>
      <c r="H140" s="33"/>
      <c r="I140" s="34"/>
    </row>
    <row r="141" spans="6:9" x14ac:dyDescent="0.25">
      <c r="F141" s="35"/>
      <c r="G141" s="33"/>
      <c r="H141" s="33"/>
      <c r="I141" s="34"/>
    </row>
    <row r="142" spans="6:9" x14ac:dyDescent="0.25">
      <c r="F142" s="35"/>
      <c r="G142" s="33"/>
      <c r="H142" s="33"/>
      <c r="I142" s="34"/>
    </row>
    <row r="143" spans="6:9" x14ac:dyDescent="0.25">
      <c r="F143" s="35"/>
      <c r="G143" s="33"/>
      <c r="H143" s="33"/>
      <c r="I143" s="34"/>
    </row>
    <row r="144" spans="6:9" x14ac:dyDescent="0.25">
      <c r="F144" s="35"/>
      <c r="G144" s="33"/>
      <c r="H144" s="33"/>
      <c r="I144" s="34"/>
    </row>
    <row r="145" spans="6:9" x14ac:dyDescent="0.25">
      <c r="F145" s="35"/>
      <c r="G145" s="33"/>
      <c r="H145" s="33"/>
      <c r="I145" s="34"/>
    </row>
    <row r="146" spans="6:9" x14ac:dyDescent="0.25">
      <c r="F146" s="35"/>
      <c r="G146" s="33"/>
      <c r="H146" s="33"/>
      <c r="I146" s="34"/>
    </row>
    <row r="147" spans="6:9" x14ac:dyDescent="0.25">
      <c r="F147" s="35"/>
      <c r="G147" s="33"/>
      <c r="H147" s="33"/>
      <c r="I147" s="34"/>
    </row>
    <row r="148" spans="6:9" x14ac:dyDescent="0.25">
      <c r="F148" s="35"/>
      <c r="G148" s="33"/>
      <c r="H148" s="33"/>
      <c r="I148" s="34"/>
    </row>
    <row r="149" spans="6:9" x14ac:dyDescent="0.25">
      <c r="F149" s="35"/>
      <c r="G149" s="33"/>
      <c r="H149" s="33"/>
      <c r="I149" s="34"/>
    </row>
    <row r="150" spans="6:9" x14ac:dyDescent="0.25">
      <c r="F150" s="35"/>
      <c r="G150" s="33"/>
      <c r="H150" s="33"/>
      <c r="I150" s="34"/>
    </row>
    <row r="151" spans="6:9" x14ac:dyDescent="0.25">
      <c r="F151" s="35"/>
      <c r="G151" s="33"/>
      <c r="H151" s="33"/>
      <c r="I151" s="34"/>
    </row>
    <row r="152" spans="6:9" x14ac:dyDescent="0.25">
      <c r="F152" s="35"/>
      <c r="G152" s="33"/>
      <c r="H152" s="33"/>
      <c r="I152" s="34"/>
    </row>
    <row r="153" spans="6:9" x14ac:dyDescent="0.25">
      <c r="F153" s="35"/>
      <c r="G153" s="33"/>
      <c r="H153" s="33"/>
      <c r="I153" s="34"/>
    </row>
    <row r="154" spans="6:9" x14ac:dyDescent="0.25">
      <c r="F154" s="35"/>
      <c r="G154" s="33"/>
      <c r="H154" s="33"/>
      <c r="I154" s="34"/>
    </row>
    <row r="155" spans="6:9" x14ac:dyDescent="0.25">
      <c r="F155" s="35"/>
      <c r="G155" s="33"/>
      <c r="H155" s="33"/>
      <c r="I155" s="34"/>
    </row>
    <row r="156" spans="6:9" x14ac:dyDescent="0.25">
      <c r="F156" s="35"/>
      <c r="G156" s="33"/>
      <c r="H156" s="33"/>
      <c r="I156" s="34"/>
    </row>
    <row r="157" spans="6:9" x14ac:dyDescent="0.25">
      <c r="F157" s="35"/>
      <c r="G157" s="33"/>
      <c r="H157" s="33"/>
      <c r="I157" s="34"/>
    </row>
    <row r="158" spans="6:9" x14ac:dyDescent="0.25">
      <c r="F158" s="35"/>
      <c r="G158" s="33"/>
      <c r="H158" s="33"/>
      <c r="I158" s="34"/>
    </row>
    <row r="159" spans="6:9" x14ac:dyDescent="0.25">
      <c r="F159" s="35"/>
      <c r="G159" s="33"/>
      <c r="H159" s="33"/>
      <c r="I159" s="34"/>
    </row>
    <row r="160" spans="6:9" x14ac:dyDescent="0.25">
      <c r="F160" s="35"/>
      <c r="G160" s="33"/>
      <c r="H160" s="33"/>
      <c r="I160" s="34"/>
    </row>
    <row r="161" spans="6:9" x14ac:dyDescent="0.25">
      <c r="F161" s="35"/>
      <c r="G161" s="33"/>
      <c r="H161" s="33"/>
      <c r="I161" s="34"/>
    </row>
    <row r="162" spans="6:9" x14ac:dyDescent="0.25">
      <c r="F162" s="35"/>
      <c r="G162" s="33"/>
      <c r="H162" s="33"/>
      <c r="I162" s="34"/>
    </row>
    <row r="163" spans="6:9" x14ac:dyDescent="0.25">
      <c r="F163" s="35"/>
      <c r="G163" s="33"/>
      <c r="H163" s="33"/>
      <c r="I163" s="34"/>
    </row>
    <row r="164" spans="6:9" x14ac:dyDescent="0.25">
      <c r="F164" s="35"/>
      <c r="G164" s="33"/>
      <c r="H164" s="33"/>
      <c r="I164" s="34"/>
    </row>
    <row r="165" spans="6:9" x14ac:dyDescent="0.25">
      <c r="F165" s="35"/>
      <c r="G165" s="33"/>
      <c r="H165" s="33"/>
      <c r="I165" s="34"/>
    </row>
    <row r="166" spans="6:9" x14ac:dyDescent="0.25">
      <c r="F166" s="35"/>
      <c r="G166" s="33"/>
      <c r="H166" s="33"/>
      <c r="I166" s="34"/>
    </row>
    <row r="167" spans="6:9" x14ac:dyDescent="0.25">
      <c r="F167" s="35"/>
      <c r="G167" s="33"/>
      <c r="H167" s="33"/>
      <c r="I167" s="34"/>
    </row>
    <row r="168" spans="6:9" x14ac:dyDescent="0.25">
      <c r="F168" s="35"/>
      <c r="G168" s="33"/>
      <c r="H168" s="33"/>
      <c r="I168" s="34"/>
    </row>
    <row r="169" spans="6:9" x14ac:dyDescent="0.25">
      <c r="F169" s="35"/>
      <c r="G169" s="33"/>
      <c r="H169" s="33"/>
      <c r="I169" s="34"/>
    </row>
    <row r="170" spans="6:9" x14ac:dyDescent="0.25">
      <c r="F170" s="35"/>
      <c r="G170" s="33"/>
      <c r="H170" s="33"/>
      <c r="I170" s="34"/>
    </row>
    <row r="171" spans="6:9" x14ac:dyDescent="0.25">
      <c r="F171" s="35"/>
      <c r="G171" s="33"/>
      <c r="H171" s="33"/>
      <c r="I171" s="34"/>
    </row>
    <row r="172" spans="6:9" x14ac:dyDescent="0.25">
      <c r="F172" s="35"/>
      <c r="G172" s="33"/>
      <c r="H172" s="33"/>
      <c r="I172" s="34"/>
    </row>
    <row r="173" spans="6:9" x14ac:dyDescent="0.25">
      <c r="F173" s="35"/>
      <c r="G173" s="33"/>
      <c r="H173" s="33"/>
      <c r="I173" s="34"/>
    </row>
    <row r="174" spans="6:9" x14ac:dyDescent="0.25">
      <c r="F174" s="35"/>
      <c r="G174" s="33"/>
      <c r="H174" s="33"/>
      <c r="I174" s="34"/>
    </row>
    <row r="175" spans="6:9" x14ac:dyDescent="0.25">
      <c r="F175" s="35"/>
      <c r="G175" s="33"/>
      <c r="H175" s="33"/>
      <c r="I175" s="34"/>
    </row>
    <row r="176" spans="6:9" x14ac:dyDescent="0.25">
      <c r="F176" s="35"/>
      <c r="G176" s="33"/>
      <c r="H176" s="33"/>
      <c r="I176" s="34"/>
    </row>
    <row r="177" spans="6:9" x14ac:dyDescent="0.25">
      <c r="F177" s="35"/>
      <c r="G177" s="33"/>
      <c r="H177" s="33"/>
      <c r="I177" s="34"/>
    </row>
    <row r="178" spans="6:9" x14ac:dyDescent="0.25">
      <c r="F178" s="35"/>
      <c r="G178" s="33"/>
      <c r="H178" s="33"/>
      <c r="I178" s="34"/>
    </row>
    <row r="179" spans="6:9" x14ac:dyDescent="0.25">
      <c r="F179" s="35"/>
      <c r="G179" s="33"/>
      <c r="H179" s="33"/>
      <c r="I179" s="34"/>
    </row>
    <row r="180" spans="6:9" x14ac:dyDescent="0.25">
      <c r="F180" s="35"/>
      <c r="G180" s="33"/>
      <c r="H180" s="33"/>
      <c r="I180" s="34"/>
    </row>
    <row r="181" spans="6:9" x14ac:dyDescent="0.25">
      <c r="F181" s="35"/>
      <c r="G181" s="33"/>
      <c r="H181" s="33"/>
      <c r="I181" s="34"/>
    </row>
    <row r="182" spans="6:9" x14ac:dyDescent="0.25">
      <c r="F182" s="35"/>
      <c r="G182" s="33"/>
      <c r="H182" s="33"/>
      <c r="I182" s="34"/>
    </row>
    <row r="183" spans="6:9" x14ac:dyDescent="0.25">
      <c r="F183" s="35"/>
      <c r="G183" s="33"/>
      <c r="H183" s="33"/>
      <c r="I183" s="34"/>
    </row>
    <row r="184" spans="6:9" x14ac:dyDescent="0.25">
      <c r="F184" s="35"/>
      <c r="G184" s="33"/>
      <c r="H184" s="33"/>
      <c r="I184" s="34"/>
    </row>
    <row r="185" spans="6:9" x14ac:dyDescent="0.25">
      <c r="F185" s="35"/>
      <c r="G185" s="33"/>
      <c r="H185" s="33"/>
      <c r="I185" s="34"/>
    </row>
    <row r="186" spans="6:9" x14ac:dyDescent="0.25">
      <c r="F186" s="35"/>
      <c r="G186" s="33"/>
      <c r="H186" s="33"/>
      <c r="I186" s="34"/>
    </row>
    <row r="187" spans="6:9" x14ac:dyDescent="0.25">
      <c r="F187" s="35"/>
      <c r="G187" s="33"/>
      <c r="H187" s="33"/>
      <c r="I187" s="34"/>
    </row>
    <row r="188" spans="6:9" x14ac:dyDescent="0.25">
      <c r="F188" s="35"/>
      <c r="G188" s="33"/>
      <c r="H188" s="33"/>
      <c r="I188" s="34"/>
    </row>
    <row r="189" spans="6:9" x14ac:dyDescent="0.25">
      <c r="F189" s="35"/>
      <c r="G189" s="33"/>
      <c r="H189" s="33"/>
      <c r="I189" s="34"/>
    </row>
    <row r="190" spans="6:9" x14ac:dyDescent="0.25">
      <c r="F190" s="35"/>
      <c r="G190" s="33"/>
      <c r="H190" s="33"/>
      <c r="I190" s="34"/>
    </row>
    <row r="191" spans="6:9" x14ac:dyDescent="0.25">
      <c r="F191" s="35"/>
      <c r="G191" s="33"/>
      <c r="H191" s="33"/>
      <c r="I191" s="34"/>
    </row>
    <row r="192" spans="6:9" x14ac:dyDescent="0.25">
      <c r="F192" s="35"/>
      <c r="G192" s="33"/>
      <c r="H192" s="33"/>
      <c r="I192" s="34"/>
    </row>
    <row r="193" spans="6:9" x14ac:dyDescent="0.25">
      <c r="F193" s="35"/>
      <c r="G193" s="33"/>
      <c r="H193" s="33"/>
      <c r="I193" s="34"/>
    </row>
    <row r="194" spans="6:9" x14ac:dyDescent="0.25">
      <c r="F194" s="35"/>
      <c r="G194" s="33"/>
      <c r="H194" s="33"/>
      <c r="I194" s="34"/>
    </row>
    <row r="195" spans="6:9" x14ac:dyDescent="0.25">
      <c r="F195" s="35"/>
      <c r="G195" s="33"/>
      <c r="H195" s="33"/>
      <c r="I195" s="34"/>
    </row>
    <row r="196" spans="6:9" x14ac:dyDescent="0.25">
      <c r="F196" s="35"/>
      <c r="G196" s="33"/>
      <c r="H196" s="33"/>
      <c r="I196" s="34"/>
    </row>
    <row r="197" spans="6:9" x14ac:dyDescent="0.25">
      <c r="F197" s="35"/>
      <c r="G197" s="33"/>
      <c r="H197" s="33"/>
      <c r="I197" s="34"/>
    </row>
    <row r="198" spans="6:9" x14ac:dyDescent="0.25">
      <c r="F198" s="35"/>
      <c r="G198" s="33"/>
      <c r="H198" s="33"/>
      <c r="I198" s="34"/>
    </row>
    <row r="199" spans="6:9" x14ac:dyDescent="0.25">
      <c r="F199" s="35"/>
      <c r="G199" s="33"/>
      <c r="H199" s="33"/>
      <c r="I199" s="34"/>
    </row>
    <row r="200" spans="6:9" x14ac:dyDescent="0.25">
      <c r="F200" s="35"/>
      <c r="G200" s="33"/>
      <c r="H200" s="33"/>
      <c r="I200" s="34"/>
    </row>
    <row r="201" spans="6:9" x14ac:dyDescent="0.25">
      <c r="F201" s="35"/>
      <c r="G201" s="33"/>
      <c r="H201" s="33"/>
      <c r="I201" s="34"/>
    </row>
    <row r="202" spans="6:9" x14ac:dyDescent="0.25">
      <c r="F202" s="35"/>
      <c r="G202" s="33"/>
      <c r="H202" s="33"/>
      <c r="I202" s="34"/>
    </row>
    <row r="203" spans="6:9" x14ac:dyDescent="0.25">
      <c r="F203" s="35"/>
      <c r="G203" s="33"/>
      <c r="H203" s="33"/>
      <c r="I203" s="34"/>
    </row>
    <row r="204" spans="6:9" x14ac:dyDescent="0.25">
      <c r="F204" s="35"/>
      <c r="G204" s="33"/>
      <c r="H204" s="33"/>
      <c r="I204" s="34"/>
    </row>
    <row r="205" spans="6:9" x14ac:dyDescent="0.25">
      <c r="F205" s="35"/>
      <c r="G205" s="33"/>
      <c r="H205" s="33"/>
      <c r="I205" s="34"/>
    </row>
    <row r="206" spans="6:9" x14ac:dyDescent="0.25">
      <c r="F206" s="35"/>
      <c r="G206" s="33"/>
      <c r="H206" s="33"/>
      <c r="I206" s="34"/>
    </row>
    <row r="207" spans="6:9" x14ac:dyDescent="0.25">
      <c r="F207" s="35"/>
      <c r="G207" s="33"/>
      <c r="H207" s="33"/>
      <c r="I207" s="34"/>
    </row>
  </sheetData>
  <mergeCells count="4">
    <mergeCell ref="A3:B3"/>
    <mergeCell ref="A6:B6"/>
    <mergeCell ref="A9:B9"/>
    <mergeCell ref="E1:F1"/>
  </mergeCells>
  <conditionalFormatting sqref="F38:F207">
    <cfRule type="expression" dxfId="91" priority="16">
      <formula>COUNTIF(lista,F38)=0</formula>
    </cfRule>
  </conditionalFormatting>
  <conditionalFormatting sqref="F5:F37">
    <cfRule type="expression" dxfId="90" priority="1">
      <formula>COUNTIF(lista,F5)=0</formula>
    </cfRule>
  </conditionalFormatting>
  <hyperlinks>
    <hyperlink ref="A3" location="Categorias!A1" display="Categorias" xr:uid="{00000000-0004-0000-0100-000000000000}"/>
    <hyperlink ref="A9:B9" location="'Resumo total'!A1" display="Resumo" xr:uid="{00000000-0004-0000-0100-000001000000}"/>
    <hyperlink ref="A3:B3" location="topocategorias" display="Categorias" xr:uid="{00000000-0004-0000-0100-000002000000}"/>
    <hyperlink ref="A6:B6" location="topo1" display="Cadastro" xr:uid="{00000000-0004-0000-0100-000003000000}"/>
    <hyperlink ref="D1" location="topo_cb" display="Topo" xr:uid="{00000000-0004-0000-0100-000004000000}"/>
  </hyperlinks>
  <pageMargins left="0.7" right="0.7" top="0.75" bottom="0.75" header="0.3" footer="0.3"/>
  <pageSetup paperSize="9" orientation="portrait" r:id="rId1"/>
  <headerFooter>
    <oddHeader>&amp;C&amp;G</oddHeader>
  </headerFooter>
  <drawing r:id="rId2"/>
  <legacyDrawingHF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00000000-000E-0000-0100-000017000000}">
            <xm:f>OR(Cadastro!A7="A",Cadastro!A7="B",Cadastro!A7="C",Cadastro!A7="D",Cadastro!A7="E",Cadastro!A7="F",Cadastro!A7="G",Cadastro!A7="H",Cadastro!A7="I",Cadastro!A7="J",Cadastro!A7="K",Cadastro!A7="L",Cadastro!A7="M",Cadastro!A7="N",Cadastro!A7="O",Cadastro!A7="P",Cadastro!A7="Q",Cadastro!A7="R",Cadastro!A7="S",Cadastro!A7="T",Cadastro!A7="U",Cadastro!A7="V",Cadastro!A7="W",Cadastro!A7="X",Cadastro!A7="Y",Cadastro!A7="Z")</xm:f>
            <x14:dxf>
              <font>
                <b/>
                <i val="0"/>
                <strike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A7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Categorias!$M$9:$M$29</xm:f>
          </x14:formula1>
          <xm:sqref>A7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BW510"/>
  <sheetViews>
    <sheetView showGridLines="0" zoomScale="90" zoomScaleNormal="90" workbookViewId="0">
      <selection activeCell="B10" sqref="B10"/>
    </sheetView>
  </sheetViews>
  <sheetFormatPr defaultColWidth="0" defaultRowHeight="15" outlineLevelCol="1" x14ac:dyDescent="0.25"/>
  <cols>
    <col min="1" max="1" width="30.42578125" customWidth="1"/>
    <col min="2" max="2" width="14.7109375" customWidth="1"/>
    <col min="3" max="6" width="13.5703125" customWidth="1"/>
    <col min="7" max="7" width="14.42578125" customWidth="1"/>
    <col min="8" max="8" width="2.28515625" customWidth="1"/>
    <col min="9" max="9" width="34.140625" customWidth="1"/>
    <col min="10" max="10" width="29.5703125" customWidth="1"/>
    <col min="11" max="11" width="28.85546875" customWidth="1"/>
    <col min="12" max="19" width="11.42578125" hidden="1" customWidth="1" outlineLevel="1"/>
    <col min="20" max="25" width="12.42578125" hidden="1" customWidth="1" outlineLevel="1"/>
    <col min="26" max="26" width="11.5703125" hidden="1" customWidth="1" outlineLevel="1"/>
    <col min="27" max="28" width="12" hidden="1" customWidth="1" outlineLevel="1"/>
    <col min="29" max="30" width="9.85546875" hidden="1" customWidth="1" outlineLevel="1"/>
    <col min="31" max="31" width="30.140625" customWidth="1" collapsed="1"/>
    <col min="32" max="32" width="9.7109375" customWidth="1"/>
    <col min="33" max="33" width="15.7109375" customWidth="1"/>
    <col min="34" max="34" width="32.85546875" bestFit="1" customWidth="1"/>
    <col min="35" max="35" width="19" bestFit="1" customWidth="1"/>
    <col min="36" max="36" width="34.7109375" customWidth="1"/>
    <col min="37" max="37" width="13.140625" hidden="1" customWidth="1" outlineLevel="1"/>
    <col min="38" max="38" width="21" hidden="1" customWidth="1" outlineLevel="1"/>
    <col min="39" max="39" width="22.42578125" hidden="1" customWidth="1" outlineLevel="1"/>
    <col min="40" max="40" width="18.28515625" hidden="1" customWidth="1" outlineLevel="1"/>
    <col min="41" max="41" width="24.28515625" hidden="1" customWidth="1" outlineLevel="1"/>
    <col min="42" max="42" width="19.28515625" hidden="1" customWidth="1" outlineLevel="1"/>
    <col min="43" max="43" width="17.5703125" hidden="1" customWidth="1" outlineLevel="1"/>
    <col min="44" max="44" width="15.7109375" hidden="1" customWidth="1" outlineLevel="1"/>
    <col min="45" max="45" width="12.42578125" hidden="1" customWidth="1" outlineLevel="1"/>
    <col min="46" max="46" width="10.7109375" hidden="1" customWidth="1" outlineLevel="1"/>
    <col min="47" max="47" width="16.7109375" hidden="1" customWidth="1" outlineLevel="1"/>
    <col min="48" max="48" width="18.85546875" hidden="1" customWidth="1" outlineLevel="1"/>
    <col min="49" max="49" width="21" hidden="1" customWidth="1" outlineLevel="1"/>
    <col min="50" max="50" width="17.5703125" hidden="1" customWidth="1" outlineLevel="1"/>
    <col min="51" max="51" width="14.7109375" hidden="1" customWidth="1" outlineLevel="1"/>
    <col min="52" max="52" width="15.7109375" hidden="1" customWidth="1" outlineLevel="1"/>
    <col min="53" max="53" width="16.42578125" hidden="1" customWidth="1" outlineLevel="1"/>
    <col min="54" max="54" width="25.7109375" hidden="1" customWidth="1" outlineLevel="1"/>
    <col min="55" max="55" width="15.42578125" hidden="1" customWidth="1" outlineLevel="1"/>
    <col min="56" max="56" width="16.85546875" bestFit="1" customWidth="1" collapsed="1"/>
    <col min="57" max="57" width="11.7109375" customWidth="1"/>
    <col min="58" max="58" width="9.140625" customWidth="1"/>
    <col min="59" max="59" width="23.85546875" hidden="1" customWidth="1"/>
    <col min="60" max="60" width="9.140625" hidden="1" customWidth="1"/>
    <col min="61" max="61" width="22.85546875" hidden="1" customWidth="1"/>
    <col min="62" max="62" width="9.140625" hidden="1" customWidth="1"/>
    <col min="63" max="63" width="22.85546875" hidden="1" customWidth="1"/>
    <col min="64" max="64" width="9.140625" hidden="1" customWidth="1"/>
    <col min="65" max="65" width="22.85546875" hidden="1" customWidth="1"/>
    <col min="66" max="66" width="23.85546875" hidden="1" customWidth="1"/>
    <col min="67" max="67" width="9.140625" hidden="1" customWidth="1"/>
    <col min="68" max="68" width="22.85546875" hidden="1" customWidth="1"/>
    <col min="69" max="69" width="14.7109375" hidden="1" customWidth="1"/>
    <col min="70" max="70" width="32" hidden="1" customWidth="1"/>
    <col min="71" max="71" width="14.7109375" hidden="1" customWidth="1"/>
    <col min="72" max="72" width="22.85546875" hidden="1" customWidth="1"/>
    <col min="73" max="73" width="9.140625" hidden="1" customWidth="1"/>
    <col min="74" max="74" width="32" hidden="1" customWidth="1"/>
    <col min="75" max="16384" width="9.140625" hidden="1"/>
  </cols>
  <sheetData>
    <row r="1" spans="1:75" ht="21" customHeight="1" x14ac:dyDescent="0.25">
      <c r="I1" s="10" t="s">
        <v>82</v>
      </c>
    </row>
    <row r="2" spans="1:75" ht="15.75" thickBot="1" x14ac:dyDescent="0.3"/>
    <row r="3" spans="1:75" x14ac:dyDescent="0.25">
      <c r="A3" s="101" t="s">
        <v>81</v>
      </c>
      <c r="B3" s="101"/>
      <c r="C3" s="101"/>
      <c r="D3" s="101"/>
      <c r="E3" s="101"/>
      <c r="F3" s="101"/>
      <c r="G3" s="101"/>
      <c r="H3" s="24"/>
      <c r="I3" s="107" t="s">
        <v>0</v>
      </c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9"/>
      <c r="AH3" s="104" t="s">
        <v>18</v>
      </c>
      <c r="AI3" s="105"/>
      <c r="AJ3" s="105"/>
      <c r="AK3" s="105"/>
      <c r="AL3" s="105"/>
      <c r="AM3" s="105"/>
      <c r="AN3" s="105"/>
      <c r="AO3" s="105"/>
      <c r="AP3" s="105"/>
      <c r="AQ3" s="105"/>
      <c r="AR3" s="105"/>
      <c r="AS3" s="105"/>
      <c r="AT3" s="105"/>
      <c r="AU3" s="105"/>
      <c r="AV3" s="105"/>
      <c r="AW3" s="105"/>
      <c r="AX3" s="105"/>
      <c r="AY3" s="105"/>
      <c r="AZ3" s="105"/>
      <c r="BA3" s="105"/>
      <c r="BB3" s="105"/>
      <c r="BC3" s="105"/>
      <c r="BD3" s="105"/>
      <c r="BE3" s="105"/>
      <c r="BF3" s="106"/>
      <c r="BI3" s="100" t="s">
        <v>0</v>
      </c>
      <c r="BJ3" s="100"/>
      <c r="BK3" s="100"/>
      <c r="BL3" s="100"/>
      <c r="BM3" s="100"/>
      <c r="BN3" s="100"/>
      <c r="BP3" s="100" t="s">
        <v>18</v>
      </c>
      <c r="BQ3" s="100"/>
      <c r="BR3" s="100"/>
      <c r="BS3" s="100"/>
      <c r="BT3" s="100"/>
      <c r="BU3" s="100"/>
      <c r="BV3" s="100"/>
      <c r="BW3" s="100"/>
    </row>
    <row r="4" spans="1:75" x14ac:dyDescent="0.25">
      <c r="A4" s="10"/>
      <c r="B4" s="10"/>
      <c r="C4" s="10"/>
      <c r="D4" s="10"/>
      <c r="E4" s="10"/>
      <c r="F4" s="10"/>
      <c r="G4" s="10"/>
      <c r="I4" s="21" t="s">
        <v>19</v>
      </c>
      <c r="J4" s="22" t="s">
        <v>20</v>
      </c>
      <c r="K4" s="22" t="s">
        <v>135</v>
      </c>
      <c r="L4" s="22" t="s">
        <v>53</v>
      </c>
      <c r="M4" s="22" t="s">
        <v>54</v>
      </c>
      <c r="N4" s="22" t="s">
        <v>85</v>
      </c>
      <c r="O4" s="22" t="s">
        <v>86</v>
      </c>
      <c r="P4" s="22" t="s">
        <v>87</v>
      </c>
      <c r="Q4" s="22" t="s">
        <v>88</v>
      </c>
      <c r="R4" s="22" t="s">
        <v>89</v>
      </c>
      <c r="S4" s="22" t="s">
        <v>90</v>
      </c>
      <c r="T4" s="22" t="s">
        <v>91</v>
      </c>
      <c r="U4" s="22" t="s">
        <v>92</v>
      </c>
      <c r="V4" s="22" t="s">
        <v>93</v>
      </c>
      <c r="W4" s="22" t="s">
        <v>94</v>
      </c>
      <c r="X4" s="22" t="s">
        <v>95</v>
      </c>
      <c r="Y4" s="22" t="s">
        <v>166</v>
      </c>
      <c r="Z4" s="22" t="s">
        <v>167</v>
      </c>
      <c r="AA4" s="22" t="s">
        <v>289</v>
      </c>
      <c r="AB4" s="22" t="s">
        <v>1008</v>
      </c>
      <c r="AC4" s="22" t="s">
        <v>1009</v>
      </c>
      <c r="AD4" s="22" t="s">
        <v>1010</v>
      </c>
      <c r="AE4" s="22" t="s">
        <v>55</v>
      </c>
      <c r="AF4" s="22" t="s">
        <v>143</v>
      </c>
      <c r="AG4" s="23" t="s">
        <v>52</v>
      </c>
      <c r="AH4" s="21" t="s">
        <v>19</v>
      </c>
      <c r="AI4" s="22" t="s">
        <v>20</v>
      </c>
      <c r="AJ4" s="22" t="s">
        <v>135</v>
      </c>
      <c r="AK4" s="22" t="s">
        <v>53</v>
      </c>
      <c r="AL4" s="22" t="s">
        <v>54</v>
      </c>
      <c r="AM4" s="22" t="s">
        <v>85</v>
      </c>
      <c r="AN4" s="22" t="s">
        <v>86</v>
      </c>
      <c r="AO4" s="22" t="s">
        <v>87</v>
      </c>
      <c r="AP4" s="22" t="s">
        <v>88</v>
      </c>
      <c r="AQ4" s="22" t="s">
        <v>89</v>
      </c>
      <c r="AR4" s="22" t="s">
        <v>90</v>
      </c>
      <c r="AS4" s="22" t="s">
        <v>91</v>
      </c>
      <c r="AT4" s="22" t="s">
        <v>92</v>
      </c>
      <c r="AU4" s="22" t="s">
        <v>93</v>
      </c>
      <c r="AV4" s="22" t="s">
        <v>94</v>
      </c>
      <c r="AW4" s="22" t="s">
        <v>95</v>
      </c>
      <c r="AX4" s="22" t="s">
        <v>166</v>
      </c>
      <c r="AY4" s="22" t="s">
        <v>167</v>
      </c>
      <c r="AZ4" s="22" t="s">
        <v>289</v>
      </c>
      <c r="BA4" s="22" t="s">
        <v>1008</v>
      </c>
      <c r="BB4" s="22" t="s">
        <v>1009</v>
      </c>
      <c r="BC4" s="22" t="s">
        <v>1010</v>
      </c>
      <c r="BD4" s="22" t="s">
        <v>55</v>
      </c>
      <c r="BE4" s="22" t="s">
        <v>143</v>
      </c>
      <c r="BF4" s="23" t="s">
        <v>52</v>
      </c>
      <c r="BI4" s="1" t="s">
        <v>19</v>
      </c>
      <c r="BJ4" s="1" t="s">
        <v>228</v>
      </c>
      <c r="BK4" s="1" t="s">
        <v>228</v>
      </c>
      <c r="BL4" s="1" t="s">
        <v>52</v>
      </c>
      <c r="BM4" s="1" t="s">
        <v>19</v>
      </c>
      <c r="BN4" s="1" t="s">
        <v>52</v>
      </c>
      <c r="BP4" s="1" t="s">
        <v>19</v>
      </c>
      <c r="BQ4" s="1" t="s">
        <v>228</v>
      </c>
      <c r="BR4" s="1" t="s">
        <v>228</v>
      </c>
      <c r="BS4" s="1" t="s">
        <v>230</v>
      </c>
      <c r="BT4" s="1" t="s">
        <v>231</v>
      </c>
      <c r="BU4" s="1" t="s">
        <v>229</v>
      </c>
      <c r="BV4" s="1" t="s">
        <v>19</v>
      </c>
      <c r="BW4" s="1" t="s">
        <v>229</v>
      </c>
    </row>
    <row r="5" spans="1:75" x14ac:dyDescent="0.25">
      <c r="A5" s="101" t="s">
        <v>83</v>
      </c>
      <c r="B5" s="101"/>
      <c r="C5" s="101"/>
      <c r="D5" s="101" t="s">
        <v>290</v>
      </c>
      <c r="E5" s="101"/>
      <c r="F5" s="101"/>
      <c r="G5" s="101"/>
      <c r="I5" s="19" t="str">
        <f>alimentos[[#This Row],[Item]]</f>
        <v>A</v>
      </c>
      <c r="J5" s="4">
        <f>IFERROR(alimentos[[#This Row],[kg/embalagem]],0)</f>
        <v>0</v>
      </c>
      <c r="K5" s="4">
        <f>IFERROR(alimentos[[#This Row],[Preço]],0)</f>
        <v>0</v>
      </c>
      <c r="L5" s="4">
        <f>SUMIFS(super1[Qtde],super1[Item],tab_alimentos[[#This Row],[Item]],super1[Bairro],mercado1)+SUMIFS(supercb[Qtde],supercb[Item],tab_alimentos[[#This Row],[Item]],supercb[Bairro],mercado1)</f>
        <v>0</v>
      </c>
      <c r="M5" s="4">
        <f>SUMIFS(super1[Qtde],super1[Item],tab_alimentos[[#This Row],[Item]],super1[Bairro],mercado2)+SUMIFS(supercb[Qtde],supercb[Item],tab_alimentos[[#This Row],[Item]],supercb[Bairro],mercado2)</f>
        <v>0</v>
      </c>
      <c r="N5" s="4">
        <f>SUMIFS(super1[Qtde],super1[Item],tab_alimentos[[#This Row],[Item]],super1[Bairro],mercado3)+SUMIFS(supercb[Qtde],supercb[Item],tab_alimentos[[#This Row],[Item]],supercb[Bairro],mercado3)</f>
        <v>0</v>
      </c>
      <c r="O5" s="4">
        <f>SUMIFS(super1[Qtde],super1[Item],tab_alimentos[[#This Row],[Item]],super1[Bairro],mercado4)+SUMIFS(supercb[Qtde],supercb[Item],tab_alimentos[[#This Row],[Item]],supercb[Bairro],mercado4)</f>
        <v>0</v>
      </c>
      <c r="P5" s="4">
        <f>SUMIFS(super1[Qtde],super1[Item],tab_alimentos[[#This Row],[Item]],super1[Bairro],mercado5)+SUMIFS(supercb[Qtde],supercb[Item],tab_alimentos[[#This Row],[Item]],supercb[Bairro],mercado5)</f>
        <v>0</v>
      </c>
      <c r="Q5" s="4">
        <f>SUMIFS(super1[Qtde],super1[Item],tab_alimentos[[#This Row],[Item]],super1[Bairro],mercado6)+SUMIFS(supercb[Qtde],supercb[Item],tab_alimentos[[#This Row],[Item]],supercb[Bairro],mercado6)</f>
        <v>0</v>
      </c>
      <c r="R5" s="4">
        <f>SUMIFS(super1[Qtde],super1[Item],tab_alimentos[[#This Row],[Item]],super1[Bairro],mercado7)+SUMIFS(supercb[Qtde],supercb[Item],tab_alimentos[[#This Row],[Item]],supercb[Bairro],mercado7)</f>
        <v>0</v>
      </c>
      <c r="S5" s="4">
        <f>SUMIFS(super1[Qtde],super1[Item],tab_alimentos[[#This Row],[Item]],super1[Bairro],mercado8)+SUMIFS(supercb[Qtde],supercb[Item],tab_alimentos[[#This Row],[Item]],supercb[Bairro],mercado8)</f>
        <v>0</v>
      </c>
      <c r="T5" s="4">
        <f>SUMIFS(super1[Qtde],super1[Item],tab_alimentos[[#This Row],[Item]],super1[Bairro],mercado9)+SUMIFS(supercb[Qtde],supercb[Item],tab_alimentos[[#This Row],[Item]],supercb[Bairro],mercado9)</f>
        <v>0</v>
      </c>
      <c r="U5" s="4">
        <f>SUMIFS(super1[Qtde],super1[Item],tab_alimentos[[#This Row],[Item]],super1[Bairro],mercado10)+SUMIFS(supercb[Qtde],supercb[Item],tab_alimentos[[#This Row],[Item]],supercb[Bairro],mercado10)</f>
        <v>0</v>
      </c>
      <c r="V5" s="4">
        <f>SUMIFS(super1[Qtde],super1[Item],tab_alimentos[[#This Row],[Item]],super1[Bairro],mercado11)+SUMIFS(supercb[Qtde],supercb[Item],tab_alimentos[[#This Row],[Item]],supercb[Bairro],mercado11)</f>
        <v>0</v>
      </c>
      <c r="W5" s="4">
        <f>SUMIFS(super1[Qtde],super1[Item],tab_alimentos[[#This Row],[Item]],super1[Bairro],mercado12)+SUMIFS(supercb[Qtde],supercb[Item],tab_alimentos[[#This Row],[Item]],supercb[Bairro],mercado12)</f>
        <v>0</v>
      </c>
      <c r="X5" s="4">
        <f>SUMIFS(super1[Qtde],super1[Item],tab_alimentos[[#This Row],[Item]],super1[Bairro],mercado13)+SUMIFS(supercb[Qtde],supercb[Item],tab_alimentos[[#This Row],[Item]],supercb[Bairro],mercado13)</f>
        <v>0</v>
      </c>
      <c r="Y5" s="4">
        <f>SUMIFS(super1[Qtde],super1[Item],tab_alimentos[[#This Row],[Item]],super1[Bairro],mercado14)+SUMIFS(supercb[Qtde],supercb[Item],tab_alimentos[[#This Row],[Item]],supercb[Bairro],mercado14)</f>
        <v>0</v>
      </c>
      <c r="Z5" s="4">
        <f>SUMIFS(super1[Qtde],super1[Item],tab_alimentos[[#This Row],[Item]],super1[Bairro],mercado15)+SUMIFS(supercb[Qtde],supercb[Item],tab_alimentos[[#This Row],[Item]],supercb[Bairro],mercado15)</f>
        <v>0</v>
      </c>
      <c r="AA5" s="4">
        <f>SUMIFS(super1[Qtde],super1[Item],tab_alimentos[[#This Row],[Item]],super1[Bairro],mercado16)+SUMIFS(supercb[Qtde],supercb[Item],tab_alimentos[[#This Row],[Item]],supercb[Bairro],mercado16)</f>
        <v>0</v>
      </c>
      <c r="AB5" s="4">
        <f>SUMIFS(super1[Qtde],super1[Item],tab_alimentos[[#This Row],[Item]],super1[Bairro],mercado17)+SUMIFS(supercb[Qtde],supercb[Item],tab_alimentos[[#This Row],[Item]],supercb[Bairro],mercado17)</f>
        <v>0</v>
      </c>
      <c r="AC5" s="4">
        <f>SUMIFS(super1[Qtde],super1[Item],tab_alimentos[[#This Row],[Item]],super1[Bairro],mercado18)+SUMIFS(supercb[Qtde],supercb[Item],tab_alimentos[[#This Row],[Item]],supercb[Bairro],mercado18)</f>
        <v>0</v>
      </c>
      <c r="AD5" s="4">
        <f>SUMIFS(super1[Qtde],super1[Item],tab_alimentos[[#This Row],[Item]],super1[Bairro],extras)+SUMIFS(supercb[Qtde],supercb[Item],tab_alimentos[[#This Row],[Item]],supercb[Bairro],extras)</f>
        <v>0</v>
      </c>
      <c r="AE5" s="4">
        <f t="shared" ref="AE5:AE36" si="0">SUM(L5:AC5)</f>
        <v>0</v>
      </c>
      <c r="AF5" s="4">
        <f t="shared" ref="AF5:AF36" si="1">IFERROR(AE5*K5,0)</f>
        <v>0</v>
      </c>
      <c r="AG5" s="6">
        <f t="shared" ref="AG5:AG36" si="2">IFERROR(J5*AE5,0)</f>
        <v>0</v>
      </c>
      <c r="AH5" s="19" t="str">
        <f>higiene[[#This Row],[Item]]</f>
        <v>A</v>
      </c>
      <c r="AI5" s="4">
        <f>IFERROR(higiene[[#This Row],[Kg equivalente]],0)</f>
        <v>0</v>
      </c>
      <c r="AJ5" s="4" t="str">
        <f>IFERROR(higiene[[#This Row],[Preço por produto]],0)</f>
        <v/>
      </c>
      <c r="AK5" s="4">
        <f>SUMIFS(super1[Qtde],super1[Item],tab_higiene[[#This Row],[Item]],super1[Bairro],mercado1)+SUMIFS(supercb[Qtde],supercb[Item],tab_higiene[[#This Row],[Item]],supercb[Bairro],mercado1)</f>
        <v>0</v>
      </c>
      <c r="AL5" s="4">
        <f>SUMIFS(super1[Qtde],super1[Item],tab_higiene[[#This Row],[Item]],super1[Bairro],mercado2)+SUMIFS(supercb[Qtde],supercb[Item],tab_higiene[[#This Row],[Item]],supercb[Bairro],mercado2)</f>
        <v>0</v>
      </c>
      <c r="AM5" s="4">
        <f>SUMIFS(super1[Qtde],super1[Item],tab_higiene[[#This Row],[Item]],super1[Bairro],mercado3)+SUMIFS(supercb[Qtde],supercb[Item],tab_higiene[[#This Row],[Item]],supercb[Bairro],mercado3)</f>
        <v>0</v>
      </c>
      <c r="AN5" s="4">
        <f>SUMIFS(super1[Qtde],super1[Item],tab_higiene[[#This Row],[Item]],super1[Bairro],mercado4)+SUMIFS(supercb[Qtde],supercb[Item],tab_higiene[[#This Row],[Item]],supercb[Bairro],mercado4)</f>
        <v>0</v>
      </c>
      <c r="AO5" s="4">
        <f>SUMIFS(super1[Qtde],super1[Item],tab_higiene[[#This Row],[Item]],super1[Bairro],mercado5)+SUMIFS(supercb[Qtde],supercb[Item],tab_higiene[[#This Row],[Item]],supercb[Bairro],mercado5)</f>
        <v>0</v>
      </c>
      <c r="AP5" s="4">
        <f>SUMIFS(super1[Qtde],super1[Item],tab_higiene[[#This Row],[Item]],super1[Bairro],mercado6)+SUMIFS(supercb[Qtde],supercb[Item],tab_higiene[[#This Row],[Item]],supercb[Bairro],mercado6)</f>
        <v>0</v>
      </c>
      <c r="AQ5" s="4">
        <f>SUMIFS(super1[Qtde],super1[Item],tab_higiene[[#This Row],[Item]],super1[Bairro],mercado7)+SUMIFS(supercb[Qtde],supercb[Item],tab_higiene[[#This Row],[Item]],supercb[Bairro],mercado7)</f>
        <v>0</v>
      </c>
      <c r="AR5" s="4">
        <f>SUMIFS(super1[Qtde],super1[Item],tab_higiene[[#This Row],[Item]],super1[Bairro],mercado8)+SUMIFS(supercb[Qtde],supercb[Item],tab_higiene[[#This Row],[Item]],supercb[Bairro],mercado8)</f>
        <v>0</v>
      </c>
      <c r="AS5" s="4">
        <f>SUMIFS(super1[Qtde],super1[Item],tab_higiene[[#This Row],[Item]],super1[Bairro],mercado9)+SUMIFS(supercb[Qtde],supercb[Item],tab_higiene[[#This Row],[Item]],supercb[Bairro],mercado9)</f>
        <v>0</v>
      </c>
      <c r="AT5" s="4">
        <f>SUMIFS(super1[Qtde],super1[Item],tab_higiene[[#This Row],[Item]],super1[Bairro],mercado10)+SUMIFS(supercb[Qtde],supercb[Item],tab_higiene[[#This Row],[Item]],supercb[Bairro],mercado10)</f>
        <v>0</v>
      </c>
      <c r="AU5" s="4">
        <f>SUMIFS(super1[Qtde],super1[Item],tab_higiene[[#This Row],[Item]],super1[Bairro],mercado11)+SUMIFS(supercb[Qtde],supercb[Item],tab_higiene[[#This Row],[Item]],supercb[Bairro],mercado11)</f>
        <v>0</v>
      </c>
      <c r="AV5" s="4">
        <f>SUMIFS(super1[Qtde],super1[Item],tab_higiene[[#This Row],[Item]],super1[Bairro],mercado12)+SUMIFS(supercb[Qtde],supercb[Item],tab_higiene[[#This Row],[Item]],supercb[Bairro],mercado12)</f>
        <v>0</v>
      </c>
      <c r="AW5" s="4">
        <f>SUMIFS(super1[Qtde],super1[Item],tab_higiene[[#This Row],[Item]],super1[Bairro],mercado13)+SUMIFS(supercb[Qtde],supercb[Item],tab_higiene[[#This Row],[Item]],supercb[Bairro],mercado13)</f>
        <v>0</v>
      </c>
      <c r="AX5" s="4">
        <f>SUMIFS(super1[Qtde],super1[Item],tab_higiene[[#This Row],[Item]],super1[Bairro],mercado14)+SUMIFS(supercb[Qtde],supercb[Item],tab_higiene[[#This Row],[Item]],supercb[Bairro],mercado14)</f>
        <v>0</v>
      </c>
      <c r="AY5" s="4">
        <f>SUMIFS(super1[Qtde],super1[Item],tab_higiene[[#This Row],[Item]],super1[Bairro],mercado15)+SUMIFS(supercb[Qtde],supercb[Item],tab_higiene[[#This Row],[Item]],supercb[Bairro],mercado15)</f>
        <v>0</v>
      </c>
      <c r="AZ5" s="4">
        <f>SUMIFS(super1[Qtde],super1[Item],tab_higiene[[#This Row],[Item]],super1[Bairro],mercado16)+SUMIFS(supercb[Qtde],supercb[Item],tab_higiene[[#This Row],[Item]],supercb[Bairro],mercado16)</f>
        <v>0</v>
      </c>
      <c r="BA5" s="4">
        <f>SUMIFS(super1[Qtde],super1[Item],tab_higiene[[#This Row],[Item]],super1[Bairro],mercado17)+SUMIFS(supercb[Qtde],supercb[Item],tab_higiene[[#This Row],[Item]],supercb[Bairro],mercado17)</f>
        <v>0</v>
      </c>
      <c r="BB5" s="4">
        <f>SUMIFS(super1[Qtde],super1[Item],tab_higiene[[#This Row],[Item]],super1[Bairro],mercado18)+SUMIFS(supercb[Qtde],supercb[Item],tab_higiene[[#This Row],[Item]],supercb[Bairro],mercado18)</f>
        <v>0</v>
      </c>
      <c r="BC5" s="4">
        <f>SUMIFS(super1[Qtde],super1[Item],tab_higiene[[#This Row],[Item]],super1[Bairro],extras)+SUMIFS(supercb[Qtde],supercb[Item],tab_higiene[[#This Row],[Item]],supercb[Bairro],extras)</f>
        <v>0</v>
      </c>
      <c r="BD5" s="4">
        <f t="shared" ref="BD5:BD36" si="3">SUM(AK5:BB5)</f>
        <v>0</v>
      </c>
      <c r="BE5" s="4">
        <f t="shared" ref="BE5:BE36" si="4">IFERROR(BD5*AJ5,0)</f>
        <v>0</v>
      </c>
      <c r="BF5" s="6">
        <f t="shared" ref="BF5:BF36" si="5">IFERROR(AI5*BD5,0)</f>
        <v>0</v>
      </c>
      <c r="BI5" s="1" t="str">
        <f>tab_alimentos[[#This Row],[Item]]</f>
        <v>A</v>
      </c>
      <c r="BJ5" s="1">
        <f t="shared" ref="BJ5:BJ67" si="6">IFERROR(FIND(" (",BI5),0)</f>
        <v>0</v>
      </c>
      <c r="BK5" s="1" t="str">
        <f t="shared" ref="BK5:BK67" si="7">IF(BJ5=0,BI5,LEFT(BI5,BJ5-1))</f>
        <v>A</v>
      </c>
      <c r="BL5" s="1">
        <f>tab_alimentos[[#This Row],[kg]]</f>
        <v>0</v>
      </c>
      <c r="BM5" s="1" t="s">
        <v>56</v>
      </c>
      <c r="BN5" s="1">
        <f>SUMIF($BJ$5:$BJ$158,BM5,$BK$5:$BK$158)</f>
        <v>0</v>
      </c>
      <c r="BP5" s="1" t="str">
        <f>tab_higiene[[#This Row],[Item]]</f>
        <v>A</v>
      </c>
      <c r="BQ5" s="1">
        <f t="shared" ref="BQ5:BQ68" si="8">IFERROR(FIND(" (",BP5),0)</f>
        <v>0</v>
      </c>
      <c r="BR5" s="1" t="str">
        <f t="shared" ref="BR5:BR68" si="9">IF(BQ5=0,BP5,LEFT(BP5,BQ5-1))</f>
        <v>A</v>
      </c>
      <c r="BS5" s="1">
        <f>higiene[[#This Row],[Quantidade]]</f>
        <v>0</v>
      </c>
      <c r="BT5" s="1">
        <f>tab_higiene[[#This Row],[Qtde (tot)]]</f>
        <v>0</v>
      </c>
      <c r="BU5" s="1">
        <f>BS5*BT5</f>
        <v>0</v>
      </c>
      <c r="BV5" s="1" t="s">
        <v>56</v>
      </c>
      <c r="BW5" s="1">
        <f t="shared" ref="BW5:BW36" si="10">SUMIF($BR$5:$BR$142,BV5,$BU$5:$BU$142)</f>
        <v>0</v>
      </c>
    </row>
    <row r="6" spans="1:75" x14ac:dyDescent="0.25">
      <c r="D6" s="24"/>
      <c r="I6" s="19" t="str">
        <f>alimentos[[#This Row],[Item]]</f>
        <v>Abacaxi em Calda (820g)</v>
      </c>
      <c r="J6" s="4">
        <f>IFERROR(alimentos[[#This Row],[kg/embalagem]],0)</f>
        <v>0.82</v>
      </c>
      <c r="K6" s="4">
        <f>IFERROR(alimentos[[#This Row],[Preço]],0)</f>
        <v>17.79</v>
      </c>
      <c r="L6" s="4">
        <f>SUMIFS(super1[Qtde],super1[Item],tab_alimentos[[#This Row],[Item]],super1[Bairro],mercado1)+SUMIFS(supercb[Qtde],supercb[Item],tab_alimentos[[#This Row],[Item]],supercb[Bairro],mercado1)</f>
        <v>0</v>
      </c>
      <c r="M6" s="4">
        <f>SUMIFS(super1[Qtde],super1[Item],tab_alimentos[[#This Row],[Item]],super1[Bairro],mercado2)+SUMIFS(supercb[Qtde],supercb[Item],tab_alimentos[[#This Row],[Item]],supercb[Bairro],mercado2)</f>
        <v>0</v>
      </c>
      <c r="N6" s="4">
        <f>SUMIFS(super1[Qtde],super1[Item],tab_alimentos[[#This Row],[Item]],super1[Bairro],mercado3)+SUMIFS(supercb[Qtde],supercb[Item],tab_alimentos[[#This Row],[Item]],supercb[Bairro],mercado3)</f>
        <v>0</v>
      </c>
      <c r="O6" s="4">
        <f>SUMIFS(super1[Qtde],super1[Item],tab_alimentos[[#This Row],[Item]],super1[Bairro],mercado4)+SUMIFS(supercb[Qtde],supercb[Item],tab_alimentos[[#This Row],[Item]],supercb[Bairro],mercado4)</f>
        <v>0</v>
      </c>
      <c r="P6" s="4">
        <f>SUMIFS(super1[Qtde],super1[Item],tab_alimentos[[#This Row],[Item]],super1[Bairro],mercado5)+SUMIFS(supercb[Qtde],supercb[Item],tab_alimentos[[#This Row],[Item]],supercb[Bairro],mercado5)</f>
        <v>0</v>
      </c>
      <c r="Q6" s="4">
        <f>SUMIFS(super1[Qtde],super1[Item],tab_alimentos[[#This Row],[Item]],super1[Bairro],mercado6)+SUMIFS(supercb[Qtde],supercb[Item],tab_alimentos[[#This Row],[Item]],supercb[Bairro],mercado6)</f>
        <v>0</v>
      </c>
      <c r="R6" s="4">
        <f>SUMIFS(super1[Qtde],super1[Item],tab_alimentos[[#This Row],[Item]],super1[Bairro],mercado7)+SUMIFS(supercb[Qtde],supercb[Item],tab_alimentos[[#This Row],[Item]],supercb[Bairro],mercado7)</f>
        <v>0</v>
      </c>
      <c r="S6" s="4">
        <f>SUMIFS(super1[Qtde],super1[Item],tab_alimentos[[#This Row],[Item]],super1[Bairro],mercado8)+SUMIFS(supercb[Qtde],supercb[Item],tab_alimentos[[#This Row],[Item]],supercb[Bairro],mercado8)</f>
        <v>0</v>
      </c>
      <c r="T6" s="4">
        <f>SUMIFS(super1[Qtde],super1[Item],tab_alimentos[[#This Row],[Item]],super1[Bairro],mercado9)+SUMIFS(supercb[Qtde],supercb[Item],tab_alimentos[[#This Row],[Item]],supercb[Bairro],mercado9)</f>
        <v>0</v>
      </c>
      <c r="U6" s="4">
        <f>SUMIFS(super1[Qtde],super1[Item],tab_alimentos[[#This Row],[Item]],super1[Bairro],mercado10)+SUMIFS(supercb[Qtde],supercb[Item],tab_alimentos[[#This Row],[Item]],supercb[Bairro],mercado10)</f>
        <v>0</v>
      </c>
      <c r="V6" s="4">
        <f>SUMIFS(super1[Qtde],super1[Item],tab_alimentos[[#This Row],[Item]],super1[Bairro],mercado11)+SUMIFS(supercb[Qtde],supercb[Item],tab_alimentos[[#This Row],[Item]],supercb[Bairro],mercado11)</f>
        <v>0</v>
      </c>
      <c r="W6" s="4">
        <f>SUMIFS(super1[Qtde],super1[Item],tab_alimentos[[#This Row],[Item]],super1[Bairro],mercado12)+SUMIFS(supercb[Qtde],supercb[Item],tab_alimentos[[#This Row],[Item]],supercb[Bairro],mercado12)</f>
        <v>0</v>
      </c>
      <c r="X6" s="4">
        <f>SUMIFS(super1[Qtde],super1[Item],tab_alimentos[[#This Row],[Item]],super1[Bairro],mercado13)+SUMIFS(supercb[Qtde],supercb[Item],tab_alimentos[[#This Row],[Item]],supercb[Bairro],mercado13)</f>
        <v>0</v>
      </c>
      <c r="Y6" s="4">
        <f>SUMIFS(super1[Qtde],super1[Item],tab_alimentos[[#This Row],[Item]],super1[Bairro],mercado14)+SUMIFS(supercb[Qtde],supercb[Item],tab_alimentos[[#This Row],[Item]],supercb[Bairro],mercado14)</f>
        <v>0</v>
      </c>
      <c r="Z6" s="4">
        <f>SUMIFS(super1[Qtde],super1[Item],tab_alimentos[[#This Row],[Item]],super1[Bairro],mercado15)+SUMIFS(supercb[Qtde],supercb[Item],tab_alimentos[[#This Row],[Item]],supercb[Bairro],mercado15)</f>
        <v>0</v>
      </c>
      <c r="AA6" s="4">
        <f>SUMIFS(super1[Qtde],super1[Item],tab_alimentos[[#This Row],[Item]],super1[Bairro],mercado16)+SUMIFS(supercb[Qtde],supercb[Item],tab_alimentos[[#This Row],[Item]],supercb[Bairro],mercado16)</f>
        <v>0</v>
      </c>
      <c r="AB6" s="4">
        <f>SUMIFS(super1[Qtde],super1[Item],tab_alimentos[[#This Row],[Item]],super1[Bairro],mercado17)+SUMIFS(supercb[Qtde],supercb[Item],tab_alimentos[[#This Row],[Item]],supercb[Bairro],mercado17)</f>
        <v>0</v>
      </c>
      <c r="AC6" s="4">
        <f>SUMIFS(super1[Qtde],super1[Item],tab_alimentos[[#This Row],[Item]],super1[Bairro],mercado18)+SUMIFS(supercb[Qtde],supercb[Item],tab_alimentos[[#This Row],[Item]],supercb[Bairro],mercado18)</f>
        <v>0</v>
      </c>
      <c r="AD6" s="4">
        <f>SUMIFS(super1[Qtde],super1[Item],tab_alimentos[[#This Row],[Item]],super1[Bairro],extras)+SUMIFS(supercb[Qtde],supercb[Item],tab_alimentos[[#This Row],[Item]],supercb[Bairro],extras)</f>
        <v>0</v>
      </c>
      <c r="AE6" s="4">
        <f t="shared" si="0"/>
        <v>0</v>
      </c>
      <c r="AF6" s="4">
        <f t="shared" si="1"/>
        <v>0</v>
      </c>
      <c r="AG6" s="6">
        <f t="shared" si="2"/>
        <v>0</v>
      </c>
      <c r="AH6" s="19" t="str">
        <f>higiene[[#This Row],[Item]]</f>
        <v>Absorvente (08un)</v>
      </c>
      <c r="AI6" s="4">
        <f>IFERROR(higiene[[#This Row],[Kg equivalente]],0)</f>
        <v>0</v>
      </c>
      <c r="AJ6" s="4">
        <f>IFERROR(higiene[[#This Row],[Preço por produto]],0)</f>
        <v>6.6</v>
      </c>
      <c r="AK6" s="4">
        <f>SUMIFS(super1[Qtde],super1[Item],tab_higiene[[#This Row],[Item]],super1[Bairro],mercado1)+SUMIFS(supercb[Qtde],supercb[Item],tab_higiene[[#This Row],[Item]],supercb[Bairro],mercado1)</f>
        <v>0</v>
      </c>
      <c r="AL6" s="4">
        <f>SUMIFS(super1[Qtde],super1[Item],tab_higiene[[#This Row],[Item]],super1[Bairro],mercado2)+SUMIFS(supercb[Qtde],supercb[Item],tab_higiene[[#This Row],[Item]],supercb[Bairro],mercado2)</f>
        <v>0</v>
      </c>
      <c r="AM6" s="4">
        <f>SUMIFS(super1[Qtde],super1[Item],tab_higiene[[#This Row],[Item]],super1[Bairro],mercado3)+SUMIFS(supercb[Qtde],supercb[Item],tab_higiene[[#This Row],[Item]],supercb[Bairro],mercado3)</f>
        <v>0</v>
      </c>
      <c r="AN6" s="4">
        <f>SUMIFS(super1[Qtde],super1[Item],tab_higiene[[#This Row],[Item]],super1[Bairro],mercado4)+SUMIFS(supercb[Qtde],supercb[Item],tab_higiene[[#This Row],[Item]],supercb[Bairro],mercado4)</f>
        <v>0</v>
      </c>
      <c r="AO6" s="4">
        <f>SUMIFS(super1[Qtde],super1[Item],tab_higiene[[#This Row],[Item]],super1[Bairro],mercado5)+SUMIFS(supercb[Qtde],supercb[Item],tab_higiene[[#This Row],[Item]],supercb[Bairro],mercado5)</f>
        <v>0</v>
      </c>
      <c r="AP6" s="4">
        <f>SUMIFS(super1[Qtde],super1[Item],tab_higiene[[#This Row],[Item]],super1[Bairro],mercado6)+SUMIFS(supercb[Qtde],supercb[Item],tab_higiene[[#This Row],[Item]],supercb[Bairro],mercado6)</f>
        <v>0</v>
      </c>
      <c r="AQ6" s="4">
        <f>SUMIFS(super1[Qtde],super1[Item],tab_higiene[[#This Row],[Item]],super1[Bairro],mercado7)+SUMIFS(supercb[Qtde],supercb[Item],tab_higiene[[#This Row],[Item]],supercb[Bairro],mercado7)</f>
        <v>0</v>
      </c>
      <c r="AR6" s="4">
        <f>SUMIFS(super1[Qtde],super1[Item],tab_higiene[[#This Row],[Item]],super1[Bairro],mercado8)+SUMIFS(supercb[Qtde],supercb[Item],tab_higiene[[#This Row],[Item]],supercb[Bairro],mercado8)</f>
        <v>0</v>
      </c>
      <c r="AS6" s="4">
        <f>SUMIFS(super1[Qtde],super1[Item],tab_higiene[[#This Row],[Item]],super1[Bairro],mercado9)+SUMIFS(supercb[Qtde],supercb[Item],tab_higiene[[#This Row],[Item]],supercb[Bairro],mercado9)</f>
        <v>0</v>
      </c>
      <c r="AT6" s="4">
        <f>SUMIFS(super1[Qtde],super1[Item],tab_higiene[[#This Row],[Item]],super1[Bairro],mercado10)+SUMIFS(supercb[Qtde],supercb[Item],tab_higiene[[#This Row],[Item]],supercb[Bairro],mercado10)</f>
        <v>0</v>
      </c>
      <c r="AU6" s="4">
        <f>SUMIFS(super1[Qtde],super1[Item],tab_higiene[[#This Row],[Item]],super1[Bairro],mercado11)+SUMIFS(supercb[Qtde],supercb[Item],tab_higiene[[#This Row],[Item]],supercb[Bairro],mercado11)</f>
        <v>0</v>
      </c>
      <c r="AV6" s="4">
        <f>SUMIFS(super1[Qtde],super1[Item],tab_higiene[[#This Row],[Item]],super1[Bairro],mercado12)+SUMIFS(supercb[Qtde],supercb[Item],tab_higiene[[#This Row],[Item]],supercb[Bairro],mercado12)</f>
        <v>0</v>
      </c>
      <c r="AW6" s="4">
        <f>SUMIFS(super1[Qtde],super1[Item],tab_higiene[[#This Row],[Item]],super1[Bairro],mercado13)+SUMIFS(supercb[Qtde],supercb[Item],tab_higiene[[#This Row],[Item]],supercb[Bairro],mercado13)</f>
        <v>0</v>
      </c>
      <c r="AX6" s="4">
        <f>SUMIFS(super1[Qtde],super1[Item],tab_higiene[[#This Row],[Item]],super1[Bairro],mercado14)+SUMIFS(supercb[Qtde],supercb[Item],tab_higiene[[#This Row],[Item]],supercb[Bairro],mercado14)</f>
        <v>0</v>
      </c>
      <c r="AY6" s="4">
        <f>SUMIFS(super1[Qtde],super1[Item],tab_higiene[[#This Row],[Item]],super1[Bairro],mercado15)+SUMIFS(supercb[Qtde],supercb[Item],tab_higiene[[#This Row],[Item]],supercb[Bairro],mercado15)</f>
        <v>0</v>
      </c>
      <c r="AZ6" s="4">
        <f>SUMIFS(super1[Qtde],super1[Item],tab_higiene[[#This Row],[Item]],super1[Bairro],mercado16)+SUMIFS(supercb[Qtde],supercb[Item],tab_higiene[[#This Row],[Item]],supercb[Bairro],mercado16)</f>
        <v>0</v>
      </c>
      <c r="BA6" s="4">
        <f>SUMIFS(super1[Qtde],super1[Item],tab_higiene[[#This Row],[Item]],super1[Bairro],mercado17)+SUMIFS(supercb[Qtde],supercb[Item],tab_higiene[[#This Row],[Item]],supercb[Bairro],mercado17)</f>
        <v>0</v>
      </c>
      <c r="BB6" s="4">
        <f>SUMIFS(super1[Qtde],super1[Item],tab_higiene[[#This Row],[Item]],super1[Bairro],mercado18)+SUMIFS(supercb[Qtde],supercb[Item],tab_higiene[[#This Row],[Item]],supercb[Bairro],mercado18)</f>
        <v>0</v>
      </c>
      <c r="BC6" s="4">
        <f>SUMIFS(super1[Qtde],super1[Item],tab_higiene[[#This Row],[Item]],super1[Bairro],extras)+SUMIFS(supercb[Qtde],supercb[Item],tab_higiene[[#This Row],[Item]],supercb[Bairro],extras)</f>
        <v>0</v>
      </c>
      <c r="BD6" s="4">
        <f t="shared" si="3"/>
        <v>0</v>
      </c>
      <c r="BE6" s="4">
        <f t="shared" si="4"/>
        <v>0</v>
      </c>
      <c r="BF6" s="6">
        <f t="shared" si="5"/>
        <v>0</v>
      </c>
      <c r="BI6" s="1" t="str">
        <f>tab_alimentos[[#This Row],[Item]]</f>
        <v>Abacaxi em Calda (820g)</v>
      </c>
      <c r="BJ6" s="1">
        <f t="shared" si="6"/>
        <v>17</v>
      </c>
      <c r="BK6" s="1" t="str">
        <f t="shared" si="7"/>
        <v>Abacaxi em Calda</v>
      </c>
      <c r="BL6" s="1">
        <f>tab_alimentos[[#This Row],[kg]]</f>
        <v>0</v>
      </c>
      <c r="BM6" s="1" t="s">
        <v>193</v>
      </c>
      <c r="BN6" s="1">
        <f t="shared" ref="BN6:BN69" si="11">SUMIF($BJ$5:$BJ$158,BM6,$BK$5:$BK$158)</f>
        <v>0</v>
      </c>
      <c r="BP6" s="1" t="str">
        <f>tab_higiene[[#This Row],[Item]]</f>
        <v>Absorvente (08un)</v>
      </c>
      <c r="BQ6" s="1">
        <f t="shared" si="8"/>
        <v>11</v>
      </c>
      <c r="BR6" s="1" t="str">
        <f t="shared" si="9"/>
        <v>Absorvente</v>
      </c>
      <c r="BS6" s="1">
        <f>higiene[[#This Row],[Quantidade]]</f>
        <v>8</v>
      </c>
      <c r="BT6" s="1">
        <f>tab_higiene[[#This Row],[Qtde (tot)]]</f>
        <v>0</v>
      </c>
      <c r="BU6" s="1">
        <f t="shared" ref="BU6:BU69" si="12">BS6*BT6</f>
        <v>0</v>
      </c>
      <c r="BV6" s="1" t="s">
        <v>232</v>
      </c>
      <c r="BW6" s="1">
        <f t="shared" si="10"/>
        <v>0</v>
      </c>
    </row>
    <row r="7" spans="1:75" x14ac:dyDescent="0.25">
      <c r="A7" s="103" t="s">
        <v>1011</v>
      </c>
      <c r="B7" s="102" t="s">
        <v>0</v>
      </c>
      <c r="C7" s="102"/>
      <c r="D7" s="102" t="s">
        <v>18</v>
      </c>
      <c r="E7" s="102"/>
      <c r="F7" s="102" t="s">
        <v>171</v>
      </c>
      <c r="G7" s="102"/>
      <c r="I7" s="19" t="str">
        <f>alimentos[[#This Row],[Item]]</f>
        <v>Abacaxi em Calda (830g)</v>
      </c>
      <c r="J7" s="4">
        <f>IFERROR(alimentos[[#This Row],[kg/embalagem]],0)</f>
        <v>0.83</v>
      </c>
      <c r="K7" s="4">
        <f>IFERROR(alimentos[[#This Row],[Preço]],0)</f>
        <v>32.99</v>
      </c>
      <c r="L7" s="4">
        <f>SUMIFS(super1[Qtde],super1[Item],tab_alimentos[[#This Row],[Item]],super1[Bairro],mercado1)+SUMIFS(supercb[Qtde],supercb[Item],tab_alimentos[[#This Row],[Item]],supercb[Bairro],mercado1)</f>
        <v>0</v>
      </c>
      <c r="M7" s="4">
        <f>SUMIFS(super1[Qtde],super1[Item],tab_alimentos[[#This Row],[Item]],super1[Bairro],mercado2)+SUMIFS(supercb[Qtde],supercb[Item],tab_alimentos[[#This Row],[Item]],supercb[Bairro],mercado2)</f>
        <v>0</v>
      </c>
      <c r="N7" s="4">
        <f>SUMIFS(super1[Qtde],super1[Item],tab_alimentos[[#This Row],[Item]],super1[Bairro],mercado3)+SUMIFS(supercb[Qtde],supercb[Item],tab_alimentos[[#This Row],[Item]],supercb[Bairro],mercado3)</f>
        <v>0</v>
      </c>
      <c r="O7" s="4">
        <f>SUMIFS(super1[Qtde],super1[Item],tab_alimentos[[#This Row],[Item]],super1[Bairro],mercado4)+SUMIFS(supercb[Qtde],supercb[Item],tab_alimentos[[#This Row],[Item]],supercb[Bairro],mercado4)</f>
        <v>0</v>
      </c>
      <c r="P7" s="4">
        <f>SUMIFS(super1[Qtde],super1[Item],tab_alimentos[[#This Row],[Item]],super1[Bairro],mercado5)+SUMIFS(supercb[Qtde],supercb[Item],tab_alimentos[[#This Row],[Item]],supercb[Bairro],mercado5)</f>
        <v>0</v>
      </c>
      <c r="Q7" s="4">
        <f>SUMIFS(super1[Qtde],super1[Item],tab_alimentos[[#This Row],[Item]],super1[Bairro],mercado6)+SUMIFS(supercb[Qtde],supercb[Item],tab_alimentos[[#This Row],[Item]],supercb[Bairro],mercado6)</f>
        <v>0</v>
      </c>
      <c r="R7" s="4">
        <f>SUMIFS(super1[Qtde],super1[Item],tab_alimentos[[#This Row],[Item]],super1[Bairro],mercado7)+SUMIFS(supercb[Qtde],supercb[Item],tab_alimentos[[#This Row],[Item]],supercb[Bairro],mercado7)</f>
        <v>0</v>
      </c>
      <c r="S7" s="4">
        <f>SUMIFS(super1[Qtde],super1[Item],tab_alimentos[[#This Row],[Item]],super1[Bairro],mercado8)+SUMIFS(supercb[Qtde],supercb[Item],tab_alimentos[[#This Row],[Item]],supercb[Bairro],mercado8)</f>
        <v>0</v>
      </c>
      <c r="T7" s="4">
        <f>SUMIFS(super1[Qtde],super1[Item],tab_alimentos[[#This Row],[Item]],super1[Bairro],mercado9)+SUMIFS(supercb[Qtde],supercb[Item],tab_alimentos[[#This Row],[Item]],supercb[Bairro],mercado9)</f>
        <v>0</v>
      </c>
      <c r="U7" s="4">
        <f>SUMIFS(super1[Qtde],super1[Item],tab_alimentos[[#This Row],[Item]],super1[Bairro],mercado10)+SUMIFS(supercb[Qtde],supercb[Item],tab_alimentos[[#This Row],[Item]],supercb[Bairro],mercado10)</f>
        <v>0</v>
      </c>
      <c r="V7" s="4">
        <f>SUMIFS(super1[Qtde],super1[Item],tab_alimentos[[#This Row],[Item]],super1[Bairro],mercado11)+SUMIFS(supercb[Qtde],supercb[Item],tab_alimentos[[#This Row],[Item]],supercb[Bairro],mercado11)</f>
        <v>0</v>
      </c>
      <c r="W7" s="4">
        <f>SUMIFS(super1[Qtde],super1[Item],tab_alimentos[[#This Row],[Item]],super1[Bairro],mercado12)+SUMIFS(supercb[Qtde],supercb[Item],tab_alimentos[[#This Row],[Item]],supercb[Bairro],mercado12)</f>
        <v>0</v>
      </c>
      <c r="X7" s="4">
        <f>SUMIFS(super1[Qtde],super1[Item],tab_alimentos[[#This Row],[Item]],super1[Bairro],mercado13)+SUMIFS(supercb[Qtde],supercb[Item],tab_alimentos[[#This Row],[Item]],supercb[Bairro],mercado13)</f>
        <v>0</v>
      </c>
      <c r="Y7" s="4">
        <f>SUMIFS(super1[Qtde],super1[Item],tab_alimentos[[#This Row],[Item]],super1[Bairro],mercado14)+SUMIFS(supercb[Qtde],supercb[Item],tab_alimentos[[#This Row],[Item]],supercb[Bairro],mercado14)</f>
        <v>0</v>
      </c>
      <c r="Z7" s="4">
        <f>SUMIFS(super1[Qtde],super1[Item],tab_alimentos[[#This Row],[Item]],super1[Bairro],mercado15)+SUMIFS(supercb[Qtde],supercb[Item],tab_alimentos[[#This Row],[Item]],supercb[Bairro],mercado15)</f>
        <v>0</v>
      </c>
      <c r="AA7" s="4">
        <f>SUMIFS(super1[Qtde],super1[Item],tab_alimentos[[#This Row],[Item]],super1[Bairro],mercado16)+SUMIFS(supercb[Qtde],supercb[Item],tab_alimentos[[#This Row],[Item]],supercb[Bairro],mercado16)</f>
        <v>0</v>
      </c>
      <c r="AB7" s="4">
        <f>SUMIFS(super1[Qtde],super1[Item],tab_alimentos[[#This Row],[Item]],super1[Bairro],mercado17)+SUMIFS(supercb[Qtde],supercb[Item],tab_alimentos[[#This Row],[Item]],supercb[Bairro],mercado17)</f>
        <v>0</v>
      </c>
      <c r="AC7" s="4">
        <f>SUMIFS(super1[Qtde],super1[Item],tab_alimentos[[#This Row],[Item]],super1[Bairro],mercado18)+SUMIFS(supercb[Qtde],supercb[Item],tab_alimentos[[#This Row],[Item]],supercb[Bairro],mercado18)</f>
        <v>0</v>
      </c>
      <c r="AD7" s="4">
        <f>SUMIFS(super1[Qtde],super1[Item],tab_alimentos[[#This Row],[Item]],super1[Bairro],extras)+SUMIFS(supercb[Qtde],supercb[Item],tab_alimentos[[#This Row],[Item]],supercb[Bairro],extras)</f>
        <v>0</v>
      </c>
      <c r="AE7" s="4">
        <f t="shared" si="0"/>
        <v>0</v>
      </c>
      <c r="AF7" s="4">
        <f t="shared" si="1"/>
        <v>0</v>
      </c>
      <c r="AG7" s="6">
        <f t="shared" si="2"/>
        <v>0</v>
      </c>
      <c r="AH7" s="19" t="str">
        <f>higiene[[#This Row],[Item]]</f>
        <v>Absorvente (10un)</v>
      </c>
      <c r="AI7" s="4">
        <f>IFERROR(higiene[[#This Row],[Kg equivalente]],0)</f>
        <v>0</v>
      </c>
      <c r="AJ7" s="4">
        <f>IFERROR(higiene[[#This Row],[Preço por produto]],0)</f>
        <v>7.48</v>
      </c>
      <c r="AK7" s="4">
        <f>SUMIFS(super1[Qtde],super1[Item],tab_higiene[[#This Row],[Item]],super1[Bairro],mercado1)+SUMIFS(supercb[Qtde],supercb[Item],tab_higiene[[#This Row],[Item]],supercb[Bairro],mercado1)</f>
        <v>0</v>
      </c>
      <c r="AL7" s="4">
        <f>SUMIFS(super1[Qtde],super1[Item],tab_higiene[[#This Row],[Item]],super1[Bairro],mercado2)+SUMIFS(supercb[Qtde],supercb[Item],tab_higiene[[#This Row],[Item]],supercb[Bairro],mercado2)</f>
        <v>0</v>
      </c>
      <c r="AM7" s="4">
        <f>SUMIFS(super1[Qtde],super1[Item],tab_higiene[[#This Row],[Item]],super1[Bairro],mercado3)+SUMIFS(supercb[Qtde],supercb[Item],tab_higiene[[#This Row],[Item]],supercb[Bairro],mercado3)</f>
        <v>0</v>
      </c>
      <c r="AN7" s="4">
        <f>SUMIFS(super1[Qtde],super1[Item],tab_higiene[[#This Row],[Item]],super1[Bairro],mercado4)+SUMIFS(supercb[Qtde],supercb[Item],tab_higiene[[#This Row],[Item]],supercb[Bairro],mercado4)</f>
        <v>0</v>
      </c>
      <c r="AO7" s="4">
        <f>SUMIFS(super1[Qtde],super1[Item],tab_higiene[[#This Row],[Item]],super1[Bairro],mercado5)+SUMIFS(supercb[Qtde],supercb[Item],tab_higiene[[#This Row],[Item]],supercb[Bairro],mercado5)</f>
        <v>0</v>
      </c>
      <c r="AP7" s="4">
        <f>SUMIFS(super1[Qtde],super1[Item],tab_higiene[[#This Row],[Item]],super1[Bairro],mercado6)+SUMIFS(supercb[Qtde],supercb[Item],tab_higiene[[#This Row],[Item]],supercb[Bairro],mercado6)</f>
        <v>0</v>
      </c>
      <c r="AQ7" s="4">
        <f>SUMIFS(super1[Qtde],super1[Item],tab_higiene[[#This Row],[Item]],super1[Bairro],mercado7)+SUMIFS(supercb[Qtde],supercb[Item],tab_higiene[[#This Row],[Item]],supercb[Bairro],mercado7)</f>
        <v>0</v>
      </c>
      <c r="AR7" s="4">
        <f>SUMIFS(super1[Qtde],super1[Item],tab_higiene[[#This Row],[Item]],super1[Bairro],mercado8)+SUMIFS(supercb[Qtde],supercb[Item],tab_higiene[[#This Row],[Item]],supercb[Bairro],mercado8)</f>
        <v>0</v>
      </c>
      <c r="AS7" s="4">
        <f>SUMIFS(super1[Qtde],super1[Item],tab_higiene[[#This Row],[Item]],super1[Bairro],mercado9)+SUMIFS(supercb[Qtde],supercb[Item],tab_higiene[[#This Row],[Item]],supercb[Bairro],mercado9)</f>
        <v>0</v>
      </c>
      <c r="AT7" s="4">
        <f>SUMIFS(super1[Qtde],super1[Item],tab_higiene[[#This Row],[Item]],super1[Bairro],mercado10)+SUMIFS(supercb[Qtde],supercb[Item],tab_higiene[[#This Row],[Item]],supercb[Bairro],mercado10)</f>
        <v>0</v>
      </c>
      <c r="AU7" s="4">
        <f>SUMIFS(super1[Qtde],super1[Item],tab_higiene[[#This Row],[Item]],super1[Bairro],mercado11)+SUMIFS(supercb[Qtde],supercb[Item],tab_higiene[[#This Row],[Item]],supercb[Bairro],mercado11)</f>
        <v>0</v>
      </c>
      <c r="AV7" s="4">
        <f>SUMIFS(super1[Qtde],super1[Item],tab_higiene[[#This Row],[Item]],super1[Bairro],mercado12)+SUMIFS(supercb[Qtde],supercb[Item],tab_higiene[[#This Row],[Item]],supercb[Bairro],mercado12)</f>
        <v>0</v>
      </c>
      <c r="AW7" s="4">
        <f>SUMIFS(super1[Qtde],super1[Item],tab_higiene[[#This Row],[Item]],super1[Bairro],mercado13)+SUMIFS(supercb[Qtde],supercb[Item],tab_higiene[[#This Row],[Item]],supercb[Bairro],mercado13)</f>
        <v>0</v>
      </c>
      <c r="AX7" s="4">
        <f>SUMIFS(super1[Qtde],super1[Item],tab_higiene[[#This Row],[Item]],super1[Bairro],mercado14)+SUMIFS(supercb[Qtde],supercb[Item],tab_higiene[[#This Row],[Item]],supercb[Bairro],mercado14)</f>
        <v>0</v>
      </c>
      <c r="AY7" s="4">
        <f>SUMIFS(super1[Qtde],super1[Item],tab_higiene[[#This Row],[Item]],super1[Bairro],mercado15)+SUMIFS(supercb[Qtde],supercb[Item],tab_higiene[[#This Row],[Item]],supercb[Bairro],mercado15)</f>
        <v>0</v>
      </c>
      <c r="AZ7" s="4">
        <f>SUMIFS(super1[Qtde],super1[Item],tab_higiene[[#This Row],[Item]],super1[Bairro],mercado16)+SUMIFS(supercb[Qtde],supercb[Item],tab_higiene[[#This Row],[Item]],supercb[Bairro],mercado16)</f>
        <v>0</v>
      </c>
      <c r="BA7" s="4">
        <f>SUMIFS(super1[Qtde],super1[Item],tab_higiene[[#This Row],[Item]],super1[Bairro],mercado17)+SUMIFS(supercb[Qtde],supercb[Item],tab_higiene[[#This Row],[Item]],supercb[Bairro],mercado17)</f>
        <v>0</v>
      </c>
      <c r="BB7" s="4">
        <f>SUMIFS(super1[Qtde],super1[Item],tab_higiene[[#This Row],[Item]],super1[Bairro],mercado18)+SUMIFS(supercb[Qtde],supercb[Item],tab_higiene[[#This Row],[Item]],supercb[Bairro],mercado18)</f>
        <v>0</v>
      </c>
      <c r="BC7" s="4">
        <f>SUMIFS(super1[Qtde],super1[Item],tab_higiene[[#This Row],[Item]],super1[Bairro],extras)+SUMIFS(supercb[Qtde],supercb[Item],tab_higiene[[#This Row],[Item]],supercb[Bairro],extras)</f>
        <v>0</v>
      </c>
      <c r="BD7" s="4">
        <f t="shared" si="3"/>
        <v>0</v>
      </c>
      <c r="BE7" s="4">
        <f t="shared" si="4"/>
        <v>0</v>
      </c>
      <c r="BF7" s="6">
        <f t="shared" si="5"/>
        <v>0</v>
      </c>
      <c r="BI7" s="1" t="str">
        <f>tab_alimentos[[#This Row],[Item]]</f>
        <v>Abacaxi em Calda (830g)</v>
      </c>
      <c r="BJ7" s="1">
        <f t="shared" si="6"/>
        <v>17</v>
      </c>
      <c r="BK7" s="1" t="str">
        <f t="shared" si="7"/>
        <v>Abacaxi em Calda</v>
      </c>
      <c r="BL7" s="1">
        <f>tab_alimentos[[#This Row],[kg]]</f>
        <v>0</v>
      </c>
      <c r="BM7" s="1" t="s">
        <v>194</v>
      </c>
      <c r="BN7" s="1">
        <f t="shared" si="11"/>
        <v>0</v>
      </c>
      <c r="BP7" s="1" t="str">
        <f>tab_higiene[[#This Row],[Item]]</f>
        <v>Absorvente (10un)</v>
      </c>
      <c r="BQ7" s="1">
        <f t="shared" si="8"/>
        <v>11</v>
      </c>
      <c r="BR7" s="1" t="str">
        <f t="shared" si="9"/>
        <v>Absorvente</v>
      </c>
      <c r="BS7" s="1">
        <f>higiene[[#This Row],[Quantidade]]</f>
        <v>1</v>
      </c>
      <c r="BT7" s="1">
        <f>tab_higiene[[#This Row],[Qtde (tot)]]</f>
        <v>0</v>
      </c>
      <c r="BU7" s="1">
        <f t="shared" si="12"/>
        <v>0</v>
      </c>
      <c r="BV7" s="25" t="s">
        <v>233</v>
      </c>
      <c r="BW7" s="1">
        <f t="shared" si="10"/>
        <v>0</v>
      </c>
    </row>
    <row r="8" spans="1:75" x14ac:dyDescent="0.25">
      <c r="A8" s="103"/>
      <c r="B8" s="2" t="s">
        <v>172</v>
      </c>
      <c r="C8" s="2" t="s">
        <v>173</v>
      </c>
      <c r="D8" s="2" t="s">
        <v>172</v>
      </c>
      <c r="E8" s="2" t="s">
        <v>173</v>
      </c>
      <c r="F8" s="2" t="s">
        <v>172</v>
      </c>
      <c r="G8" s="2" t="s">
        <v>173</v>
      </c>
      <c r="I8" s="19" t="str">
        <f>alimentos[[#This Row],[Item]]</f>
        <v>Achocolatado (1,1kg)</v>
      </c>
      <c r="J8" s="4">
        <f>IFERROR(alimentos[[#This Row],[kg/embalagem]],0)</f>
        <v>1.1000000000000001</v>
      </c>
      <c r="K8" s="4">
        <f>IFERROR(alimentos[[#This Row],[Preço]],0)</f>
        <v>10.5</v>
      </c>
      <c r="L8" s="4">
        <f>SUMIFS(super1[Qtde],super1[Item],tab_alimentos[[#This Row],[Item]],super1[Bairro],mercado1)+SUMIFS(supercb[Qtde],supercb[Item],tab_alimentos[[#This Row],[Item]],supercb[Bairro],mercado1)</f>
        <v>0</v>
      </c>
      <c r="M8" s="4">
        <f>SUMIFS(super1[Qtde],super1[Item],tab_alimentos[[#This Row],[Item]],super1[Bairro],mercado2)+SUMIFS(supercb[Qtde],supercb[Item],tab_alimentos[[#This Row],[Item]],supercb[Bairro],mercado2)</f>
        <v>0</v>
      </c>
      <c r="N8" s="4">
        <f>SUMIFS(super1[Qtde],super1[Item],tab_alimentos[[#This Row],[Item]],super1[Bairro],mercado3)+SUMIFS(supercb[Qtde],supercb[Item],tab_alimentos[[#This Row],[Item]],supercb[Bairro],mercado3)</f>
        <v>0</v>
      </c>
      <c r="O8" s="4">
        <f>SUMIFS(super1[Qtde],super1[Item],tab_alimentos[[#This Row],[Item]],super1[Bairro],mercado4)+SUMIFS(supercb[Qtde],supercb[Item],tab_alimentos[[#This Row],[Item]],supercb[Bairro],mercado4)</f>
        <v>0</v>
      </c>
      <c r="P8" s="4">
        <f>SUMIFS(super1[Qtde],super1[Item],tab_alimentos[[#This Row],[Item]],super1[Bairro],mercado5)+SUMIFS(supercb[Qtde],supercb[Item],tab_alimentos[[#This Row],[Item]],supercb[Bairro],mercado5)</f>
        <v>0</v>
      </c>
      <c r="Q8" s="4">
        <f>SUMIFS(super1[Qtde],super1[Item],tab_alimentos[[#This Row],[Item]],super1[Bairro],mercado6)+SUMIFS(supercb[Qtde],supercb[Item],tab_alimentos[[#This Row],[Item]],supercb[Bairro],mercado6)</f>
        <v>0</v>
      </c>
      <c r="R8" s="4">
        <f>SUMIFS(super1[Qtde],super1[Item],tab_alimentos[[#This Row],[Item]],super1[Bairro],mercado7)+SUMIFS(supercb[Qtde],supercb[Item],tab_alimentos[[#This Row],[Item]],supercb[Bairro],mercado7)</f>
        <v>0</v>
      </c>
      <c r="S8" s="4">
        <f>SUMIFS(super1[Qtde],super1[Item],tab_alimentos[[#This Row],[Item]],super1[Bairro],mercado8)+SUMIFS(supercb[Qtde],supercb[Item],tab_alimentos[[#This Row],[Item]],supercb[Bairro],mercado8)</f>
        <v>0</v>
      </c>
      <c r="T8" s="4">
        <f>SUMIFS(super1[Qtde],super1[Item],tab_alimentos[[#This Row],[Item]],super1[Bairro],mercado9)+SUMIFS(supercb[Qtde],supercb[Item],tab_alimentos[[#This Row],[Item]],supercb[Bairro],mercado9)</f>
        <v>0</v>
      </c>
      <c r="U8" s="4">
        <f>SUMIFS(super1[Qtde],super1[Item],tab_alimentos[[#This Row],[Item]],super1[Bairro],mercado10)+SUMIFS(supercb[Qtde],supercb[Item],tab_alimentos[[#This Row],[Item]],supercb[Bairro],mercado10)</f>
        <v>0</v>
      </c>
      <c r="V8" s="4">
        <f>SUMIFS(super1[Qtde],super1[Item],tab_alimentos[[#This Row],[Item]],super1[Bairro],mercado11)+SUMIFS(supercb[Qtde],supercb[Item],tab_alimentos[[#This Row],[Item]],supercb[Bairro],mercado11)</f>
        <v>0</v>
      </c>
      <c r="W8" s="4">
        <f>SUMIFS(super1[Qtde],super1[Item],tab_alimentos[[#This Row],[Item]],super1[Bairro],mercado12)+SUMIFS(supercb[Qtde],supercb[Item],tab_alimentos[[#This Row],[Item]],supercb[Bairro],mercado12)</f>
        <v>0</v>
      </c>
      <c r="X8" s="4">
        <f>SUMIFS(super1[Qtde],super1[Item],tab_alimentos[[#This Row],[Item]],super1[Bairro],mercado13)+SUMIFS(supercb[Qtde],supercb[Item],tab_alimentos[[#This Row],[Item]],supercb[Bairro],mercado13)</f>
        <v>0</v>
      </c>
      <c r="Y8" s="4">
        <f>SUMIFS(super1[Qtde],super1[Item],tab_alimentos[[#This Row],[Item]],super1[Bairro],mercado14)+SUMIFS(supercb[Qtde],supercb[Item],tab_alimentos[[#This Row],[Item]],supercb[Bairro],mercado14)</f>
        <v>0</v>
      </c>
      <c r="Z8" s="4">
        <f>SUMIFS(super1[Qtde],super1[Item],tab_alimentos[[#This Row],[Item]],super1[Bairro],mercado15)+SUMIFS(supercb[Qtde],supercb[Item],tab_alimentos[[#This Row],[Item]],supercb[Bairro],mercado15)</f>
        <v>0</v>
      </c>
      <c r="AA8" s="4">
        <f>SUMIFS(super1[Qtde],super1[Item],tab_alimentos[[#This Row],[Item]],super1[Bairro],mercado16)+SUMIFS(supercb[Qtde],supercb[Item],tab_alimentos[[#This Row],[Item]],supercb[Bairro],mercado16)</f>
        <v>0</v>
      </c>
      <c r="AB8" s="4">
        <f>SUMIFS(super1[Qtde],super1[Item],tab_alimentos[[#This Row],[Item]],super1[Bairro],mercado17)+SUMIFS(supercb[Qtde],supercb[Item],tab_alimentos[[#This Row],[Item]],supercb[Bairro],mercado17)</f>
        <v>0</v>
      </c>
      <c r="AC8" s="4">
        <f>SUMIFS(super1[Qtde],super1[Item],tab_alimentos[[#This Row],[Item]],super1[Bairro],mercado18)+SUMIFS(supercb[Qtde],supercb[Item],tab_alimentos[[#This Row],[Item]],supercb[Bairro],mercado18)</f>
        <v>0</v>
      </c>
      <c r="AD8" s="4">
        <f>SUMIFS(super1[Qtde],super1[Item],tab_alimentos[[#This Row],[Item]],super1[Bairro],extras)+SUMIFS(supercb[Qtde],supercb[Item],tab_alimentos[[#This Row],[Item]],supercb[Bairro],extras)</f>
        <v>0</v>
      </c>
      <c r="AE8" s="4">
        <f t="shared" si="0"/>
        <v>0</v>
      </c>
      <c r="AF8" s="4">
        <f t="shared" si="1"/>
        <v>0</v>
      </c>
      <c r="AG8" s="6">
        <f t="shared" si="2"/>
        <v>0</v>
      </c>
      <c r="AH8" s="19" t="str">
        <f>higiene[[#This Row],[Item]]</f>
        <v>Absorvente (15un)</v>
      </c>
      <c r="AI8" s="4">
        <f>IFERROR(higiene[[#This Row],[Kg equivalente]],0)</f>
        <v>0</v>
      </c>
      <c r="AJ8" s="4">
        <f>IFERROR(higiene[[#This Row],[Preço por produto]],0)</f>
        <v>13.85</v>
      </c>
      <c r="AK8" s="4">
        <f>SUMIFS(super1[Qtde],super1[Item],tab_higiene[[#This Row],[Item]],super1[Bairro],mercado1)+SUMIFS(supercb[Qtde],supercb[Item],tab_higiene[[#This Row],[Item]],supercb[Bairro],mercado1)</f>
        <v>0</v>
      </c>
      <c r="AL8" s="4">
        <f>SUMIFS(super1[Qtde],super1[Item],tab_higiene[[#This Row],[Item]],super1[Bairro],mercado2)+SUMIFS(supercb[Qtde],supercb[Item],tab_higiene[[#This Row],[Item]],supercb[Bairro],mercado2)</f>
        <v>0</v>
      </c>
      <c r="AM8" s="4">
        <f>SUMIFS(super1[Qtde],super1[Item],tab_higiene[[#This Row],[Item]],super1[Bairro],mercado3)+SUMIFS(supercb[Qtde],supercb[Item],tab_higiene[[#This Row],[Item]],supercb[Bairro],mercado3)</f>
        <v>0</v>
      </c>
      <c r="AN8" s="4">
        <f>SUMIFS(super1[Qtde],super1[Item],tab_higiene[[#This Row],[Item]],super1[Bairro],mercado4)+SUMIFS(supercb[Qtde],supercb[Item],tab_higiene[[#This Row],[Item]],supercb[Bairro],mercado4)</f>
        <v>0</v>
      </c>
      <c r="AO8" s="4">
        <f>SUMIFS(super1[Qtde],super1[Item],tab_higiene[[#This Row],[Item]],super1[Bairro],mercado5)+SUMIFS(supercb[Qtde],supercb[Item],tab_higiene[[#This Row],[Item]],supercb[Bairro],mercado5)</f>
        <v>0</v>
      </c>
      <c r="AP8" s="4">
        <f>SUMIFS(super1[Qtde],super1[Item],tab_higiene[[#This Row],[Item]],super1[Bairro],mercado6)+SUMIFS(supercb[Qtde],supercb[Item],tab_higiene[[#This Row],[Item]],supercb[Bairro],mercado6)</f>
        <v>0</v>
      </c>
      <c r="AQ8" s="4">
        <f>SUMIFS(super1[Qtde],super1[Item],tab_higiene[[#This Row],[Item]],super1[Bairro],mercado7)+SUMIFS(supercb[Qtde],supercb[Item],tab_higiene[[#This Row],[Item]],supercb[Bairro],mercado7)</f>
        <v>0</v>
      </c>
      <c r="AR8" s="4">
        <f>SUMIFS(super1[Qtde],super1[Item],tab_higiene[[#This Row],[Item]],super1[Bairro],mercado8)+SUMIFS(supercb[Qtde],supercb[Item],tab_higiene[[#This Row],[Item]],supercb[Bairro],mercado8)</f>
        <v>0</v>
      </c>
      <c r="AS8" s="4">
        <f>SUMIFS(super1[Qtde],super1[Item],tab_higiene[[#This Row],[Item]],super1[Bairro],mercado9)+SUMIFS(supercb[Qtde],supercb[Item],tab_higiene[[#This Row],[Item]],supercb[Bairro],mercado9)</f>
        <v>0</v>
      </c>
      <c r="AT8" s="4">
        <f>SUMIFS(super1[Qtde],super1[Item],tab_higiene[[#This Row],[Item]],super1[Bairro],mercado10)+SUMIFS(supercb[Qtde],supercb[Item],tab_higiene[[#This Row],[Item]],supercb[Bairro],mercado10)</f>
        <v>0</v>
      </c>
      <c r="AU8" s="4">
        <f>SUMIFS(super1[Qtde],super1[Item],tab_higiene[[#This Row],[Item]],super1[Bairro],mercado11)+SUMIFS(supercb[Qtde],supercb[Item],tab_higiene[[#This Row],[Item]],supercb[Bairro],mercado11)</f>
        <v>0</v>
      </c>
      <c r="AV8" s="4">
        <f>SUMIFS(super1[Qtde],super1[Item],tab_higiene[[#This Row],[Item]],super1[Bairro],mercado12)+SUMIFS(supercb[Qtde],supercb[Item],tab_higiene[[#This Row],[Item]],supercb[Bairro],mercado12)</f>
        <v>0</v>
      </c>
      <c r="AW8" s="4">
        <f>SUMIFS(super1[Qtde],super1[Item],tab_higiene[[#This Row],[Item]],super1[Bairro],mercado13)+SUMIFS(supercb[Qtde],supercb[Item],tab_higiene[[#This Row],[Item]],supercb[Bairro],mercado13)</f>
        <v>0</v>
      </c>
      <c r="AX8" s="4">
        <f>SUMIFS(super1[Qtde],super1[Item],tab_higiene[[#This Row],[Item]],super1[Bairro],mercado14)+SUMIFS(supercb[Qtde],supercb[Item],tab_higiene[[#This Row],[Item]],supercb[Bairro],mercado14)</f>
        <v>0</v>
      </c>
      <c r="AY8" s="4">
        <f>SUMIFS(super1[Qtde],super1[Item],tab_higiene[[#This Row],[Item]],super1[Bairro],mercado15)+SUMIFS(supercb[Qtde],supercb[Item],tab_higiene[[#This Row],[Item]],supercb[Bairro],mercado15)</f>
        <v>0</v>
      </c>
      <c r="AZ8" s="4">
        <f>SUMIFS(super1[Qtde],super1[Item],tab_higiene[[#This Row],[Item]],super1[Bairro],mercado16)+SUMIFS(supercb[Qtde],supercb[Item],tab_higiene[[#This Row],[Item]],supercb[Bairro],mercado16)</f>
        <v>0</v>
      </c>
      <c r="BA8" s="4">
        <f>SUMIFS(super1[Qtde],super1[Item],tab_higiene[[#This Row],[Item]],super1[Bairro],mercado17)+SUMIFS(supercb[Qtde],supercb[Item],tab_higiene[[#This Row],[Item]],supercb[Bairro],mercado17)</f>
        <v>0</v>
      </c>
      <c r="BB8" s="4">
        <f>SUMIFS(super1[Qtde],super1[Item],tab_higiene[[#This Row],[Item]],super1[Bairro],mercado18)+SUMIFS(supercb[Qtde],supercb[Item],tab_higiene[[#This Row],[Item]],supercb[Bairro],mercado18)</f>
        <v>0</v>
      </c>
      <c r="BC8" s="4">
        <f>SUMIFS(super1[Qtde],super1[Item],tab_higiene[[#This Row],[Item]],super1[Bairro],extras)+SUMIFS(supercb[Qtde],supercb[Item],tab_higiene[[#This Row],[Item]],supercb[Bairro],extras)</f>
        <v>0</v>
      </c>
      <c r="BD8" s="4">
        <f t="shared" si="3"/>
        <v>0</v>
      </c>
      <c r="BE8" s="4">
        <f t="shared" si="4"/>
        <v>0</v>
      </c>
      <c r="BF8" s="6">
        <f t="shared" si="5"/>
        <v>0</v>
      </c>
      <c r="BI8" s="1" t="str">
        <f>tab_alimentos[[#This Row],[Item]]</f>
        <v>Achocolatado (1,1kg)</v>
      </c>
      <c r="BJ8" s="1">
        <f t="shared" si="6"/>
        <v>13</v>
      </c>
      <c r="BK8" s="1" t="str">
        <f t="shared" si="7"/>
        <v>Achocolatado</v>
      </c>
      <c r="BL8" s="1">
        <f>tab_alimentos[[#This Row],[kg]]</f>
        <v>0</v>
      </c>
      <c r="BM8" s="1" t="s">
        <v>1</v>
      </c>
      <c r="BN8" s="1">
        <f t="shared" si="11"/>
        <v>0</v>
      </c>
      <c r="BP8" s="1" t="str">
        <f>tab_higiene[[#This Row],[Item]]</f>
        <v>Absorvente (15un)</v>
      </c>
      <c r="BQ8" s="1">
        <f t="shared" si="8"/>
        <v>11</v>
      </c>
      <c r="BR8" s="1" t="str">
        <f t="shared" si="9"/>
        <v>Absorvente</v>
      </c>
      <c r="BS8" s="1">
        <f>higiene[[#This Row],[Quantidade]]</f>
        <v>15</v>
      </c>
      <c r="BT8" s="1">
        <f>tab_higiene[[#This Row],[Qtde (tot)]]</f>
        <v>0</v>
      </c>
      <c r="BU8" s="1">
        <f t="shared" si="12"/>
        <v>0</v>
      </c>
      <c r="BV8" s="25" t="s">
        <v>234</v>
      </c>
      <c r="BW8" s="1">
        <f t="shared" si="10"/>
        <v>0</v>
      </c>
    </row>
    <row r="9" spans="1:75" x14ac:dyDescent="0.25">
      <c r="A9" t="str">
        <f>tabMercados[[#This Row],[Mercados]]</f>
        <v>Galassi Jardim Bandeirantes</v>
      </c>
      <c r="B9" s="20">
        <f>SUMPRODUCT(tab_alimentos[kg/embalagem],tab_alimentos[Qtde (S1)])</f>
        <v>0</v>
      </c>
      <c r="C9" s="20">
        <f>SUMPRODUCT(tab_alimentos[Preço],tab_alimentos[Qtde (S1)])</f>
        <v>0</v>
      </c>
      <c r="D9" s="20">
        <f>SUMPRODUCT(tab_higiene[kg/embalagem],tab_higiene[Qtde (S1)])</f>
        <v>0</v>
      </c>
      <c r="E9" s="20">
        <f>SUMPRODUCT(tab_higiene[Preço],tab_higiene[Qtde (S1)])</f>
        <v>0</v>
      </c>
      <c r="F9" s="20">
        <f>B9+D9</f>
        <v>0</v>
      </c>
      <c r="G9" s="20">
        <f>C9+E9</f>
        <v>0</v>
      </c>
      <c r="I9" s="19" t="str">
        <f>alimentos[[#This Row],[Item]]</f>
        <v>Achocolatado (100g)</v>
      </c>
      <c r="J9" s="4">
        <f>IFERROR(alimentos[[#This Row],[kg/embalagem]],0)</f>
        <v>0.1</v>
      </c>
      <c r="K9" s="4">
        <f>IFERROR(alimentos[[#This Row],[Preço]],0)</f>
        <v>2.1</v>
      </c>
      <c r="L9" s="4">
        <f>SUMIFS(super1[Qtde],super1[Item],tab_alimentos[[#This Row],[Item]],super1[Bairro],mercado1)+SUMIFS(supercb[Qtde],supercb[Item],tab_alimentos[[#This Row],[Item]],supercb[Bairro],mercado1)</f>
        <v>0</v>
      </c>
      <c r="M9" s="4">
        <f>SUMIFS(super1[Qtde],super1[Item],tab_alimentos[[#This Row],[Item]],super1[Bairro],mercado2)+SUMIFS(supercb[Qtde],supercb[Item],tab_alimentos[[#This Row],[Item]],supercb[Bairro],mercado2)</f>
        <v>0</v>
      </c>
      <c r="N9" s="4">
        <f>SUMIFS(super1[Qtde],super1[Item],tab_alimentos[[#This Row],[Item]],super1[Bairro],mercado3)+SUMIFS(supercb[Qtde],supercb[Item],tab_alimentos[[#This Row],[Item]],supercb[Bairro],mercado3)</f>
        <v>0</v>
      </c>
      <c r="O9" s="4">
        <f>SUMIFS(super1[Qtde],super1[Item],tab_alimentos[[#This Row],[Item]],super1[Bairro],mercado4)+SUMIFS(supercb[Qtde],supercb[Item],tab_alimentos[[#This Row],[Item]],supercb[Bairro],mercado4)</f>
        <v>0</v>
      </c>
      <c r="P9" s="4">
        <f>SUMIFS(super1[Qtde],super1[Item],tab_alimentos[[#This Row],[Item]],super1[Bairro],mercado5)+SUMIFS(supercb[Qtde],supercb[Item],tab_alimentos[[#This Row],[Item]],supercb[Bairro],mercado5)</f>
        <v>0</v>
      </c>
      <c r="Q9" s="4">
        <f>SUMIFS(super1[Qtde],super1[Item],tab_alimentos[[#This Row],[Item]],super1[Bairro],mercado6)+SUMIFS(supercb[Qtde],supercb[Item],tab_alimentos[[#This Row],[Item]],supercb[Bairro],mercado6)</f>
        <v>0</v>
      </c>
      <c r="R9" s="4">
        <f>SUMIFS(super1[Qtde],super1[Item],tab_alimentos[[#This Row],[Item]],super1[Bairro],mercado7)+SUMIFS(supercb[Qtde],supercb[Item],tab_alimentos[[#This Row],[Item]],supercb[Bairro],mercado7)</f>
        <v>0</v>
      </c>
      <c r="S9" s="4">
        <f>SUMIFS(super1[Qtde],super1[Item],tab_alimentos[[#This Row],[Item]],super1[Bairro],mercado8)+SUMIFS(supercb[Qtde],supercb[Item],tab_alimentos[[#This Row],[Item]],supercb[Bairro],mercado8)</f>
        <v>0</v>
      </c>
      <c r="T9" s="4">
        <f>SUMIFS(super1[Qtde],super1[Item],tab_alimentos[[#This Row],[Item]],super1[Bairro],mercado9)+SUMIFS(supercb[Qtde],supercb[Item],tab_alimentos[[#This Row],[Item]],supercb[Bairro],mercado9)</f>
        <v>0</v>
      </c>
      <c r="U9" s="4">
        <f>SUMIFS(super1[Qtde],super1[Item],tab_alimentos[[#This Row],[Item]],super1[Bairro],mercado10)+SUMIFS(supercb[Qtde],supercb[Item],tab_alimentos[[#This Row],[Item]],supercb[Bairro],mercado10)</f>
        <v>0</v>
      </c>
      <c r="V9" s="4">
        <f>SUMIFS(super1[Qtde],super1[Item],tab_alimentos[[#This Row],[Item]],super1[Bairro],mercado11)+SUMIFS(supercb[Qtde],supercb[Item],tab_alimentos[[#This Row],[Item]],supercb[Bairro],mercado11)</f>
        <v>0</v>
      </c>
      <c r="W9" s="4">
        <f>SUMIFS(super1[Qtde],super1[Item],tab_alimentos[[#This Row],[Item]],super1[Bairro],mercado12)+SUMIFS(supercb[Qtde],supercb[Item],tab_alimentos[[#This Row],[Item]],supercb[Bairro],mercado12)</f>
        <v>0</v>
      </c>
      <c r="X9" s="4">
        <f>SUMIFS(super1[Qtde],super1[Item],tab_alimentos[[#This Row],[Item]],super1[Bairro],mercado13)+SUMIFS(supercb[Qtde],supercb[Item],tab_alimentos[[#This Row],[Item]],supercb[Bairro],mercado13)</f>
        <v>0</v>
      </c>
      <c r="Y9" s="4">
        <f>SUMIFS(super1[Qtde],super1[Item],tab_alimentos[[#This Row],[Item]],super1[Bairro],mercado14)+SUMIFS(supercb[Qtde],supercb[Item],tab_alimentos[[#This Row],[Item]],supercb[Bairro],mercado14)</f>
        <v>0</v>
      </c>
      <c r="Z9" s="4">
        <f>SUMIFS(super1[Qtde],super1[Item],tab_alimentos[[#This Row],[Item]],super1[Bairro],mercado15)+SUMIFS(supercb[Qtde],supercb[Item],tab_alimentos[[#This Row],[Item]],supercb[Bairro],mercado15)</f>
        <v>0</v>
      </c>
      <c r="AA9" s="4">
        <f>SUMIFS(super1[Qtde],super1[Item],tab_alimentos[[#This Row],[Item]],super1[Bairro],mercado16)+SUMIFS(supercb[Qtde],supercb[Item],tab_alimentos[[#This Row],[Item]],supercb[Bairro],mercado16)</f>
        <v>0</v>
      </c>
      <c r="AB9" s="4">
        <f>SUMIFS(super1[Qtde],super1[Item],tab_alimentos[[#This Row],[Item]],super1[Bairro],mercado17)+SUMIFS(supercb[Qtde],supercb[Item],tab_alimentos[[#This Row],[Item]],supercb[Bairro],mercado17)</f>
        <v>0</v>
      </c>
      <c r="AC9" s="4">
        <f>SUMIFS(super1[Qtde],super1[Item],tab_alimentos[[#This Row],[Item]],super1[Bairro],mercado18)+SUMIFS(supercb[Qtde],supercb[Item],tab_alimentos[[#This Row],[Item]],supercb[Bairro],mercado18)</f>
        <v>0</v>
      </c>
      <c r="AD9" s="4">
        <f>SUMIFS(super1[Qtde],super1[Item],tab_alimentos[[#This Row],[Item]],super1[Bairro],extras)+SUMIFS(supercb[Qtde],supercb[Item],tab_alimentos[[#This Row],[Item]],supercb[Bairro],extras)</f>
        <v>0</v>
      </c>
      <c r="AE9" s="4">
        <f t="shared" si="0"/>
        <v>0</v>
      </c>
      <c r="AF9" s="4">
        <f t="shared" si="1"/>
        <v>0</v>
      </c>
      <c r="AG9" s="6">
        <f t="shared" si="2"/>
        <v>0</v>
      </c>
      <c r="AH9" s="19" t="str">
        <f>higiene[[#This Row],[Item]]</f>
        <v>Absorvente (16un)</v>
      </c>
      <c r="AI9" s="4">
        <f>IFERROR(higiene[[#This Row],[Kg equivalente]],0)</f>
        <v>0</v>
      </c>
      <c r="AJ9" s="4">
        <f>IFERROR(higiene[[#This Row],[Preço por produto]],0)</f>
        <v>8.25</v>
      </c>
      <c r="AK9" s="4">
        <f>SUMIFS(super1[Qtde],super1[Item],tab_higiene[[#This Row],[Item]],super1[Bairro],mercado1)+SUMIFS(supercb[Qtde],supercb[Item],tab_higiene[[#This Row],[Item]],supercb[Bairro],mercado1)</f>
        <v>0</v>
      </c>
      <c r="AL9" s="4">
        <f>SUMIFS(super1[Qtde],super1[Item],tab_higiene[[#This Row],[Item]],super1[Bairro],mercado2)+SUMIFS(supercb[Qtde],supercb[Item],tab_higiene[[#This Row],[Item]],supercb[Bairro],mercado2)</f>
        <v>0</v>
      </c>
      <c r="AM9" s="4">
        <f>SUMIFS(super1[Qtde],super1[Item],tab_higiene[[#This Row],[Item]],super1[Bairro],mercado3)+SUMIFS(supercb[Qtde],supercb[Item],tab_higiene[[#This Row],[Item]],supercb[Bairro],mercado3)</f>
        <v>0</v>
      </c>
      <c r="AN9" s="4">
        <f>SUMIFS(super1[Qtde],super1[Item],tab_higiene[[#This Row],[Item]],super1[Bairro],mercado4)+SUMIFS(supercb[Qtde],supercb[Item],tab_higiene[[#This Row],[Item]],supercb[Bairro],mercado4)</f>
        <v>0</v>
      </c>
      <c r="AO9" s="4">
        <f>SUMIFS(super1[Qtde],super1[Item],tab_higiene[[#This Row],[Item]],super1[Bairro],mercado5)+SUMIFS(supercb[Qtde],supercb[Item],tab_higiene[[#This Row],[Item]],supercb[Bairro],mercado5)</f>
        <v>0</v>
      </c>
      <c r="AP9" s="4">
        <f>SUMIFS(super1[Qtde],super1[Item],tab_higiene[[#This Row],[Item]],super1[Bairro],mercado6)+SUMIFS(supercb[Qtde],supercb[Item],tab_higiene[[#This Row],[Item]],supercb[Bairro],mercado6)</f>
        <v>0</v>
      </c>
      <c r="AQ9" s="4">
        <f>SUMIFS(super1[Qtde],super1[Item],tab_higiene[[#This Row],[Item]],super1[Bairro],mercado7)+SUMIFS(supercb[Qtde],supercb[Item],tab_higiene[[#This Row],[Item]],supercb[Bairro],mercado7)</f>
        <v>0</v>
      </c>
      <c r="AR9" s="4">
        <f>SUMIFS(super1[Qtde],super1[Item],tab_higiene[[#This Row],[Item]],super1[Bairro],mercado8)+SUMIFS(supercb[Qtde],supercb[Item],tab_higiene[[#This Row],[Item]],supercb[Bairro],mercado8)</f>
        <v>0</v>
      </c>
      <c r="AS9" s="4">
        <f>SUMIFS(super1[Qtde],super1[Item],tab_higiene[[#This Row],[Item]],super1[Bairro],mercado9)+SUMIFS(supercb[Qtde],supercb[Item],tab_higiene[[#This Row],[Item]],supercb[Bairro],mercado9)</f>
        <v>0</v>
      </c>
      <c r="AT9" s="4">
        <f>SUMIFS(super1[Qtde],super1[Item],tab_higiene[[#This Row],[Item]],super1[Bairro],mercado10)+SUMIFS(supercb[Qtde],supercb[Item],tab_higiene[[#This Row],[Item]],supercb[Bairro],mercado10)</f>
        <v>0</v>
      </c>
      <c r="AU9" s="4">
        <f>SUMIFS(super1[Qtde],super1[Item],tab_higiene[[#This Row],[Item]],super1[Bairro],mercado11)+SUMIFS(supercb[Qtde],supercb[Item],tab_higiene[[#This Row],[Item]],supercb[Bairro],mercado11)</f>
        <v>0</v>
      </c>
      <c r="AV9" s="4">
        <f>SUMIFS(super1[Qtde],super1[Item],tab_higiene[[#This Row],[Item]],super1[Bairro],mercado12)+SUMIFS(supercb[Qtde],supercb[Item],tab_higiene[[#This Row],[Item]],supercb[Bairro],mercado12)</f>
        <v>0</v>
      </c>
      <c r="AW9" s="4">
        <f>SUMIFS(super1[Qtde],super1[Item],tab_higiene[[#This Row],[Item]],super1[Bairro],mercado13)+SUMIFS(supercb[Qtde],supercb[Item],tab_higiene[[#This Row],[Item]],supercb[Bairro],mercado13)</f>
        <v>0</v>
      </c>
      <c r="AX9" s="4">
        <f>SUMIFS(super1[Qtde],super1[Item],tab_higiene[[#This Row],[Item]],super1[Bairro],mercado14)+SUMIFS(supercb[Qtde],supercb[Item],tab_higiene[[#This Row],[Item]],supercb[Bairro],mercado14)</f>
        <v>0</v>
      </c>
      <c r="AY9" s="4">
        <f>SUMIFS(super1[Qtde],super1[Item],tab_higiene[[#This Row],[Item]],super1[Bairro],mercado15)+SUMIFS(supercb[Qtde],supercb[Item],tab_higiene[[#This Row],[Item]],supercb[Bairro],mercado15)</f>
        <v>0</v>
      </c>
      <c r="AZ9" s="4">
        <f>SUMIFS(super1[Qtde],super1[Item],tab_higiene[[#This Row],[Item]],super1[Bairro],mercado16)+SUMIFS(supercb[Qtde],supercb[Item],tab_higiene[[#This Row],[Item]],supercb[Bairro],mercado16)</f>
        <v>0</v>
      </c>
      <c r="BA9" s="4">
        <f>SUMIFS(super1[Qtde],super1[Item],tab_higiene[[#This Row],[Item]],super1[Bairro],mercado17)+SUMIFS(supercb[Qtde],supercb[Item],tab_higiene[[#This Row],[Item]],supercb[Bairro],mercado17)</f>
        <v>0</v>
      </c>
      <c r="BB9" s="4">
        <f>SUMIFS(super1[Qtde],super1[Item],tab_higiene[[#This Row],[Item]],super1[Bairro],mercado18)+SUMIFS(supercb[Qtde],supercb[Item],tab_higiene[[#This Row],[Item]],supercb[Bairro],mercado18)</f>
        <v>0</v>
      </c>
      <c r="BC9" s="4">
        <f>SUMIFS(super1[Qtde],super1[Item],tab_higiene[[#This Row],[Item]],super1[Bairro],extras)+SUMIFS(supercb[Qtde],supercb[Item],tab_higiene[[#This Row],[Item]],supercb[Bairro],extras)</f>
        <v>0</v>
      </c>
      <c r="BD9" s="4">
        <f t="shared" si="3"/>
        <v>0</v>
      </c>
      <c r="BE9" s="4">
        <f t="shared" si="4"/>
        <v>0</v>
      </c>
      <c r="BF9" s="6">
        <f t="shared" si="5"/>
        <v>0</v>
      </c>
      <c r="BI9" s="1" t="str">
        <f>tab_alimentos[[#This Row],[Item]]</f>
        <v>Achocolatado (100g)</v>
      </c>
      <c r="BJ9" s="1">
        <f t="shared" si="6"/>
        <v>13</v>
      </c>
      <c r="BK9" s="1" t="str">
        <f t="shared" si="7"/>
        <v>Achocolatado</v>
      </c>
      <c r="BL9" s="1">
        <f>tab_alimentos[[#This Row],[kg]]</f>
        <v>0</v>
      </c>
      <c r="BM9" s="1" t="s">
        <v>195</v>
      </c>
      <c r="BN9" s="1">
        <f t="shared" si="11"/>
        <v>0</v>
      </c>
      <c r="BP9" s="1" t="str">
        <f>tab_higiene[[#This Row],[Item]]</f>
        <v>Absorvente (16un)</v>
      </c>
      <c r="BQ9" s="1">
        <f t="shared" si="8"/>
        <v>11</v>
      </c>
      <c r="BR9" s="1" t="str">
        <f t="shared" si="9"/>
        <v>Absorvente</v>
      </c>
      <c r="BS9" s="1">
        <f>higiene[[#This Row],[Quantidade]]</f>
        <v>16</v>
      </c>
      <c r="BT9" s="1">
        <f>tab_higiene[[#This Row],[Qtde (tot)]]</f>
        <v>0</v>
      </c>
      <c r="BU9" s="1">
        <f t="shared" si="12"/>
        <v>0</v>
      </c>
      <c r="BV9" s="25" t="s">
        <v>235</v>
      </c>
      <c r="BW9" s="1">
        <f t="shared" si="10"/>
        <v>0</v>
      </c>
    </row>
    <row r="10" spans="1:75" x14ac:dyDescent="0.25">
      <c r="A10" t="str">
        <f>tabMercados[[#This Row],[Mercados]]</f>
        <v>Galassi Jardim São Vicente</v>
      </c>
      <c r="B10" s="20">
        <f>SUMPRODUCT(tab_alimentos[kg/embalagem],tab_alimentos[Qtde (S2)])</f>
        <v>0</v>
      </c>
      <c r="C10" s="20">
        <f>SUMPRODUCT(tab_alimentos[Preço],tab_alimentos[Qtde (S2)])</f>
        <v>0</v>
      </c>
      <c r="D10" s="20">
        <f>SUMPRODUCT(tab_higiene[kg/embalagem],tab_higiene[Qtde (S2)])</f>
        <v>0</v>
      </c>
      <c r="E10" s="20">
        <f>SUMPRODUCT(tab_higiene[Preço],tab_higiene[Qtde (S2)])</f>
        <v>0</v>
      </c>
      <c r="F10" s="20">
        <f t="shared" ref="F10:G23" si="13">B10+D10</f>
        <v>0</v>
      </c>
      <c r="G10" s="20">
        <f t="shared" si="13"/>
        <v>0</v>
      </c>
      <c r="I10" s="19" t="str">
        <f>alimentos[[#This Row],[Item]]</f>
        <v>Achocolatado (1kg)</v>
      </c>
      <c r="J10" s="4">
        <f>IFERROR(alimentos[[#This Row],[kg/embalagem]],0)</f>
        <v>1</v>
      </c>
      <c r="K10" s="4">
        <f>IFERROR(alimentos[[#This Row],[Preço]],0)</f>
        <v>15.99</v>
      </c>
      <c r="L10" s="4">
        <f>SUMIFS(super1[Qtde],super1[Item],tab_alimentos[[#This Row],[Item]],super1[Bairro],mercado1)+SUMIFS(supercb[Qtde],supercb[Item],tab_alimentos[[#This Row],[Item]],supercb[Bairro],mercado1)</f>
        <v>0</v>
      </c>
      <c r="M10" s="4">
        <f>SUMIFS(super1[Qtde],super1[Item],tab_alimentos[[#This Row],[Item]],super1[Bairro],mercado2)+SUMIFS(supercb[Qtde],supercb[Item],tab_alimentos[[#This Row],[Item]],supercb[Bairro],mercado2)</f>
        <v>0</v>
      </c>
      <c r="N10" s="4">
        <f>SUMIFS(super1[Qtde],super1[Item],tab_alimentos[[#This Row],[Item]],super1[Bairro],mercado3)+SUMIFS(supercb[Qtde],supercb[Item],tab_alimentos[[#This Row],[Item]],supercb[Bairro],mercado3)</f>
        <v>0</v>
      </c>
      <c r="O10" s="4">
        <f>SUMIFS(super1[Qtde],super1[Item],tab_alimentos[[#This Row],[Item]],super1[Bairro],mercado4)+SUMIFS(supercb[Qtde],supercb[Item],tab_alimentos[[#This Row],[Item]],supercb[Bairro],mercado4)</f>
        <v>0</v>
      </c>
      <c r="P10" s="4">
        <f>SUMIFS(super1[Qtde],super1[Item],tab_alimentos[[#This Row],[Item]],super1[Bairro],mercado5)+SUMIFS(supercb[Qtde],supercb[Item],tab_alimentos[[#This Row],[Item]],supercb[Bairro],mercado5)</f>
        <v>0</v>
      </c>
      <c r="Q10" s="4">
        <f>SUMIFS(super1[Qtde],super1[Item],tab_alimentos[[#This Row],[Item]],super1[Bairro],mercado6)+SUMIFS(supercb[Qtde],supercb[Item],tab_alimentos[[#This Row],[Item]],supercb[Bairro],mercado6)</f>
        <v>0</v>
      </c>
      <c r="R10" s="4">
        <f>SUMIFS(super1[Qtde],super1[Item],tab_alimentos[[#This Row],[Item]],super1[Bairro],mercado7)+SUMIFS(supercb[Qtde],supercb[Item],tab_alimentos[[#This Row],[Item]],supercb[Bairro],mercado7)</f>
        <v>0</v>
      </c>
      <c r="S10" s="4">
        <f>SUMIFS(super1[Qtde],super1[Item],tab_alimentos[[#This Row],[Item]],super1[Bairro],mercado8)+SUMIFS(supercb[Qtde],supercb[Item],tab_alimentos[[#This Row],[Item]],supercb[Bairro],mercado8)</f>
        <v>0</v>
      </c>
      <c r="T10" s="4">
        <f>SUMIFS(super1[Qtde],super1[Item],tab_alimentos[[#This Row],[Item]],super1[Bairro],mercado9)+SUMIFS(supercb[Qtde],supercb[Item],tab_alimentos[[#This Row],[Item]],supercb[Bairro],mercado9)</f>
        <v>0</v>
      </c>
      <c r="U10" s="4">
        <f>SUMIFS(super1[Qtde],super1[Item],tab_alimentos[[#This Row],[Item]],super1[Bairro],mercado10)+SUMIFS(supercb[Qtde],supercb[Item],tab_alimentos[[#This Row],[Item]],supercb[Bairro],mercado10)</f>
        <v>0</v>
      </c>
      <c r="V10" s="4">
        <f>SUMIFS(super1[Qtde],super1[Item],tab_alimentos[[#This Row],[Item]],super1[Bairro],mercado11)+SUMIFS(supercb[Qtde],supercb[Item],tab_alimentos[[#This Row],[Item]],supercb[Bairro],mercado11)</f>
        <v>0</v>
      </c>
      <c r="W10" s="4">
        <f>SUMIFS(super1[Qtde],super1[Item],tab_alimentos[[#This Row],[Item]],super1[Bairro],mercado12)+SUMIFS(supercb[Qtde],supercb[Item],tab_alimentos[[#This Row],[Item]],supercb[Bairro],mercado12)</f>
        <v>0</v>
      </c>
      <c r="X10" s="4">
        <f>SUMIFS(super1[Qtde],super1[Item],tab_alimentos[[#This Row],[Item]],super1[Bairro],mercado13)+SUMIFS(supercb[Qtde],supercb[Item],tab_alimentos[[#This Row],[Item]],supercb[Bairro],mercado13)</f>
        <v>0</v>
      </c>
      <c r="Y10" s="4">
        <f>SUMIFS(super1[Qtde],super1[Item],tab_alimentos[[#This Row],[Item]],super1[Bairro],mercado14)+SUMIFS(supercb[Qtde],supercb[Item],tab_alimentos[[#This Row],[Item]],supercb[Bairro],mercado14)</f>
        <v>0</v>
      </c>
      <c r="Z10" s="4">
        <f>SUMIFS(super1[Qtde],super1[Item],tab_alimentos[[#This Row],[Item]],super1[Bairro],mercado15)+SUMIFS(supercb[Qtde],supercb[Item],tab_alimentos[[#This Row],[Item]],supercb[Bairro],mercado15)</f>
        <v>0</v>
      </c>
      <c r="AA10" s="4">
        <f>SUMIFS(super1[Qtde],super1[Item],tab_alimentos[[#This Row],[Item]],super1[Bairro],mercado16)+SUMIFS(supercb[Qtde],supercb[Item],tab_alimentos[[#This Row],[Item]],supercb[Bairro],mercado16)</f>
        <v>0</v>
      </c>
      <c r="AB10" s="4">
        <f>SUMIFS(super1[Qtde],super1[Item],tab_alimentos[[#This Row],[Item]],super1[Bairro],mercado17)+SUMIFS(supercb[Qtde],supercb[Item],tab_alimentos[[#This Row],[Item]],supercb[Bairro],mercado17)</f>
        <v>0</v>
      </c>
      <c r="AC10" s="4">
        <f>SUMIFS(super1[Qtde],super1[Item],tab_alimentos[[#This Row],[Item]],super1[Bairro],mercado18)+SUMIFS(supercb[Qtde],supercb[Item],tab_alimentos[[#This Row],[Item]],supercb[Bairro],mercado18)</f>
        <v>0</v>
      </c>
      <c r="AD10" s="4">
        <f>SUMIFS(super1[Qtde],super1[Item],tab_alimentos[[#This Row],[Item]],super1[Bairro],extras)+SUMIFS(supercb[Qtde],supercb[Item],tab_alimentos[[#This Row],[Item]],supercb[Bairro],extras)</f>
        <v>0</v>
      </c>
      <c r="AE10" s="4">
        <f t="shared" si="0"/>
        <v>0</v>
      </c>
      <c r="AF10" s="4">
        <f t="shared" si="1"/>
        <v>0</v>
      </c>
      <c r="AG10" s="6">
        <f t="shared" si="2"/>
        <v>0</v>
      </c>
      <c r="AH10" s="19" t="str">
        <f>higiene[[#This Row],[Item]]</f>
        <v>Absorvente (20un)</v>
      </c>
      <c r="AI10" s="4">
        <f>IFERROR(higiene[[#This Row],[Kg equivalente]],0)</f>
        <v>0</v>
      </c>
      <c r="AJ10" s="4">
        <f>IFERROR(higiene[[#This Row],[Preço por produto]],0)</f>
        <v>9.89</v>
      </c>
      <c r="AK10" s="4">
        <f>SUMIFS(super1[Qtde],super1[Item],tab_higiene[[#This Row],[Item]],super1[Bairro],mercado1)+SUMIFS(supercb[Qtde],supercb[Item],tab_higiene[[#This Row],[Item]],supercb[Bairro],mercado1)</f>
        <v>0</v>
      </c>
      <c r="AL10" s="4">
        <f>SUMIFS(super1[Qtde],super1[Item],tab_higiene[[#This Row],[Item]],super1[Bairro],mercado2)+SUMIFS(supercb[Qtde],supercb[Item],tab_higiene[[#This Row],[Item]],supercb[Bairro],mercado2)</f>
        <v>0</v>
      </c>
      <c r="AM10" s="4">
        <f>SUMIFS(super1[Qtde],super1[Item],tab_higiene[[#This Row],[Item]],super1[Bairro],mercado3)+SUMIFS(supercb[Qtde],supercb[Item],tab_higiene[[#This Row],[Item]],supercb[Bairro],mercado3)</f>
        <v>0</v>
      </c>
      <c r="AN10" s="4">
        <f>SUMIFS(super1[Qtde],super1[Item],tab_higiene[[#This Row],[Item]],super1[Bairro],mercado4)+SUMIFS(supercb[Qtde],supercb[Item],tab_higiene[[#This Row],[Item]],supercb[Bairro],mercado4)</f>
        <v>0</v>
      </c>
      <c r="AO10" s="4">
        <f>SUMIFS(super1[Qtde],super1[Item],tab_higiene[[#This Row],[Item]],super1[Bairro],mercado5)+SUMIFS(supercb[Qtde],supercb[Item],tab_higiene[[#This Row],[Item]],supercb[Bairro],mercado5)</f>
        <v>0</v>
      </c>
      <c r="AP10" s="4">
        <f>SUMIFS(super1[Qtde],super1[Item],tab_higiene[[#This Row],[Item]],super1[Bairro],mercado6)+SUMIFS(supercb[Qtde],supercb[Item],tab_higiene[[#This Row],[Item]],supercb[Bairro],mercado6)</f>
        <v>0</v>
      </c>
      <c r="AQ10" s="4">
        <f>SUMIFS(super1[Qtde],super1[Item],tab_higiene[[#This Row],[Item]],super1[Bairro],mercado7)+SUMIFS(supercb[Qtde],supercb[Item],tab_higiene[[#This Row],[Item]],supercb[Bairro],mercado7)</f>
        <v>0</v>
      </c>
      <c r="AR10" s="4">
        <f>SUMIFS(super1[Qtde],super1[Item],tab_higiene[[#This Row],[Item]],super1[Bairro],mercado8)+SUMIFS(supercb[Qtde],supercb[Item],tab_higiene[[#This Row],[Item]],supercb[Bairro],mercado8)</f>
        <v>0</v>
      </c>
      <c r="AS10" s="4">
        <f>SUMIFS(super1[Qtde],super1[Item],tab_higiene[[#This Row],[Item]],super1[Bairro],mercado9)+SUMIFS(supercb[Qtde],supercb[Item],tab_higiene[[#This Row],[Item]],supercb[Bairro],mercado9)</f>
        <v>0</v>
      </c>
      <c r="AT10" s="4">
        <f>SUMIFS(super1[Qtde],super1[Item],tab_higiene[[#This Row],[Item]],super1[Bairro],mercado10)+SUMIFS(supercb[Qtde],supercb[Item],tab_higiene[[#This Row],[Item]],supercb[Bairro],mercado10)</f>
        <v>0</v>
      </c>
      <c r="AU10" s="4">
        <f>SUMIFS(super1[Qtde],super1[Item],tab_higiene[[#This Row],[Item]],super1[Bairro],mercado11)+SUMIFS(supercb[Qtde],supercb[Item],tab_higiene[[#This Row],[Item]],supercb[Bairro],mercado11)</f>
        <v>0</v>
      </c>
      <c r="AV10" s="4">
        <f>SUMIFS(super1[Qtde],super1[Item],tab_higiene[[#This Row],[Item]],super1[Bairro],mercado12)+SUMIFS(supercb[Qtde],supercb[Item],tab_higiene[[#This Row],[Item]],supercb[Bairro],mercado12)</f>
        <v>0</v>
      </c>
      <c r="AW10" s="4">
        <f>SUMIFS(super1[Qtde],super1[Item],tab_higiene[[#This Row],[Item]],super1[Bairro],mercado13)+SUMIFS(supercb[Qtde],supercb[Item],tab_higiene[[#This Row],[Item]],supercb[Bairro],mercado13)</f>
        <v>0</v>
      </c>
      <c r="AX10" s="4">
        <f>SUMIFS(super1[Qtde],super1[Item],tab_higiene[[#This Row],[Item]],super1[Bairro],mercado14)+SUMIFS(supercb[Qtde],supercb[Item],tab_higiene[[#This Row],[Item]],supercb[Bairro],mercado14)</f>
        <v>0</v>
      </c>
      <c r="AY10" s="4">
        <f>SUMIFS(super1[Qtde],super1[Item],tab_higiene[[#This Row],[Item]],super1[Bairro],mercado15)+SUMIFS(supercb[Qtde],supercb[Item],tab_higiene[[#This Row],[Item]],supercb[Bairro],mercado15)</f>
        <v>0</v>
      </c>
      <c r="AZ10" s="4">
        <f>SUMIFS(super1[Qtde],super1[Item],tab_higiene[[#This Row],[Item]],super1[Bairro],mercado16)+SUMIFS(supercb[Qtde],supercb[Item],tab_higiene[[#This Row],[Item]],supercb[Bairro],mercado16)</f>
        <v>0</v>
      </c>
      <c r="BA10" s="4">
        <f>SUMIFS(super1[Qtde],super1[Item],tab_higiene[[#This Row],[Item]],super1[Bairro],mercado17)+SUMIFS(supercb[Qtde],supercb[Item],tab_higiene[[#This Row],[Item]],supercb[Bairro],mercado17)</f>
        <v>0</v>
      </c>
      <c r="BB10" s="4">
        <f>SUMIFS(super1[Qtde],super1[Item],tab_higiene[[#This Row],[Item]],super1[Bairro],mercado18)+SUMIFS(supercb[Qtde],supercb[Item],tab_higiene[[#This Row],[Item]],supercb[Bairro],mercado18)</f>
        <v>0</v>
      </c>
      <c r="BC10" s="4">
        <f>SUMIFS(super1[Qtde],super1[Item],tab_higiene[[#This Row],[Item]],super1[Bairro],extras)+SUMIFS(supercb[Qtde],supercb[Item],tab_higiene[[#This Row],[Item]],supercb[Bairro],extras)</f>
        <v>0</v>
      </c>
      <c r="BD10" s="4">
        <f t="shared" si="3"/>
        <v>0</v>
      </c>
      <c r="BE10" s="4">
        <f t="shared" si="4"/>
        <v>0</v>
      </c>
      <c r="BF10" s="6">
        <f t="shared" si="5"/>
        <v>0</v>
      </c>
      <c r="BI10" s="1" t="str">
        <f>tab_alimentos[[#This Row],[Item]]</f>
        <v>Achocolatado (1kg)</v>
      </c>
      <c r="BJ10" s="1">
        <f t="shared" si="6"/>
        <v>13</v>
      </c>
      <c r="BK10" s="1" t="str">
        <f t="shared" si="7"/>
        <v>Achocolatado</v>
      </c>
      <c r="BL10" s="1">
        <f>tab_alimentos[[#This Row],[kg]]</f>
        <v>0</v>
      </c>
      <c r="BM10" s="25" t="s">
        <v>196</v>
      </c>
      <c r="BN10" s="1">
        <f t="shared" si="11"/>
        <v>0</v>
      </c>
      <c r="BP10" s="1" t="str">
        <f>tab_higiene[[#This Row],[Item]]</f>
        <v>Absorvente (20un)</v>
      </c>
      <c r="BQ10" s="1">
        <f t="shared" si="8"/>
        <v>11</v>
      </c>
      <c r="BR10" s="1" t="str">
        <f t="shared" si="9"/>
        <v>Absorvente</v>
      </c>
      <c r="BS10" s="1">
        <f>higiene[[#This Row],[Quantidade]]</f>
        <v>20</v>
      </c>
      <c r="BT10" s="1">
        <f>tab_higiene[[#This Row],[Qtde (tot)]]</f>
        <v>0</v>
      </c>
      <c r="BU10" s="1">
        <f t="shared" si="12"/>
        <v>0</v>
      </c>
      <c r="BV10" s="25" t="s">
        <v>236</v>
      </c>
      <c r="BW10" s="1">
        <f t="shared" si="10"/>
        <v>0</v>
      </c>
    </row>
    <row r="11" spans="1:75" x14ac:dyDescent="0.25">
      <c r="A11" t="str">
        <f>tabMercados[[#This Row],[Mercados]]</f>
        <v>Galassi Ponte Preta</v>
      </c>
      <c r="B11" s="20">
        <f>SUMPRODUCT(tab_alimentos[kg/embalagem],tab_alimentos[Qtde (S3)])</f>
        <v>0</v>
      </c>
      <c r="C11" s="20">
        <f>SUMPRODUCT(tab_alimentos[Preço],tab_alimentos[Qtde (S3)])</f>
        <v>0</v>
      </c>
      <c r="D11" s="20">
        <f>SUMPRODUCT(tab_higiene[kg/embalagem],tab_higiene[Qtde (S3)])</f>
        <v>0</v>
      </c>
      <c r="E11" s="20">
        <f>SUMPRODUCT(tab_higiene[Preço],tab_higiene[Qtde (S3)])</f>
        <v>0</v>
      </c>
      <c r="F11" s="20">
        <f t="shared" si="13"/>
        <v>0</v>
      </c>
      <c r="G11" s="20">
        <f t="shared" si="13"/>
        <v>0</v>
      </c>
      <c r="I11" s="19" t="str">
        <f>alimentos[[#This Row],[Item]]</f>
        <v>Achocolatado (1L)</v>
      </c>
      <c r="J11" s="4">
        <f>IFERROR(alimentos[[#This Row],[kg/embalagem]],0)</f>
        <v>1</v>
      </c>
      <c r="K11" s="4">
        <f>IFERROR(alimentos[[#This Row],[Preço]],0)</f>
        <v>6.14</v>
      </c>
      <c r="L11" s="4">
        <f>SUMIFS(super1[Qtde],super1[Item],tab_alimentos[[#This Row],[Item]],super1[Bairro],mercado1)+SUMIFS(supercb[Qtde],supercb[Item],tab_alimentos[[#This Row],[Item]],supercb[Bairro],mercado1)</f>
        <v>0</v>
      </c>
      <c r="M11" s="4">
        <f>SUMIFS(super1[Qtde],super1[Item],tab_alimentos[[#This Row],[Item]],super1[Bairro],mercado2)+SUMIFS(supercb[Qtde],supercb[Item],tab_alimentos[[#This Row],[Item]],supercb[Bairro],mercado2)</f>
        <v>0</v>
      </c>
      <c r="N11" s="4">
        <f>SUMIFS(super1[Qtde],super1[Item],tab_alimentos[[#This Row],[Item]],super1[Bairro],mercado3)+SUMIFS(supercb[Qtde],supercb[Item],tab_alimentos[[#This Row],[Item]],supercb[Bairro],mercado3)</f>
        <v>0</v>
      </c>
      <c r="O11" s="4">
        <f>SUMIFS(super1[Qtde],super1[Item],tab_alimentos[[#This Row],[Item]],super1[Bairro],mercado4)+SUMIFS(supercb[Qtde],supercb[Item],tab_alimentos[[#This Row],[Item]],supercb[Bairro],mercado4)</f>
        <v>0</v>
      </c>
      <c r="P11" s="4">
        <f>SUMIFS(super1[Qtde],super1[Item],tab_alimentos[[#This Row],[Item]],super1[Bairro],mercado5)+SUMIFS(supercb[Qtde],supercb[Item],tab_alimentos[[#This Row],[Item]],supercb[Bairro],mercado5)</f>
        <v>0</v>
      </c>
      <c r="Q11" s="4">
        <f>SUMIFS(super1[Qtde],super1[Item],tab_alimentos[[#This Row],[Item]],super1[Bairro],mercado6)+SUMIFS(supercb[Qtde],supercb[Item],tab_alimentos[[#This Row],[Item]],supercb[Bairro],mercado6)</f>
        <v>0</v>
      </c>
      <c r="R11" s="4">
        <f>SUMIFS(super1[Qtde],super1[Item],tab_alimentos[[#This Row],[Item]],super1[Bairro],mercado7)+SUMIFS(supercb[Qtde],supercb[Item],tab_alimentos[[#This Row],[Item]],supercb[Bairro],mercado7)</f>
        <v>0</v>
      </c>
      <c r="S11" s="4">
        <f>SUMIFS(super1[Qtde],super1[Item],tab_alimentos[[#This Row],[Item]],super1[Bairro],mercado8)+SUMIFS(supercb[Qtde],supercb[Item],tab_alimentos[[#This Row],[Item]],supercb[Bairro],mercado8)</f>
        <v>0</v>
      </c>
      <c r="T11" s="4">
        <f>SUMIFS(super1[Qtde],super1[Item],tab_alimentos[[#This Row],[Item]],super1[Bairro],mercado9)+SUMIFS(supercb[Qtde],supercb[Item],tab_alimentos[[#This Row],[Item]],supercb[Bairro],mercado9)</f>
        <v>0</v>
      </c>
      <c r="U11" s="4">
        <f>SUMIFS(super1[Qtde],super1[Item],tab_alimentos[[#This Row],[Item]],super1[Bairro],mercado10)+SUMIFS(supercb[Qtde],supercb[Item],tab_alimentos[[#This Row],[Item]],supercb[Bairro],mercado10)</f>
        <v>0</v>
      </c>
      <c r="V11" s="4">
        <f>SUMIFS(super1[Qtde],super1[Item],tab_alimentos[[#This Row],[Item]],super1[Bairro],mercado11)+SUMIFS(supercb[Qtde],supercb[Item],tab_alimentos[[#This Row],[Item]],supercb[Bairro],mercado11)</f>
        <v>0</v>
      </c>
      <c r="W11" s="4">
        <f>SUMIFS(super1[Qtde],super1[Item],tab_alimentos[[#This Row],[Item]],super1[Bairro],mercado12)+SUMIFS(supercb[Qtde],supercb[Item],tab_alimentos[[#This Row],[Item]],supercb[Bairro],mercado12)</f>
        <v>0</v>
      </c>
      <c r="X11" s="4">
        <f>SUMIFS(super1[Qtde],super1[Item],tab_alimentos[[#This Row],[Item]],super1[Bairro],mercado13)+SUMIFS(supercb[Qtde],supercb[Item],tab_alimentos[[#This Row],[Item]],supercb[Bairro],mercado13)</f>
        <v>0</v>
      </c>
      <c r="Y11" s="4">
        <f>SUMIFS(super1[Qtde],super1[Item],tab_alimentos[[#This Row],[Item]],super1[Bairro],mercado14)+SUMIFS(supercb[Qtde],supercb[Item],tab_alimentos[[#This Row],[Item]],supercb[Bairro],mercado14)</f>
        <v>0</v>
      </c>
      <c r="Z11" s="4">
        <f>SUMIFS(super1[Qtde],super1[Item],tab_alimentos[[#This Row],[Item]],super1[Bairro],mercado15)+SUMIFS(supercb[Qtde],supercb[Item],tab_alimentos[[#This Row],[Item]],supercb[Bairro],mercado15)</f>
        <v>0</v>
      </c>
      <c r="AA11" s="4">
        <f>SUMIFS(super1[Qtde],super1[Item],tab_alimentos[[#This Row],[Item]],super1[Bairro],mercado16)+SUMIFS(supercb[Qtde],supercb[Item],tab_alimentos[[#This Row],[Item]],supercb[Bairro],mercado16)</f>
        <v>0</v>
      </c>
      <c r="AB11" s="4">
        <f>SUMIFS(super1[Qtde],super1[Item],tab_alimentos[[#This Row],[Item]],super1[Bairro],mercado17)+SUMIFS(supercb[Qtde],supercb[Item],tab_alimentos[[#This Row],[Item]],supercb[Bairro],mercado17)</f>
        <v>0</v>
      </c>
      <c r="AC11" s="4">
        <f>SUMIFS(super1[Qtde],super1[Item],tab_alimentos[[#This Row],[Item]],super1[Bairro],mercado18)+SUMIFS(supercb[Qtde],supercb[Item],tab_alimentos[[#This Row],[Item]],supercb[Bairro],mercado18)</f>
        <v>0</v>
      </c>
      <c r="AD11" s="4">
        <f>SUMIFS(super1[Qtde],super1[Item],tab_alimentos[[#This Row],[Item]],super1[Bairro],extras)+SUMIFS(supercb[Qtde],supercb[Item],tab_alimentos[[#This Row],[Item]],supercb[Bairro],extras)</f>
        <v>0</v>
      </c>
      <c r="AE11" s="4">
        <f t="shared" si="0"/>
        <v>0</v>
      </c>
      <c r="AF11" s="4">
        <f t="shared" si="1"/>
        <v>0</v>
      </c>
      <c r="AG11" s="6">
        <f t="shared" si="2"/>
        <v>0</v>
      </c>
      <c r="AH11" s="19" t="str">
        <f>higiene[[#This Row],[Item]]</f>
        <v>Absorvente (30un)</v>
      </c>
      <c r="AI11" s="4">
        <f>IFERROR(higiene[[#This Row],[Kg equivalente]],0)</f>
        <v>0</v>
      </c>
      <c r="AJ11" s="4">
        <f>IFERROR(higiene[[#This Row],[Preço por produto]],0)</f>
        <v>18.989999999999998</v>
      </c>
      <c r="AK11" s="4">
        <f>SUMIFS(super1[Qtde],super1[Item],tab_higiene[[#This Row],[Item]],super1[Bairro],mercado1)+SUMIFS(supercb[Qtde],supercb[Item],tab_higiene[[#This Row],[Item]],supercb[Bairro],mercado1)</f>
        <v>0</v>
      </c>
      <c r="AL11" s="4">
        <f>SUMIFS(super1[Qtde],super1[Item],tab_higiene[[#This Row],[Item]],super1[Bairro],mercado2)+SUMIFS(supercb[Qtde],supercb[Item],tab_higiene[[#This Row],[Item]],supercb[Bairro],mercado2)</f>
        <v>0</v>
      </c>
      <c r="AM11" s="4">
        <f>SUMIFS(super1[Qtde],super1[Item],tab_higiene[[#This Row],[Item]],super1[Bairro],mercado3)+SUMIFS(supercb[Qtde],supercb[Item],tab_higiene[[#This Row],[Item]],supercb[Bairro],mercado3)</f>
        <v>0</v>
      </c>
      <c r="AN11" s="4">
        <f>SUMIFS(super1[Qtde],super1[Item],tab_higiene[[#This Row],[Item]],super1[Bairro],mercado4)+SUMIFS(supercb[Qtde],supercb[Item],tab_higiene[[#This Row],[Item]],supercb[Bairro],mercado4)</f>
        <v>0</v>
      </c>
      <c r="AO11" s="4">
        <f>SUMIFS(super1[Qtde],super1[Item],tab_higiene[[#This Row],[Item]],super1[Bairro],mercado5)+SUMIFS(supercb[Qtde],supercb[Item],tab_higiene[[#This Row],[Item]],supercb[Bairro],mercado5)</f>
        <v>0</v>
      </c>
      <c r="AP11" s="4">
        <f>SUMIFS(super1[Qtde],super1[Item],tab_higiene[[#This Row],[Item]],super1[Bairro],mercado6)+SUMIFS(supercb[Qtde],supercb[Item],tab_higiene[[#This Row],[Item]],supercb[Bairro],mercado6)</f>
        <v>0</v>
      </c>
      <c r="AQ11" s="4">
        <f>SUMIFS(super1[Qtde],super1[Item],tab_higiene[[#This Row],[Item]],super1[Bairro],mercado7)+SUMIFS(supercb[Qtde],supercb[Item],tab_higiene[[#This Row],[Item]],supercb[Bairro],mercado7)</f>
        <v>0</v>
      </c>
      <c r="AR11" s="4">
        <f>SUMIFS(super1[Qtde],super1[Item],tab_higiene[[#This Row],[Item]],super1[Bairro],mercado8)+SUMIFS(supercb[Qtde],supercb[Item],tab_higiene[[#This Row],[Item]],supercb[Bairro],mercado8)</f>
        <v>0</v>
      </c>
      <c r="AS11" s="4">
        <f>SUMIFS(super1[Qtde],super1[Item],tab_higiene[[#This Row],[Item]],super1[Bairro],mercado9)+SUMIFS(supercb[Qtde],supercb[Item],tab_higiene[[#This Row],[Item]],supercb[Bairro],mercado9)</f>
        <v>0</v>
      </c>
      <c r="AT11" s="4">
        <f>SUMIFS(super1[Qtde],super1[Item],tab_higiene[[#This Row],[Item]],super1[Bairro],mercado10)+SUMIFS(supercb[Qtde],supercb[Item],tab_higiene[[#This Row],[Item]],supercb[Bairro],mercado10)</f>
        <v>0</v>
      </c>
      <c r="AU11" s="4">
        <f>SUMIFS(super1[Qtde],super1[Item],tab_higiene[[#This Row],[Item]],super1[Bairro],mercado11)+SUMIFS(supercb[Qtde],supercb[Item],tab_higiene[[#This Row],[Item]],supercb[Bairro],mercado11)</f>
        <v>0</v>
      </c>
      <c r="AV11" s="4">
        <f>SUMIFS(super1[Qtde],super1[Item],tab_higiene[[#This Row],[Item]],super1[Bairro],mercado12)+SUMIFS(supercb[Qtde],supercb[Item],tab_higiene[[#This Row],[Item]],supercb[Bairro],mercado12)</f>
        <v>0</v>
      </c>
      <c r="AW11" s="4">
        <f>SUMIFS(super1[Qtde],super1[Item],tab_higiene[[#This Row],[Item]],super1[Bairro],mercado13)+SUMIFS(supercb[Qtde],supercb[Item],tab_higiene[[#This Row],[Item]],supercb[Bairro],mercado13)</f>
        <v>0</v>
      </c>
      <c r="AX11" s="4">
        <f>SUMIFS(super1[Qtde],super1[Item],tab_higiene[[#This Row],[Item]],super1[Bairro],mercado14)+SUMIFS(supercb[Qtde],supercb[Item],tab_higiene[[#This Row],[Item]],supercb[Bairro],mercado14)</f>
        <v>0</v>
      </c>
      <c r="AY11" s="4">
        <f>SUMIFS(super1[Qtde],super1[Item],tab_higiene[[#This Row],[Item]],super1[Bairro],mercado15)+SUMIFS(supercb[Qtde],supercb[Item],tab_higiene[[#This Row],[Item]],supercb[Bairro],mercado15)</f>
        <v>0</v>
      </c>
      <c r="AZ11" s="4">
        <f>SUMIFS(super1[Qtde],super1[Item],tab_higiene[[#This Row],[Item]],super1[Bairro],mercado16)+SUMIFS(supercb[Qtde],supercb[Item],tab_higiene[[#This Row],[Item]],supercb[Bairro],mercado16)</f>
        <v>0</v>
      </c>
      <c r="BA11" s="4">
        <f>SUMIFS(super1[Qtde],super1[Item],tab_higiene[[#This Row],[Item]],super1[Bairro],mercado17)+SUMIFS(supercb[Qtde],supercb[Item],tab_higiene[[#This Row],[Item]],supercb[Bairro],mercado17)</f>
        <v>0</v>
      </c>
      <c r="BB11" s="4">
        <f>SUMIFS(super1[Qtde],super1[Item],tab_higiene[[#This Row],[Item]],super1[Bairro],mercado18)+SUMIFS(supercb[Qtde],supercb[Item],tab_higiene[[#This Row],[Item]],supercb[Bairro],mercado18)</f>
        <v>0</v>
      </c>
      <c r="BC11" s="4">
        <f>SUMIFS(super1[Qtde],super1[Item],tab_higiene[[#This Row],[Item]],super1[Bairro],extras)+SUMIFS(supercb[Qtde],supercb[Item],tab_higiene[[#This Row],[Item]],supercb[Bairro],extras)</f>
        <v>0</v>
      </c>
      <c r="BD11" s="4">
        <f t="shared" si="3"/>
        <v>0</v>
      </c>
      <c r="BE11" s="4">
        <f t="shared" si="4"/>
        <v>0</v>
      </c>
      <c r="BF11" s="6">
        <f t="shared" si="5"/>
        <v>0</v>
      </c>
      <c r="BI11" s="1" t="str">
        <f>tab_alimentos[[#This Row],[Item]]</f>
        <v>Achocolatado (1L)</v>
      </c>
      <c r="BJ11" s="1">
        <f t="shared" si="6"/>
        <v>13</v>
      </c>
      <c r="BK11" s="1" t="str">
        <f t="shared" si="7"/>
        <v>Achocolatado</v>
      </c>
      <c r="BL11" s="1">
        <f>tab_alimentos[[#This Row],[kg]]</f>
        <v>0</v>
      </c>
      <c r="BM11" s="25" t="s">
        <v>5</v>
      </c>
      <c r="BN11" s="1">
        <f t="shared" si="11"/>
        <v>0</v>
      </c>
      <c r="BP11" s="1" t="str">
        <f>tab_higiene[[#This Row],[Item]]</f>
        <v>Absorvente (30un)</v>
      </c>
      <c r="BQ11" s="1">
        <f t="shared" si="8"/>
        <v>11</v>
      </c>
      <c r="BR11" s="1" t="str">
        <f t="shared" si="9"/>
        <v>Absorvente</v>
      </c>
      <c r="BS11" s="1">
        <f>higiene[[#This Row],[Quantidade]]</f>
        <v>30</v>
      </c>
      <c r="BT11" s="1">
        <f>tab_higiene[[#This Row],[Qtde (tot)]]</f>
        <v>0</v>
      </c>
      <c r="BU11" s="1">
        <f t="shared" si="12"/>
        <v>0</v>
      </c>
      <c r="BV11" s="25" t="s">
        <v>237</v>
      </c>
      <c r="BW11" s="1">
        <f t="shared" si="10"/>
        <v>0</v>
      </c>
    </row>
    <row r="12" spans="1:75" x14ac:dyDescent="0.25">
      <c r="A12" t="str">
        <f>tabMercados[[#This Row],[Mercados]]</f>
        <v>Savegnago Taquaral</v>
      </c>
      <c r="B12" s="20">
        <f>SUMPRODUCT(tab_alimentos[kg/embalagem],tab_alimentos[Qtde (S4)])</f>
        <v>0</v>
      </c>
      <c r="C12" s="20">
        <f>SUMPRODUCT(tab_alimentos[Preço],tab_alimentos[Qtde (S4)])</f>
        <v>0</v>
      </c>
      <c r="D12" s="20">
        <f>SUMPRODUCT(tab_higiene[kg/embalagem],tab_higiene[Qtde (S4)])</f>
        <v>0</v>
      </c>
      <c r="E12" s="20">
        <f>SUMPRODUCT(tab_higiene[Preço],tab_higiene[Qtde (S4)])</f>
        <v>0</v>
      </c>
      <c r="F12" s="20">
        <f t="shared" si="13"/>
        <v>0</v>
      </c>
      <c r="G12" s="20">
        <f t="shared" si="13"/>
        <v>0</v>
      </c>
      <c r="I12" s="19" t="str">
        <f>alimentos[[#This Row],[Item]]</f>
        <v>Achocolatado (200g)</v>
      </c>
      <c r="J12" s="4">
        <f>IFERROR(alimentos[[#This Row],[kg/embalagem]],0)</f>
        <v>0.2</v>
      </c>
      <c r="K12" s="4">
        <f>IFERROR(alimentos[[#This Row],[Preço]],0)</f>
        <v>3.69</v>
      </c>
      <c r="L12" s="4">
        <f>SUMIFS(super1[Qtde],super1[Item],tab_alimentos[[#This Row],[Item]],super1[Bairro],mercado1)+SUMIFS(supercb[Qtde],supercb[Item],tab_alimentos[[#This Row],[Item]],supercb[Bairro],mercado1)</f>
        <v>0</v>
      </c>
      <c r="M12" s="4">
        <f>SUMIFS(super1[Qtde],super1[Item],tab_alimentos[[#This Row],[Item]],super1[Bairro],mercado2)+SUMIFS(supercb[Qtde],supercb[Item],tab_alimentos[[#This Row],[Item]],supercb[Bairro],mercado2)</f>
        <v>0</v>
      </c>
      <c r="N12" s="4">
        <f>SUMIFS(super1[Qtde],super1[Item],tab_alimentos[[#This Row],[Item]],super1[Bairro],mercado3)+SUMIFS(supercb[Qtde],supercb[Item],tab_alimentos[[#This Row],[Item]],supercb[Bairro],mercado3)</f>
        <v>0</v>
      </c>
      <c r="O12" s="4">
        <f>SUMIFS(super1[Qtde],super1[Item],tab_alimentos[[#This Row],[Item]],super1[Bairro],mercado4)+SUMIFS(supercb[Qtde],supercb[Item],tab_alimentos[[#This Row],[Item]],supercb[Bairro],mercado4)</f>
        <v>0</v>
      </c>
      <c r="P12" s="4">
        <f>SUMIFS(super1[Qtde],super1[Item],tab_alimentos[[#This Row],[Item]],super1[Bairro],mercado5)+SUMIFS(supercb[Qtde],supercb[Item],tab_alimentos[[#This Row],[Item]],supercb[Bairro],mercado5)</f>
        <v>0</v>
      </c>
      <c r="Q12" s="4">
        <f>SUMIFS(super1[Qtde],super1[Item],tab_alimentos[[#This Row],[Item]],super1[Bairro],mercado6)+SUMIFS(supercb[Qtde],supercb[Item],tab_alimentos[[#This Row],[Item]],supercb[Bairro],mercado6)</f>
        <v>0</v>
      </c>
      <c r="R12" s="4">
        <f>SUMIFS(super1[Qtde],super1[Item],tab_alimentos[[#This Row],[Item]],super1[Bairro],mercado7)+SUMIFS(supercb[Qtde],supercb[Item],tab_alimentos[[#This Row],[Item]],supercb[Bairro],mercado7)</f>
        <v>0</v>
      </c>
      <c r="S12" s="4">
        <f>SUMIFS(super1[Qtde],super1[Item],tab_alimentos[[#This Row],[Item]],super1[Bairro],mercado8)+SUMIFS(supercb[Qtde],supercb[Item],tab_alimentos[[#This Row],[Item]],supercb[Bairro],mercado8)</f>
        <v>0</v>
      </c>
      <c r="T12" s="4">
        <f>SUMIFS(super1[Qtde],super1[Item],tab_alimentos[[#This Row],[Item]],super1[Bairro],mercado9)+SUMIFS(supercb[Qtde],supercb[Item],tab_alimentos[[#This Row],[Item]],supercb[Bairro],mercado9)</f>
        <v>0</v>
      </c>
      <c r="U12" s="4">
        <f>SUMIFS(super1[Qtde],super1[Item],tab_alimentos[[#This Row],[Item]],super1[Bairro],mercado10)+SUMIFS(supercb[Qtde],supercb[Item],tab_alimentos[[#This Row],[Item]],supercb[Bairro],mercado10)</f>
        <v>0</v>
      </c>
      <c r="V12" s="4">
        <f>SUMIFS(super1[Qtde],super1[Item],tab_alimentos[[#This Row],[Item]],super1[Bairro],mercado11)+SUMIFS(supercb[Qtde],supercb[Item],tab_alimentos[[#This Row],[Item]],supercb[Bairro],mercado11)</f>
        <v>0</v>
      </c>
      <c r="W12" s="4">
        <f>SUMIFS(super1[Qtde],super1[Item],tab_alimentos[[#This Row],[Item]],super1[Bairro],mercado12)+SUMIFS(supercb[Qtde],supercb[Item],tab_alimentos[[#This Row],[Item]],supercb[Bairro],mercado12)</f>
        <v>0</v>
      </c>
      <c r="X12" s="4">
        <f>SUMIFS(super1[Qtde],super1[Item],tab_alimentos[[#This Row],[Item]],super1[Bairro],mercado13)+SUMIFS(supercb[Qtde],supercb[Item],tab_alimentos[[#This Row],[Item]],supercb[Bairro],mercado13)</f>
        <v>0</v>
      </c>
      <c r="Y12" s="4">
        <f>SUMIFS(super1[Qtde],super1[Item],tab_alimentos[[#This Row],[Item]],super1[Bairro],mercado14)+SUMIFS(supercb[Qtde],supercb[Item],tab_alimentos[[#This Row],[Item]],supercb[Bairro],mercado14)</f>
        <v>0</v>
      </c>
      <c r="Z12" s="4">
        <f>SUMIFS(super1[Qtde],super1[Item],tab_alimentos[[#This Row],[Item]],super1[Bairro],mercado15)+SUMIFS(supercb[Qtde],supercb[Item],tab_alimentos[[#This Row],[Item]],supercb[Bairro],mercado15)</f>
        <v>0</v>
      </c>
      <c r="AA12" s="4">
        <f>SUMIFS(super1[Qtde],super1[Item],tab_alimentos[[#This Row],[Item]],super1[Bairro],mercado16)+SUMIFS(supercb[Qtde],supercb[Item],tab_alimentos[[#This Row],[Item]],supercb[Bairro],mercado16)</f>
        <v>0</v>
      </c>
      <c r="AB12" s="4">
        <f>SUMIFS(super1[Qtde],super1[Item],tab_alimentos[[#This Row],[Item]],super1[Bairro],mercado17)+SUMIFS(supercb[Qtde],supercb[Item],tab_alimentos[[#This Row],[Item]],supercb[Bairro],mercado17)</f>
        <v>0</v>
      </c>
      <c r="AC12" s="4">
        <f>SUMIFS(super1[Qtde],super1[Item],tab_alimentos[[#This Row],[Item]],super1[Bairro],mercado18)+SUMIFS(supercb[Qtde],supercb[Item],tab_alimentos[[#This Row],[Item]],supercb[Bairro],mercado18)</f>
        <v>0</v>
      </c>
      <c r="AD12" s="4">
        <f>SUMIFS(super1[Qtde],super1[Item],tab_alimentos[[#This Row],[Item]],super1[Bairro],extras)+SUMIFS(supercb[Qtde],supercb[Item],tab_alimentos[[#This Row],[Item]],supercb[Bairro],extras)</f>
        <v>0</v>
      </c>
      <c r="AE12" s="4">
        <f t="shared" si="0"/>
        <v>0</v>
      </c>
      <c r="AF12" s="4">
        <f t="shared" si="1"/>
        <v>0</v>
      </c>
      <c r="AG12" s="6">
        <f t="shared" si="2"/>
        <v>0</v>
      </c>
      <c r="AH12" s="19" t="str">
        <f>higiene[[#This Row],[Item]]</f>
        <v>Absorvente (32un)</v>
      </c>
      <c r="AI12" s="4">
        <f>IFERROR(higiene[[#This Row],[Kg equivalente]],0)</f>
        <v>0</v>
      </c>
      <c r="AJ12" s="4">
        <f>IFERROR(higiene[[#This Row],[Preço por produto]],0)</f>
        <v>21.59</v>
      </c>
      <c r="AK12" s="4">
        <f>SUMIFS(super1[Qtde],super1[Item],tab_higiene[[#This Row],[Item]],super1[Bairro],mercado1)+SUMIFS(supercb[Qtde],supercb[Item],tab_higiene[[#This Row],[Item]],supercb[Bairro],mercado1)</f>
        <v>0</v>
      </c>
      <c r="AL12" s="4">
        <f>SUMIFS(super1[Qtde],super1[Item],tab_higiene[[#This Row],[Item]],super1[Bairro],mercado2)+SUMIFS(supercb[Qtde],supercb[Item],tab_higiene[[#This Row],[Item]],supercb[Bairro],mercado2)</f>
        <v>0</v>
      </c>
      <c r="AM12" s="4">
        <f>SUMIFS(super1[Qtde],super1[Item],tab_higiene[[#This Row],[Item]],super1[Bairro],mercado3)+SUMIFS(supercb[Qtde],supercb[Item],tab_higiene[[#This Row],[Item]],supercb[Bairro],mercado3)</f>
        <v>0</v>
      </c>
      <c r="AN12" s="4">
        <f>SUMIFS(super1[Qtde],super1[Item],tab_higiene[[#This Row],[Item]],super1[Bairro],mercado4)+SUMIFS(supercb[Qtde],supercb[Item],tab_higiene[[#This Row],[Item]],supercb[Bairro],mercado4)</f>
        <v>0</v>
      </c>
      <c r="AO12" s="4">
        <f>SUMIFS(super1[Qtde],super1[Item],tab_higiene[[#This Row],[Item]],super1[Bairro],mercado5)+SUMIFS(supercb[Qtde],supercb[Item],tab_higiene[[#This Row],[Item]],supercb[Bairro],mercado5)</f>
        <v>0</v>
      </c>
      <c r="AP12" s="4">
        <f>SUMIFS(super1[Qtde],super1[Item],tab_higiene[[#This Row],[Item]],super1[Bairro],mercado6)+SUMIFS(supercb[Qtde],supercb[Item],tab_higiene[[#This Row],[Item]],supercb[Bairro],mercado6)</f>
        <v>0</v>
      </c>
      <c r="AQ12" s="4">
        <f>SUMIFS(super1[Qtde],super1[Item],tab_higiene[[#This Row],[Item]],super1[Bairro],mercado7)+SUMIFS(supercb[Qtde],supercb[Item],tab_higiene[[#This Row],[Item]],supercb[Bairro],mercado7)</f>
        <v>0</v>
      </c>
      <c r="AR12" s="4">
        <f>SUMIFS(super1[Qtde],super1[Item],tab_higiene[[#This Row],[Item]],super1[Bairro],mercado8)+SUMIFS(supercb[Qtde],supercb[Item],tab_higiene[[#This Row],[Item]],supercb[Bairro],mercado8)</f>
        <v>0</v>
      </c>
      <c r="AS12" s="4">
        <f>SUMIFS(super1[Qtde],super1[Item],tab_higiene[[#This Row],[Item]],super1[Bairro],mercado9)+SUMIFS(supercb[Qtde],supercb[Item],tab_higiene[[#This Row],[Item]],supercb[Bairro],mercado9)</f>
        <v>0</v>
      </c>
      <c r="AT12" s="4">
        <f>SUMIFS(super1[Qtde],super1[Item],tab_higiene[[#This Row],[Item]],super1[Bairro],mercado10)+SUMIFS(supercb[Qtde],supercb[Item],tab_higiene[[#This Row],[Item]],supercb[Bairro],mercado10)</f>
        <v>0</v>
      </c>
      <c r="AU12" s="4">
        <f>SUMIFS(super1[Qtde],super1[Item],tab_higiene[[#This Row],[Item]],super1[Bairro],mercado11)+SUMIFS(supercb[Qtde],supercb[Item],tab_higiene[[#This Row],[Item]],supercb[Bairro],mercado11)</f>
        <v>0</v>
      </c>
      <c r="AV12" s="4">
        <f>SUMIFS(super1[Qtde],super1[Item],tab_higiene[[#This Row],[Item]],super1[Bairro],mercado12)+SUMIFS(supercb[Qtde],supercb[Item],tab_higiene[[#This Row],[Item]],supercb[Bairro],mercado12)</f>
        <v>0</v>
      </c>
      <c r="AW12" s="4">
        <f>SUMIFS(super1[Qtde],super1[Item],tab_higiene[[#This Row],[Item]],super1[Bairro],mercado13)+SUMIFS(supercb[Qtde],supercb[Item],tab_higiene[[#This Row],[Item]],supercb[Bairro],mercado13)</f>
        <v>0</v>
      </c>
      <c r="AX12" s="4">
        <f>SUMIFS(super1[Qtde],super1[Item],tab_higiene[[#This Row],[Item]],super1[Bairro],mercado14)+SUMIFS(supercb[Qtde],supercb[Item],tab_higiene[[#This Row],[Item]],supercb[Bairro],mercado14)</f>
        <v>0</v>
      </c>
      <c r="AY12" s="4">
        <f>SUMIFS(super1[Qtde],super1[Item],tab_higiene[[#This Row],[Item]],super1[Bairro],mercado15)+SUMIFS(supercb[Qtde],supercb[Item],tab_higiene[[#This Row],[Item]],supercb[Bairro],mercado15)</f>
        <v>0</v>
      </c>
      <c r="AZ12" s="4">
        <f>SUMIFS(super1[Qtde],super1[Item],tab_higiene[[#This Row],[Item]],super1[Bairro],mercado16)+SUMIFS(supercb[Qtde],supercb[Item],tab_higiene[[#This Row],[Item]],supercb[Bairro],mercado16)</f>
        <v>0</v>
      </c>
      <c r="BA12" s="4">
        <f>SUMIFS(super1[Qtde],super1[Item],tab_higiene[[#This Row],[Item]],super1[Bairro],mercado17)+SUMIFS(supercb[Qtde],supercb[Item],tab_higiene[[#This Row],[Item]],supercb[Bairro],mercado17)</f>
        <v>0</v>
      </c>
      <c r="BB12" s="4">
        <f>SUMIFS(super1[Qtde],super1[Item],tab_higiene[[#This Row],[Item]],super1[Bairro],mercado18)+SUMIFS(supercb[Qtde],supercb[Item],tab_higiene[[#This Row],[Item]],supercb[Bairro],mercado18)</f>
        <v>0</v>
      </c>
      <c r="BC12" s="4">
        <f>SUMIFS(super1[Qtde],super1[Item],tab_higiene[[#This Row],[Item]],super1[Bairro],extras)+SUMIFS(supercb[Qtde],supercb[Item],tab_higiene[[#This Row],[Item]],supercb[Bairro],extras)</f>
        <v>0</v>
      </c>
      <c r="BD12" s="4">
        <f t="shared" si="3"/>
        <v>0</v>
      </c>
      <c r="BE12" s="4">
        <f t="shared" si="4"/>
        <v>0</v>
      </c>
      <c r="BF12" s="6">
        <f t="shared" si="5"/>
        <v>0</v>
      </c>
      <c r="BI12" s="1" t="str">
        <f>tab_alimentos[[#This Row],[Item]]</f>
        <v>Achocolatado (200g)</v>
      </c>
      <c r="BJ12" s="1">
        <f t="shared" si="6"/>
        <v>13</v>
      </c>
      <c r="BK12" s="1" t="str">
        <f t="shared" si="7"/>
        <v>Achocolatado</v>
      </c>
      <c r="BL12" s="1">
        <f>tab_alimentos[[#This Row],[kg]]</f>
        <v>0</v>
      </c>
      <c r="BM12" s="25" t="s">
        <v>197</v>
      </c>
      <c r="BN12" s="1">
        <f t="shared" si="11"/>
        <v>0</v>
      </c>
      <c r="BP12" s="1" t="str">
        <f>tab_higiene[[#This Row],[Item]]</f>
        <v>Absorvente (32un)</v>
      </c>
      <c r="BQ12" s="1">
        <f t="shared" si="8"/>
        <v>11</v>
      </c>
      <c r="BR12" s="1" t="str">
        <f t="shared" si="9"/>
        <v>Absorvente</v>
      </c>
      <c r="BS12" s="1">
        <f>higiene[[#This Row],[Quantidade]]</f>
        <v>32</v>
      </c>
      <c r="BT12" s="1">
        <f>tab_higiene[[#This Row],[Qtde (tot)]]</f>
        <v>0</v>
      </c>
      <c r="BU12" s="1">
        <f t="shared" si="12"/>
        <v>0</v>
      </c>
      <c r="BV12" s="25" t="s">
        <v>238</v>
      </c>
      <c r="BW12" s="1">
        <f t="shared" si="10"/>
        <v>0</v>
      </c>
    </row>
    <row r="13" spans="1:75" x14ac:dyDescent="0.25">
      <c r="A13" t="str">
        <f>tabMercados[[#This Row],[Mercados]]</f>
        <v>Supermercado Guará</v>
      </c>
      <c r="B13" s="20">
        <f>SUMPRODUCT(tab_alimentos[kg/embalagem],tab_alimentos[Qtde (S5)])</f>
        <v>0</v>
      </c>
      <c r="C13" s="20">
        <f>SUMPRODUCT(tab_alimentos[Preço],tab_alimentos[Qtde (S5)])</f>
        <v>0</v>
      </c>
      <c r="D13" s="20">
        <f>SUMPRODUCT(tab_higiene[kg/embalagem],tab_higiene[Qtde (S5)])</f>
        <v>0</v>
      </c>
      <c r="E13" s="20">
        <f>SUMPRODUCT(tab_higiene[Preço],tab_higiene[Qtde (S5)])</f>
        <v>0</v>
      </c>
      <c r="F13" s="20">
        <f t="shared" si="13"/>
        <v>0</v>
      </c>
      <c r="G13" s="20">
        <f t="shared" si="13"/>
        <v>0</v>
      </c>
      <c r="I13" s="19" t="str">
        <f>alimentos[[#This Row],[Item]]</f>
        <v>Achocolatado (300g)</v>
      </c>
      <c r="J13" s="4">
        <f>IFERROR(alimentos[[#This Row],[kg/embalagem]],0)</f>
        <v>0.3</v>
      </c>
      <c r="K13" s="4">
        <f>IFERROR(alimentos[[#This Row],[Preço]],0)</f>
        <v>2.59</v>
      </c>
      <c r="L13" s="4">
        <f>SUMIFS(super1[Qtde],super1[Item],tab_alimentos[[#This Row],[Item]],super1[Bairro],mercado1)+SUMIFS(supercb[Qtde],supercb[Item],tab_alimentos[[#This Row],[Item]],supercb[Bairro],mercado1)</f>
        <v>0</v>
      </c>
      <c r="M13" s="4">
        <f>SUMIFS(super1[Qtde],super1[Item],tab_alimentos[[#This Row],[Item]],super1[Bairro],mercado2)+SUMIFS(supercb[Qtde],supercb[Item],tab_alimentos[[#This Row],[Item]],supercb[Bairro],mercado2)</f>
        <v>0</v>
      </c>
      <c r="N13" s="4">
        <f>SUMIFS(super1[Qtde],super1[Item],tab_alimentos[[#This Row],[Item]],super1[Bairro],mercado3)+SUMIFS(supercb[Qtde],supercb[Item],tab_alimentos[[#This Row],[Item]],supercb[Bairro],mercado3)</f>
        <v>0</v>
      </c>
      <c r="O13" s="4">
        <f>SUMIFS(super1[Qtde],super1[Item],tab_alimentos[[#This Row],[Item]],super1[Bairro],mercado4)+SUMIFS(supercb[Qtde],supercb[Item],tab_alimentos[[#This Row],[Item]],supercb[Bairro],mercado4)</f>
        <v>0</v>
      </c>
      <c r="P13" s="4">
        <f>SUMIFS(super1[Qtde],super1[Item],tab_alimentos[[#This Row],[Item]],super1[Bairro],mercado5)+SUMIFS(supercb[Qtde],supercb[Item],tab_alimentos[[#This Row],[Item]],supercb[Bairro],mercado5)</f>
        <v>0</v>
      </c>
      <c r="Q13" s="4">
        <f>SUMIFS(super1[Qtde],super1[Item],tab_alimentos[[#This Row],[Item]],super1[Bairro],mercado6)+SUMIFS(supercb[Qtde],supercb[Item],tab_alimentos[[#This Row],[Item]],supercb[Bairro],mercado6)</f>
        <v>0</v>
      </c>
      <c r="R13" s="4">
        <f>SUMIFS(super1[Qtde],super1[Item],tab_alimentos[[#This Row],[Item]],super1[Bairro],mercado7)+SUMIFS(supercb[Qtde],supercb[Item],tab_alimentos[[#This Row],[Item]],supercb[Bairro],mercado7)</f>
        <v>0</v>
      </c>
      <c r="S13" s="4">
        <f>SUMIFS(super1[Qtde],super1[Item],tab_alimentos[[#This Row],[Item]],super1[Bairro],mercado8)+SUMIFS(supercb[Qtde],supercb[Item],tab_alimentos[[#This Row],[Item]],supercb[Bairro],mercado8)</f>
        <v>0</v>
      </c>
      <c r="T13" s="4">
        <f>SUMIFS(super1[Qtde],super1[Item],tab_alimentos[[#This Row],[Item]],super1[Bairro],mercado9)+SUMIFS(supercb[Qtde],supercb[Item],tab_alimentos[[#This Row],[Item]],supercb[Bairro],mercado9)</f>
        <v>0</v>
      </c>
      <c r="U13" s="4">
        <f>SUMIFS(super1[Qtde],super1[Item],tab_alimentos[[#This Row],[Item]],super1[Bairro],mercado10)+SUMIFS(supercb[Qtde],supercb[Item],tab_alimentos[[#This Row],[Item]],supercb[Bairro],mercado10)</f>
        <v>0</v>
      </c>
      <c r="V13" s="4">
        <f>SUMIFS(super1[Qtde],super1[Item],tab_alimentos[[#This Row],[Item]],super1[Bairro],mercado11)+SUMIFS(supercb[Qtde],supercb[Item],tab_alimentos[[#This Row],[Item]],supercb[Bairro],mercado11)</f>
        <v>0</v>
      </c>
      <c r="W13" s="4">
        <f>SUMIFS(super1[Qtde],super1[Item],tab_alimentos[[#This Row],[Item]],super1[Bairro],mercado12)+SUMIFS(supercb[Qtde],supercb[Item],tab_alimentos[[#This Row],[Item]],supercb[Bairro],mercado12)</f>
        <v>0</v>
      </c>
      <c r="X13" s="4">
        <f>SUMIFS(super1[Qtde],super1[Item],tab_alimentos[[#This Row],[Item]],super1[Bairro],mercado13)+SUMIFS(supercb[Qtde],supercb[Item],tab_alimentos[[#This Row],[Item]],supercb[Bairro],mercado13)</f>
        <v>0</v>
      </c>
      <c r="Y13" s="4">
        <f>SUMIFS(super1[Qtde],super1[Item],tab_alimentos[[#This Row],[Item]],super1[Bairro],mercado14)+SUMIFS(supercb[Qtde],supercb[Item],tab_alimentos[[#This Row],[Item]],supercb[Bairro],mercado14)</f>
        <v>0</v>
      </c>
      <c r="Z13" s="4">
        <f>SUMIFS(super1[Qtde],super1[Item],tab_alimentos[[#This Row],[Item]],super1[Bairro],mercado15)+SUMIFS(supercb[Qtde],supercb[Item],tab_alimentos[[#This Row],[Item]],supercb[Bairro],mercado15)</f>
        <v>0</v>
      </c>
      <c r="AA13" s="4">
        <f>SUMIFS(super1[Qtde],super1[Item],tab_alimentos[[#This Row],[Item]],super1[Bairro],mercado16)+SUMIFS(supercb[Qtde],supercb[Item],tab_alimentos[[#This Row],[Item]],supercb[Bairro],mercado16)</f>
        <v>0</v>
      </c>
      <c r="AB13" s="4">
        <f>SUMIFS(super1[Qtde],super1[Item],tab_alimentos[[#This Row],[Item]],super1[Bairro],mercado17)+SUMIFS(supercb[Qtde],supercb[Item],tab_alimentos[[#This Row],[Item]],supercb[Bairro],mercado17)</f>
        <v>0</v>
      </c>
      <c r="AC13" s="4">
        <f>SUMIFS(super1[Qtde],super1[Item],tab_alimentos[[#This Row],[Item]],super1[Bairro],mercado18)+SUMIFS(supercb[Qtde],supercb[Item],tab_alimentos[[#This Row],[Item]],supercb[Bairro],mercado18)</f>
        <v>0</v>
      </c>
      <c r="AD13" s="4">
        <f>SUMIFS(super1[Qtde],super1[Item],tab_alimentos[[#This Row],[Item]],super1[Bairro],extras)+SUMIFS(supercb[Qtde],supercb[Item],tab_alimentos[[#This Row],[Item]],supercb[Bairro],extras)</f>
        <v>0</v>
      </c>
      <c r="AE13" s="4">
        <f t="shared" si="0"/>
        <v>0</v>
      </c>
      <c r="AF13" s="4">
        <f t="shared" si="1"/>
        <v>0</v>
      </c>
      <c r="AG13" s="6">
        <f t="shared" si="2"/>
        <v>0</v>
      </c>
      <c r="AH13" s="19" t="str">
        <f>higiene[[#This Row],[Item]]</f>
        <v>Absorvente (36un)</v>
      </c>
      <c r="AI13" s="4">
        <f>IFERROR(higiene[[#This Row],[Kg equivalente]],0)</f>
        <v>0</v>
      </c>
      <c r="AJ13" s="4">
        <f>IFERROR(higiene[[#This Row],[Preço por produto]],0)</f>
        <v>8.9</v>
      </c>
      <c r="AK13" s="4">
        <f>SUMIFS(super1[Qtde],super1[Item],tab_higiene[[#This Row],[Item]],super1[Bairro],mercado1)+SUMIFS(supercb[Qtde],supercb[Item],tab_higiene[[#This Row],[Item]],supercb[Bairro],mercado1)</f>
        <v>0</v>
      </c>
      <c r="AL13" s="4">
        <f>SUMIFS(super1[Qtde],super1[Item],tab_higiene[[#This Row],[Item]],super1[Bairro],mercado2)+SUMIFS(supercb[Qtde],supercb[Item],tab_higiene[[#This Row],[Item]],supercb[Bairro],mercado2)</f>
        <v>0</v>
      </c>
      <c r="AM13" s="4">
        <f>SUMIFS(super1[Qtde],super1[Item],tab_higiene[[#This Row],[Item]],super1[Bairro],mercado3)+SUMIFS(supercb[Qtde],supercb[Item],tab_higiene[[#This Row],[Item]],supercb[Bairro],mercado3)</f>
        <v>0</v>
      </c>
      <c r="AN13" s="4">
        <f>SUMIFS(super1[Qtde],super1[Item],tab_higiene[[#This Row],[Item]],super1[Bairro],mercado4)+SUMIFS(supercb[Qtde],supercb[Item],tab_higiene[[#This Row],[Item]],supercb[Bairro],mercado4)</f>
        <v>0</v>
      </c>
      <c r="AO13" s="4">
        <f>SUMIFS(super1[Qtde],super1[Item],tab_higiene[[#This Row],[Item]],super1[Bairro],mercado5)+SUMIFS(supercb[Qtde],supercb[Item],tab_higiene[[#This Row],[Item]],supercb[Bairro],mercado5)</f>
        <v>0</v>
      </c>
      <c r="AP13" s="4">
        <f>SUMIFS(super1[Qtde],super1[Item],tab_higiene[[#This Row],[Item]],super1[Bairro],mercado6)+SUMIFS(supercb[Qtde],supercb[Item],tab_higiene[[#This Row],[Item]],supercb[Bairro],mercado6)</f>
        <v>0</v>
      </c>
      <c r="AQ13" s="4">
        <f>SUMIFS(super1[Qtde],super1[Item],tab_higiene[[#This Row],[Item]],super1[Bairro],mercado7)+SUMIFS(supercb[Qtde],supercb[Item],tab_higiene[[#This Row],[Item]],supercb[Bairro],mercado7)</f>
        <v>0</v>
      </c>
      <c r="AR13" s="4">
        <f>SUMIFS(super1[Qtde],super1[Item],tab_higiene[[#This Row],[Item]],super1[Bairro],mercado8)+SUMIFS(supercb[Qtde],supercb[Item],tab_higiene[[#This Row],[Item]],supercb[Bairro],mercado8)</f>
        <v>0</v>
      </c>
      <c r="AS13" s="4">
        <f>SUMIFS(super1[Qtde],super1[Item],tab_higiene[[#This Row],[Item]],super1[Bairro],mercado9)+SUMIFS(supercb[Qtde],supercb[Item],tab_higiene[[#This Row],[Item]],supercb[Bairro],mercado9)</f>
        <v>0</v>
      </c>
      <c r="AT13" s="4">
        <f>SUMIFS(super1[Qtde],super1[Item],tab_higiene[[#This Row],[Item]],super1[Bairro],mercado10)+SUMIFS(supercb[Qtde],supercb[Item],tab_higiene[[#This Row],[Item]],supercb[Bairro],mercado10)</f>
        <v>0</v>
      </c>
      <c r="AU13" s="4">
        <f>SUMIFS(super1[Qtde],super1[Item],tab_higiene[[#This Row],[Item]],super1[Bairro],mercado11)+SUMIFS(supercb[Qtde],supercb[Item],tab_higiene[[#This Row],[Item]],supercb[Bairro],mercado11)</f>
        <v>0</v>
      </c>
      <c r="AV13" s="4">
        <f>SUMIFS(super1[Qtde],super1[Item],tab_higiene[[#This Row],[Item]],super1[Bairro],mercado12)+SUMIFS(supercb[Qtde],supercb[Item],tab_higiene[[#This Row],[Item]],supercb[Bairro],mercado12)</f>
        <v>0</v>
      </c>
      <c r="AW13" s="4">
        <f>SUMIFS(super1[Qtde],super1[Item],tab_higiene[[#This Row],[Item]],super1[Bairro],mercado13)+SUMIFS(supercb[Qtde],supercb[Item],tab_higiene[[#This Row],[Item]],supercb[Bairro],mercado13)</f>
        <v>0</v>
      </c>
      <c r="AX13" s="4">
        <f>SUMIFS(super1[Qtde],super1[Item],tab_higiene[[#This Row],[Item]],super1[Bairro],mercado14)+SUMIFS(supercb[Qtde],supercb[Item],tab_higiene[[#This Row],[Item]],supercb[Bairro],mercado14)</f>
        <v>0</v>
      </c>
      <c r="AY13" s="4">
        <f>SUMIFS(super1[Qtde],super1[Item],tab_higiene[[#This Row],[Item]],super1[Bairro],mercado15)+SUMIFS(supercb[Qtde],supercb[Item],tab_higiene[[#This Row],[Item]],supercb[Bairro],mercado15)</f>
        <v>0</v>
      </c>
      <c r="AZ13" s="4">
        <f>SUMIFS(super1[Qtde],super1[Item],tab_higiene[[#This Row],[Item]],super1[Bairro],mercado16)+SUMIFS(supercb[Qtde],supercb[Item],tab_higiene[[#This Row],[Item]],supercb[Bairro],mercado16)</f>
        <v>0</v>
      </c>
      <c r="BA13" s="4">
        <f>SUMIFS(super1[Qtde],super1[Item],tab_higiene[[#This Row],[Item]],super1[Bairro],mercado17)+SUMIFS(supercb[Qtde],supercb[Item],tab_higiene[[#This Row],[Item]],supercb[Bairro],mercado17)</f>
        <v>0</v>
      </c>
      <c r="BB13" s="4">
        <f>SUMIFS(super1[Qtde],super1[Item],tab_higiene[[#This Row],[Item]],super1[Bairro],mercado18)+SUMIFS(supercb[Qtde],supercb[Item],tab_higiene[[#This Row],[Item]],supercb[Bairro],mercado18)</f>
        <v>0</v>
      </c>
      <c r="BC13" s="4">
        <f>SUMIFS(super1[Qtde],super1[Item],tab_higiene[[#This Row],[Item]],super1[Bairro],extras)+SUMIFS(supercb[Qtde],supercb[Item],tab_higiene[[#This Row],[Item]],supercb[Bairro],extras)</f>
        <v>0</v>
      </c>
      <c r="BD13" s="4">
        <f t="shared" si="3"/>
        <v>0</v>
      </c>
      <c r="BE13" s="4">
        <f t="shared" si="4"/>
        <v>0</v>
      </c>
      <c r="BF13" s="6">
        <f t="shared" si="5"/>
        <v>0</v>
      </c>
      <c r="BI13" s="1" t="str">
        <f>tab_alimentos[[#This Row],[Item]]</f>
        <v>Achocolatado (300g)</v>
      </c>
      <c r="BJ13" s="1">
        <f t="shared" si="6"/>
        <v>13</v>
      </c>
      <c r="BK13" s="1" t="str">
        <f t="shared" si="7"/>
        <v>Achocolatado</v>
      </c>
      <c r="BL13" s="1">
        <f>tab_alimentos[[#This Row],[kg]]</f>
        <v>0</v>
      </c>
      <c r="BM13" s="25" t="s">
        <v>198</v>
      </c>
      <c r="BN13" s="1">
        <f t="shared" si="11"/>
        <v>0</v>
      </c>
      <c r="BP13" s="1" t="str">
        <f>tab_higiene[[#This Row],[Item]]</f>
        <v>Absorvente (36un)</v>
      </c>
      <c r="BQ13" s="1">
        <f t="shared" si="8"/>
        <v>11</v>
      </c>
      <c r="BR13" s="1" t="str">
        <f t="shared" si="9"/>
        <v>Absorvente</v>
      </c>
      <c r="BS13" s="1">
        <f>higiene[[#This Row],[Quantidade]]</f>
        <v>36</v>
      </c>
      <c r="BT13" s="1">
        <f>tab_higiene[[#This Row],[Qtde (tot)]]</f>
        <v>0</v>
      </c>
      <c r="BU13" s="1">
        <f t="shared" si="12"/>
        <v>0</v>
      </c>
      <c r="BV13" s="25" t="s">
        <v>239</v>
      </c>
      <c r="BW13" s="1">
        <f t="shared" si="10"/>
        <v>0</v>
      </c>
    </row>
    <row r="14" spans="1:75" x14ac:dyDescent="0.25">
      <c r="A14">
        <f>tabMercados[[#This Row],[Mercados]]</f>
        <v>0</v>
      </c>
      <c r="B14" s="20">
        <f>SUMPRODUCT(tab_alimentos[kg/embalagem],tab_alimentos[Qtde (S6)])</f>
        <v>0</v>
      </c>
      <c r="C14" s="20">
        <f>SUMPRODUCT(tab_alimentos[Preço],tab_alimentos[Qtde (S6)])</f>
        <v>0</v>
      </c>
      <c r="D14" s="20">
        <f>SUMPRODUCT(tab_higiene[kg/embalagem],tab_higiene[Qtde (S6)])</f>
        <v>0</v>
      </c>
      <c r="E14" s="20">
        <f>SUMPRODUCT(tab_higiene[Preço],tab_higiene[Qtde (S6)])</f>
        <v>0</v>
      </c>
      <c r="F14" s="20">
        <f t="shared" si="13"/>
        <v>0</v>
      </c>
      <c r="G14" s="20">
        <f t="shared" si="13"/>
        <v>0</v>
      </c>
      <c r="I14" s="19" t="str">
        <f>alimentos[[#This Row],[Item]]</f>
        <v>Achocolatado (370g)</v>
      </c>
      <c r="J14" s="4">
        <f>IFERROR(alimentos[[#This Row],[kg/embalagem]],0)</f>
        <v>0.37</v>
      </c>
      <c r="K14" s="4">
        <f>IFERROR(alimentos[[#This Row],[Preço]],0)</f>
        <v>8.9499999999999993</v>
      </c>
      <c r="L14" s="4">
        <f>SUMIFS(super1[Qtde],super1[Item],tab_alimentos[[#This Row],[Item]],super1[Bairro],mercado1)+SUMIFS(supercb[Qtde],supercb[Item],tab_alimentos[[#This Row],[Item]],supercb[Bairro],mercado1)</f>
        <v>0</v>
      </c>
      <c r="M14" s="4">
        <f>SUMIFS(super1[Qtde],super1[Item],tab_alimentos[[#This Row],[Item]],super1[Bairro],mercado2)+SUMIFS(supercb[Qtde],supercb[Item],tab_alimentos[[#This Row],[Item]],supercb[Bairro],mercado2)</f>
        <v>0</v>
      </c>
      <c r="N14" s="4">
        <f>SUMIFS(super1[Qtde],super1[Item],tab_alimentos[[#This Row],[Item]],super1[Bairro],mercado3)+SUMIFS(supercb[Qtde],supercb[Item],tab_alimentos[[#This Row],[Item]],supercb[Bairro],mercado3)</f>
        <v>0</v>
      </c>
      <c r="O14" s="4">
        <f>SUMIFS(super1[Qtde],super1[Item],tab_alimentos[[#This Row],[Item]],super1[Bairro],mercado4)+SUMIFS(supercb[Qtde],supercb[Item],tab_alimentos[[#This Row],[Item]],supercb[Bairro],mercado4)</f>
        <v>0</v>
      </c>
      <c r="P14" s="4">
        <f>SUMIFS(super1[Qtde],super1[Item],tab_alimentos[[#This Row],[Item]],super1[Bairro],mercado5)+SUMIFS(supercb[Qtde],supercb[Item],tab_alimentos[[#This Row],[Item]],supercb[Bairro],mercado5)</f>
        <v>0</v>
      </c>
      <c r="Q14" s="4">
        <f>SUMIFS(super1[Qtde],super1[Item],tab_alimentos[[#This Row],[Item]],super1[Bairro],mercado6)+SUMIFS(supercb[Qtde],supercb[Item],tab_alimentos[[#This Row],[Item]],supercb[Bairro],mercado6)</f>
        <v>0</v>
      </c>
      <c r="R14" s="4">
        <f>SUMIFS(super1[Qtde],super1[Item],tab_alimentos[[#This Row],[Item]],super1[Bairro],mercado7)+SUMIFS(supercb[Qtde],supercb[Item],tab_alimentos[[#This Row],[Item]],supercb[Bairro],mercado7)</f>
        <v>0</v>
      </c>
      <c r="S14" s="4">
        <f>SUMIFS(super1[Qtde],super1[Item],tab_alimentos[[#This Row],[Item]],super1[Bairro],mercado8)+SUMIFS(supercb[Qtde],supercb[Item],tab_alimentos[[#This Row],[Item]],supercb[Bairro],mercado8)</f>
        <v>0</v>
      </c>
      <c r="T14" s="4">
        <f>SUMIFS(super1[Qtde],super1[Item],tab_alimentos[[#This Row],[Item]],super1[Bairro],mercado9)+SUMIFS(supercb[Qtde],supercb[Item],tab_alimentos[[#This Row],[Item]],supercb[Bairro],mercado9)</f>
        <v>0</v>
      </c>
      <c r="U14" s="4">
        <f>SUMIFS(super1[Qtde],super1[Item],tab_alimentos[[#This Row],[Item]],super1[Bairro],mercado10)+SUMIFS(supercb[Qtde],supercb[Item],tab_alimentos[[#This Row],[Item]],supercb[Bairro],mercado10)</f>
        <v>0</v>
      </c>
      <c r="V14" s="4">
        <f>SUMIFS(super1[Qtde],super1[Item],tab_alimentos[[#This Row],[Item]],super1[Bairro],mercado11)+SUMIFS(supercb[Qtde],supercb[Item],tab_alimentos[[#This Row],[Item]],supercb[Bairro],mercado11)</f>
        <v>0</v>
      </c>
      <c r="W14" s="4">
        <f>SUMIFS(super1[Qtde],super1[Item],tab_alimentos[[#This Row],[Item]],super1[Bairro],mercado12)+SUMIFS(supercb[Qtde],supercb[Item],tab_alimentos[[#This Row],[Item]],supercb[Bairro],mercado12)</f>
        <v>0</v>
      </c>
      <c r="X14" s="4">
        <f>SUMIFS(super1[Qtde],super1[Item],tab_alimentos[[#This Row],[Item]],super1[Bairro],mercado13)+SUMIFS(supercb[Qtde],supercb[Item],tab_alimentos[[#This Row],[Item]],supercb[Bairro],mercado13)</f>
        <v>0</v>
      </c>
      <c r="Y14" s="4">
        <f>SUMIFS(super1[Qtde],super1[Item],tab_alimentos[[#This Row],[Item]],super1[Bairro],mercado14)+SUMIFS(supercb[Qtde],supercb[Item],tab_alimentos[[#This Row],[Item]],supercb[Bairro],mercado14)</f>
        <v>0</v>
      </c>
      <c r="Z14" s="4">
        <f>SUMIFS(super1[Qtde],super1[Item],tab_alimentos[[#This Row],[Item]],super1[Bairro],mercado15)+SUMIFS(supercb[Qtde],supercb[Item],tab_alimentos[[#This Row],[Item]],supercb[Bairro],mercado15)</f>
        <v>0</v>
      </c>
      <c r="AA14" s="4">
        <f>SUMIFS(super1[Qtde],super1[Item],tab_alimentos[[#This Row],[Item]],super1[Bairro],mercado16)+SUMIFS(supercb[Qtde],supercb[Item],tab_alimentos[[#This Row],[Item]],supercb[Bairro],mercado16)</f>
        <v>0</v>
      </c>
      <c r="AB14" s="4">
        <f>SUMIFS(super1[Qtde],super1[Item],tab_alimentos[[#This Row],[Item]],super1[Bairro],mercado17)+SUMIFS(supercb[Qtde],supercb[Item],tab_alimentos[[#This Row],[Item]],supercb[Bairro],mercado17)</f>
        <v>0</v>
      </c>
      <c r="AC14" s="4">
        <f>SUMIFS(super1[Qtde],super1[Item],tab_alimentos[[#This Row],[Item]],super1[Bairro],mercado18)+SUMIFS(supercb[Qtde],supercb[Item],tab_alimentos[[#This Row],[Item]],supercb[Bairro],mercado18)</f>
        <v>0</v>
      </c>
      <c r="AD14" s="4">
        <f>SUMIFS(super1[Qtde],super1[Item],tab_alimentos[[#This Row],[Item]],super1[Bairro],extras)+SUMIFS(supercb[Qtde],supercb[Item],tab_alimentos[[#This Row],[Item]],supercb[Bairro],extras)</f>
        <v>0</v>
      </c>
      <c r="AE14" s="4">
        <f t="shared" si="0"/>
        <v>0</v>
      </c>
      <c r="AF14" s="4">
        <f t="shared" si="1"/>
        <v>0</v>
      </c>
      <c r="AG14" s="6">
        <f t="shared" si="2"/>
        <v>0</v>
      </c>
      <c r="AH14" s="19" t="str">
        <f>higiene[[#This Row],[Item]]</f>
        <v>Absorvente (40un)</v>
      </c>
      <c r="AI14" s="4">
        <f>IFERROR(higiene[[#This Row],[Kg equivalente]],0)</f>
        <v>0</v>
      </c>
      <c r="AJ14" s="4">
        <f>IFERROR(higiene[[#This Row],[Preço por produto]],0)</f>
        <v>13.07</v>
      </c>
      <c r="AK14" s="4">
        <f>SUMIFS(super1[Qtde],super1[Item],tab_higiene[[#This Row],[Item]],super1[Bairro],mercado1)+SUMIFS(supercb[Qtde],supercb[Item],tab_higiene[[#This Row],[Item]],supercb[Bairro],mercado1)</f>
        <v>0</v>
      </c>
      <c r="AL14" s="4">
        <f>SUMIFS(super1[Qtde],super1[Item],tab_higiene[[#This Row],[Item]],super1[Bairro],mercado2)+SUMIFS(supercb[Qtde],supercb[Item],tab_higiene[[#This Row],[Item]],supercb[Bairro],mercado2)</f>
        <v>0</v>
      </c>
      <c r="AM14" s="4">
        <f>SUMIFS(super1[Qtde],super1[Item],tab_higiene[[#This Row],[Item]],super1[Bairro],mercado3)+SUMIFS(supercb[Qtde],supercb[Item],tab_higiene[[#This Row],[Item]],supercb[Bairro],mercado3)</f>
        <v>0</v>
      </c>
      <c r="AN14" s="4">
        <f>SUMIFS(super1[Qtde],super1[Item],tab_higiene[[#This Row],[Item]],super1[Bairro],mercado4)+SUMIFS(supercb[Qtde],supercb[Item],tab_higiene[[#This Row],[Item]],supercb[Bairro],mercado4)</f>
        <v>0</v>
      </c>
      <c r="AO14" s="4">
        <f>SUMIFS(super1[Qtde],super1[Item],tab_higiene[[#This Row],[Item]],super1[Bairro],mercado5)+SUMIFS(supercb[Qtde],supercb[Item],tab_higiene[[#This Row],[Item]],supercb[Bairro],mercado5)</f>
        <v>0</v>
      </c>
      <c r="AP14" s="4">
        <f>SUMIFS(super1[Qtde],super1[Item],tab_higiene[[#This Row],[Item]],super1[Bairro],mercado6)+SUMIFS(supercb[Qtde],supercb[Item],tab_higiene[[#This Row],[Item]],supercb[Bairro],mercado6)</f>
        <v>0</v>
      </c>
      <c r="AQ14" s="4">
        <f>SUMIFS(super1[Qtde],super1[Item],tab_higiene[[#This Row],[Item]],super1[Bairro],mercado7)+SUMIFS(supercb[Qtde],supercb[Item],tab_higiene[[#This Row],[Item]],supercb[Bairro],mercado7)</f>
        <v>0</v>
      </c>
      <c r="AR14" s="4">
        <f>SUMIFS(super1[Qtde],super1[Item],tab_higiene[[#This Row],[Item]],super1[Bairro],mercado8)+SUMIFS(supercb[Qtde],supercb[Item],tab_higiene[[#This Row],[Item]],supercb[Bairro],mercado8)</f>
        <v>0</v>
      </c>
      <c r="AS14" s="4">
        <f>SUMIFS(super1[Qtde],super1[Item],tab_higiene[[#This Row],[Item]],super1[Bairro],mercado9)+SUMIFS(supercb[Qtde],supercb[Item],tab_higiene[[#This Row],[Item]],supercb[Bairro],mercado9)</f>
        <v>0</v>
      </c>
      <c r="AT14" s="4">
        <f>SUMIFS(super1[Qtde],super1[Item],tab_higiene[[#This Row],[Item]],super1[Bairro],mercado10)+SUMIFS(supercb[Qtde],supercb[Item],tab_higiene[[#This Row],[Item]],supercb[Bairro],mercado10)</f>
        <v>0</v>
      </c>
      <c r="AU14" s="4">
        <f>SUMIFS(super1[Qtde],super1[Item],tab_higiene[[#This Row],[Item]],super1[Bairro],mercado11)+SUMIFS(supercb[Qtde],supercb[Item],tab_higiene[[#This Row],[Item]],supercb[Bairro],mercado11)</f>
        <v>0</v>
      </c>
      <c r="AV14" s="4">
        <f>SUMIFS(super1[Qtde],super1[Item],tab_higiene[[#This Row],[Item]],super1[Bairro],mercado12)+SUMIFS(supercb[Qtde],supercb[Item],tab_higiene[[#This Row],[Item]],supercb[Bairro],mercado12)</f>
        <v>0</v>
      </c>
      <c r="AW14" s="4">
        <f>SUMIFS(super1[Qtde],super1[Item],tab_higiene[[#This Row],[Item]],super1[Bairro],mercado13)+SUMIFS(supercb[Qtde],supercb[Item],tab_higiene[[#This Row],[Item]],supercb[Bairro],mercado13)</f>
        <v>0</v>
      </c>
      <c r="AX14" s="4">
        <f>SUMIFS(super1[Qtde],super1[Item],tab_higiene[[#This Row],[Item]],super1[Bairro],mercado14)+SUMIFS(supercb[Qtde],supercb[Item],tab_higiene[[#This Row],[Item]],supercb[Bairro],mercado14)</f>
        <v>0</v>
      </c>
      <c r="AY14" s="4">
        <f>SUMIFS(super1[Qtde],super1[Item],tab_higiene[[#This Row],[Item]],super1[Bairro],mercado15)+SUMIFS(supercb[Qtde],supercb[Item],tab_higiene[[#This Row],[Item]],supercb[Bairro],mercado15)</f>
        <v>0</v>
      </c>
      <c r="AZ14" s="4">
        <f>SUMIFS(super1[Qtde],super1[Item],tab_higiene[[#This Row],[Item]],super1[Bairro],mercado16)+SUMIFS(supercb[Qtde],supercb[Item],tab_higiene[[#This Row],[Item]],supercb[Bairro],mercado16)</f>
        <v>0</v>
      </c>
      <c r="BA14" s="4">
        <f>SUMIFS(super1[Qtde],super1[Item],tab_higiene[[#This Row],[Item]],super1[Bairro],mercado17)+SUMIFS(supercb[Qtde],supercb[Item],tab_higiene[[#This Row],[Item]],supercb[Bairro],mercado17)</f>
        <v>0</v>
      </c>
      <c r="BB14" s="4">
        <f>SUMIFS(super1[Qtde],super1[Item],tab_higiene[[#This Row],[Item]],super1[Bairro],mercado18)+SUMIFS(supercb[Qtde],supercb[Item],tab_higiene[[#This Row],[Item]],supercb[Bairro],mercado18)</f>
        <v>0</v>
      </c>
      <c r="BC14" s="4">
        <f>SUMIFS(super1[Qtde],super1[Item],tab_higiene[[#This Row],[Item]],super1[Bairro],extras)+SUMIFS(supercb[Qtde],supercb[Item],tab_higiene[[#This Row],[Item]],supercb[Bairro],extras)</f>
        <v>0</v>
      </c>
      <c r="BD14" s="4">
        <f t="shared" si="3"/>
        <v>0</v>
      </c>
      <c r="BE14" s="4">
        <f t="shared" si="4"/>
        <v>0</v>
      </c>
      <c r="BF14" s="6">
        <f t="shared" si="5"/>
        <v>0</v>
      </c>
      <c r="BI14" s="1" t="str">
        <f>tab_alimentos[[#This Row],[Item]]</f>
        <v>Achocolatado (370g)</v>
      </c>
      <c r="BJ14" s="1">
        <f t="shared" si="6"/>
        <v>13</v>
      </c>
      <c r="BK14" s="1" t="str">
        <f t="shared" si="7"/>
        <v>Achocolatado</v>
      </c>
      <c r="BL14" s="1">
        <f>tab_alimentos[[#This Row],[kg]]</f>
        <v>0</v>
      </c>
      <c r="BM14" s="25" t="s">
        <v>57</v>
      </c>
      <c r="BN14" s="1">
        <f t="shared" si="11"/>
        <v>0</v>
      </c>
      <c r="BP14" s="1" t="str">
        <f>tab_higiene[[#This Row],[Item]]</f>
        <v>Absorvente (40un)</v>
      </c>
      <c r="BQ14" s="1">
        <f t="shared" si="8"/>
        <v>11</v>
      </c>
      <c r="BR14" s="1" t="str">
        <f t="shared" si="9"/>
        <v>Absorvente</v>
      </c>
      <c r="BS14" s="1">
        <f>higiene[[#This Row],[Quantidade]]</f>
        <v>40</v>
      </c>
      <c r="BT14" s="1">
        <f>tab_higiene[[#This Row],[Qtde (tot)]]</f>
        <v>0</v>
      </c>
      <c r="BU14" s="1">
        <f t="shared" si="12"/>
        <v>0</v>
      </c>
      <c r="BV14" s="25" t="s">
        <v>57</v>
      </c>
      <c r="BW14" s="1">
        <f t="shared" si="10"/>
        <v>0</v>
      </c>
    </row>
    <row r="15" spans="1:75" x14ac:dyDescent="0.25">
      <c r="A15">
        <f>tabMercados[[#This Row],[Mercados]]</f>
        <v>0</v>
      </c>
      <c r="B15" s="20">
        <f>SUMPRODUCT(tab_alimentos[kg/embalagem],tab_alimentos[Qtde (S7)])</f>
        <v>0</v>
      </c>
      <c r="C15" s="20">
        <f>SUMPRODUCT(tab_alimentos[Preço],tab_alimentos[Qtde (S7)])</f>
        <v>0</v>
      </c>
      <c r="D15" s="20">
        <f>SUMPRODUCT(tab_higiene[kg/embalagem],tab_higiene[Qtde (S7)])</f>
        <v>0</v>
      </c>
      <c r="E15" s="20">
        <f>SUMPRODUCT(tab_higiene[Preço],tab_higiene[Qtde (S7)])</f>
        <v>0</v>
      </c>
      <c r="F15" s="20">
        <f t="shared" si="13"/>
        <v>0</v>
      </c>
      <c r="G15" s="20">
        <f t="shared" si="13"/>
        <v>0</v>
      </c>
      <c r="I15" s="19" t="str">
        <f>alimentos[[#This Row],[Item]]</f>
        <v>Achocolatado (400g)</v>
      </c>
      <c r="J15" s="4">
        <f>IFERROR(alimentos[[#This Row],[kg/embalagem]],0)</f>
        <v>0.4</v>
      </c>
      <c r="K15" s="4">
        <f>IFERROR(alimentos[[#This Row],[Preço]],0)</f>
        <v>3.39</v>
      </c>
      <c r="L15" s="4">
        <f>SUMIFS(super1[Qtde],super1[Item],tab_alimentos[[#This Row],[Item]],super1[Bairro],mercado1)+SUMIFS(supercb[Qtde],supercb[Item],tab_alimentos[[#This Row],[Item]],supercb[Bairro],mercado1)</f>
        <v>0</v>
      </c>
      <c r="M15" s="4">
        <f>SUMIFS(super1[Qtde],super1[Item],tab_alimentos[[#This Row],[Item]],super1[Bairro],mercado2)+SUMIFS(supercb[Qtde],supercb[Item],tab_alimentos[[#This Row],[Item]],supercb[Bairro],mercado2)</f>
        <v>0</v>
      </c>
      <c r="N15" s="4">
        <f>SUMIFS(super1[Qtde],super1[Item],tab_alimentos[[#This Row],[Item]],super1[Bairro],mercado3)+SUMIFS(supercb[Qtde],supercb[Item],tab_alimentos[[#This Row],[Item]],supercb[Bairro],mercado3)</f>
        <v>0</v>
      </c>
      <c r="O15" s="4">
        <f>SUMIFS(super1[Qtde],super1[Item],tab_alimentos[[#This Row],[Item]],super1[Bairro],mercado4)+SUMIFS(supercb[Qtde],supercb[Item],tab_alimentos[[#This Row],[Item]],supercb[Bairro],mercado4)</f>
        <v>0</v>
      </c>
      <c r="P15" s="4">
        <f>SUMIFS(super1[Qtde],super1[Item],tab_alimentos[[#This Row],[Item]],super1[Bairro],mercado5)+SUMIFS(supercb[Qtde],supercb[Item],tab_alimentos[[#This Row],[Item]],supercb[Bairro],mercado5)</f>
        <v>0</v>
      </c>
      <c r="Q15" s="4">
        <f>SUMIFS(super1[Qtde],super1[Item],tab_alimentos[[#This Row],[Item]],super1[Bairro],mercado6)+SUMIFS(supercb[Qtde],supercb[Item],tab_alimentos[[#This Row],[Item]],supercb[Bairro],mercado6)</f>
        <v>0</v>
      </c>
      <c r="R15" s="4">
        <f>SUMIFS(super1[Qtde],super1[Item],tab_alimentos[[#This Row],[Item]],super1[Bairro],mercado7)+SUMIFS(supercb[Qtde],supercb[Item],tab_alimentos[[#This Row],[Item]],supercb[Bairro],mercado7)</f>
        <v>0</v>
      </c>
      <c r="S15" s="4">
        <f>SUMIFS(super1[Qtde],super1[Item],tab_alimentos[[#This Row],[Item]],super1[Bairro],mercado8)+SUMIFS(supercb[Qtde],supercb[Item],tab_alimentos[[#This Row],[Item]],supercb[Bairro],mercado8)</f>
        <v>0</v>
      </c>
      <c r="T15" s="4">
        <f>SUMIFS(super1[Qtde],super1[Item],tab_alimentos[[#This Row],[Item]],super1[Bairro],mercado9)+SUMIFS(supercb[Qtde],supercb[Item],tab_alimentos[[#This Row],[Item]],supercb[Bairro],mercado9)</f>
        <v>0</v>
      </c>
      <c r="U15" s="4">
        <f>SUMIFS(super1[Qtde],super1[Item],tab_alimentos[[#This Row],[Item]],super1[Bairro],mercado10)+SUMIFS(supercb[Qtde],supercb[Item],tab_alimentos[[#This Row],[Item]],supercb[Bairro],mercado10)</f>
        <v>0</v>
      </c>
      <c r="V15" s="4">
        <f>SUMIFS(super1[Qtde],super1[Item],tab_alimentos[[#This Row],[Item]],super1[Bairro],mercado11)+SUMIFS(supercb[Qtde],supercb[Item],tab_alimentos[[#This Row],[Item]],supercb[Bairro],mercado11)</f>
        <v>0</v>
      </c>
      <c r="W15" s="4">
        <f>SUMIFS(super1[Qtde],super1[Item],tab_alimentos[[#This Row],[Item]],super1[Bairro],mercado12)+SUMIFS(supercb[Qtde],supercb[Item],tab_alimentos[[#This Row],[Item]],supercb[Bairro],mercado12)</f>
        <v>0</v>
      </c>
      <c r="X15" s="4">
        <f>SUMIFS(super1[Qtde],super1[Item],tab_alimentos[[#This Row],[Item]],super1[Bairro],mercado13)+SUMIFS(supercb[Qtde],supercb[Item],tab_alimentos[[#This Row],[Item]],supercb[Bairro],mercado13)</f>
        <v>0</v>
      </c>
      <c r="Y15" s="4">
        <f>SUMIFS(super1[Qtde],super1[Item],tab_alimentos[[#This Row],[Item]],super1[Bairro],mercado14)+SUMIFS(supercb[Qtde],supercb[Item],tab_alimentos[[#This Row],[Item]],supercb[Bairro],mercado14)</f>
        <v>0</v>
      </c>
      <c r="Z15" s="4">
        <f>SUMIFS(super1[Qtde],super1[Item],tab_alimentos[[#This Row],[Item]],super1[Bairro],mercado15)+SUMIFS(supercb[Qtde],supercb[Item],tab_alimentos[[#This Row],[Item]],supercb[Bairro],mercado15)</f>
        <v>0</v>
      </c>
      <c r="AA15" s="4">
        <f>SUMIFS(super1[Qtde],super1[Item],tab_alimentos[[#This Row],[Item]],super1[Bairro],mercado16)+SUMIFS(supercb[Qtde],supercb[Item],tab_alimentos[[#This Row],[Item]],supercb[Bairro],mercado16)</f>
        <v>0</v>
      </c>
      <c r="AB15" s="4">
        <f>SUMIFS(super1[Qtde],super1[Item],tab_alimentos[[#This Row],[Item]],super1[Bairro],mercado17)+SUMIFS(supercb[Qtde],supercb[Item],tab_alimentos[[#This Row],[Item]],supercb[Bairro],mercado17)</f>
        <v>0</v>
      </c>
      <c r="AC15" s="4">
        <f>SUMIFS(super1[Qtde],super1[Item],tab_alimentos[[#This Row],[Item]],super1[Bairro],mercado18)+SUMIFS(supercb[Qtde],supercb[Item],tab_alimentos[[#This Row],[Item]],supercb[Bairro],mercado18)</f>
        <v>0</v>
      </c>
      <c r="AD15" s="4">
        <f>SUMIFS(super1[Qtde],super1[Item],tab_alimentos[[#This Row],[Item]],super1[Bairro],extras)+SUMIFS(supercb[Qtde],supercb[Item],tab_alimentos[[#This Row],[Item]],supercb[Bairro],extras)</f>
        <v>0</v>
      </c>
      <c r="AE15" s="4">
        <f t="shared" si="0"/>
        <v>0</v>
      </c>
      <c r="AF15" s="4">
        <f t="shared" si="1"/>
        <v>0</v>
      </c>
      <c r="AG15" s="6">
        <f t="shared" si="2"/>
        <v>0</v>
      </c>
      <c r="AH15" s="19" t="str">
        <f>higiene[[#This Row],[Item]]</f>
        <v>Absorvente (60un)</v>
      </c>
      <c r="AI15" s="4">
        <f>IFERROR(higiene[[#This Row],[Kg equivalente]],0)</f>
        <v>0</v>
      </c>
      <c r="AJ15" s="4">
        <f>IFERROR(higiene[[#This Row],[Preço por produto]],0)</f>
        <v>33.9</v>
      </c>
      <c r="AK15" s="4">
        <f>SUMIFS(super1[Qtde],super1[Item],tab_higiene[[#This Row],[Item]],super1[Bairro],mercado1)+SUMIFS(supercb[Qtde],supercb[Item],tab_higiene[[#This Row],[Item]],supercb[Bairro],mercado1)</f>
        <v>0</v>
      </c>
      <c r="AL15" s="4">
        <f>SUMIFS(super1[Qtde],super1[Item],tab_higiene[[#This Row],[Item]],super1[Bairro],mercado2)+SUMIFS(supercb[Qtde],supercb[Item],tab_higiene[[#This Row],[Item]],supercb[Bairro],mercado2)</f>
        <v>0</v>
      </c>
      <c r="AM15" s="4">
        <f>SUMIFS(super1[Qtde],super1[Item],tab_higiene[[#This Row],[Item]],super1[Bairro],mercado3)+SUMIFS(supercb[Qtde],supercb[Item],tab_higiene[[#This Row],[Item]],supercb[Bairro],mercado3)</f>
        <v>0</v>
      </c>
      <c r="AN15" s="4">
        <f>SUMIFS(super1[Qtde],super1[Item],tab_higiene[[#This Row],[Item]],super1[Bairro],mercado4)+SUMIFS(supercb[Qtde],supercb[Item],tab_higiene[[#This Row],[Item]],supercb[Bairro],mercado4)</f>
        <v>0</v>
      </c>
      <c r="AO15" s="4">
        <f>SUMIFS(super1[Qtde],super1[Item],tab_higiene[[#This Row],[Item]],super1[Bairro],mercado5)+SUMIFS(supercb[Qtde],supercb[Item],tab_higiene[[#This Row],[Item]],supercb[Bairro],mercado5)</f>
        <v>0</v>
      </c>
      <c r="AP15" s="4">
        <f>SUMIFS(super1[Qtde],super1[Item],tab_higiene[[#This Row],[Item]],super1[Bairro],mercado6)+SUMIFS(supercb[Qtde],supercb[Item],tab_higiene[[#This Row],[Item]],supercb[Bairro],mercado6)</f>
        <v>0</v>
      </c>
      <c r="AQ15" s="4">
        <f>SUMIFS(super1[Qtde],super1[Item],tab_higiene[[#This Row],[Item]],super1[Bairro],mercado7)+SUMIFS(supercb[Qtde],supercb[Item],tab_higiene[[#This Row],[Item]],supercb[Bairro],mercado7)</f>
        <v>0</v>
      </c>
      <c r="AR15" s="4">
        <f>SUMIFS(super1[Qtde],super1[Item],tab_higiene[[#This Row],[Item]],super1[Bairro],mercado8)+SUMIFS(supercb[Qtde],supercb[Item],tab_higiene[[#This Row],[Item]],supercb[Bairro],mercado8)</f>
        <v>0</v>
      </c>
      <c r="AS15" s="4">
        <f>SUMIFS(super1[Qtde],super1[Item],tab_higiene[[#This Row],[Item]],super1[Bairro],mercado9)+SUMIFS(supercb[Qtde],supercb[Item],tab_higiene[[#This Row],[Item]],supercb[Bairro],mercado9)</f>
        <v>0</v>
      </c>
      <c r="AT15" s="4">
        <f>SUMIFS(super1[Qtde],super1[Item],tab_higiene[[#This Row],[Item]],super1[Bairro],mercado10)+SUMIFS(supercb[Qtde],supercb[Item],tab_higiene[[#This Row],[Item]],supercb[Bairro],mercado10)</f>
        <v>0</v>
      </c>
      <c r="AU15" s="4">
        <f>SUMIFS(super1[Qtde],super1[Item],tab_higiene[[#This Row],[Item]],super1[Bairro],mercado11)+SUMIFS(supercb[Qtde],supercb[Item],tab_higiene[[#This Row],[Item]],supercb[Bairro],mercado11)</f>
        <v>0</v>
      </c>
      <c r="AV15" s="4">
        <f>SUMIFS(super1[Qtde],super1[Item],tab_higiene[[#This Row],[Item]],super1[Bairro],mercado12)+SUMIFS(supercb[Qtde],supercb[Item],tab_higiene[[#This Row],[Item]],supercb[Bairro],mercado12)</f>
        <v>0</v>
      </c>
      <c r="AW15" s="4">
        <f>SUMIFS(super1[Qtde],super1[Item],tab_higiene[[#This Row],[Item]],super1[Bairro],mercado13)+SUMIFS(supercb[Qtde],supercb[Item],tab_higiene[[#This Row],[Item]],supercb[Bairro],mercado13)</f>
        <v>0</v>
      </c>
      <c r="AX15" s="4">
        <f>SUMIFS(super1[Qtde],super1[Item],tab_higiene[[#This Row],[Item]],super1[Bairro],mercado14)+SUMIFS(supercb[Qtde],supercb[Item],tab_higiene[[#This Row],[Item]],supercb[Bairro],mercado14)</f>
        <v>0</v>
      </c>
      <c r="AY15" s="4">
        <f>SUMIFS(super1[Qtde],super1[Item],tab_higiene[[#This Row],[Item]],super1[Bairro],mercado15)+SUMIFS(supercb[Qtde],supercb[Item],tab_higiene[[#This Row],[Item]],supercb[Bairro],mercado15)</f>
        <v>0</v>
      </c>
      <c r="AZ15" s="4">
        <f>SUMIFS(super1[Qtde],super1[Item],tab_higiene[[#This Row],[Item]],super1[Bairro],mercado16)+SUMIFS(supercb[Qtde],supercb[Item],tab_higiene[[#This Row],[Item]],supercb[Bairro],mercado16)</f>
        <v>0</v>
      </c>
      <c r="BA15" s="4">
        <f>SUMIFS(super1[Qtde],super1[Item],tab_higiene[[#This Row],[Item]],super1[Bairro],mercado17)+SUMIFS(supercb[Qtde],supercb[Item],tab_higiene[[#This Row],[Item]],supercb[Bairro],mercado17)</f>
        <v>0</v>
      </c>
      <c r="BB15" s="4">
        <f>SUMIFS(super1[Qtde],super1[Item],tab_higiene[[#This Row],[Item]],super1[Bairro],mercado18)+SUMIFS(supercb[Qtde],supercb[Item],tab_higiene[[#This Row],[Item]],supercb[Bairro],mercado18)</f>
        <v>0</v>
      </c>
      <c r="BC15" s="4">
        <f>SUMIFS(super1[Qtde],super1[Item],tab_higiene[[#This Row],[Item]],super1[Bairro],extras)+SUMIFS(supercb[Qtde],supercb[Item],tab_higiene[[#This Row],[Item]],supercb[Bairro],extras)</f>
        <v>0</v>
      </c>
      <c r="BD15" s="4">
        <f t="shared" si="3"/>
        <v>0</v>
      </c>
      <c r="BE15" s="4">
        <f t="shared" si="4"/>
        <v>0</v>
      </c>
      <c r="BF15" s="6">
        <f t="shared" si="5"/>
        <v>0</v>
      </c>
      <c r="BI15" s="1" t="str">
        <f>tab_alimentos[[#This Row],[Item]]</f>
        <v>Achocolatado (400g)</v>
      </c>
      <c r="BJ15" s="1">
        <f t="shared" si="6"/>
        <v>13</v>
      </c>
      <c r="BK15" s="1" t="str">
        <f t="shared" si="7"/>
        <v>Achocolatado</v>
      </c>
      <c r="BL15" s="1">
        <f>tab_alimentos[[#This Row],[kg]]</f>
        <v>0</v>
      </c>
      <c r="BM15" s="25" t="s">
        <v>199</v>
      </c>
      <c r="BN15" s="1">
        <f t="shared" si="11"/>
        <v>0</v>
      </c>
      <c r="BP15" s="1" t="str">
        <f>tab_higiene[[#This Row],[Item]]</f>
        <v>Absorvente (60un)</v>
      </c>
      <c r="BQ15" s="1">
        <f t="shared" si="8"/>
        <v>11</v>
      </c>
      <c r="BR15" s="1" t="str">
        <f t="shared" si="9"/>
        <v>Absorvente</v>
      </c>
      <c r="BS15" s="1">
        <f>higiene[[#This Row],[Quantidade]]</f>
        <v>60</v>
      </c>
      <c r="BT15" s="1">
        <f>tab_higiene[[#This Row],[Qtde (tot)]]</f>
        <v>0</v>
      </c>
      <c r="BU15" s="1">
        <f t="shared" si="12"/>
        <v>0</v>
      </c>
      <c r="BV15" s="25" t="s">
        <v>58</v>
      </c>
      <c r="BW15" s="1">
        <f t="shared" si="10"/>
        <v>0</v>
      </c>
    </row>
    <row r="16" spans="1:75" x14ac:dyDescent="0.25">
      <c r="A16">
        <f>tabMercados[[#This Row],[Mercados]]</f>
        <v>0</v>
      </c>
      <c r="B16" s="20">
        <f>SUMPRODUCT(tab_alimentos[kg/embalagem],tab_alimentos[Qtde (S8)])</f>
        <v>0</v>
      </c>
      <c r="C16" s="20">
        <f>SUMPRODUCT(tab_alimentos[Preço],tab_alimentos[Qtde (S8)])</f>
        <v>0</v>
      </c>
      <c r="D16" s="20">
        <f>SUMPRODUCT(tab_higiene[kg/embalagem],tab_higiene[Qtde (S8)])</f>
        <v>0</v>
      </c>
      <c r="E16" s="20">
        <f>SUMPRODUCT(tab_higiene[Preço],tab_higiene[Qtde (S8)])</f>
        <v>0</v>
      </c>
      <c r="F16" s="20">
        <f t="shared" si="13"/>
        <v>0</v>
      </c>
      <c r="G16" s="20">
        <f t="shared" si="13"/>
        <v>0</v>
      </c>
      <c r="I16" s="19" t="str">
        <f>alimentos[[#This Row],[Item]]</f>
        <v>Achocolatado (500g)</v>
      </c>
      <c r="J16" s="4">
        <f>IFERROR(alimentos[[#This Row],[kg/embalagem]],0)</f>
        <v>0.5</v>
      </c>
      <c r="K16" s="4">
        <f>IFERROR(alimentos[[#This Row],[Preço]],0)</f>
        <v>9.5500000000000007</v>
      </c>
      <c r="L16" s="4">
        <f>SUMIFS(super1[Qtde],super1[Item],tab_alimentos[[#This Row],[Item]],super1[Bairro],mercado1)+SUMIFS(supercb[Qtde],supercb[Item],tab_alimentos[[#This Row],[Item]],supercb[Bairro],mercado1)</f>
        <v>0</v>
      </c>
      <c r="M16" s="4">
        <f>SUMIFS(super1[Qtde],super1[Item],tab_alimentos[[#This Row],[Item]],super1[Bairro],mercado2)+SUMIFS(supercb[Qtde],supercb[Item],tab_alimentos[[#This Row],[Item]],supercb[Bairro],mercado2)</f>
        <v>0</v>
      </c>
      <c r="N16" s="4">
        <f>SUMIFS(super1[Qtde],super1[Item],tab_alimentos[[#This Row],[Item]],super1[Bairro],mercado3)+SUMIFS(supercb[Qtde],supercb[Item],tab_alimentos[[#This Row],[Item]],supercb[Bairro],mercado3)</f>
        <v>0</v>
      </c>
      <c r="O16" s="4">
        <f>SUMIFS(super1[Qtde],super1[Item],tab_alimentos[[#This Row],[Item]],super1[Bairro],mercado4)+SUMIFS(supercb[Qtde],supercb[Item],tab_alimentos[[#This Row],[Item]],supercb[Bairro],mercado4)</f>
        <v>0</v>
      </c>
      <c r="P16" s="4">
        <f>SUMIFS(super1[Qtde],super1[Item],tab_alimentos[[#This Row],[Item]],super1[Bairro],mercado5)+SUMIFS(supercb[Qtde],supercb[Item],tab_alimentos[[#This Row],[Item]],supercb[Bairro],mercado5)</f>
        <v>0</v>
      </c>
      <c r="Q16" s="4">
        <f>SUMIFS(super1[Qtde],super1[Item],tab_alimentos[[#This Row],[Item]],super1[Bairro],mercado6)+SUMIFS(supercb[Qtde],supercb[Item],tab_alimentos[[#This Row],[Item]],supercb[Bairro],mercado6)</f>
        <v>0</v>
      </c>
      <c r="R16" s="4">
        <f>SUMIFS(super1[Qtde],super1[Item],tab_alimentos[[#This Row],[Item]],super1[Bairro],mercado7)+SUMIFS(supercb[Qtde],supercb[Item],tab_alimentos[[#This Row],[Item]],supercb[Bairro],mercado7)</f>
        <v>0</v>
      </c>
      <c r="S16" s="4">
        <f>SUMIFS(super1[Qtde],super1[Item],tab_alimentos[[#This Row],[Item]],super1[Bairro],mercado8)+SUMIFS(supercb[Qtde],supercb[Item],tab_alimentos[[#This Row],[Item]],supercb[Bairro],mercado8)</f>
        <v>0</v>
      </c>
      <c r="T16" s="4">
        <f>SUMIFS(super1[Qtde],super1[Item],tab_alimentos[[#This Row],[Item]],super1[Bairro],mercado9)+SUMIFS(supercb[Qtde],supercb[Item],tab_alimentos[[#This Row],[Item]],supercb[Bairro],mercado9)</f>
        <v>0</v>
      </c>
      <c r="U16" s="4">
        <f>SUMIFS(super1[Qtde],super1[Item],tab_alimentos[[#This Row],[Item]],super1[Bairro],mercado10)+SUMIFS(supercb[Qtde],supercb[Item],tab_alimentos[[#This Row],[Item]],supercb[Bairro],mercado10)</f>
        <v>0</v>
      </c>
      <c r="V16" s="4">
        <f>SUMIFS(super1[Qtde],super1[Item],tab_alimentos[[#This Row],[Item]],super1[Bairro],mercado11)+SUMIFS(supercb[Qtde],supercb[Item],tab_alimentos[[#This Row],[Item]],supercb[Bairro],mercado11)</f>
        <v>0</v>
      </c>
      <c r="W16" s="4">
        <f>SUMIFS(super1[Qtde],super1[Item],tab_alimentos[[#This Row],[Item]],super1[Bairro],mercado12)+SUMIFS(supercb[Qtde],supercb[Item],tab_alimentos[[#This Row],[Item]],supercb[Bairro],mercado12)</f>
        <v>0</v>
      </c>
      <c r="X16" s="4">
        <f>SUMIFS(super1[Qtde],super1[Item],tab_alimentos[[#This Row],[Item]],super1[Bairro],mercado13)+SUMIFS(supercb[Qtde],supercb[Item],tab_alimentos[[#This Row],[Item]],supercb[Bairro],mercado13)</f>
        <v>0</v>
      </c>
      <c r="Y16" s="4">
        <f>SUMIFS(super1[Qtde],super1[Item],tab_alimentos[[#This Row],[Item]],super1[Bairro],mercado14)+SUMIFS(supercb[Qtde],supercb[Item],tab_alimentos[[#This Row],[Item]],supercb[Bairro],mercado14)</f>
        <v>0</v>
      </c>
      <c r="Z16" s="4">
        <f>SUMIFS(super1[Qtde],super1[Item],tab_alimentos[[#This Row],[Item]],super1[Bairro],mercado15)+SUMIFS(supercb[Qtde],supercb[Item],tab_alimentos[[#This Row],[Item]],supercb[Bairro],mercado15)</f>
        <v>0</v>
      </c>
      <c r="AA16" s="4">
        <f>SUMIFS(super1[Qtde],super1[Item],tab_alimentos[[#This Row],[Item]],super1[Bairro],mercado16)+SUMIFS(supercb[Qtde],supercb[Item],tab_alimentos[[#This Row],[Item]],supercb[Bairro],mercado16)</f>
        <v>0</v>
      </c>
      <c r="AB16" s="4">
        <f>SUMIFS(super1[Qtde],super1[Item],tab_alimentos[[#This Row],[Item]],super1[Bairro],mercado17)+SUMIFS(supercb[Qtde],supercb[Item],tab_alimentos[[#This Row],[Item]],supercb[Bairro],mercado17)</f>
        <v>0</v>
      </c>
      <c r="AC16" s="4">
        <f>SUMIFS(super1[Qtde],super1[Item],tab_alimentos[[#This Row],[Item]],super1[Bairro],mercado18)+SUMIFS(supercb[Qtde],supercb[Item],tab_alimentos[[#This Row],[Item]],supercb[Bairro],mercado18)</f>
        <v>0</v>
      </c>
      <c r="AD16" s="4">
        <f>SUMIFS(super1[Qtde],super1[Item],tab_alimentos[[#This Row],[Item]],super1[Bairro],extras)+SUMIFS(supercb[Qtde],supercb[Item],tab_alimentos[[#This Row],[Item]],supercb[Bairro],extras)</f>
        <v>0</v>
      </c>
      <c r="AE16" s="4">
        <f t="shared" si="0"/>
        <v>0</v>
      </c>
      <c r="AF16" s="4">
        <f t="shared" si="1"/>
        <v>0</v>
      </c>
      <c r="AG16" s="6">
        <f t="shared" si="2"/>
        <v>0</v>
      </c>
      <c r="AH16" s="19" t="str">
        <f>higiene[[#This Row],[Item]]</f>
        <v>Absorvente (80un)</v>
      </c>
      <c r="AI16" s="4">
        <f>IFERROR(higiene[[#This Row],[Kg equivalente]],0)</f>
        <v>0</v>
      </c>
      <c r="AJ16" s="4">
        <f>IFERROR(higiene[[#This Row],[Preço por produto]],0)</f>
        <v>1.89</v>
      </c>
      <c r="AK16" s="4">
        <f>SUMIFS(super1[Qtde],super1[Item],tab_higiene[[#This Row],[Item]],super1[Bairro],mercado1)+SUMIFS(supercb[Qtde],supercb[Item],tab_higiene[[#This Row],[Item]],supercb[Bairro],mercado1)</f>
        <v>0</v>
      </c>
      <c r="AL16" s="4">
        <f>SUMIFS(super1[Qtde],super1[Item],tab_higiene[[#This Row],[Item]],super1[Bairro],mercado2)+SUMIFS(supercb[Qtde],supercb[Item],tab_higiene[[#This Row],[Item]],supercb[Bairro],mercado2)</f>
        <v>0</v>
      </c>
      <c r="AM16" s="4">
        <f>SUMIFS(super1[Qtde],super1[Item],tab_higiene[[#This Row],[Item]],super1[Bairro],mercado3)+SUMIFS(supercb[Qtde],supercb[Item],tab_higiene[[#This Row],[Item]],supercb[Bairro],mercado3)</f>
        <v>0</v>
      </c>
      <c r="AN16" s="4">
        <f>SUMIFS(super1[Qtde],super1[Item],tab_higiene[[#This Row],[Item]],super1[Bairro],mercado4)+SUMIFS(supercb[Qtde],supercb[Item],tab_higiene[[#This Row],[Item]],supercb[Bairro],mercado4)</f>
        <v>0</v>
      </c>
      <c r="AO16" s="4">
        <f>SUMIFS(super1[Qtde],super1[Item],tab_higiene[[#This Row],[Item]],super1[Bairro],mercado5)+SUMIFS(supercb[Qtde],supercb[Item],tab_higiene[[#This Row],[Item]],supercb[Bairro],mercado5)</f>
        <v>0</v>
      </c>
      <c r="AP16" s="4">
        <f>SUMIFS(super1[Qtde],super1[Item],tab_higiene[[#This Row],[Item]],super1[Bairro],mercado6)+SUMIFS(supercb[Qtde],supercb[Item],tab_higiene[[#This Row],[Item]],supercb[Bairro],mercado6)</f>
        <v>0</v>
      </c>
      <c r="AQ16" s="4">
        <f>SUMIFS(super1[Qtde],super1[Item],tab_higiene[[#This Row],[Item]],super1[Bairro],mercado7)+SUMIFS(supercb[Qtde],supercb[Item],tab_higiene[[#This Row],[Item]],supercb[Bairro],mercado7)</f>
        <v>0</v>
      </c>
      <c r="AR16" s="4">
        <f>SUMIFS(super1[Qtde],super1[Item],tab_higiene[[#This Row],[Item]],super1[Bairro],mercado8)+SUMIFS(supercb[Qtde],supercb[Item],tab_higiene[[#This Row],[Item]],supercb[Bairro],mercado8)</f>
        <v>0</v>
      </c>
      <c r="AS16" s="4">
        <f>SUMIFS(super1[Qtde],super1[Item],tab_higiene[[#This Row],[Item]],super1[Bairro],mercado9)+SUMIFS(supercb[Qtde],supercb[Item],tab_higiene[[#This Row],[Item]],supercb[Bairro],mercado9)</f>
        <v>0</v>
      </c>
      <c r="AT16" s="4">
        <f>SUMIFS(super1[Qtde],super1[Item],tab_higiene[[#This Row],[Item]],super1[Bairro],mercado10)+SUMIFS(supercb[Qtde],supercb[Item],tab_higiene[[#This Row],[Item]],supercb[Bairro],mercado10)</f>
        <v>0</v>
      </c>
      <c r="AU16" s="4">
        <f>SUMIFS(super1[Qtde],super1[Item],tab_higiene[[#This Row],[Item]],super1[Bairro],mercado11)+SUMIFS(supercb[Qtde],supercb[Item],tab_higiene[[#This Row],[Item]],supercb[Bairro],mercado11)</f>
        <v>0</v>
      </c>
      <c r="AV16" s="4">
        <f>SUMIFS(super1[Qtde],super1[Item],tab_higiene[[#This Row],[Item]],super1[Bairro],mercado12)+SUMIFS(supercb[Qtde],supercb[Item],tab_higiene[[#This Row],[Item]],supercb[Bairro],mercado12)</f>
        <v>0</v>
      </c>
      <c r="AW16" s="4">
        <f>SUMIFS(super1[Qtde],super1[Item],tab_higiene[[#This Row],[Item]],super1[Bairro],mercado13)+SUMIFS(supercb[Qtde],supercb[Item],tab_higiene[[#This Row],[Item]],supercb[Bairro],mercado13)</f>
        <v>0</v>
      </c>
      <c r="AX16" s="4">
        <f>SUMIFS(super1[Qtde],super1[Item],tab_higiene[[#This Row],[Item]],super1[Bairro],mercado14)+SUMIFS(supercb[Qtde],supercb[Item],tab_higiene[[#This Row],[Item]],supercb[Bairro],mercado14)</f>
        <v>0</v>
      </c>
      <c r="AY16" s="4">
        <f>SUMIFS(super1[Qtde],super1[Item],tab_higiene[[#This Row],[Item]],super1[Bairro],mercado15)+SUMIFS(supercb[Qtde],supercb[Item],tab_higiene[[#This Row],[Item]],supercb[Bairro],mercado15)</f>
        <v>0</v>
      </c>
      <c r="AZ16" s="4">
        <f>SUMIFS(super1[Qtde],super1[Item],tab_higiene[[#This Row],[Item]],super1[Bairro],mercado16)+SUMIFS(supercb[Qtde],supercb[Item],tab_higiene[[#This Row],[Item]],supercb[Bairro],mercado16)</f>
        <v>0</v>
      </c>
      <c r="BA16" s="4">
        <f>SUMIFS(super1[Qtde],super1[Item],tab_higiene[[#This Row],[Item]],super1[Bairro],mercado17)+SUMIFS(supercb[Qtde],supercb[Item],tab_higiene[[#This Row],[Item]],supercb[Bairro],mercado17)</f>
        <v>0</v>
      </c>
      <c r="BB16" s="4">
        <f>SUMIFS(super1[Qtde],super1[Item],tab_higiene[[#This Row],[Item]],super1[Bairro],mercado18)+SUMIFS(supercb[Qtde],supercb[Item],tab_higiene[[#This Row],[Item]],supercb[Bairro],mercado18)</f>
        <v>0</v>
      </c>
      <c r="BC16" s="4">
        <f>SUMIFS(super1[Qtde],super1[Item],tab_higiene[[#This Row],[Item]],super1[Bairro],extras)+SUMIFS(supercb[Qtde],supercb[Item],tab_higiene[[#This Row],[Item]],supercb[Bairro],extras)</f>
        <v>0</v>
      </c>
      <c r="BD16" s="4">
        <f t="shared" si="3"/>
        <v>0</v>
      </c>
      <c r="BE16" s="4">
        <f t="shared" si="4"/>
        <v>0</v>
      </c>
      <c r="BF16" s="6">
        <f t="shared" si="5"/>
        <v>0</v>
      </c>
      <c r="BI16" s="1" t="str">
        <f>tab_alimentos[[#This Row],[Item]]</f>
        <v>Achocolatado (500g)</v>
      </c>
      <c r="BJ16" s="1">
        <f t="shared" si="6"/>
        <v>13</v>
      </c>
      <c r="BK16" s="1" t="str">
        <f t="shared" si="7"/>
        <v>Achocolatado</v>
      </c>
      <c r="BL16" s="1">
        <f>tab_alimentos[[#This Row],[kg]]</f>
        <v>0</v>
      </c>
      <c r="BM16" s="25" t="s">
        <v>200</v>
      </c>
      <c r="BN16" s="1">
        <f t="shared" si="11"/>
        <v>0</v>
      </c>
      <c r="BP16" s="1" t="str">
        <f>tab_higiene[[#This Row],[Item]]</f>
        <v>Absorvente (80un)</v>
      </c>
      <c r="BQ16" s="1">
        <f t="shared" si="8"/>
        <v>11</v>
      </c>
      <c r="BR16" s="1" t="str">
        <f t="shared" si="9"/>
        <v>Absorvente</v>
      </c>
      <c r="BS16" s="1">
        <f>higiene[[#This Row],[Quantidade]]</f>
        <v>80</v>
      </c>
      <c r="BT16" s="1">
        <f>tab_higiene[[#This Row],[Qtde (tot)]]</f>
        <v>0</v>
      </c>
      <c r="BU16" s="1">
        <f t="shared" si="12"/>
        <v>0</v>
      </c>
      <c r="BV16" s="25" t="s">
        <v>28</v>
      </c>
      <c r="BW16" s="1">
        <f t="shared" si="10"/>
        <v>0</v>
      </c>
    </row>
    <row r="17" spans="1:75" x14ac:dyDescent="0.25">
      <c r="A17">
        <f>tabMercados[[#This Row],[Mercados]]</f>
        <v>0</v>
      </c>
      <c r="B17" s="20">
        <f>SUMPRODUCT(tab_alimentos[kg/embalagem],tab_alimentos[Qtde (S9)])</f>
        <v>0</v>
      </c>
      <c r="C17" s="20">
        <f>SUMPRODUCT(tab_alimentos[Preço],tab_alimentos[Qtde (S9)])</f>
        <v>0</v>
      </c>
      <c r="D17" s="20">
        <f>SUMPRODUCT(tab_higiene[kg/embalagem],tab_higiene[Qtde (S9)])</f>
        <v>0</v>
      </c>
      <c r="E17" s="20">
        <f>SUMPRODUCT(tab_higiene[Preço],tab_higiene[Qtde (S9)])</f>
        <v>0</v>
      </c>
      <c r="F17" s="20">
        <f t="shared" si="13"/>
        <v>0</v>
      </c>
      <c r="G17" s="20">
        <f t="shared" si="13"/>
        <v>0</v>
      </c>
      <c r="I17" s="19" t="str">
        <f>alimentos[[#This Row],[Item]]</f>
        <v>Achocolatado (600g)</v>
      </c>
      <c r="J17" s="4">
        <f>IFERROR(alimentos[[#This Row],[kg/embalagem]],0)</f>
        <v>0.6</v>
      </c>
      <c r="K17" s="4">
        <f>IFERROR(alimentos[[#This Row],[Preço]],0)</f>
        <v>19.899999999999999</v>
      </c>
      <c r="L17" s="4">
        <f>SUMIFS(super1[Qtde],super1[Item],tab_alimentos[[#This Row],[Item]],super1[Bairro],mercado1)+SUMIFS(supercb[Qtde],supercb[Item],tab_alimentos[[#This Row],[Item]],supercb[Bairro],mercado1)</f>
        <v>0</v>
      </c>
      <c r="M17" s="4">
        <f>SUMIFS(super1[Qtde],super1[Item],tab_alimentos[[#This Row],[Item]],super1[Bairro],mercado2)+SUMIFS(supercb[Qtde],supercb[Item],tab_alimentos[[#This Row],[Item]],supercb[Bairro],mercado2)</f>
        <v>0</v>
      </c>
      <c r="N17" s="4">
        <f>SUMIFS(super1[Qtde],super1[Item],tab_alimentos[[#This Row],[Item]],super1[Bairro],mercado3)+SUMIFS(supercb[Qtde],supercb[Item],tab_alimentos[[#This Row],[Item]],supercb[Bairro],mercado3)</f>
        <v>0</v>
      </c>
      <c r="O17" s="4">
        <f>SUMIFS(super1[Qtde],super1[Item],tab_alimentos[[#This Row],[Item]],super1[Bairro],mercado4)+SUMIFS(supercb[Qtde],supercb[Item],tab_alimentos[[#This Row],[Item]],supercb[Bairro],mercado4)</f>
        <v>0</v>
      </c>
      <c r="P17" s="4">
        <f>SUMIFS(super1[Qtde],super1[Item],tab_alimentos[[#This Row],[Item]],super1[Bairro],mercado5)+SUMIFS(supercb[Qtde],supercb[Item],tab_alimentos[[#This Row],[Item]],supercb[Bairro],mercado5)</f>
        <v>0</v>
      </c>
      <c r="Q17" s="4">
        <f>SUMIFS(super1[Qtde],super1[Item],tab_alimentos[[#This Row],[Item]],super1[Bairro],mercado6)+SUMIFS(supercb[Qtde],supercb[Item],tab_alimentos[[#This Row],[Item]],supercb[Bairro],mercado6)</f>
        <v>0</v>
      </c>
      <c r="R17" s="4">
        <f>SUMIFS(super1[Qtde],super1[Item],tab_alimentos[[#This Row],[Item]],super1[Bairro],mercado7)+SUMIFS(supercb[Qtde],supercb[Item],tab_alimentos[[#This Row],[Item]],supercb[Bairro],mercado7)</f>
        <v>0</v>
      </c>
      <c r="S17" s="4">
        <f>SUMIFS(super1[Qtde],super1[Item],tab_alimentos[[#This Row],[Item]],super1[Bairro],mercado8)+SUMIFS(supercb[Qtde],supercb[Item],tab_alimentos[[#This Row],[Item]],supercb[Bairro],mercado8)</f>
        <v>0</v>
      </c>
      <c r="T17" s="4">
        <f>SUMIFS(super1[Qtde],super1[Item],tab_alimentos[[#This Row],[Item]],super1[Bairro],mercado9)+SUMIFS(supercb[Qtde],supercb[Item],tab_alimentos[[#This Row],[Item]],supercb[Bairro],mercado9)</f>
        <v>0</v>
      </c>
      <c r="U17" s="4">
        <f>SUMIFS(super1[Qtde],super1[Item],tab_alimentos[[#This Row],[Item]],super1[Bairro],mercado10)+SUMIFS(supercb[Qtde],supercb[Item],tab_alimentos[[#This Row],[Item]],supercb[Bairro],mercado10)</f>
        <v>0</v>
      </c>
      <c r="V17" s="4">
        <f>SUMIFS(super1[Qtde],super1[Item],tab_alimentos[[#This Row],[Item]],super1[Bairro],mercado11)+SUMIFS(supercb[Qtde],supercb[Item],tab_alimentos[[#This Row],[Item]],supercb[Bairro],mercado11)</f>
        <v>0</v>
      </c>
      <c r="W17" s="4">
        <f>SUMIFS(super1[Qtde],super1[Item],tab_alimentos[[#This Row],[Item]],super1[Bairro],mercado12)+SUMIFS(supercb[Qtde],supercb[Item],tab_alimentos[[#This Row],[Item]],supercb[Bairro],mercado12)</f>
        <v>0</v>
      </c>
      <c r="X17" s="4">
        <f>SUMIFS(super1[Qtde],super1[Item],tab_alimentos[[#This Row],[Item]],super1[Bairro],mercado13)+SUMIFS(supercb[Qtde],supercb[Item],tab_alimentos[[#This Row],[Item]],supercb[Bairro],mercado13)</f>
        <v>0</v>
      </c>
      <c r="Y17" s="4">
        <f>SUMIFS(super1[Qtde],super1[Item],tab_alimentos[[#This Row],[Item]],super1[Bairro],mercado14)+SUMIFS(supercb[Qtde],supercb[Item],tab_alimentos[[#This Row],[Item]],supercb[Bairro],mercado14)</f>
        <v>0</v>
      </c>
      <c r="Z17" s="4">
        <f>SUMIFS(super1[Qtde],super1[Item],tab_alimentos[[#This Row],[Item]],super1[Bairro],mercado15)+SUMIFS(supercb[Qtde],supercb[Item],tab_alimentos[[#This Row],[Item]],supercb[Bairro],mercado15)</f>
        <v>0</v>
      </c>
      <c r="AA17" s="4">
        <f>SUMIFS(super1[Qtde],super1[Item],tab_alimentos[[#This Row],[Item]],super1[Bairro],mercado16)+SUMIFS(supercb[Qtde],supercb[Item],tab_alimentos[[#This Row],[Item]],supercb[Bairro],mercado16)</f>
        <v>0</v>
      </c>
      <c r="AB17" s="4">
        <f>SUMIFS(super1[Qtde],super1[Item],tab_alimentos[[#This Row],[Item]],super1[Bairro],mercado17)+SUMIFS(supercb[Qtde],supercb[Item],tab_alimentos[[#This Row],[Item]],supercb[Bairro],mercado17)</f>
        <v>0</v>
      </c>
      <c r="AC17" s="4">
        <f>SUMIFS(super1[Qtde],super1[Item],tab_alimentos[[#This Row],[Item]],super1[Bairro],mercado18)+SUMIFS(supercb[Qtde],supercb[Item],tab_alimentos[[#This Row],[Item]],supercb[Bairro],mercado18)</f>
        <v>0</v>
      </c>
      <c r="AD17" s="4">
        <f>SUMIFS(super1[Qtde],super1[Item],tab_alimentos[[#This Row],[Item]],super1[Bairro],extras)+SUMIFS(supercb[Qtde],supercb[Item],tab_alimentos[[#This Row],[Item]],supercb[Bairro],extras)</f>
        <v>0</v>
      </c>
      <c r="AE17" s="4">
        <f t="shared" si="0"/>
        <v>0</v>
      </c>
      <c r="AF17" s="4">
        <f t="shared" si="1"/>
        <v>0</v>
      </c>
      <c r="AG17" s="6">
        <f t="shared" si="2"/>
        <v>0</v>
      </c>
      <c r="AH17" s="19" t="str">
        <f>higiene[[#This Row],[Item]]</f>
        <v>Água Sanitária (1L)</v>
      </c>
      <c r="AI17" s="4">
        <f>IFERROR(higiene[[#This Row],[Kg equivalente]],0)</f>
        <v>0</v>
      </c>
      <c r="AJ17" s="4">
        <f>IFERROR(higiene[[#This Row],[Preço por produto]],0)</f>
        <v>3.59</v>
      </c>
      <c r="AK17" s="4">
        <f>SUMIFS(super1[Qtde],super1[Item],tab_higiene[[#This Row],[Item]],super1[Bairro],mercado1)+SUMIFS(supercb[Qtde],supercb[Item],tab_higiene[[#This Row],[Item]],supercb[Bairro],mercado1)</f>
        <v>0</v>
      </c>
      <c r="AL17" s="4">
        <f>SUMIFS(super1[Qtde],super1[Item],tab_higiene[[#This Row],[Item]],super1[Bairro],mercado2)+SUMIFS(supercb[Qtde],supercb[Item],tab_higiene[[#This Row],[Item]],supercb[Bairro],mercado2)</f>
        <v>0</v>
      </c>
      <c r="AM17" s="4">
        <f>SUMIFS(super1[Qtde],super1[Item],tab_higiene[[#This Row],[Item]],super1[Bairro],mercado3)+SUMIFS(supercb[Qtde],supercb[Item],tab_higiene[[#This Row],[Item]],supercb[Bairro],mercado3)</f>
        <v>0</v>
      </c>
      <c r="AN17" s="4">
        <f>SUMIFS(super1[Qtde],super1[Item],tab_higiene[[#This Row],[Item]],super1[Bairro],mercado4)+SUMIFS(supercb[Qtde],supercb[Item],tab_higiene[[#This Row],[Item]],supercb[Bairro],mercado4)</f>
        <v>0</v>
      </c>
      <c r="AO17" s="4">
        <f>SUMIFS(super1[Qtde],super1[Item],tab_higiene[[#This Row],[Item]],super1[Bairro],mercado5)+SUMIFS(supercb[Qtde],supercb[Item],tab_higiene[[#This Row],[Item]],supercb[Bairro],mercado5)</f>
        <v>0</v>
      </c>
      <c r="AP17" s="4">
        <f>SUMIFS(super1[Qtde],super1[Item],tab_higiene[[#This Row],[Item]],super1[Bairro],mercado6)+SUMIFS(supercb[Qtde],supercb[Item],tab_higiene[[#This Row],[Item]],supercb[Bairro],mercado6)</f>
        <v>0</v>
      </c>
      <c r="AQ17" s="4">
        <f>SUMIFS(super1[Qtde],super1[Item],tab_higiene[[#This Row],[Item]],super1[Bairro],mercado7)+SUMIFS(supercb[Qtde],supercb[Item],tab_higiene[[#This Row],[Item]],supercb[Bairro],mercado7)</f>
        <v>0</v>
      </c>
      <c r="AR17" s="4">
        <f>SUMIFS(super1[Qtde],super1[Item],tab_higiene[[#This Row],[Item]],super1[Bairro],mercado8)+SUMIFS(supercb[Qtde],supercb[Item],tab_higiene[[#This Row],[Item]],supercb[Bairro],mercado8)</f>
        <v>0</v>
      </c>
      <c r="AS17" s="4">
        <f>SUMIFS(super1[Qtde],super1[Item],tab_higiene[[#This Row],[Item]],super1[Bairro],mercado9)+SUMIFS(supercb[Qtde],supercb[Item],tab_higiene[[#This Row],[Item]],supercb[Bairro],mercado9)</f>
        <v>0</v>
      </c>
      <c r="AT17" s="4">
        <f>SUMIFS(super1[Qtde],super1[Item],tab_higiene[[#This Row],[Item]],super1[Bairro],mercado10)+SUMIFS(supercb[Qtde],supercb[Item],tab_higiene[[#This Row],[Item]],supercb[Bairro],mercado10)</f>
        <v>0</v>
      </c>
      <c r="AU17" s="4">
        <f>SUMIFS(super1[Qtde],super1[Item],tab_higiene[[#This Row],[Item]],super1[Bairro],mercado11)+SUMIFS(supercb[Qtde],supercb[Item],tab_higiene[[#This Row],[Item]],supercb[Bairro],mercado11)</f>
        <v>0</v>
      </c>
      <c r="AV17" s="4">
        <f>SUMIFS(super1[Qtde],super1[Item],tab_higiene[[#This Row],[Item]],super1[Bairro],mercado12)+SUMIFS(supercb[Qtde],supercb[Item],tab_higiene[[#This Row],[Item]],supercb[Bairro],mercado12)</f>
        <v>0</v>
      </c>
      <c r="AW17" s="4">
        <f>SUMIFS(super1[Qtde],super1[Item],tab_higiene[[#This Row],[Item]],super1[Bairro],mercado13)+SUMIFS(supercb[Qtde],supercb[Item],tab_higiene[[#This Row],[Item]],supercb[Bairro],mercado13)</f>
        <v>0</v>
      </c>
      <c r="AX17" s="4">
        <f>SUMIFS(super1[Qtde],super1[Item],tab_higiene[[#This Row],[Item]],super1[Bairro],mercado14)+SUMIFS(supercb[Qtde],supercb[Item],tab_higiene[[#This Row],[Item]],supercb[Bairro],mercado14)</f>
        <v>0</v>
      </c>
      <c r="AY17" s="4">
        <f>SUMIFS(super1[Qtde],super1[Item],tab_higiene[[#This Row],[Item]],super1[Bairro],mercado15)+SUMIFS(supercb[Qtde],supercb[Item],tab_higiene[[#This Row],[Item]],supercb[Bairro],mercado15)</f>
        <v>0</v>
      </c>
      <c r="AZ17" s="4">
        <f>SUMIFS(super1[Qtde],super1[Item],tab_higiene[[#This Row],[Item]],super1[Bairro],mercado16)+SUMIFS(supercb[Qtde],supercb[Item],tab_higiene[[#This Row],[Item]],supercb[Bairro],mercado16)</f>
        <v>0</v>
      </c>
      <c r="BA17" s="4">
        <f>SUMIFS(super1[Qtde],super1[Item],tab_higiene[[#This Row],[Item]],super1[Bairro],mercado17)+SUMIFS(supercb[Qtde],supercb[Item],tab_higiene[[#This Row],[Item]],supercb[Bairro],mercado17)</f>
        <v>0</v>
      </c>
      <c r="BB17" s="4">
        <f>SUMIFS(super1[Qtde],super1[Item],tab_higiene[[#This Row],[Item]],super1[Bairro],mercado18)+SUMIFS(supercb[Qtde],supercb[Item],tab_higiene[[#This Row],[Item]],supercb[Bairro],mercado18)</f>
        <v>0</v>
      </c>
      <c r="BC17" s="4">
        <f>SUMIFS(super1[Qtde],super1[Item],tab_higiene[[#This Row],[Item]],super1[Bairro],extras)+SUMIFS(supercb[Qtde],supercb[Item],tab_higiene[[#This Row],[Item]],supercb[Bairro],extras)</f>
        <v>0</v>
      </c>
      <c r="BD17" s="4">
        <f t="shared" si="3"/>
        <v>0</v>
      </c>
      <c r="BE17" s="4">
        <f t="shared" si="4"/>
        <v>0</v>
      </c>
      <c r="BF17" s="6">
        <f t="shared" si="5"/>
        <v>0</v>
      </c>
      <c r="BI17" s="1" t="str">
        <f>tab_alimentos[[#This Row],[Item]]</f>
        <v>Achocolatado (600g)</v>
      </c>
      <c r="BJ17" s="1">
        <f t="shared" si="6"/>
        <v>13</v>
      </c>
      <c r="BK17" s="1" t="str">
        <f t="shared" si="7"/>
        <v>Achocolatado</v>
      </c>
      <c r="BL17" s="1">
        <f>tab_alimentos[[#This Row],[kg]]</f>
        <v>0</v>
      </c>
      <c r="BM17" s="25" t="s">
        <v>58</v>
      </c>
      <c r="BN17" s="1">
        <f t="shared" si="11"/>
        <v>0</v>
      </c>
      <c r="BP17" s="1" t="str">
        <f>tab_higiene[[#This Row],[Item]]</f>
        <v>Água Sanitária (1L)</v>
      </c>
      <c r="BQ17" s="1">
        <f t="shared" si="8"/>
        <v>15</v>
      </c>
      <c r="BR17" s="1" t="str">
        <f t="shared" si="9"/>
        <v>Água Sanitária</v>
      </c>
      <c r="BS17" s="1">
        <f>higiene[[#This Row],[Quantidade]]</f>
        <v>1</v>
      </c>
      <c r="BT17" s="1">
        <f>tab_higiene[[#This Row],[Qtde (tot)]]</f>
        <v>0</v>
      </c>
      <c r="BU17" s="1">
        <f t="shared" si="12"/>
        <v>0</v>
      </c>
      <c r="BV17" s="25" t="s">
        <v>59</v>
      </c>
      <c r="BW17" s="1">
        <f t="shared" si="10"/>
        <v>0</v>
      </c>
    </row>
    <row r="18" spans="1:75" x14ac:dyDescent="0.25">
      <c r="A18">
        <f>tabMercados[[#This Row],[Mercados]]</f>
        <v>0</v>
      </c>
      <c r="B18" s="20">
        <f>SUMPRODUCT(tab_alimentos[kg/embalagem],tab_alimentos[Qtde (S10)])</f>
        <v>0</v>
      </c>
      <c r="C18" s="20">
        <f>SUMPRODUCT(tab_alimentos[Preço],tab_alimentos[Qtde (S10)])</f>
        <v>0</v>
      </c>
      <c r="D18" s="20">
        <f>SUMPRODUCT(tab_higiene[kg/embalagem],tab_higiene[Qtde (S10)])</f>
        <v>0</v>
      </c>
      <c r="E18" s="20">
        <f>SUMPRODUCT(tab_higiene[Preço],tab_higiene[Qtde (S10)])</f>
        <v>0</v>
      </c>
      <c r="F18" s="20">
        <f t="shared" si="13"/>
        <v>0</v>
      </c>
      <c r="G18" s="20">
        <f t="shared" si="13"/>
        <v>0</v>
      </c>
      <c r="I18" s="19" t="str">
        <f>alimentos[[#This Row],[Item]]</f>
        <v>Achocolatado (700g)</v>
      </c>
      <c r="J18" s="4">
        <f>IFERROR(alimentos[[#This Row],[kg/embalagem]],0)</f>
        <v>0.7</v>
      </c>
      <c r="K18" s="4">
        <f>IFERROR(alimentos[[#This Row],[Preço]],0)</f>
        <v>14.19</v>
      </c>
      <c r="L18" s="4">
        <f>SUMIFS(super1[Qtde],super1[Item],tab_alimentos[[#This Row],[Item]],super1[Bairro],mercado1)+SUMIFS(supercb[Qtde],supercb[Item],tab_alimentos[[#This Row],[Item]],supercb[Bairro],mercado1)</f>
        <v>0</v>
      </c>
      <c r="M18" s="4">
        <f>SUMIFS(super1[Qtde],super1[Item],tab_alimentos[[#This Row],[Item]],super1[Bairro],mercado2)+SUMIFS(supercb[Qtde],supercb[Item],tab_alimentos[[#This Row],[Item]],supercb[Bairro],mercado2)</f>
        <v>0</v>
      </c>
      <c r="N18" s="4">
        <f>SUMIFS(super1[Qtde],super1[Item],tab_alimentos[[#This Row],[Item]],super1[Bairro],mercado3)+SUMIFS(supercb[Qtde],supercb[Item],tab_alimentos[[#This Row],[Item]],supercb[Bairro],mercado3)</f>
        <v>0</v>
      </c>
      <c r="O18" s="4">
        <f>SUMIFS(super1[Qtde],super1[Item],tab_alimentos[[#This Row],[Item]],super1[Bairro],mercado4)+SUMIFS(supercb[Qtde],supercb[Item],tab_alimentos[[#This Row],[Item]],supercb[Bairro],mercado4)</f>
        <v>0</v>
      </c>
      <c r="P18" s="4">
        <f>SUMIFS(super1[Qtde],super1[Item],tab_alimentos[[#This Row],[Item]],super1[Bairro],mercado5)+SUMIFS(supercb[Qtde],supercb[Item],tab_alimentos[[#This Row],[Item]],supercb[Bairro],mercado5)</f>
        <v>0</v>
      </c>
      <c r="Q18" s="4">
        <f>SUMIFS(super1[Qtde],super1[Item],tab_alimentos[[#This Row],[Item]],super1[Bairro],mercado6)+SUMIFS(supercb[Qtde],supercb[Item],tab_alimentos[[#This Row],[Item]],supercb[Bairro],mercado6)</f>
        <v>0</v>
      </c>
      <c r="R18" s="4">
        <f>SUMIFS(super1[Qtde],super1[Item],tab_alimentos[[#This Row],[Item]],super1[Bairro],mercado7)+SUMIFS(supercb[Qtde],supercb[Item],tab_alimentos[[#This Row],[Item]],supercb[Bairro],mercado7)</f>
        <v>0</v>
      </c>
      <c r="S18" s="4">
        <f>SUMIFS(super1[Qtde],super1[Item],tab_alimentos[[#This Row],[Item]],super1[Bairro],mercado8)+SUMIFS(supercb[Qtde],supercb[Item],tab_alimentos[[#This Row],[Item]],supercb[Bairro],mercado8)</f>
        <v>0</v>
      </c>
      <c r="T18" s="4">
        <f>SUMIFS(super1[Qtde],super1[Item],tab_alimentos[[#This Row],[Item]],super1[Bairro],mercado9)+SUMIFS(supercb[Qtde],supercb[Item],tab_alimentos[[#This Row],[Item]],supercb[Bairro],mercado9)</f>
        <v>0</v>
      </c>
      <c r="U18" s="4">
        <f>SUMIFS(super1[Qtde],super1[Item],tab_alimentos[[#This Row],[Item]],super1[Bairro],mercado10)+SUMIFS(supercb[Qtde],supercb[Item],tab_alimentos[[#This Row],[Item]],supercb[Bairro],mercado10)</f>
        <v>0</v>
      </c>
      <c r="V18" s="4">
        <f>SUMIFS(super1[Qtde],super1[Item],tab_alimentos[[#This Row],[Item]],super1[Bairro],mercado11)+SUMIFS(supercb[Qtde],supercb[Item],tab_alimentos[[#This Row],[Item]],supercb[Bairro],mercado11)</f>
        <v>0</v>
      </c>
      <c r="W18" s="4">
        <f>SUMIFS(super1[Qtde],super1[Item],tab_alimentos[[#This Row],[Item]],super1[Bairro],mercado12)+SUMIFS(supercb[Qtde],supercb[Item],tab_alimentos[[#This Row],[Item]],supercb[Bairro],mercado12)</f>
        <v>0</v>
      </c>
      <c r="X18" s="4">
        <f>SUMIFS(super1[Qtde],super1[Item],tab_alimentos[[#This Row],[Item]],super1[Bairro],mercado13)+SUMIFS(supercb[Qtde],supercb[Item],tab_alimentos[[#This Row],[Item]],supercb[Bairro],mercado13)</f>
        <v>0</v>
      </c>
      <c r="Y18" s="4">
        <f>SUMIFS(super1[Qtde],super1[Item],tab_alimentos[[#This Row],[Item]],super1[Bairro],mercado14)+SUMIFS(supercb[Qtde],supercb[Item],tab_alimentos[[#This Row],[Item]],supercb[Bairro],mercado14)</f>
        <v>0</v>
      </c>
      <c r="Z18" s="4">
        <f>SUMIFS(super1[Qtde],super1[Item],tab_alimentos[[#This Row],[Item]],super1[Bairro],mercado15)+SUMIFS(supercb[Qtde],supercb[Item],tab_alimentos[[#This Row],[Item]],supercb[Bairro],mercado15)</f>
        <v>0</v>
      </c>
      <c r="AA18" s="4">
        <f>SUMIFS(super1[Qtde],super1[Item],tab_alimentos[[#This Row],[Item]],super1[Bairro],mercado16)+SUMIFS(supercb[Qtde],supercb[Item],tab_alimentos[[#This Row],[Item]],supercb[Bairro],mercado16)</f>
        <v>0</v>
      </c>
      <c r="AB18" s="4">
        <f>SUMIFS(super1[Qtde],super1[Item],tab_alimentos[[#This Row],[Item]],super1[Bairro],mercado17)+SUMIFS(supercb[Qtde],supercb[Item],tab_alimentos[[#This Row],[Item]],supercb[Bairro],mercado17)</f>
        <v>0</v>
      </c>
      <c r="AC18" s="4">
        <f>SUMIFS(super1[Qtde],super1[Item],tab_alimentos[[#This Row],[Item]],super1[Bairro],mercado18)+SUMIFS(supercb[Qtde],supercb[Item],tab_alimentos[[#This Row],[Item]],supercb[Bairro],mercado18)</f>
        <v>0</v>
      </c>
      <c r="AD18" s="4">
        <f>SUMIFS(super1[Qtde],super1[Item],tab_alimentos[[#This Row],[Item]],super1[Bairro],extras)+SUMIFS(supercb[Qtde],supercb[Item],tab_alimentos[[#This Row],[Item]],supercb[Bairro],extras)</f>
        <v>0</v>
      </c>
      <c r="AE18" s="4">
        <f t="shared" si="0"/>
        <v>0</v>
      </c>
      <c r="AF18" s="4">
        <f t="shared" si="1"/>
        <v>0</v>
      </c>
      <c r="AG18" s="6">
        <f t="shared" si="2"/>
        <v>0</v>
      </c>
      <c r="AH18" s="19" t="str">
        <f>higiene[[#This Row],[Item]]</f>
        <v>Água Sanitária (2L)</v>
      </c>
      <c r="AI18" s="4">
        <f>IFERROR(higiene[[#This Row],[Kg equivalente]],0)</f>
        <v>0</v>
      </c>
      <c r="AJ18" s="4">
        <f>IFERROR(higiene[[#This Row],[Preço por produto]],0)</f>
        <v>12.99</v>
      </c>
      <c r="AK18" s="4">
        <f>SUMIFS(super1[Qtde],super1[Item],tab_higiene[[#This Row],[Item]],super1[Bairro],mercado1)+SUMIFS(supercb[Qtde],supercb[Item],tab_higiene[[#This Row],[Item]],supercb[Bairro],mercado1)</f>
        <v>0</v>
      </c>
      <c r="AL18" s="4">
        <f>SUMIFS(super1[Qtde],super1[Item],tab_higiene[[#This Row],[Item]],super1[Bairro],mercado2)+SUMIFS(supercb[Qtde],supercb[Item],tab_higiene[[#This Row],[Item]],supercb[Bairro],mercado2)</f>
        <v>0</v>
      </c>
      <c r="AM18" s="4">
        <f>SUMIFS(super1[Qtde],super1[Item],tab_higiene[[#This Row],[Item]],super1[Bairro],mercado3)+SUMIFS(supercb[Qtde],supercb[Item],tab_higiene[[#This Row],[Item]],supercb[Bairro],mercado3)</f>
        <v>0</v>
      </c>
      <c r="AN18" s="4">
        <f>SUMIFS(super1[Qtde],super1[Item],tab_higiene[[#This Row],[Item]],super1[Bairro],mercado4)+SUMIFS(supercb[Qtde],supercb[Item],tab_higiene[[#This Row],[Item]],supercb[Bairro],mercado4)</f>
        <v>0</v>
      </c>
      <c r="AO18" s="4">
        <f>SUMIFS(super1[Qtde],super1[Item],tab_higiene[[#This Row],[Item]],super1[Bairro],mercado5)+SUMIFS(supercb[Qtde],supercb[Item],tab_higiene[[#This Row],[Item]],supercb[Bairro],mercado5)</f>
        <v>0</v>
      </c>
      <c r="AP18" s="4">
        <f>SUMIFS(super1[Qtde],super1[Item],tab_higiene[[#This Row],[Item]],super1[Bairro],mercado6)+SUMIFS(supercb[Qtde],supercb[Item],tab_higiene[[#This Row],[Item]],supercb[Bairro],mercado6)</f>
        <v>0</v>
      </c>
      <c r="AQ18" s="4">
        <f>SUMIFS(super1[Qtde],super1[Item],tab_higiene[[#This Row],[Item]],super1[Bairro],mercado7)+SUMIFS(supercb[Qtde],supercb[Item],tab_higiene[[#This Row],[Item]],supercb[Bairro],mercado7)</f>
        <v>0</v>
      </c>
      <c r="AR18" s="4">
        <f>SUMIFS(super1[Qtde],super1[Item],tab_higiene[[#This Row],[Item]],super1[Bairro],mercado8)+SUMIFS(supercb[Qtde],supercb[Item],tab_higiene[[#This Row],[Item]],supercb[Bairro],mercado8)</f>
        <v>0</v>
      </c>
      <c r="AS18" s="4">
        <f>SUMIFS(super1[Qtde],super1[Item],tab_higiene[[#This Row],[Item]],super1[Bairro],mercado9)+SUMIFS(supercb[Qtde],supercb[Item],tab_higiene[[#This Row],[Item]],supercb[Bairro],mercado9)</f>
        <v>0</v>
      </c>
      <c r="AT18" s="4">
        <f>SUMIFS(super1[Qtde],super1[Item],tab_higiene[[#This Row],[Item]],super1[Bairro],mercado10)+SUMIFS(supercb[Qtde],supercb[Item],tab_higiene[[#This Row],[Item]],supercb[Bairro],mercado10)</f>
        <v>0</v>
      </c>
      <c r="AU18" s="4">
        <f>SUMIFS(super1[Qtde],super1[Item],tab_higiene[[#This Row],[Item]],super1[Bairro],mercado11)+SUMIFS(supercb[Qtde],supercb[Item],tab_higiene[[#This Row],[Item]],supercb[Bairro],mercado11)</f>
        <v>0</v>
      </c>
      <c r="AV18" s="4">
        <f>SUMIFS(super1[Qtde],super1[Item],tab_higiene[[#This Row],[Item]],super1[Bairro],mercado12)+SUMIFS(supercb[Qtde],supercb[Item],tab_higiene[[#This Row],[Item]],supercb[Bairro],mercado12)</f>
        <v>0</v>
      </c>
      <c r="AW18" s="4">
        <f>SUMIFS(super1[Qtde],super1[Item],tab_higiene[[#This Row],[Item]],super1[Bairro],mercado13)+SUMIFS(supercb[Qtde],supercb[Item],tab_higiene[[#This Row],[Item]],supercb[Bairro],mercado13)</f>
        <v>0</v>
      </c>
      <c r="AX18" s="4">
        <f>SUMIFS(super1[Qtde],super1[Item],tab_higiene[[#This Row],[Item]],super1[Bairro],mercado14)+SUMIFS(supercb[Qtde],supercb[Item],tab_higiene[[#This Row],[Item]],supercb[Bairro],mercado14)</f>
        <v>0</v>
      </c>
      <c r="AY18" s="4">
        <f>SUMIFS(super1[Qtde],super1[Item],tab_higiene[[#This Row],[Item]],super1[Bairro],mercado15)+SUMIFS(supercb[Qtde],supercb[Item],tab_higiene[[#This Row],[Item]],supercb[Bairro],mercado15)</f>
        <v>0</v>
      </c>
      <c r="AZ18" s="4">
        <f>SUMIFS(super1[Qtde],super1[Item],tab_higiene[[#This Row],[Item]],super1[Bairro],mercado16)+SUMIFS(supercb[Qtde],supercb[Item],tab_higiene[[#This Row],[Item]],supercb[Bairro],mercado16)</f>
        <v>0</v>
      </c>
      <c r="BA18" s="4">
        <f>SUMIFS(super1[Qtde],super1[Item],tab_higiene[[#This Row],[Item]],super1[Bairro],mercado17)+SUMIFS(supercb[Qtde],supercb[Item],tab_higiene[[#This Row],[Item]],supercb[Bairro],mercado17)</f>
        <v>0</v>
      </c>
      <c r="BB18" s="4">
        <f>SUMIFS(super1[Qtde],super1[Item],tab_higiene[[#This Row],[Item]],super1[Bairro],mercado18)+SUMIFS(supercb[Qtde],supercb[Item],tab_higiene[[#This Row],[Item]],supercb[Bairro],mercado18)</f>
        <v>0</v>
      </c>
      <c r="BC18" s="4">
        <f>SUMIFS(super1[Qtde],super1[Item],tab_higiene[[#This Row],[Item]],super1[Bairro],extras)+SUMIFS(supercb[Qtde],supercb[Item],tab_higiene[[#This Row],[Item]],supercb[Bairro],extras)</f>
        <v>0</v>
      </c>
      <c r="BD18" s="4">
        <f t="shared" si="3"/>
        <v>0</v>
      </c>
      <c r="BE18" s="4">
        <f t="shared" si="4"/>
        <v>0</v>
      </c>
      <c r="BF18" s="6">
        <f t="shared" si="5"/>
        <v>0</v>
      </c>
      <c r="BI18" s="1" t="str">
        <f>tab_alimentos[[#This Row],[Item]]</f>
        <v>Achocolatado (700g)</v>
      </c>
      <c r="BJ18" s="1">
        <f t="shared" si="6"/>
        <v>13</v>
      </c>
      <c r="BK18" s="1" t="str">
        <f t="shared" si="7"/>
        <v>Achocolatado</v>
      </c>
      <c r="BL18" s="1">
        <f>tab_alimentos[[#This Row],[kg]]</f>
        <v>0</v>
      </c>
      <c r="BM18" s="25" t="s">
        <v>201</v>
      </c>
      <c r="BN18" s="1">
        <f t="shared" si="11"/>
        <v>0</v>
      </c>
      <c r="BP18" s="1" t="str">
        <f>tab_higiene[[#This Row],[Item]]</f>
        <v>Água Sanitária (2L)</v>
      </c>
      <c r="BQ18" s="1">
        <f t="shared" si="8"/>
        <v>15</v>
      </c>
      <c r="BR18" s="1" t="str">
        <f t="shared" si="9"/>
        <v>Água Sanitária</v>
      </c>
      <c r="BS18" s="1">
        <f>higiene[[#This Row],[Quantidade]]</f>
        <v>2</v>
      </c>
      <c r="BT18" s="1">
        <f>tab_higiene[[#This Row],[Qtde (tot)]]</f>
        <v>0</v>
      </c>
      <c r="BU18" s="1">
        <f t="shared" si="12"/>
        <v>0</v>
      </c>
      <c r="BV18" s="25" t="s">
        <v>153</v>
      </c>
      <c r="BW18" s="1">
        <f t="shared" si="10"/>
        <v>0</v>
      </c>
    </row>
    <row r="19" spans="1:75" x14ac:dyDescent="0.25">
      <c r="A19">
        <f>tabMercados[[#This Row],[Mercados]]</f>
        <v>0</v>
      </c>
      <c r="B19" s="20">
        <f>SUMPRODUCT(tab_alimentos[kg/embalagem],tab_alimentos[Qtde (S11)])</f>
        <v>0</v>
      </c>
      <c r="C19" s="20">
        <f>SUMPRODUCT(tab_alimentos[Preço],tab_alimentos[Qtde (S11)])</f>
        <v>0</v>
      </c>
      <c r="D19" s="20">
        <f>SUMPRODUCT(tab_higiene[kg/embalagem],tab_higiene[Qtde (S11)])</f>
        <v>0</v>
      </c>
      <c r="E19" s="20">
        <f>SUMPRODUCT(tab_higiene[Preço],tab_higiene[Qtde (S11)])</f>
        <v>0</v>
      </c>
      <c r="F19" s="20">
        <f t="shared" si="13"/>
        <v>0</v>
      </c>
      <c r="G19" s="20">
        <f t="shared" si="13"/>
        <v>0</v>
      </c>
      <c r="I19" s="19" t="str">
        <f>alimentos[[#This Row],[Item]]</f>
        <v>Achocolatado (800g)</v>
      </c>
      <c r="J19" s="4">
        <f>IFERROR(alimentos[[#This Row],[kg/embalagem]],0)</f>
        <v>0.8</v>
      </c>
      <c r="K19" s="4">
        <f>IFERROR(alimentos[[#This Row],[Preço]],0)</f>
        <v>19.5</v>
      </c>
      <c r="L19" s="4">
        <f>SUMIFS(super1[Qtde],super1[Item],tab_alimentos[[#This Row],[Item]],super1[Bairro],mercado1)+SUMIFS(supercb[Qtde],supercb[Item],tab_alimentos[[#This Row],[Item]],supercb[Bairro],mercado1)</f>
        <v>0</v>
      </c>
      <c r="M19" s="4">
        <f>SUMIFS(super1[Qtde],super1[Item],tab_alimentos[[#This Row],[Item]],super1[Bairro],mercado2)+SUMIFS(supercb[Qtde],supercb[Item],tab_alimentos[[#This Row],[Item]],supercb[Bairro],mercado2)</f>
        <v>0</v>
      </c>
      <c r="N19" s="4">
        <f>SUMIFS(super1[Qtde],super1[Item],tab_alimentos[[#This Row],[Item]],super1[Bairro],mercado3)+SUMIFS(supercb[Qtde],supercb[Item],tab_alimentos[[#This Row],[Item]],supercb[Bairro],mercado3)</f>
        <v>0</v>
      </c>
      <c r="O19" s="4">
        <f>SUMIFS(super1[Qtde],super1[Item],tab_alimentos[[#This Row],[Item]],super1[Bairro],mercado4)+SUMIFS(supercb[Qtde],supercb[Item],tab_alimentos[[#This Row],[Item]],supercb[Bairro],mercado4)</f>
        <v>0</v>
      </c>
      <c r="P19" s="4">
        <f>SUMIFS(super1[Qtde],super1[Item],tab_alimentos[[#This Row],[Item]],super1[Bairro],mercado5)+SUMIFS(supercb[Qtde],supercb[Item],tab_alimentos[[#This Row],[Item]],supercb[Bairro],mercado5)</f>
        <v>0</v>
      </c>
      <c r="Q19" s="4">
        <f>SUMIFS(super1[Qtde],super1[Item],tab_alimentos[[#This Row],[Item]],super1[Bairro],mercado6)+SUMIFS(supercb[Qtde],supercb[Item],tab_alimentos[[#This Row],[Item]],supercb[Bairro],mercado6)</f>
        <v>0</v>
      </c>
      <c r="R19" s="4">
        <f>SUMIFS(super1[Qtde],super1[Item],tab_alimentos[[#This Row],[Item]],super1[Bairro],mercado7)+SUMIFS(supercb[Qtde],supercb[Item],tab_alimentos[[#This Row],[Item]],supercb[Bairro],mercado7)</f>
        <v>0</v>
      </c>
      <c r="S19" s="4">
        <f>SUMIFS(super1[Qtde],super1[Item],tab_alimentos[[#This Row],[Item]],super1[Bairro],mercado8)+SUMIFS(supercb[Qtde],supercb[Item],tab_alimentos[[#This Row],[Item]],supercb[Bairro],mercado8)</f>
        <v>0</v>
      </c>
      <c r="T19" s="4">
        <f>SUMIFS(super1[Qtde],super1[Item],tab_alimentos[[#This Row],[Item]],super1[Bairro],mercado9)+SUMIFS(supercb[Qtde],supercb[Item],tab_alimentos[[#This Row],[Item]],supercb[Bairro],mercado9)</f>
        <v>0</v>
      </c>
      <c r="U19" s="4">
        <f>SUMIFS(super1[Qtde],super1[Item],tab_alimentos[[#This Row],[Item]],super1[Bairro],mercado10)+SUMIFS(supercb[Qtde],supercb[Item],tab_alimentos[[#This Row],[Item]],supercb[Bairro],mercado10)</f>
        <v>0</v>
      </c>
      <c r="V19" s="4">
        <f>SUMIFS(super1[Qtde],super1[Item],tab_alimentos[[#This Row],[Item]],super1[Bairro],mercado11)+SUMIFS(supercb[Qtde],supercb[Item],tab_alimentos[[#This Row],[Item]],supercb[Bairro],mercado11)</f>
        <v>0</v>
      </c>
      <c r="W19" s="4">
        <f>SUMIFS(super1[Qtde],super1[Item],tab_alimentos[[#This Row],[Item]],super1[Bairro],mercado12)+SUMIFS(supercb[Qtde],supercb[Item],tab_alimentos[[#This Row],[Item]],supercb[Bairro],mercado12)</f>
        <v>0</v>
      </c>
      <c r="X19" s="4">
        <f>SUMIFS(super1[Qtde],super1[Item],tab_alimentos[[#This Row],[Item]],super1[Bairro],mercado13)+SUMIFS(supercb[Qtde],supercb[Item],tab_alimentos[[#This Row],[Item]],supercb[Bairro],mercado13)</f>
        <v>0</v>
      </c>
      <c r="Y19" s="4">
        <f>SUMIFS(super1[Qtde],super1[Item],tab_alimentos[[#This Row],[Item]],super1[Bairro],mercado14)+SUMIFS(supercb[Qtde],supercb[Item],tab_alimentos[[#This Row],[Item]],supercb[Bairro],mercado14)</f>
        <v>0</v>
      </c>
      <c r="Z19" s="4">
        <f>SUMIFS(super1[Qtde],super1[Item],tab_alimentos[[#This Row],[Item]],super1[Bairro],mercado15)+SUMIFS(supercb[Qtde],supercb[Item],tab_alimentos[[#This Row],[Item]],supercb[Bairro],mercado15)</f>
        <v>0</v>
      </c>
      <c r="AA19" s="4">
        <f>SUMIFS(super1[Qtde],super1[Item],tab_alimentos[[#This Row],[Item]],super1[Bairro],mercado16)+SUMIFS(supercb[Qtde],supercb[Item],tab_alimentos[[#This Row],[Item]],supercb[Bairro],mercado16)</f>
        <v>0</v>
      </c>
      <c r="AB19" s="4">
        <f>SUMIFS(super1[Qtde],super1[Item],tab_alimentos[[#This Row],[Item]],super1[Bairro],mercado17)+SUMIFS(supercb[Qtde],supercb[Item],tab_alimentos[[#This Row],[Item]],supercb[Bairro],mercado17)</f>
        <v>0</v>
      </c>
      <c r="AC19" s="4">
        <f>SUMIFS(super1[Qtde],super1[Item],tab_alimentos[[#This Row],[Item]],super1[Bairro],mercado18)+SUMIFS(supercb[Qtde],supercb[Item],tab_alimentos[[#This Row],[Item]],supercb[Bairro],mercado18)</f>
        <v>0</v>
      </c>
      <c r="AD19" s="4">
        <f>SUMIFS(super1[Qtde],super1[Item],tab_alimentos[[#This Row],[Item]],super1[Bairro],extras)+SUMIFS(supercb[Qtde],supercb[Item],tab_alimentos[[#This Row],[Item]],supercb[Bairro],extras)</f>
        <v>0</v>
      </c>
      <c r="AE19" s="4">
        <f t="shared" si="0"/>
        <v>0</v>
      </c>
      <c r="AF19" s="4">
        <f t="shared" si="1"/>
        <v>0</v>
      </c>
      <c r="AG19" s="6">
        <f t="shared" si="2"/>
        <v>0</v>
      </c>
      <c r="AH19" s="19" t="str">
        <f>higiene[[#This Row],[Item]]</f>
        <v>Água Sanitária (5L)</v>
      </c>
      <c r="AI19" s="4">
        <f>IFERROR(higiene[[#This Row],[Kg equivalente]],0)</f>
        <v>0</v>
      </c>
      <c r="AJ19" s="4">
        <f>IFERROR(higiene[[#This Row],[Preço por produto]],0)</f>
        <v>6.76</v>
      </c>
      <c r="AK19" s="4">
        <f>SUMIFS(super1[Qtde],super1[Item],tab_higiene[[#This Row],[Item]],super1[Bairro],mercado1)+SUMIFS(supercb[Qtde],supercb[Item],tab_higiene[[#This Row],[Item]],supercb[Bairro],mercado1)</f>
        <v>0</v>
      </c>
      <c r="AL19" s="4">
        <f>SUMIFS(super1[Qtde],super1[Item],tab_higiene[[#This Row],[Item]],super1[Bairro],mercado2)+SUMIFS(supercb[Qtde],supercb[Item],tab_higiene[[#This Row],[Item]],supercb[Bairro],mercado2)</f>
        <v>0</v>
      </c>
      <c r="AM19" s="4">
        <f>SUMIFS(super1[Qtde],super1[Item],tab_higiene[[#This Row],[Item]],super1[Bairro],mercado3)+SUMIFS(supercb[Qtde],supercb[Item],tab_higiene[[#This Row],[Item]],supercb[Bairro],mercado3)</f>
        <v>0</v>
      </c>
      <c r="AN19" s="4">
        <f>SUMIFS(super1[Qtde],super1[Item],tab_higiene[[#This Row],[Item]],super1[Bairro],mercado4)+SUMIFS(supercb[Qtde],supercb[Item],tab_higiene[[#This Row],[Item]],supercb[Bairro],mercado4)</f>
        <v>0</v>
      </c>
      <c r="AO19" s="4">
        <f>SUMIFS(super1[Qtde],super1[Item],tab_higiene[[#This Row],[Item]],super1[Bairro],mercado5)+SUMIFS(supercb[Qtde],supercb[Item],tab_higiene[[#This Row],[Item]],supercb[Bairro],mercado5)</f>
        <v>0</v>
      </c>
      <c r="AP19" s="4">
        <f>SUMIFS(super1[Qtde],super1[Item],tab_higiene[[#This Row],[Item]],super1[Bairro],mercado6)+SUMIFS(supercb[Qtde],supercb[Item],tab_higiene[[#This Row],[Item]],supercb[Bairro],mercado6)</f>
        <v>0</v>
      </c>
      <c r="AQ19" s="4">
        <f>SUMIFS(super1[Qtde],super1[Item],tab_higiene[[#This Row],[Item]],super1[Bairro],mercado7)+SUMIFS(supercb[Qtde],supercb[Item],tab_higiene[[#This Row],[Item]],supercb[Bairro],mercado7)</f>
        <v>0</v>
      </c>
      <c r="AR19" s="4">
        <f>SUMIFS(super1[Qtde],super1[Item],tab_higiene[[#This Row],[Item]],super1[Bairro],mercado8)+SUMIFS(supercb[Qtde],supercb[Item],tab_higiene[[#This Row],[Item]],supercb[Bairro],mercado8)</f>
        <v>0</v>
      </c>
      <c r="AS19" s="4">
        <f>SUMIFS(super1[Qtde],super1[Item],tab_higiene[[#This Row],[Item]],super1[Bairro],mercado9)+SUMIFS(supercb[Qtde],supercb[Item],tab_higiene[[#This Row],[Item]],supercb[Bairro],mercado9)</f>
        <v>0</v>
      </c>
      <c r="AT19" s="4">
        <f>SUMIFS(super1[Qtde],super1[Item],tab_higiene[[#This Row],[Item]],super1[Bairro],mercado10)+SUMIFS(supercb[Qtde],supercb[Item],tab_higiene[[#This Row],[Item]],supercb[Bairro],mercado10)</f>
        <v>0</v>
      </c>
      <c r="AU19" s="4">
        <f>SUMIFS(super1[Qtde],super1[Item],tab_higiene[[#This Row],[Item]],super1[Bairro],mercado11)+SUMIFS(supercb[Qtde],supercb[Item],tab_higiene[[#This Row],[Item]],supercb[Bairro],mercado11)</f>
        <v>0</v>
      </c>
      <c r="AV19" s="4">
        <f>SUMIFS(super1[Qtde],super1[Item],tab_higiene[[#This Row],[Item]],super1[Bairro],mercado12)+SUMIFS(supercb[Qtde],supercb[Item],tab_higiene[[#This Row],[Item]],supercb[Bairro],mercado12)</f>
        <v>0</v>
      </c>
      <c r="AW19" s="4">
        <f>SUMIFS(super1[Qtde],super1[Item],tab_higiene[[#This Row],[Item]],super1[Bairro],mercado13)+SUMIFS(supercb[Qtde],supercb[Item],tab_higiene[[#This Row],[Item]],supercb[Bairro],mercado13)</f>
        <v>0</v>
      </c>
      <c r="AX19" s="4">
        <f>SUMIFS(super1[Qtde],super1[Item],tab_higiene[[#This Row],[Item]],super1[Bairro],mercado14)+SUMIFS(supercb[Qtde],supercb[Item],tab_higiene[[#This Row],[Item]],supercb[Bairro],mercado14)</f>
        <v>0</v>
      </c>
      <c r="AY19" s="4">
        <f>SUMIFS(super1[Qtde],super1[Item],tab_higiene[[#This Row],[Item]],super1[Bairro],mercado15)+SUMIFS(supercb[Qtde],supercb[Item],tab_higiene[[#This Row],[Item]],supercb[Bairro],mercado15)</f>
        <v>0</v>
      </c>
      <c r="AZ19" s="4">
        <f>SUMIFS(super1[Qtde],super1[Item],tab_higiene[[#This Row],[Item]],super1[Bairro],mercado16)+SUMIFS(supercb[Qtde],supercb[Item],tab_higiene[[#This Row],[Item]],supercb[Bairro],mercado16)</f>
        <v>0</v>
      </c>
      <c r="BA19" s="4">
        <f>SUMIFS(super1[Qtde],super1[Item],tab_higiene[[#This Row],[Item]],super1[Bairro],mercado17)+SUMIFS(supercb[Qtde],supercb[Item],tab_higiene[[#This Row],[Item]],supercb[Bairro],mercado17)</f>
        <v>0</v>
      </c>
      <c r="BB19" s="4">
        <f>SUMIFS(super1[Qtde],super1[Item],tab_higiene[[#This Row],[Item]],super1[Bairro],mercado18)+SUMIFS(supercb[Qtde],supercb[Item],tab_higiene[[#This Row],[Item]],supercb[Bairro],mercado18)</f>
        <v>0</v>
      </c>
      <c r="BC19" s="4">
        <f>SUMIFS(super1[Qtde],super1[Item],tab_higiene[[#This Row],[Item]],super1[Bairro],extras)+SUMIFS(supercb[Qtde],supercb[Item],tab_higiene[[#This Row],[Item]],supercb[Bairro],extras)</f>
        <v>0</v>
      </c>
      <c r="BD19" s="4">
        <f t="shared" si="3"/>
        <v>0</v>
      </c>
      <c r="BE19" s="4">
        <f t="shared" si="4"/>
        <v>0</v>
      </c>
      <c r="BF19" s="6">
        <f t="shared" si="5"/>
        <v>0</v>
      </c>
      <c r="BI19" s="1" t="str">
        <f>tab_alimentos[[#This Row],[Item]]</f>
        <v>Achocolatado (800g)</v>
      </c>
      <c r="BJ19" s="1">
        <f t="shared" si="6"/>
        <v>13</v>
      </c>
      <c r="BK19" s="1" t="str">
        <f t="shared" si="7"/>
        <v>Achocolatado</v>
      </c>
      <c r="BL19" s="1">
        <f>tab_alimentos[[#This Row],[kg]]</f>
        <v>0</v>
      </c>
      <c r="BM19" s="25" t="s">
        <v>155</v>
      </c>
      <c r="BN19" s="1">
        <f t="shared" si="11"/>
        <v>0</v>
      </c>
      <c r="BP19" s="1" t="str">
        <f>tab_higiene[[#This Row],[Item]]</f>
        <v>Água Sanitária (5L)</v>
      </c>
      <c r="BQ19" s="1">
        <f t="shared" si="8"/>
        <v>15</v>
      </c>
      <c r="BR19" s="1" t="str">
        <f t="shared" si="9"/>
        <v>Água Sanitária</v>
      </c>
      <c r="BS19" s="1">
        <f>higiene[[#This Row],[Quantidade]]</f>
        <v>5</v>
      </c>
      <c r="BT19" s="1">
        <f>tab_higiene[[#This Row],[Qtde (tot)]]</f>
        <v>0</v>
      </c>
      <c r="BU19" s="1">
        <f t="shared" si="12"/>
        <v>0</v>
      </c>
      <c r="BV19" s="25" t="s">
        <v>240</v>
      </c>
      <c r="BW19" s="1">
        <f t="shared" si="10"/>
        <v>0</v>
      </c>
    </row>
    <row r="20" spans="1:75" x14ac:dyDescent="0.25">
      <c r="A20">
        <f>tabMercados[[#This Row],[Mercados]]</f>
        <v>0</v>
      </c>
      <c r="B20" s="20">
        <f>SUMPRODUCT(tab_alimentos[kg/embalagem],tab_alimentos[Qtde (S12)])</f>
        <v>0</v>
      </c>
      <c r="C20" s="20">
        <f>SUMPRODUCT(tab_alimentos[Preço],tab_alimentos[Qtde (S12)])</f>
        <v>0</v>
      </c>
      <c r="D20" s="20">
        <f>SUMPRODUCT(tab_higiene[kg/embalagem],tab_higiene[Qtde (S12)])</f>
        <v>0</v>
      </c>
      <c r="E20" s="20">
        <f>SUMPRODUCT(tab_higiene[Preço],tab_higiene[Qtde (S12)])</f>
        <v>0</v>
      </c>
      <c r="F20" s="20">
        <f t="shared" si="13"/>
        <v>0</v>
      </c>
      <c r="G20" s="20">
        <f t="shared" si="13"/>
        <v>0</v>
      </c>
      <c r="I20" s="19" t="str">
        <f>alimentos[[#This Row],[Item]]</f>
        <v>Achocolatado (900g)</v>
      </c>
      <c r="J20" s="4">
        <f>IFERROR(alimentos[[#This Row],[kg/embalagem]],0)</f>
        <v>0.9</v>
      </c>
      <c r="K20" s="4">
        <f>IFERROR(alimentos[[#This Row],[Preço]],0)</f>
        <v>12.25</v>
      </c>
      <c r="L20" s="4">
        <f>SUMIFS(super1[Qtde],super1[Item],tab_alimentos[[#This Row],[Item]],super1[Bairro],mercado1)+SUMIFS(supercb[Qtde],supercb[Item],tab_alimentos[[#This Row],[Item]],supercb[Bairro],mercado1)</f>
        <v>0</v>
      </c>
      <c r="M20" s="4">
        <f>SUMIFS(super1[Qtde],super1[Item],tab_alimentos[[#This Row],[Item]],super1[Bairro],mercado2)+SUMIFS(supercb[Qtde],supercb[Item],tab_alimentos[[#This Row],[Item]],supercb[Bairro],mercado2)</f>
        <v>0</v>
      </c>
      <c r="N20" s="4">
        <f>SUMIFS(super1[Qtde],super1[Item],tab_alimentos[[#This Row],[Item]],super1[Bairro],mercado3)+SUMIFS(supercb[Qtde],supercb[Item],tab_alimentos[[#This Row],[Item]],supercb[Bairro],mercado3)</f>
        <v>0</v>
      </c>
      <c r="O20" s="4">
        <f>SUMIFS(super1[Qtde],super1[Item],tab_alimentos[[#This Row],[Item]],super1[Bairro],mercado4)+SUMIFS(supercb[Qtde],supercb[Item],tab_alimentos[[#This Row],[Item]],supercb[Bairro],mercado4)</f>
        <v>0</v>
      </c>
      <c r="P20" s="4">
        <f>SUMIFS(super1[Qtde],super1[Item],tab_alimentos[[#This Row],[Item]],super1[Bairro],mercado5)+SUMIFS(supercb[Qtde],supercb[Item],tab_alimentos[[#This Row],[Item]],supercb[Bairro],mercado5)</f>
        <v>0</v>
      </c>
      <c r="Q20" s="4">
        <f>SUMIFS(super1[Qtde],super1[Item],tab_alimentos[[#This Row],[Item]],super1[Bairro],mercado6)+SUMIFS(supercb[Qtde],supercb[Item],tab_alimentos[[#This Row],[Item]],supercb[Bairro],mercado6)</f>
        <v>0</v>
      </c>
      <c r="R20" s="4">
        <f>SUMIFS(super1[Qtde],super1[Item],tab_alimentos[[#This Row],[Item]],super1[Bairro],mercado7)+SUMIFS(supercb[Qtde],supercb[Item],tab_alimentos[[#This Row],[Item]],supercb[Bairro],mercado7)</f>
        <v>0</v>
      </c>
      <c r="S20" s="4">
        <f>SUMIFS(super1[Qtde],super1[Item],tab_alimentos[[#This Row],[Item]],super1[Bairro],mercado8)+SUMIFS(supercb[Qtde],supercb[Item],tab_alimentos[[#This Row],[Item]],supercb[Bairro],mercado8)</f>
        <v>0</v>
      </c>
      <c r="T20" s="4">
        <f>SUMIFS(super1[Qtde],super1[Item],tab_alimentos[[#This Row],[Item]],super1[Bairro],mercado9)+SUMIFS(supercb[Qtde],supercb[Item],tab_alimentos[[#This Row],[Item]],supercb[Bairro],mercado9)</f>
        <v>0</v>
      </c>
      <c r="U20" s="4">
        <f>SUMIFS(super1[Qtde],super1[Item],tab_alimentos[[#This Row],[Item]],super1[Bairro],mercado10)+SUMIFS(supercb[Qtde],supercb[Item],tab_alimentos[[#This Row],[Item]],supercb[Bairro],mercado10)</f>
        <v>0</v>
      </c>
      <c r="V20" s="4">
        <f>SUMIFS(super1[Qtde],super1[Item],tab_alimentos[[#This Row],[Item]],super1[Bairro],mercado11)+SUMIFS(supercb[Qtde],supercb[Item],tab_alimentos[[#This Row],[Item]],supercb[Bairro],mercado11)</f>
        <v>0</v>
      </c>
      <c r="W20" s="4">
        <f>SUMIFS(super1[Qtde],super1[Item],tab_alimentos[[#This Row],[Item]],super1[Bairro],mercado12)+SUMIFS(supercb[Qtde],supercb[Item],tab_alimentos[[#This Row],[Item]],supercb[Bairro],mercado12)</f>
        <v>0</v>
      </c>
      <c r="X20" s="4">
        <f>SUMIFS(super1[Qtde],super1[Item],tab_alimentos[[#This Row],[Item]],super1[Bairro],mercado13)+SUMIFS(supercb[Qtde],supercb[Item],tab_alimentos[[#This Row],[Item]],supercb[Bairro],mercado13)</f>
        <v>0</v>
      </c>
      <c r="Y20" s="4">
        <f>SUMIFS(super1[Qtde],super1[Item],tab_alimentos[[#This Row],[Item]],super1[Bairro],mercado14)+SUMIFS(supercb[Qtde],supercb[Item],tab_alimentos[[#This Row],[Item]],supercb[Bairro],mercado14)</f>
        <v>0</v>
      </c>
      <c r="Z20" s="4">
        <f>SUMIFS(super1[Qtde],super1[Item],tab_alimentos[[#This Row],[Item]],super1[Bairro],mercado15)+SUMIFS(supercb[Qtde],supercb[Item],tab_alimentos[[#This Row],[Item]],supercb[Bairro],mercado15)</f>
        <v>0</v>
      </c>
      <c r="AA20" s="4">
        <f>SUMIFS(super1[Qtde],super1[Item],tab_alimentos[[#This Row],[Item]],super1[Bairro],mercado16)+SUMIFS(supercb[Qtde],supercb[Item],tab_alimentos[[#This Row],[Item]],supercb[Bairro],mercado16)</f>
        <v>0</v>
      </c>
      <c r="AB20" s="4">
        <f>SUMIFS(super1[Qtde],super1[Item],tab_alimentos[[#This Row],[Item]],super1[Bairro],mercado17)+SUMIFS(supercb[Qtde],supercb[Item],tab_alimentos[[#This Row],[Item]],supercb[Bairro],mercado17)</f>
        <v>0</v>
      </c>
      <c r="AC20" s="4">
        <f>SUMIFS(super1[Qtde],super1[Item],tab_alimentos[[#This Row],[Item]],super1[Bairro],mercado18)+SUMIFS(supercb[Qtde],supercb[Item],tab_alimentos[[#This Row],[Item]],supercb[Bairro],mercado18)</f>
        <v>0</v>
      </c>
      <c r="AD20" s="4">
        <f>SUMIFS(super1[Qtde],super1[Item],tab_alimentos[[#This Row],[Item]],super1[Bairro],extras)+SUMIFS(supercb[Qtde],supercb[Item],tab_alimentos[[#This Row],[Item]],supercb[Bairro],extras)</f>
        <v>0</v>
      </c>
      <c r="AE20" s="4">
        <f t="shared" si="0"/>
        <v>0</v>
      </c>
      <c r="AF20" s="4">
        <f t="shared" si="1"/>
        <v>0</v>
      </c>
      <c r="AG20" s="6">
        <f t="shared" si="2"/>
        <v>0</v>
      </c>
      <c r="AH20" s="19" t="str">
        <f>higiene[[#This Row],[Item]]</f>
        <v>Álcool (1L)</v>
      </c>
      <c r="AI20" s="4">
        <f>IFERROR(higiene[[#This Row],[Kg equivalente]],0)</f>
        <v>0</v>
      </c>
      <c r="AJ20" s="4">
        <f>IFERROR(higiene[[#This Row],[Preço por produto]],0)</f>
        <v>4.58</v>
      </c>
      <c r="AK20" s="4">
        <f>SUMIFS(super1[Qtde],super1[Item],tab_higiene[[#This Row],[Item]],super1[Bairro],mercado1)+SUMIFS(supercb[Qtde],supercb[Item],tab_higiene[[#This Row],[Item]],supercb[Bairro],mercado1)</f>
        <v>0</v>
      </c>
      <c r="AL20" s="4">
        <f>SUMIFS(super1[Qtde],super1[Item],tab_higiene[[#This Row],[Item]],super1[Bairro],mercado2)+SUMIFS(supercb[Qtde],supercb[Item],tab_higiene[[#This Row],[Item]],supercb[Bairro],mercado2)</f>
        <v>0</v>
      </c>
      <c r="AM20" s="4">
        <f>SUMIFS(super1[Qtde],super1[Item],tab_higiene[[#This Row],[Item]],super1[Bairro],mercado3)+SUMIFS(supercb[Qtde],supercb[Item],tab_higiene[[#This Row],[Item]],supercb[Bairro],mercado3)</f>
        <v>0</v>
      </c>
      <c r="AN20" s="4">
        <f>SUMIFS(super1[Qtde],super1[Item],tab_higiene[[#This Row],[Item]],super1[Bairro],mercado4)+SUMIFS(supercb[Qtde],supercb[Item],tab_higiene[[#This Row],[Item]],supercb[Bairro],mercado4)</f>
        <v>0</v>
      </c>
      <c r="AO20" s="4">
        <f>SUMIFS(super1[Qtde],super1[Item],tab_higiene[[#This Row],[Item]],super1[Bairro],mercado5)+SUMIFS(supercb[Qtde],supercb[Item],tab_higiene[[#This Row],[Item]],supercb[Bairro],mercado5)</f>
        <v>0</v>
      </c>
      <c r="AP20" s="4">
        <f>SUMIFS(super1[Qtde],super1[Item],tab_higiene[[#This Row],[Item]],super1[Bairro],mercado6)+SUMIFS(supercb[Qtde],supercb[Item],tab_higiene[[#This Row],[Item]],supercb[Bairro],mercado6)</f>
        <v>0</v>
      </c>
      <c r="AQ20" s="4">
        <f>SUMIFS(super1[Qtde],super1[Item],tab_higiene[[#This Row],[Item]],super1[Bairro],mercado7)+SUMIFS(supercb[Qtde],supercb[Item],tab_higiene[[#This Row],[Item]],supercb[Bairro],mercado7)</f>
        <v>0</v>
      </c>
      <c r="AR20" s="4">
        <f>SUMIFS(super1[Qtde],super1[Item],tab_higiene[[#This Row],[Item]],super1[Bairro],mercado8)+SUMIFS(supercb[Qtde],supercb[Item],tab_higiene[[#This Row],[Item]],supercb[Bairro],mercado8)</f>
        <v>0</v>
      </c>
      <c r="AS20" s="4">
        <f>SUMIFS(super1[Qtde],super1[Item],tab_higiene[[#This Row],[Item]],super1[Bairro],mercado9)+SUMIFS(supercb[Qtde],supercb[Item],tab_higiene[[#This Row],[Item]],supercb[Bairro],mercado9)</f>
        <v>0</v>
      </c>
      <c r="AT20" s="4">
        <f>SUMIFS(super1[Qtde],super1[Item],tab_higiene[[#This Row],[Item]],super1[Bairro],mercado10)+SUMIFS(supercb[Qtde],supercb[Item],tab_higiene[[#This Row],[Item]],supercb[Bairro],mercado10)</f>
        <v>0</v>
      </c>
      <c r="AU20" s="4">
        <f>SUMIFS(super1[Qtde],super1[Item],tab_higiene[[#This Row],[Item]],super1[Bairro],mercado11)+SUMIFS(supercb[Qtde],supercb[Item],tab_higiene[[#This Row],[Item]],supercb[Bairro],mercado11)</f>
        <v>0</v>
      </c>
      <c r="AV20" s="4">
        <f>SUMIFS(super1[Qtde],super1[Item],tab_higiene[[#This Row],[Item]],super1[Bairro],mercado12)+SUMIFS(supercb[Qtde],supercb[Item],tab_higiene[[#This Row],[Item]],supercb[Bairro],mercado12)</f>
        <v>0</v>
      </c>
      <c r="AW20" s="4">
        <f>SUMIFS(super1[Qtde],super1[Item],tab_higiene[[#This Row],[Item]],super1[Bairro],mercado13)+SUMIFS(supercb[Qtde],supercb[Item],tab_higiene[[#This Row],[Item]],supercb[Bairro],mercado13)</f>
        <v>0</v>
      </c>
      <c r="AX20" s="4">
        <f>SUMIFS(super1[Qtde],super1[Item],tab_higiene[[#This Row],[Item]],super1[Bairro],mercado14)+SUMIFS(supercb[Qtde],supercb[Item],tab_higiene[[#This Row],[Item]],supercb[Bairro],mercado14)</f>
        <v>0</v>
      </c>
      <c r="AY20" s="4">
        <f>SUMIFS(super1[Qtde],super1[Item],tab_higiene[[#This Row],[Item]],super1[Bairro],mercado15)+SUMIFS(supercb[Qtde],supercb[Item],tab_higiene[[#This Row],[Item]],supercb[Bairro],mercado15)</f>
        <v>0</v>
      </c>
      <c r="AZ20" s="4">
        <f>SUMIFS(super1[Qtde],super1[Item],tab_higiene[[#This Row],[Item]],super1[Bairro],mercado16)+SUMIFS(supercb[Qtde],supercb[Item],tab_higiene[[#This Row],[Item]],supercb[Bairro],mercado16)</f>
        <v>0</v>
      </c>
      <c r="BA20" s="4">
        <f>SUMIFS(super1[Qtde],super1[Item],tab_higiene[[#This Row],[Item]],super1[Bairro],mercado17)+SUMIFS(supercb[Qtde],supercb[Item],tab_higiene[[#This Row],[Item]],supercb[Bairro],mercado17)</f>
        <v>0</v>
      </c>
      <c r="BB20" s="4">
        <f>SUMIFS(super1[Qtde],super1[Item],tab_higiene[[#This Row],[Item]],super1[Bairro],mercado18)+SUMIFS(supercb[Qtde],supercb[Item],tab_higiene[[#This Row],[Item]],supercb[Bairro],mercado18)</f>
        <v>0</v>
      </c>
      <c r="BC20" s="4">
        <f>SUMIFS(super1[Qtde],super1[Item],tab_higiene[[#This Row],[Item]],super1[Bairro],extras)+SUMIFS(supercb[Qtde],supercb[Item],tab_higiene[[#This Row],[Item]],supercb[Bairro],extras)</f>
        <v>0</v>
      </c>
      <c r="BD20" s="4">
        <f t="shared" si="3"/>
        <v>0</v>
      </c>
      <c r="BE20" s="4">
        <f t="shared" si="4"/>
        <v>0</v>
      </c>
      <c r="BF20" s="6">
        <f t="shared" si="5"/>
        <v>0</v>
      </c>
      <c r="BI20" s="1" t="str">
        <f>tab_alimentos[[#This Row],[Item]]</f>
        <v>Achocolatado (900g)</v>
      </c>
      <c r="BJ20" s="1">
        <f t="shared" si="6"/>
        <v>13</v>
      </c>
      <c r="BK20" s="1" t="str">
        <f t="shared" si="7"/>
        <v>Achocolatado</v>
      </c>
      <c r="BL20" s="1">
        <f>tab_alimentos[[#This Row],[kg]]</f>
        <v>0</v>
      </c>
      <c r="BM20" s="25" t="s">
        <v>276</v>
      </c>
      <c r="BN20" s="1">
        <f t="shared" si="11"/>
        <v>0</v>
      </c>
      <c r="BP20" s="1" t="str">
        <f>tab_higiene[[#This Row],[Item]]</f>
        <v>Álcool (1L)</v>
      </c>
      <c r="BQ20" s="1">
        <f t="shared" si="8"/>
        <v>7</v>
      </c>
      <c r="BR20" s="1" t="str">
        <f t="shared" si="9"/>
        <v>Álcool</v>
      </c>
      <c r="BS20" s="1">
        <f>higiene[[#This Row],[Quantidade]]</f>
        <v>1</v>
      </c>
      <c r="BT20" s="1">
        <f>tab_higiene[[#This Row],[Qtde (tot)]]</f>
        <v>0</v>
      </c>
      <c r="BU20" s="1">
        <f t="shared" si="12"/>
        <v>0</v>
      </c>
      <c r="BV20" s="25" t="s">
        <v>129</v>
      </c>
      <c r="BW20" s="1">
        <f t="shared" si="10"/>
        <v>0</v>
      </c>
    </row>
    <row r="21" spans="1:75" x14ac:dyDescent="0.25">
      <c r="A21">
        <f>tabMercados[[#This Row],[Mercados]]</f>
        <v>0</v>
      </c>
      <c r="B21" s="20">
        <f>SUMPRODUCT(tab_alimentos[kg/embalagem],tab_alimentos[Qtde (S13)])</f>
        <v>0</v>
      </c>
      <c r="C21" s="20">
        <f>SUMPRODUCT(tab_alimentos[Preço],tab_alimentos[Qtde (S13)])</f>
        <v>0</v>
      </c>
      <c r="D21" s="20">
        <f>SUMPRODUCT(tab_higiene[kg/embalagem],tab_higiene[Qtde (S13)])</f>
        <v>0</v>
      </c>
      <c r="E21" s="20">
        <f>SUMPRODUCT(tab_higiene[Preço],tab_higiene[Qtde (S13)])</f>
        <v>0</v>
      </c>
      <c r="F21" s="20">
        <f t="shared" si="13"/>
        <v>0</v>
      </c>
      <c r="G21" s="20">
        <f t="shared" si="13"/>
        <v>0</v>
      </c>
      <c r="I21" s="19" t="str">
        <f>alimentos[[#This Row],[Item]]</f>
        <v>Açúcar (1kg)</v>
      </c>
      <c r="J21" s="4">
        <f>IFERROR(alimentos[[#This Row],[kg/embalagem]],0)</f>
        <v>1</v>
      </c>
      <c r="K21" s="4">
        <f>IFERROR(alimentos[[#This Row],[Preço]],0)</f>
        <v>4.2</v>
      </c>
      <c r="L21" s="4">
        <f>SUMIFS(super1[Qtde],super1[Item],tab_alimentos[[#This Row],[Item]],super1[Bairro],mercado1)+SUMIFS(supercb[Qtde],supercb[Item],tab_alimentos[[#This Row],[Item]],supercb[Bairro],mercado1)</f>
        <v>0</v>
      </c>
      <c r="M21" s="4">
        <f>SUMIFS(super1[Qtde],super1[Item],tab_alimentos[[#This Row],[Item]],super1[Bairro],mercado2)+SUMIFS(supercb[Qtde],supercb[Item],tab_alimentos[[#This Row],[Item]],supercb[Bairro],mercado2)</f>
        <v>0</v>
      </c>
      <c r="N21" s="4">
        <f>SUMIFS(super1[Qtde],super1[Item],tab_alimentos[[#This Row],[Item]],super1[Bairro],mercado3)+SUMIFS(supercb[Qtde],supercb[Item],tab_alimentos[[#This Row],[Item]],supercb[Bairro],mercado3)</f>
        <v>0</v>
      </c>
      <c r="O21" s="4">
        <f>SUMIFS(super1[Qtde],super1[Item],tab_alimentos[[#This Row],[Item]],super1[Bairro],mercado4)+SUMIFS(supercb[Qtde],supercb[Item],tab_alimentos[[#This Row],[Item]],supercb[Bairro],mercado4)</f>
        <v>0</v>
      </c>
      <c r="P21" s="4">
        <f>SUMIFS(super1[Qtde],super1[Item],tab_alimentos[[#This Row],[Item]],super1[Bairro],mercado5)+SUMIFS(supercb[Qtde],supercb[Item],tab_alimentos[[#This Row],[Item]],supercb[Bairro],mercado5)</f>
        <v>0</v>
      </c>
      <c r="Q21" s="4">
        <f>SUMIFS(super1[Qtde],super1[Item],tab_alimentos[[#This Row],[Item]],super1[Bairro],mercado6)+SUMIFS(supercb[Qtde],supercb[Item],tab_alimentos[[#This Row],[Item]],supercb[Bairro],mercado6)</f>
        <v>0</v>
      </c>
      <c r="R21" s="4">
        <f>SUMIFS(super1[Qtde],super1[Item],tab_alimentos[[#This Row],[Item]],super1[Bairro],mercado7)+SUMIFS(supercb[Qtde],supercb[Item],tab_alimentos[[#This Row],[Item]],supercb[Bairro],mercado7)</f>
        <v>0</v>
      </c>
      <c r="S21" s="4">
        <f>SUMIFS(super1[Qtde],super1[Item],tab_alimentos[[#This Row],[Item]],super1[Bairro],mercado8)+SUMIFS(supercb[Qtde],supercb[Item],tab_alimentos[[#This Row],[Item]],supercb[Bairro],mercado8)</f>
        <v>0</v>
      </c>
      <c r="T21" s="4">
        <f>SUMIFS(super1[Qtde],super1[Item],tab_alimentos[[#This Row],[Item]],super1[Bairro],mercado9)+SUMIFS(supercb[Qtde],supercb[Item],tab_alimentos[[#This Row],[Item]],supercb[Bairro],mercado9)</f>
        <v>0</v>
      </c>
      <c r="U21" s="4">
        <f>SUMIFS(super1[Qtde],super1[Item],tab_alimentos[[#This Row],[Item]],super1[Bairro],mercado10)+SUMIFS(supercb[Qtde],supercb[Item],tab_alimentos[[#This Row],[Item]],supercb[Bairro],mercado10)</f>
        <v>0</v>
      </c>
      <c r="V21" s="4">
        <f>SUMIFS(super1[Qtde],super1[Item],tab_alimentos[[#This Row],[Item]],super1[Bairro],mercado11)+SUMIFS(supercb[Qtde],supercb[Item],tab_alimentos[[#This Row],[Item]],supercb[Bairro],mercado11)</f>
        <v>0</v>
      </c>
      <c r="W21" s="4">
        <f>SUMIFS(super1[Qtde],super1[Item],tab_alimentos[[#This Row],[Item]],super1[Bairro],mercado12)+SUMIFS(supercb[Qtde],supercb[Item],tab_alimentos[[#This Row],[Item]],supercb[Bairro],mercado12)</f>
        <v>0</v>
      </c>
      <c r="X21" s="4">
        <f>SUMIFS(super1[Qtde],super1[Item],tab_alimentos[[#This Row],[Item]],super1[Bairro],mercado13)+SUMIFS(supercb[Qtde],supercb[Item],tab_alimentos[[#This Row],[Item]],supercb[Bairro],mercado13)</f>
        <v>0</v>
      </c>
      <c r="Y21" s="4">
        <f>SUMIFS(super1[Qtde],super1[Item],tab_alimentos[[#This Row],[Item]],super1[Bairro],mercado14)+SUMIFS(supercb[Qtde],supercb[Item],tab_alimentos[[#This Row],[Item]],supercb[Bairro],mercado14)</f>
        <v>0</v>
      </c>
      <c r="Z21" s="4">
        <f>SUMIFS(super1[Qtde],super1[Item],tab_alimentos[[#This Row],[Item]],super1[Bairro],mercado15)+SUMIFS(supercb[Qtde],supercb[Item],tab_alimentos[[#This Row],[Item]],supercb[Bairro],mercado15)</f>
        <v>0</v>
      </c>
      <c r="AA21" s="4">
        <f>SUMIFS(super1[Qtde],super1[Item],tab_alimentos[[#This Row],[Item]],super1[Bairro],mercado16)+SUMIFS(supercb[Qtde],supercb[Item],tab_alimentos[[#This Row],[Item]],supercb[Bairro],mercado16)</f>
        <v>0</v>
      </c>
      <c r="AB21" s="4">
        <f>SUMIFS(super1[Qtde],super1[Item],tab_alimentos[[#This Row],[Item]],super1[Bairro],mercado17)+SUMIFS(supercb[Qtde],supercb[Item],tab_alimentos[[#This Row],[Item]],supercb[Bairro],mercado17)</f>
        <v>0</v>
      </c>
      <c r="AC21" s="4">
        <f>SUMIFS(super1[Qtde],super1[Item],tab_alimentos[[#This Row],[Item]],super1[Bairro],mercado18)+SUMIFS(supercb[Qtde],supercb[Item],tab_alimentos[[#This Row],[Item]],supercb[Bairro],mercado18)</f>
        <v>0</v>
      </c>
      <c r="AD21" s="4">
        <f>SUMIFS(super1[Qtde],super1[Item],tab_alimentos[[#This Row],[Item]],super1[Bairro],extras)+SUMIFS(supercb[Qtde],supercb[Item],tab_alimentos[[#This Row],[Item]],supercb[Bairro],extras)</f>
        <v>0</v>
      </c>
      <c r="AE21" s="4">
        <f t="shared" si="0"/>
        <v>0</v>
      </c>
      <c r="AF21" s="4">
        <f t="shared" si="1"/>
        <v>0</v>
      </c>
      <c r="AG21" s="6">
        <f t="shared" si="2"/>
        <v>0</v>
      </c>
      <c r="AH21" s="19" t="str">
        <f>higiene[[#This Row],[Item]]</f>
        <v>Álcool (500mL)</v>
      </c>
      <c r="AI21" s="4">
        <f>IFERROR(higiene[[#This Row],[Kg equivalente]],0)</f>
        <v>0</v>
      </c>
      <c r="AJ21" s="4">
        <f>IFERROR(higiene[[#This Row],[Preço por produto]],0)</f>
        <v>17.98</v>
      </c>
      <c r="AK21" s="4">
        <f>SUMIFS(super1[Qtde],super1[Item],tab_higiene[[#This Row],[Item]],super1[Bairro],mercado1)+SUMIFS(supercb[Qtde],supercb[Item],tab_higiene[[#This Row],[Item]],supercb[Bairro],mercado1)</f>
        <v>0</v>
      </c>
      <c r="AL21" s="4">
        <f>SUMIFS(super1[Qtde],super1[Item],tab_higiene[[#This Row],[Item]],super1[Bairro],mercado2)+SUMIFS(supercb[Qtde],supercb[Item],tab_higiene[[#This Row],[Item]],supercb[Bairro],mercado2)</f>
        <v>0</v>
      </c>
      <c r="AM21" s="4">
        <f>SUMIFS(super1[Qtde],super1[Item],tab_higiene[[#This Row],[Item]],super1[Bairro],mercado3)+SUMIFS(supercb[Qtde],supercb[Item],tab_higiene[[#This Row],[Item]],supercb[Bairro],mercado3)</f>
        <v>0</v>
      </c>
      <c r="AN21" s="4">
        <f>SUMIFS(super1[Qtde],super1[Item],tab_higiene[[#This Row],[Item]],super1[Bairro],mercado4)+SUMIFS(supercb[Qtde],supercb[Item],tab_higiene[[#This Row],[Item]],supercb[Bairro],mercado4)</f>
        <v>0</v>
      </c>
      <c r="AO21" s="4">
        <f>SUMIFS(super1[Qtde],super1[Item],tab_higiene[[#This Row],[Item]],super1[Bairro],mercado5)+SUMIFS(supercb[Qtde],supercb[Item],tab_higiene[[#This Row],[Item]],supercb[Bairro],mercado5)</f>
        <v>0</v>
      </c>
      <c r="AP21" s="4">
        <f>SUMIFS(super1[Qtde],super1[Item],tab_higiene[[#This Row],[Item]],super1[Bairro],mercado6)+SUMIFS(supercb[Qtde],supercb[Item],tab_higiene[[#This Row],[Item]],supercb[Bairro],mercado6)</f>
        <v>0</v>
      </c>
      <c r="AQ21" s="4">
        <f>SUMIFS(super1[Qtde],super1[Item],tab_higiene[[#This Row],[Item]],super1[Bairro],mercado7)+SUMIFS(supercb[Qtde],supercb[Item],tab_higiene[[#This Row],[Item]],supercb[Bairro],mercado7)</f>
        <v>0</v>
      </c>
      <c r="AR21" s="4">
        <f>SUMIFS(super1[Qtde],super1[Item],tab_higiene[[#This Row],[Item]],super1[Bairro],mercado8)+SUMIFS(supercb[Qtde],supercb[Item],tab_higiene[[#This Row],[Item]],supercb[Bairro],mercado8)</f>
        <v>0</v>
      </c>
      <c r="AS21" s="4">
        <f>SUMIFS(super1[Qtde],super1[Item],tab_higiene[[#This Row],[Item]],super1[Bairro],mercado9)+SUMIFS(supercb[Qtde],supercb[Item],tab_higiene[[#This Row],[Item]],supercb[Bairro],mercado9)</f>
        <v>0</v>
      </c>
      <c r="AT21" s="4">
        <f>SUMIFS(super1[Qtde],super1[Item],tab_higiene[[#This Row],[Item]],super1[Bairro],mercado10)+SUMIFS(supercb[Qtde],supercb[Item],tab_higiene[[#This Row],[Item]],supercb[Bairro],mercado10)</f>
        <v>0</v>
      </c>
      <c r="AU21" s="4">
        <f>SUMIFS(super1[Qtde],super1[Item],tab_higiene[[#This Row],[Item]],super1[Bairro],mercado11)+SUMIFS(supercb[Qtde],supercb[Item],tab_higiene[[#This Row],[Item]],supercb[Bairro],mercado11)</f>
        <v>0</v>
      </c>
      <c r="AV21" s="4">
        <f>SUMIFS(super1[Qtde],super1[Item],tab_higiene[[#This Row],[Item]],super1[Bairro],mercado12)+SUMIFS(supercb[Qtde],supercb[Item],tab_higiene[[#This Row],[Item]],supercb[Bairro],mercado12)</f>
        <v>0</v>
      </c>
      <c r="AW21" s="4">
        <f>SUMIFS(super1[Qtde],super1[Item],tab_higiene[[#This Row],[Item]],super1[Bairro],mercado13)+SUMIFS(supercb[Qtde],supercb[Item],tab_higiene[[#This Row],[Item]],supercb[Bairro],mercado13)</f>
        <v>0</v>
      </c>
      <c r="AX21" s="4">
        <f>SUMIFS(super1[Qtde],super1[Item],tab_higiene[[#This Row],[Item]],super1[Bairro],mercado14)+SUMIFS(supercb[Qtde],supercb[Item],tab_higiene[[#This Row],[Item]],supercb[Bairro],mercado14)</f>
        <v>0</v>
      </c>
      <c r="AY21" s="4">
        <f>SUMIFS(super1[Qtde],super1[Item],tab_higiene[[#This Row],[Item]],super1[Bairro],mercado15)+SUMIFS(supercb[Qtde],supercb[Item],tab_higiene[[#This Row],[Item]],supercb[Bairro],mercado15)</f>
        <v>0</v>
      </c>
      <c r="AZ21" s="4">
        <f>SUMIFS(super1[Qtde],super1[Item],tab_higiene[[#This Row],[Item]],super1[Bairro],mercado16)+SUMIFS(supercb[Qtde],supercb[Item],tab_higiene[[#This Row],[Item]],supercb[Bairro],mercado16)</f>
        <v>0</v>
      </c>
      <c r="BA21" s="4">
        <f>SUMIFS(super1[Qtde],super1[Item],tab_higiene[[#This Row],[Item]],super1[Bairro],mercado17)+SUMIFS(supercb[Qtde],supercb[Item],tab_higiene[[#This Row],[Item]],supercb[Bairro],mercado17)</f>
        <v>0</v>
      </c>
      <c r="BB21" s="4">
        <f>SUMIFS(super1[Qtde],super1[Item],tab_higiene[[#This Row],[Item]],super1[Bairro],mercado18)+SUMIFS(supercb[Qtde],supercb[Item],tab_higiene[[#This Row],[Item]],supercb[Bairro],mercado18)</f>
        <v>0</v>
      </c>
      <c r="BC21" s="4">
        <f>SUMIFS(super1[Qtde],super1[Item],tab_higiene[[#This Row],[Item]],super1[Bairro],extras)+SUMIFS(supercb[Qtde],supercb[Item],tab_higiene[[#This Row],[Item]],supercb[Bairro],extras)</f>
        <v>0</v>
      </c>
      <c r="BD21" s="4">
        <f t="shared" si="3"/>
        <v>0</v>
      </c>
      <c r="BE21" s="4">
        <f t="shared" si="4"/>
        <v>0</v>
      </c>
      <c r="BF21" s="6">
        <f t="shared" si="5"/>
        <v>0</v>
      </c>
      <c r="BI21" s="1" t="str">
        <f>tab_alimentos[[#This Row],[Item]]</f>
        <v>Açúcar (1kg)</v>
      </c>
      <c r="BJ21" s="1">
        <f t="shared" si="6"/>
        <v>7</v>
      </c>
      <c r="BK21" s="1" t="str">
        <f t="shared" si="7"/>
        <v>Açúcar</v>
      </c>
      <c r="BL21" s="1">
        <f>tab_alimentos[[#This Row],[kg]]</f>
        <v>0</v>
      </c>
      <c r="BM21" s="25" t="s">
        <v>7</v>
      </c>
      <c r="BN21" s="1">
        <f t="shared" si="11"/>
        <v>0</v>
      </c>
      <c r="BP21" s="1" t="str">
        <f>tab_higiene[[#This Row],[Item]]</f>
        <v>Álcool (500mL)</v>
      </c>
      <c r="BQ21" s="1">
        <f t="shared" si="8"/>
        <v>7</v>
      </c>
      <c r="BR21" s="1" t="str">
        <f t="shared" si="9"/>
        <v>Álcool</v>
      </c>
      <c r="BS21" s="1">
        <f>higiene[[#This Row],[Quantidade]]</f>
        <v>0.5</v>
      </c>
      <c r="BT21" s="1">
        <f>tab_higiene[[#This Row],[Qtde (tot)]]</f>
        <v>0</v>
      </c>
      <c r="BU21" s="1">
        <f t="shared" si="12"/>
        <v>0</v>
      </c>
      <c r="BV21" s="25" t="s">
        <v>30</v>
      </c>
      <c r="BW21" s="1">
        <f t="shared" si="10"/>
        <v>0</v>
      </c>
    </row>
    <row r="22" spans="1:75" x14ac:dyDescent="0.25">
      <c r="A22">
        <f>tabMercados[[#This Row],[Mercados]]</f>
        <v>0</v>
      </c>
      <c r="B22" s="20">
        <f>SUMPRODUCT(tab_alimentos[kg/embalagem],tab_alimentos[Qtde (S14)])</f>
        <v>0</v>
      </c>
      <c r="C22" s="20">
        <f>SUMPRODUCT(tab_alimentos[Preço],tab_alimentos[Qtde (S14)])</f>
        <v>0</v>
      </c>
      <c r="D22" s="20">
        <f>SUMPRODUCT(tab_higiene[kg/embalagem],tab_higiene[Qtde (S14)])</f>
        <v>0</v>
      </c>
      <c r="E22" s="20">
        <f>SUMPRODUCT(tab_higiene[Preço],tab_higiene[Qtde (S14)])</f>
        <v>0</v>
      </c>
      <c r="F22" s="20">
        <f t="shared" si="13"/>
        <v>0</v>
      </c>
      <c r="G22" s="20">
        <f t="shared" si="13"/>
        <v>0</v>
      </c>
      <c r="I22" s="19" t="str">
        <f>alimentos[[#This Row],[Item]]</f>
        <v>Açúcar (2kg)</v>
      </c>
      <c r="J22" s="4">
        <f>IFERROR(alimentos[[#This Row],[kg/embalagem]],0)</f>
        <v>2</v>
      </c>
      <c r="K22" s="4">
        <f>IFERROR(alimentos[[#This Row],[Preço]],0)</f>
        <v>9.1999999999999993</v>
      </c>
      <c r="L22" s="4">
        <f>SUMIFS(super1[Qtde],super1[Item],tab_alimentos[[#This Row],[Item]],super1[Bairro],mercado1)+SUMIFS(supercb[Qtde],supercb[Item],tab_alimentos[[#This Row],[Item]],supercb[Bairro],mercado1)</f>
        <v>0</v>
      </c>
      <c r="M22" s="4">
        <f>SUMIFS(super1[Qtde],super1[Item],tab_alimentos[[#This Row],[Item]],super1[Bairro],mercado2)+SUMIFS(supercb[Qtde],supercb[Item],tab_alimentos[[#This Row],[Item]],supercb[Bairro],mercado2)</f>
        <v>0</v>
      </c>
      <c r="N22" s="4">
        <f>SUMIFS(super1[Qtde],super1[Item],tab_alimentos[[#This Row],[Item]],super1[Bairro],mercado3)+SUMIFS(supercb[Qtde],supercb[Item],tab_alimentos[[#This Row],[Item]],supercb[Bairro],mercado3)</f>
        <v>0</v>
      </c>
      <c r="O22" s="4">
        <f>SUMIFS(super1[Qtde],super1[Item],tab_alimentos[[#This Row],[Item]],super1[Bairro],mercado4)+SUMIFS(supercb[Qtde],supercb[Item],tab_alimentos[[#This Row],[Item]],supercb[Bairro],mercado4)</f>
        <v>0</v>
      </c>
      <c r="P22" s="4">
        <f>SUMIFS(super1[Qtde],super1[Item],tab_alimentos[[#This Row],[Item]],super1[Bairro],mercado5)+SUMIFS(supercb[Qtde],supercb[Item],tab_alimentos[[#This Row],[Item]],supercb[Bairro],mercado5)</f>
        <v>0</v>
      </c>
      <c r="Q22" s="4">
        <f>SUMIFS(super1[Qtde],super1[Item],tab_alimentos[[#This Row],[Item]],super1[Bairro],mercado6)+SUMIFS(supercb[Qtde],supercb[Item],tab_alimentos[[#This Row],[Item]],supercb[Bairro],mercado6)</f>
        <v>0</v>
      </c>
      <c r="R22" s="4">
        <f>SUMIFS(super1[Qtde],super1[Item],tab_alimentos[[#This Row],[Item]],super1[Bairro],mercado7)+SUMIFS(supercb[Qtde],supercb[Item],tab_alimentos[[#This Row],[Item]],supercb[Bairro],mercado7)</f>
        <v>0</v>
      </c>
      <c r="S22" s="4">
        <f>SUMIFS(super1[Qtde],super1[Item],tab_alimentos[[#This Row],[Item]],super1[Bairro],mercado8)+SUMIFS(supercb[Qtde],supercb[Item],tab_alimentos[[#This Row],[Item]],supercb[Bairro],mercado8)</f>
        <v>0</v>
      </c>
      <c r="T22" s="4">
        <f>SUMIFS(super1[Qtde],super1[Item],tab_alimentos[[#This Row],[Item]],super1[Bairro],mercado9)+SUMIFS(supercb[Qtde],supercb[Item],tab_alimentos[[#This Row],[Item]],supercb[Bairro],mercado9)</f>
        <v>0</v>
      </c>
      <c r="U22" s="4">
        <f>SUMIFS(super1[Qtde],super1[Item],tab_alimentos[[#This Row],[Item]],super1[Bairro],mercado10)+SUMIFS(supercb[Qtde],supercb[Item],tab_alimentos[[#This Row],[Item]],supercb[Bairro],mercado10)</f>
        <v>0</v>
      </c>
      <c r="V22" s="4">
        <f>SUMIFS(super1[Qtde],super1[Item],tab_alimentos[[#This Row],[Item]],super1[Bairro],mercado11)+SUMIFS(supercb[Qtde],supercb[Item],tab_alimentos[[#This Row],[Item]],supercb[Bairro],mercado11)</f>
        <v>0</v>
      </c>
      <c r="W22" s="4">
        <f>SUMIFS(super1[Qtde],super1[Item],tab_alimentos[[#This Row],[Item]],super1[Bairro],mercado12)+SUMIFS(supercb[Qtde],supercb[Item],tab_alimentos[[#This Row],[Item]],supercb[Bairro],mercado12)</f>
        <v>0</v>
      </c>
      <c r="X22" s="4">
        <f>SUMIFS(super1[Qtde],super1[Item],tab_alimentos[[#This Row],[Item]],super1[Bairro],mercado13)+SUMIFS(supercb[Qtde],supercb[Item],tab_alimentos[[#This Row],[Item]],supercb[Bairro],mercado13)</f>
        <v>0</v>
      </c>
      <c r="Y22" s="4">
        <f>SUMIFS(super1[Qtde],super1[Item],tab_alimentos[[#This Row],[Item]],super1[Bairro],mercado14)+SUMIFS(supercb[Qtde],supercb[Item],tab_alimentos[[#This Row],[Item]],supercb[Bairro],mercado14)</f>
        <v>0</v>
      </c>
      <c r="Z22" s="4">
        <f>SUMIFS(super1[Qtde],super1[Item],tab_alimentos[[#This Row],[Item]],super1[Bairro],mercado15)+SUMIFS(supercb[Qtde],supercb[Item],tab_alimentos[[#This Row],[Item]],supercb[Bairro],mercado15)</f>
        <v>0</v>
      </c>
      <c r="AA22" s="4">
        <f>SUMIFS(super1[Qtde],super1[Item],tab_alimentos[[#This Row],[Item]],super1[Bairro],mercado16)+SUMIFS(supercb[Qtde],supercb[Item],tab_alimentos[[#This Row],[Item]],supercb[Bairro],mercado16)</f>
        <v>0</v>
      </c>
      <c r="AB22" s="4">
        <f>SUMIFS(super1[Qtde],super1[Item],tab_alimentos[[#This Row],[Item]],super1[Bairro],mercado17)+SUMIFS(supercb[Qtde],supercb[Item],tab_alimentos[[#This Row],[Item]],supercb[Bairro],mercado17)</f>
        <v>0</v>
      </c>
      <c r="AC22" s="4">
        <f>SUMIFS(super1[Qtde],super1[Item],tab_alimentos[[#This Row],[Item]],super1[Bairro],mercado18)+SUMIFS(supercb[Qtde],supercb[Item],tab_alimentos[[#This Row],[Item]],supercb[Bairro],mercado18)</f>
        <v>0</v>
      </c>
      <c r="AD22" s="4">
        <f>SUMIFS(super1[Qtde],super1[Item],tab_alimentos[[#This Row],[Item]],super1[Bairro],extras)+SUMIFS(supercb[Qtde],supercb[Item],tab_alimentos[[#This Row],[Item]],supercb[Bairro],extras)</f>
        <v>0</v>
      </c>
      <c r="AE22" s="4">
        <f t="shared" si="0"/>
        <v>0</v>
      </c>
      <c r="AF22" s="4">
        <f t="shared" si="1"/>
        <v>0</v>
      </c>
      <c r="AG22" s="6">
        <f t="shared" si="2"/>
        <v>0</v>
      </c>
      <c r="AH22" s="19" t="str">
        <f>higiene[[#This Row],[Item]]</f>
        <v>Álcool Gel (1L)</v>
      </c>
      <c r="AI22" s="4">
        <f>IFERROR(higiene[[#This Row],[Kg equivalente]],0)</f>
        <v>0</v>
      </c>
      <c r="AJ22" s="4">
        <f>IFERROR(higiene[[#This Row],[Preço por produto]],0)</f>
        <v>6.9</v>
      </c>
      <c r="AK22" s="4">
        <f>SUMIFS(super1[Qtde],super1[Item],tab_higiene[[#This Row],[Item]],super1[Bairro],mercado1)+SUMIFS(supercb[Qtde],supercb[Item],tab_higiene[[#This Row],[Item]],supercb[Bairro],mercado1)</f>
        <v>0</v>
      </c>
      <c r="AL22" s="4">
        <f>SUMIFS(super1[Qtde],super1[Item],tab_higiene[[#This Row],[Item]],super1[Bairro],mercado2)+SUMIFS(supercb[Qtde],supercb[Item],tab_higiene[[#This Row],[Item]],supercb[Bairro],mercado2)</f>
        <v>0</v>
      </c>
      <c r="AM22" s="4">
        <f>SUMIFS(super1[Qtde],super1[Item],tab_higiene[[#This Row],[Item]],super1[Bairro],mercado3)+SUMIFS(supercb[Qtde],supercb[Item],tab_higiene[[#This Row],[Item]],supercb[Bairro],mercado3)</f>
        <v>0</v>
      </c>
      <c r="AN22" s="4">
        <f>SUMIFS(super1[Qtde],super1[Item],tab_higiene[[#This Row],[Item]],super1[Bairro],mercado4)+SUMIFS(supercb[Qtde],supercb[Item],tab_higiene[[#This Row],[Item]],supercb[Bairro],mercado4)</f>
        <v>0</v>
      </c>
      <c r="AO22" s="4">
        <f>SUMIFS(super1[Qtde],super1[Item],tab_higiene[[#This Row],[Item]],super1[Bairro],mercado5)+SUMIFS(supercb[Qtde],supercb[Item],tab_higiene[[#This Row],[Item]],supercb[Bairro],mercado5)</f>
        <v>0</v>
      </c>
      <c r="AP22" s="4">
        <f>SUMIFS(super1[Qtde],super1[Item],tab_higiene[[#This Row],[Item]],super1[Bairro],mercado6)+SUMIFS(supercb[Qtde],supercb[Item],tab_higiene[[#This Row],[Item]],supercb[Bairro],mercado6)</f>
        <v>0</v>
      </c>
      <c r="AQ22" s="4">
        <f>SUMIFS(super1[Qtde],super1[Item],tab_higiene[[#This Row],[Item]],super1[Bairro],mercado7)+SUMIFS(supercb[Qtde],supercb[Item],tab_higiene[[#This Row],[Item]],supercb[Bairro],mercado7)</f>
        <v>0</v>
      </c>
      <c r="AR22" s="4">
        <f>SUMIFS(super1[Qtde],super1[Item],tab_higiene[[#This Row],[Item]],super1[Bairro],mercado8)+SUMIFS(supercb[Qtde],supercb[Item],tab_higiene[[#This Row],[Item]],supercb[Bairro],mercado8)</f>
        <v>0</v>
      </c>
      <c r="AS22" s="4">
        <f>SUMIFS(super1[Qtde],super1[Item],tab_higiene[[#This Row],[Item]],super1[Bairro],mercado9)+SUMIFS(supercb[Qtde],supercb[Item],tab_higiene[[#This Row],[Item]],supercb[Bairro],mercado9)</f>
        <v>0</v>
      </c>
      <c r="AT22" s="4">
        <f>SUMIFS(super1[Qtde],super1[Item],tab_higiene[[#This Row],[Item]],super1[Bairro],mercado10)+SUMIFS(supercb[Qtde],supercb[Item],tab_higiene[[#This Row],[Item]],supercb[Bairro],mercado10)</f>
        <v>0</v>
      </c>
      <c r="AU22" s="4">
        <f>SUMIFS(super1[Qtde],super1[Item],tab_higiene[[#This Row],[Item]],super1[Bairro],mercado11)+SUMIFS(supercb[Qtde],supercb[Item],tab_higiene[[#This Row],[Item]],supercb[Bairro],mercado11)</f>
        <v>0</v>
      </c>
      <c r="AV22" s="4">
        <f>SUMIFS(super1[Qtde],super1[Item],tab_higiene[[#This Row],[Item]],super1[Bairro],mercado12)+SUMIFS(supercb[Qtde],supercb[Item],tab_higiene[[#This Row],[Item]],supercb[Bairro],mercado12)</f>
        <v>0</v>
      </c>
      <c r="AW22" s="4">
        <f>SUMIFS(super1[Qtde],super1[Item],tab_higiene[[#This Row],[Item]],super1[Bairro],mercado13)+SUMIFS(supercb[Qtde],supercb[Item],tab_higiene[[#This Row],[Item]],supercb[Bairro],mercado13)</f>
        <v>0</v>
      </c>
      <c r="AX22" s="4">
        <f>SUMIFS(super1[Qtde],super1[Item],tab_higiene[[#This Row],[Item]],super1[Bairro],mercado14)+SUMIFS(supercb[Qtde],supercb[Item],tab_higiene[[#This Row],[Item]],supercb[Bairro],mercado14)</f>
        <v>0</v>
      </c>
      <c r="AY22" s="4">
        <f>SUMIFS(super1[Qtde],super1[Item],tab_higiene[[#This Row],[Item]],super1[Bairro],mercado15)+SUMIFS(supercb[Qtde],supercb[Item],tab_higiene[[#This Row],[Item]],supercb[Bairro],mercado15)</f>
        <v>0</v>
      </c>
      <c r="AZ22" s="4">
        <f>SUMIFS(super1[Qtde],super1[Item],tab_higiene[[#This Row],[Item]],super1[Bairro],mercado16)+SUMIFS(supercb[Qtde],supercb[Item],tab_higiene[[#This Row],[Item]],supercb[Bairro],mercado16)</f>
        <v>0</v>
      </c>
      <c r="BA22" s="4">
        <f>SUMIFS(super1[Qtde],super1[Item],tab_higiene[[#This Row],[Item]],super1[Bairro],mercado17)+SUMIFS(supercb[Qtde],supercb[Item],tab_higiene[[#This Row],[Item]],supercb[Bairro],mercado17)</f>
        <v>0</v>
      </c>
      <c r="BB22" s="4">
        <f>SUMIFS(super1[Qtde],super1[Item],tab_higiene[[#This Row],[Item]],super1[Bairro],mercado18)+SUMIFS(supercb[Qtde],supercb[Item],tab_higiene[[#This Row],[Item]],supercb[Bairro],mercado18)</f>
        <v>0</v>
      </c>
      <c r="BC22" s="4">
        <f>SUMIFS(super1[Qtde],super1[Item],tab_higiene[[#This Row],[Item]],super1[Bairro],extras)+SUMIFS(supercb[Qtde],supercb[Item],tab_higiene[[#This Row],[Item]],supercb[Bairro],extras)</f>
        <v>0</v>
      </c>
      <c r="BD22" s="4">
        <f t="shared" si="3"/>
        <v>0</v>
      </c>
      <c r="BE22" s="4">
        <f t="shared" si="4"/>
        <v>0</v>
      </c>
      <c r="BF22" s="6">
        <f t="shared" si="5"/>
        <v>0</v>
      </c>
      <c r="BI22" s="1" t="str">
        <f>tab_alimentos[[#This Row],[Item]]</f>
        <v>Açúcar (2kg)</v>
      </c>
      <c r="BJ22" s="1">
        <f t="shared" si="6"/>
        <v>7</v>
      </c>
      <c r="BK22" s="1" t="str">
        <f t="shared" si="7"/>
        <v>Açúcar</v>
      </c>
      <c r="BL22" s="1">
        <f>tab_alimentos[[#This Row],[kg]]</f>
        <v>0</v>
      </c>
      <c r="BM22" s="25" t="s">
        <v>202</v>
      </c>
      <c r="BN22" s="1">
        <f t="shared" si="11"/>
        <v>0</v>
      </c>
      <c r="BP22" s="1" t="str">
        <f>tab_higiene[[#This Row],[Item]]</f>
        <v>Álcool Gel (1L)</v>
      </c>
      <c r="BQ22" s="1">
        <f t="shared" si="8"/>
        <v>11</v>
      </c>
      <c r="BR22" s="1" t="str">
        <f t="shared" si="9"/>
        <v>Álcool Gel</v>
      </c>
      <c r="BS22" s="1">
        <f>higiene[[#This Row],[Quantidade]]</f>
        <v>1</v>
      </c>
      <c r="BT22" s="1">
        <f>tab_higiene[[#This Row],[Qtde (tot)]]</f>
        <v>0</v>
      </c>
      <c r="BU22" s="1">
        <f t="shared" si="12"/>
        <v>0</v>
      </c>
      <c r="BV22" s="25" t="s">
        <v>31</v>
      </c>
      <c r="BW22" s="1">
        <f t="shared" si="10"/>
        <v>0</v>
      </c>
    </row>
    <row r="23" spans="1:75" x14ac:dyDescent="0.25">
      <c r="A23">
        <f>tabMercados[[#This Row],[Mercados]]</f>
        <v>0</v>
      </c>
      <c r="B23" s="20">
        <f>SUMPRODUCT(tab_alimentos[kg/embalagem],tab_alimentos[Qtde (S15)])</f>
        <v>0</v>
      </c>
      <c r="C23" s="20">
        <f>SUMPRODUCT(tab_alimentos[Preço],tab_alimentos[Qtde (S15)])</f>
        <v>0</v>
      </c>
      <c r="D23" s="20">
        <f>SUMPRODUCT(tab_higiene[kg/embalagem],tab_higiene[Qtde (S15)])</f>
        <v>0</v>
      </c>
      <c r="E23" s="20">
        <f>SUMPRODUCT(tab_higiene[Preço],tab_higiene[Qtde (S15)])</f>
        <v>0</v>
      </c>
      <c r="F23" s="20">
        <f t="shared" si="13"/>
        <v>0</v>
      </c>
      <c r="G23" s="20">
        <f t="shared" si="13"/>
        <v>0</v>
      </c>
      <c r="I23" s="19" t="str">
        <f>alimentos[[#This Row],[Item]]</f>
        <v>Açúcar (300g)</v>
      </c>
      <c r="J23" s="4">
        <f>IFERROR(alimentos[[#This Row],[kg/embalagem]],0)</f>
        <v>0.3</v>
      </c>
      <c r="K23" s="4">
        <f>IFERROR(alimentos[[#This Row],[Preço]],0)</f>
        <v>4.8099999999999996</v>
      </c>
      <c r="L23" s="4">
        <f>SUMIFS(super1[Qtde],super1[Item],tab_alimentos[[#This Row],[Item]],super1[Bairro],mercado1)+SUMIFS(supercb[Qtde],supercb[Item],tab_alimentos[[#This Row],[Item]],supercb[Bairro],mercado1)</f>
        <v>0</v>
      </c>
      <c r="M23" s="4">
        <f>SUMIFS(super1[Qtde],super1[Item],tab_alimentos[[#This Row],[Item]],super1[Bairro],mercado2)+SUMIFS(supercb[Qtde],supercb[Item],tab_alimentos[[#This Row],[Item]],supercb[Bairro],mercado2)</f>
        <v>0</v>
      </c>
      <c r="N23" s="4">
        <f>SUMIFS(super1[Qtde],super1[Item],tab_alimentos[[#This Row],[Item]],super1[Bairro],mercado3)+SUMIFS(supercb[Qtde],supercb[Item],tab_alimentos[[#This Row],[Item]],supercb[Bairro],mercado3)</f>
        <v>0</v>
      </c>
      <c r="O23" s="4">
        <f>SUMIFS(super1[Qtde],super1[Item],tab_alimentos[[#This Row],[Item]],super1[Bairro],mercado4)+SUMIFS(supercb[Qtde],supercb[Item],tab_alimentos[[#This Row],[Item]],supercb[Bairro],mercado4)</f>
        <v>0</v>
      </c>
      <c r="P23" s="4">
        <f>SUMIFS(super1[Qtde],super1[Item],tab_alimentos[[#This Row],[Item]],super1[Bairro],mercado5)+SUMIFS(supercb[Qtde],supercb[Item],tab_alimentos[[#This Row],[Item]],supercb[Bairro],mercado5)</f>
        <v>0</v>
      </c>
      <c r="Q23" s="4">
        <f>SUMIFS(super1[Qtde],super1[Item],tab_alimentos[[#This Row],[Item]],super1[Bairro],mercado6)+SUMIFS(supercb[Qtde],supercb[Item],tab_alimentos[[#This Row],[Item]],supercb[Bairro],mercado6)</f>
        <v>0</v>
      </c>
      <c r="R23" s="4">
        <f>SUMIFS(super1[Qtde],super1[Item],tab_alimentos[[#This Row],[Item]],super1[Bairro],mercado7)+SUMIFS(supercb[Qtde],supercb[Item],tab_alimentos[[#This Row],[Item]],supercb[Bairro],mercado7)</f>
        <v>0</v>
      </c>
      <c r="S23" s="4">
        <f>SUMIFS(super1[Qtde],super1[Item],tab_alimentos[[#This Row],[Item]],super1[Bairro],mercado8)+SUMIFS(supercb[Qtde],supercb[Item],tab_alimentos[[#This Row],[Item]],supercb[Bairro],mercado8)</f>
        <v>0</v>
      </c>
      <c r="T23" s="4">
        <f>SUMIFS(super1[Qtde],super1[Item],tab_alimentos[[#This Row],[Item]],super1[Bairro],mercado9)+SUMIFS(supercb[Qtde],supercb[Item],tab_alimentos[[#This Row],[Item]],supercb[Bairro],mercado9)</f>
        <v>0</v>
      </c>
      <c r="U23" s="4">
        <f>SUMIFS(super1[Qtde],super1[Item],tab_alimentos[[#This Row],[Item]],super1[Bairro],mercado10)+SUMIFS(supercb[Qtde],supercb[Item],tab_alimentos[[#This Row],[Item]],supercb[Bairro],mercado10)</f>
        <v>0</v>
      </c>
      <c r="V23" s="4">
        <f>SUMIFS(super1[Qtde],super1[Item],tab_alimentos[[#This Row],[Item]],super1[Bairro],mercado11)+SUMIFS(supercb[Qtde],supercb[Item],tab_alimentos[[#This Row],[Item]],supercb[Bairro],mercado11)</f>
        <v>0</v>
      </c>
      <c r="W23" s="4">
        <f>SUMIFS(super1[Qtde],super1[Item],tab_alimentos[[#This Row],[Item]],super1[Bairro],mercado12)+SUMIFS(supercb[Qtde],supercb[Item],tab_alimentos[[#This Row],[Item]],supercb[Bairro],mercado12)</f>
        <v>0</v>
      </c>
      <c r="X23" s="4">
        <f>SUMIFS(super1[Qtde],super1[Item],tab_alimentos[[#This Row],[Item]],super1[Bairro],mercado13)+SUMIFS(supercb[Qtde],supercb[Item],tab_alimentos[[#This Row],[Item]],supercb[Bairro],mercado13)</f>
        <v>0</v>
      </c>
      <c r="Y23" s="4">
        <f>SUMIFS(super1[Qtde],super1[Item],tab_alimentos[[#This Row],[Item]],super1[Bairro],mercado14)+SUMIFS(supercb[Qtde],supercb[Item],tab_alimentos[[#This Row],[Item]],supercb[Bairro],mercado14)</f>
        <v>0</v>
      </c>
      <c r="Z23" s="4">
        <f>SUMIFS(super1[Qtde],super1[Item],tab_alimentos[[#This Row],[Item]],super1[Bairro],mercado15)+SUMIFS(supercb[Qtde],supercb[Item],tab_alimentos[[#This Row],[Item]],supercb[Bairro],mercado15)</f>
        <v>0</v>
      </c>
      <c r="AA23" s="4">
        <f>SUMIFS(super1[Qtde],super1[Item],tab_alimentos[[#This Row],[Item]],super1[Bairro],mercado16)+SUMIFS(supercb[Qtde],supercb[Item],tab_alimentos[[#This Row],[Item]],supercb[Bairro],mercado16)</f>
        <v>0</v>
      </c>
      <c r="AB23" s="4">
        <f>SUMIFS(super1[Qtde],super1[Item],tab_alimentos[[#This Row],[Item]],super1[Bairro],mercado17)+SUMIFS(supercb[Qtde],supercb[Item],tab_alimentos[[#This Row],[Item]],supercb[Bairro],mercado17)</f>
        <v>0</v>
      </c>
      <c r="AC23" s="4">
        <f>SUMIFS(super1[Qtde],super1[Item],tab_alimentos[[#This Row],[Item]],super1[Bairro],mercado18)+SUMIFS(supercb[Qtde],supercb[Item],tab_alimentos[[#This Row],[Item]],supercb[Bairro],mercado18)</f>
        <v>0</v>
      </c>
      <c r="AD23" s="4">
        <f>SUMIFS(super1[Qtde],super1[Item],tab_alimentos[[#This Row],[Item]],super1[Bairro],extras)+SUMIFS(supercb[Qtde],supercb[Item],tab_alimentos[[#This Row],[Item]],supercb[Bairro],extras)</f>
        <v>0</v>
      </c>
      <c r="AE23" s="4">
        <f t="shared" si="0"/>
        <v>0</v>
      </c>
      <c r="AF23" s="4">
        <f t="shared" si="1"/>
        <v>0</v>
      </c>
      <c r="AG23" s="6">
        <f t="shared" si="2"/>
        <v>0</v>
      </c>
      <c r="AH23" s="19" t="str">
        <f>higiene[[#This Row],[Item]]</f>
        <v>Álcool Gel (500mL)</v>
      </c>
      <c r="AI23" s="4">
        <f>IFERROR(higiene[[#This Row],[Kg equivalente]],0)</f>
        <v>0</v>
      </c>
      <c r="AJ23" s="4">
        <f>IFERROR(higiene[[#This Row],[Preço por produto]],0)</f>
        <v>2.99</v>
      </c>
      <c r="AK23" s="4">
        <f>SUMIFS(super1[Qtde],super1[Item],tab_higiene[[#This Row],[Item]],super1[Bairro],mercado1)+SUMIFS(supercb[Qtde],supercb[Item],tab_higiene[[#This Row],[Item]],supercb[Bairro],mercado1)</f>
        <v>0</v>
      </c>
      <c r="AL23" s="4">
        <f>SUMIFS(super1[Qtde],super1[Item],tab_higiene[[#This Row],[Item]],super1[Bairro],mercado2)+SUMIFS(supercb[Qtde],supercb[Item],tab_higiene[[#This Row],[Item]],supercb[Bairro],mercado2)</f>
        <v>0</v>
      </c>
      <c r="AM23" s="4">
        <f>SUMIFS(super1[Qtde],super1[Item],tab_higiene[[#This Row],[Item]],super1[Bairro],mercado3)+SUMIFS(supercb[Qtde],supercb[Item],tab_higiene[[#This Row],[Item]],supercb[Bairro],mercado3)</f>
        <v>0</v>
      </c>
      <c r="AN23" s="4">
        <f>SUMIFS(super1[Qtde],super1[Item],tab_higiene[[#This Row],[Item]],super1[Bairro],mercado4)+SUMIFS(supercb[Qtde],supercb[Item],tab_higiene[[#This Row],[Item]],supercb[Bairro],mercado4)</f>
        <v>0</v>
      </c>
      <c r="AO23" s="4">
        <f>SUMIFS(super1[Qtde],super1[Item],tab_higiene[[#This Row],[Item]],super1[Bairro],mercado5)+SUMIFS(supercb[Qtde],supercb[Item],tab_higiene[[#This Row],[Item]],supercb[Bairro],mercado5)</f>
        <v>0</v>
      </c>
      <c r="AP23" s="4">
        <f>SUMIFS(super1[Qtde],super1[Item],tab_higiene[[#This Row],[Item]],super1[Bairro],mercado6)+SUMIFS(supercb[Qtde],supercb[Item],tab_higiene[[#This Row],[Item]],supercb[Bairro],mercado6)</f>
        <v>0</v>
      </c>
      <c r="AQ23" s="4">
        <f>SUMIFS(super1[Qtde],super1[Item],tab_higiene[[#This Row],[Item]],super1[Bairro],mercado7)+SUMIFS(supercb[Qtde],supercb[Item],tab_higiene[[#This Row],[Item]],supercb[Bairro],mercado7)</f>
        <v>0</v>
      </c>
      <c r="AR23" s="4">
        <f>SUMIFS(super1[Qtde],super1[Item],tab_higiene[[#This Row],[Item]],super1[Bairro],mercado8)+SUMIFS(supercb[Qtde],supercb[Item],tab_higiene[[#This Row],[Item]],supercb[Bairro],mercado8)</f>
        <v>0</v>
      </c>
      <c r="AS23" s="4">
        <f>SUMIFS(super1[Qtde],super1[Item],tab_higiene[[#This Row],[Item]],super1[Bairro],mercado9)+SUMIFS(supercb[Qtde],supercb[Item],tab_higiene[[#This Row],[Item]],supercb[Bairro],mercado9)</f>
        <v>0</v>
      </c>
      <c r="AT23" s="4">
        <f>SUMIFS(super1[Qtde],super1[Item],tab_higiene[[#This Row],[Item]],super1[Bairro],mercado10)+SUMIFS(supercb[Qtde],supercb[Item],tab_higiene[[#This Row],[Item]],supercb[Bairro],mercado10)</f>
        <v>0</v>
      </c>
      <c r="AU23" s="4">
        <f>SUMIFS(super1[Qtde],super1[Item],tab_higiene[[#This Row],[Item]],super1[Bairro],mercado11)+SUMIFS(supercb[Qtde],supercb[Item],tab_higiene[[#This Row],[Item]],supercb[Bairro],mercado11)</f>
        <v>0</v>
      </c>
      <c r="AV23" s="4">
        <f>SUMIFS(super1[Qtde],super1[Item],tab_higiene[[#This Row],[Item]],super1[Bairro],mercado12)+SUMIFS(supercb[Qtde],supercb[Item],tab_higiene[[#This Row],[Item]],supercb[Bairro],mercado12)</f>
        <v>0</v>
      </c>
      <c r="AW23" s="4">
        <f>SUMIFS(super1[Qtde],super1[Item],tab_higiene[[#This Row],[Item]],super1[Bairro],mercado13)+SUMIFS(supercb[Qtde],supercb[Item],tab_higiene[[#This Row],[Item]],supercb[Bairro],mercado13)</f>
        <v>0</v>
      </c>
      <c r="AX23" s="4">
        <f>SUMIFS(super1[Qtde],super1[Item],tab_higiene[[#This Row],[Item]],super1[Bairro],mercado14)+SUMIFS(supercb[Qtde],supercb[Item],tab_higiene[[#This Row],[Item]],supercb[Bairro],mercado14)</f>
        <v>0</v>
      </c>
      <c r="AY23" s="4">
        <f>SUMIFS(super1[Qtde],super1[Item],tab_higiene[[#This Row],[Item]],super1[Bairro],mercado15)+SUMIFS(supercb[Qtde],supercb[Item],tab_higiene[[#This Row],[Item]],supercb[Bairro],mercado15)</f>
        <v>0</v>
      </c>
      <c r="AZ23" s="4">
        <f>SUMIFS(super1[Qtde],super1[Item],tab_higiene[[#This Row],[Item]],super1[Bairro],mercado16)+SUMIFS(supercb[Qtde],supercb[Item],tab_higiene[[#This Row],[Item]],supercb[Bairro],mercado16)</f>
        <v>0</v>
      </c>
      <c r="BA23" s="4">
        <f>SUMIFS(super1[Qtde],super1[Item],tab_higiene[[#This Row],[Item]],super1[Bairro],mercado17)+SUMIFS(supercb[Qtde],supercb[Item],tab_higiene[[#This Row],[Item]],supercb[Bairro],mercado17)</f>
        <v>0</v>
      </c>
      <c r="BB23" s="4">
        <f>SUMIFS(super1[Qtde],super1[Item],tab_higiene[[#This Row],[Item]],super1[Bairro],mercado18)+SUMIFS(supercb[Qtde],supercb[Item],tab_higiene[[#This Row],[Item]],supercb[Bairro],mercado18)</f>
        <v>0</v>
      </c>
      <c r="BC23" s="4">
        <f>SUMIFS(super1[Qtde],super1[Item],tab_higiene[[#This Row],[Item]],super1[Bairro],extras)+SUMIFS(supercb[Qtde],supercb[Item],tab_higiene[[#This Row],[Item]],supercb[Bairro],extras)</f>
        <v>0</v>
      </c>
      <c r="BD23" s="4">
        <f t="shared" si="3"/>
        <v>0</v>
      </c>
      <c r="BE23" s="4">
        <f t="shared" si="4"/>
        <v>0</v>
      </c>
      <c r="BF23" s="6">
        <f t="shared" si="5"/>
        <v>0</v>
      </c>
      <c r="BI23" s="1" t="str">
        <f>tab_alimentos[[#This Row],[Item]]</f>
        <v>Açúcar (300g)</v>
      </c>
      <c r="BJ23" s="1">
        <f t="shared" si="6"/>
        <v>7</v>
      </c>
      <c r="BK23" s="1" t="str">
        <f t="shared" si="7"/>
        <v>Açúcar</v>
      </c>
      <c r="BL23" s="1">
        <f>tab_alimentos[[#This Row],[kg]]</f>
        <v>0</v>
      </c>
      <c r="BM23" s="25" t="s">
        <v>107</v>
      </c>
      <c r="BN23" s="1">
        <f t="shared" si="11"/>
        <v>0</v>
      </c>
      <c r="BP23" s="1" t="str">
        <f>tab_higiene[[#This Row],[Item]]</f>
        <v>Álcool Gel (500mL)</v>
      </c>
      <c r="BQ23" s="1">
        <f t="shared" si="8"/>
        <v>11</v>
      </c>
      <c r="BR23" s="1" t="str">
        <f t="shared" si="9"/>
        <v>Álcool Gel</v>
      </c>
      <c r="BS23" s="1">
        <f>higiene[[#This Row],[Quantidade]]</f>
        <v>0.5</v>
      </c>
      <c r="BT23" s="1">
        <f>tab_higiene[[#This Row],[Qtde (tot)]]</f>
        <v>0</v>
      </c>
      <c r="BU23" s="1">
        <f t="shared" si="12"/>
        <v>0</v>
      </c>
      <c r="BV23" s="25" t="s">
        <v>60</v>
      </c>
      <c r="BW23" s="1">
        <f t="shared" si="10"/>
        <v>0</v>
      </c>
    </row>
    <row r="24" spans="1:75" x14ac:dyDescent="0.25">
      <c r="A24">
        <f>tabMercados[[#This Row],[Mercados]]</f>
        <v>0</v>
      </c>
      <c r="B24" s="20">
        <f>SUMPRODUCT(tab_alimentos[kg/embalagem],tab_alimentos[Qtde (S16)])</f>
        <v>0</v>
      </c>
      <c r="C24" s="20">
        <f>SUMPRODUCT(tab_alimentos[Preço],tab_alimentos[Qtde (S16)])</f>
        <v>0</v>
      </c>
      <c r="D24" s="20">
        <f>SUMPRODUCT(tab_higiene[kg/embalagem],tab_higiene[Qtde (S16)])</f>
        <v>0</v>
      </c>
      <c r="E24" s="20">
        <f>SUMPRODUCT(tab_higiene[Preço],tab_higiene[Qtde (S16)])</f>
        <v>0</v>
      </c>
      <c r="F24" s="20">
        <f t="shared" ref="F24" si="14">B24+D24</f>
        <v>0</v>
      </c>
      <c r="G24" s="20">
        <f t="shared" ref="G24" si="15">C24+E24</f>
        <v>0</v>
      </c>
      <c r="I24" s="19" t="str">
        <f>alimentos[[#This Row],[Item]]</f>
        <v>Açúcar (500g)</v>
      </c>
      <c r="J24" s="4">
        <f>IFERROR(alimentos[[#This Row],[kg/embalagem]],0)</f>
        <v>0.5</v>
      </c>
      <c r="K24" s="4">
        <f>IFERROR(alimentos[[#This Row],[Preço]],0)</f>
        <v>3.89</v>
      </c>
      <c r="L24" s="4">
        <f>SUMIFS(super1[Qtde],super1[Item],tab_alimentos[[#This Row],[Item]],super1[Bairro],mercado1)+SUMIFS(supercb[Qtde],supercb[Item],tab_alimentos[[#This Row],[Item]],supercb[Bairro],mercado1)</f>
        <v>0</v>
      </c>
      <c r="M24" s="4">
        <f>SUMIFS(super1[Qtde],super1[Item],tab_alimentos[[#This Row],[Item]],super1[Bairro],mercado2)+SUMIFS(supercb[Qtde],supercb[Item],tab_alimentos[[#This Row],[Item]],supercb[Bairro],mercado2)</f>
        <v>0</v>
      </c>
      <c r="N24" s="4">
        <f>SUMIFS(super1[Qtde],super1[Item],tab_alimentos[[#This Row],[Item]],super1[Bairro],mercado3)+SUMIFS(supercb[Qtde],supercb[Item],tab_alimentos[[#This Row],[Item]],supercb[Bairro],mercado3)</f>
        <v>0</v>
      </c>
      <c r="O24" s="4">
        <f>SUMIFS(super1[Qtde],super1[Item],tab_alimentos[[#This Row],[Item]],super1[Bairro],mercado4)+SUMIFS(supercb[Qtde],supercb[Item],tab_alimentos[[#This Row],[Item]],supercb[Bairro],mercado4)</f>
        <v>0</v>
      </c>
      <c r="P24" s="4">
        <f>SUMIFS(super1[Qtde],super1[Item],tab_alimentos[[#This Row],[Item]],super1[Bairro],mercado5)+SUMIFS(supercb[Qtde],supercb[Item],tab_alimentos[[#This Row],[Item]],supercb[Bairro],mercado5)</f>
        <v>0</v>
      </c>
      <c r="Q24" s="4">
        <f>SUMIFS(super1[Qtde],super1[Item],tab_alimentos[[#This Row],[Item]],super1[Bairro],mercado6)+SUMIFS(supercb[Qtde],supercb[Item],tab_alimentos[[#This Row],[Item]],supercb[Bairro],mercado6)</f>
        <v>0</v>
      </c>
      <c r="R24" s="4">
        <f>SUMIFS(super1[Qtde],super1[Item],tab_alimentos[[#This Row],[Item]],super1[Bairro],mercado7)+SUMIFS(supercb[Qtde],supercb[Item],tab_alimentos[[#This Row],[Item]],supercb[Bairro],mercado7)</f>
        <v>0</v>
      </c>
      <c r="S24" s="4">
        <f>SUMIFS(super1[Qtde],super1[Item],tab_alimentos[[#This Row],[Item]],super1[Bairro],mercado8)+SUMIFS(supercb[Qtde],supercb[Item],tab_alimentos[[#This Row],[Item]],supercb[Bairro],mercado8)</f>
        <v>0</v>
      </c>
      <c r="T24" s="4">
        <f>SUMIFS(super1[Qtde],super1[Item],tab_alimentos[[#This Row],[Item]],super1[Bairro],mercado9)+SUMIFS(supercb[Qtde],supercb[Item],tab_alimentos[[#This Row],[Item]],supercb[Bairro],mercado9)</f>
        <v>0</v>
      </c>
      <c r="U24" s="4">
        <f>SUMIFS(super1[Qtde],super1[Item],tab_alimentos[[#This Row],[Item]],super1[Bairro],mercado10)+SUMIFS(supercb[Qtde],supercb[Item],tab_alimentos[[#This Row],[Item]],supercb[Bairro],mercado10)</f>
        <v>0</v>
      </c>
      <c r="V24" s="4">
        <f>SUMIFS(super1[Qtde],super1[Item],tab_alimentos[[#This Row],[Item]],super1[Bairro],mercado11)+SUMIFS(supercb[Qtde],supercb[Item],tab_alimentos[[#This Row],[Item]],supercb[Bairro],mercado11)</f>
        <v>0</v>
      </c>
      <c r="W24" s="4">
        <f>SUMIFS(super1[Qtde],super1[Item],tab_alimentos[[#This Row],[Item]],super1[Bairro],mercado12)+SUMIFS(supercb[Qtde],supercb[Item],tab_alimentos[[#This Row],[Item]],supercb[Bairro],mercado12)</f>
        <v>0</v>
      </c>
      <c r="X24" s="4">
        <f>SUMIFS(super1[Qtde],super1[Item],tab_alimentos[[#This Row],[Item]],super1[Bairro],mercado13)+SUMIFS(supercb[Qtde],supercb[Item],tab_alimentos[[#This Row],[Item]],supercb[Bairro],mercado13)</f>
        <v>0</v>
      </c>
      <c r="Y24" s="4">
        <f>SUMIFS(super1[Qtde],super1[Item],tab_alimentos[[#This Row],[Item]],super1[Bairro],mercado14)+SUMIFS(supercb[Qtde],supercb[Item],tab_alimentos[[#This Row],[Item]],supercb[Bairro],mercado14)</f>
        <v>0</v>
      </c>
      <c r="Z24" s="4">
        <f>SUMIFS(super1[Qtde],super1[Item],tab_alimentos[[#This Row],[Item]],super1[Bairro],mercado15)+SUMIFS(supercb[Qtde],supercb[Item],tab_alimentos[[#This Row],[Item]],supercb[Bairro],mercado15)</f>
        <v>0</v>
      </c>
      <c r="AA24" s="4">
        <f>SUMIFS(super1[Qtde],super1[Item],tab_alimentos[[#This Row],[Item]],super1[Bairro],mercado16)+SUMIFS(supercb[Qtde],supercb[Item],tab_alimentos[[#This Row],[Item]],supercb[Bairro],mercado16)</f>
        <v>0</v>
      </c>
      <c r="AB24" s="4">
        <f>SUMIFS(super1[Qtde],super1[Item],tab_alimentos[[#This Row],[Item]],super1[Bairro],mercado17)+SUMIFS(supercb[Qtde],supercb[Item],tab_alimentos[[#This Row],[Item]],supercb[Bairro],mercado17)</f>
        <v>0</v>
      </c>
      <c r="AC24" s="4">
        <f>SUMIFS(super1[Qtde],super1[Item],tab_alimentos[[#This Row],[Item]],super1[Bairro],mercado18)+SUMIFS(supercb[Qtde],supercb[Item],tab_alimentos[[#This Row],[Item]],supercb[Bairro],mercado18)</f>
        <v>0</v>
      </c>
      <c r="AD24" s="4">
        <f>SUMIFS(super1[Qtde],super1[Item],tab_alimentos[[#This Row],[Item]],super1[Bairro],extras)+SUMIFS(supercb[Qtde],supercb[Item],tab_alimentos[[#This Row],[Item]],supercb[Bairro],extras)</f>
        <v>0</v>
      </c>
      <c r="AE24" s="4">
        <f t="shared" si="0"/>
        <v>0</v>
      </c>
      <c r="AF24" s="4">
        <f t="shared" si="1"/>
        <v>0</v>
      </c>
      <c r="AG24" s="6">
        <f t="shared" si="2"/>
        <v>0</v>
      </c>
      <c r="AH24" s="19" t="str">
        <f>higiene[[#This Row],[Item]]</f>
        <v>Algodão (25g)</v>
      </c>
      <c r="AI24" s="4">
        <f>IFERROR(higiene[[#This Row],[Kg equivalente]],0)</f>
        <v>0</v>
      </c>
      <c r="AJ24" s="4">
        <f>IFERROR(higiene[[#This Row],[Preço por produto]],0)</f>
        <v>4.99</v>
      </c>
      <c r="AK24" s="4">
        <f>SUMIFS(super1[Qtde],super1[Item],tab_higiene[[#This Row],[Item]],super1[Bairro],mercado1)+SUMIFS(supercb[Qtde],supercb[Item],tab_higiene[[#This Row],[Item]],supercb[Bairro],mercado1)</f>
        <v>0</v>
      </c>
      <c r="AL24" s="4">
        <f>SUMIFS(super1[Qtde],super1[Item],tab_higiene[[#This Row],[Item]],super1[Bairro],mercado2)+SUMIFS(supercb[Qtde],supercb[Item],tab_higiene[[#This Row],[Item]],supercb[Bairro],mercado2)</f>
        <v>0</v>
      </c>
      <c r="AM24" s="4">
        <f>SUMIFS(super1[Qtde],super1[Item],tab_higiene[[#This Row],[Item]],super1[Bairro],mercado3)+SUMIFS(supercb[Qtde],supercb[Item],tab_higiene[[#This Row],[Item]],supercb[Bairro],mercado3)</f>
        <v>0</v>
      </c>
      <c r="AN24" s="4">
        <f>SUMIFS(super1[Qtde],super1[Item],tab_higiene[[#This Row],[Item]],super1[Bairro],mercado4)+SUMIFS(supercb[Qtde],supercb[Item],tab_higiene[[#This Row],[Item]],supercb[Bairro],mercado4)</f>
        <v>0</v>
      </c>
      <c r="AO24" s="4">
        <f>SUMIFS(super1[Qtde],super1[Item],tab_higiene[[#This Row],[Item]],super1[Bairro],mercado5)+SUMIFS(supercb[Qtde],supercb[Item],tab_higiene[[#This Row],[Item]],supercb[Bairro],mercado5)</f>
        <v>0</v>
      </c>
      <c r="AP24" s="4">
        <f>SUMIFS(super1[Qtde],super1[Item],tab_higiene[[#This Row],[Item]],super1[Bairro],mercado6)+SUMIFS(supercb[Qtde],supercb[Item],tab_higiene[[#This Row],[Item]],supercb[Bairro],mercado6)</f>
        <v>0</v>
      </c>
      <c r="AQ24" s="4">
        <f>SUMIFS(super1[Qtde],super1[Item],tab_higiene[[#This Row],[Item]],super1[Bairro],mercado7)+SUMIFS(supercb[Qtde],supercb[Item],tab_higiene[[#This Row],[Item]],supercb[Bairro],mercado7)</f>
        <v>0</v>
      </c>
      <c r="AR24" s="4">
        <f>SUMIFS(super1[Qtde],super1[Item],tab_higiene[[#This Row],[Item]],super1[Bairro],mercado8)+SUMIFS(supercb[Qtde],supercb[Item],tab_higiene[[#This Row],[Item]],supercb[Bairro],mercado8)</f>
        <v>0</v>
      </c>
      <c r="AS24" s="4">
        <f>SUMIFS(super1[Qtde],super1[Item],tab_higiene[[#This Row],[Item]],super1[Bairro],mercado9)+SUMIFS(supercb[Qtde],supercb[Item],tab_higiene[[#This Row],[Item]],supercb[Bairro],mercado9)</f>
        <v>0</v>
      </c>
      <c r="AT24" s="4">
        <f>SUMIFS(super1[Qtde],super1[Item],tab_higiene[[#This Row],[Item]],super1[Bairro],mercado10)+SUMIFS(supercb[Qtde],supercb[Item],tab_higiene[[#This Row],[Item]],supercb[Bairro],mercado10)</f>
        <v>0</v>
      </c>
      <c r="AU24" s="4">
        <f>SUMIFS(super1[Qtde],super1[Item],tab_higiene[[#This Row],[Item]],super1[Bairro],mercado11)+SUMIFS(supercb[Qtde],supercb[Item],tab_higiene[[#This Row],[Item]],supercb[Bairro],mercado11)</f>
        <v>0</v>
      </c>
      <c r="AV24" s="4">
        <f>SUMIFS(super1[Qtde],super1[Item],tab_higiene[[#This Row],[Item]],super1[Bairro],mercado12)+SUMIFS(supercb[Qtde],supercb[Item],tab_higiene[[#This Row],[Item]],supercb[Bairro],mercado12)</f>
        <v>0</v>
      </c>
      <c r="AW24" s="4">
        <f>SUMIFS(super1[Qtde],super1[Item],tab_higiene[[#This Row],[Item]],super1[Bairro],mercado13)+SUMIFS(supercb[Qtde],supercb[Item],tab_higiene[[#This Row],[Item]],supercb[Bairro],mercado13)</f>
        <v>0</v>
      </c>
      <c r="AX24" s="4">
        <f>SUMIFS(super1[Qtde],super1[Item],tab_higiene[[#This Row],[Item]],super1[Bairro],mercado14)+SUMIFS(supercb[Qtde],supercb[Item],tab_higiene[[#This Row],[Item]],supercb[Bairro],mercado14)</f>
        <v>0</v>
      </c>
      <c r="AY24" s="4">
        <f>SUMIFS(super1[Qtde],super1[Item],tab_higiene[[#This Row],[Item]],super1[Bairro],mercado15)+SUMIFS(supercb[Qtde],supercb[Item],tab_higiene[[#This Row],[Item]],supercb[Bairro],mercado15)</f>
        <v>0</v>
      </c>
      <c r="AZ24" s="4">
        <f>SUMIFS(super1[Qtde],super1[Item],tab_higiene[[#This Row],[Item]],super1[Bairro],mercado16)+SUMIFS(supercb[Qtde],supercb[Item],tab_higiene[[#This Row],[Item]],supercb[Bairro],mercado16)</f>
        <v>0</v>
      </c>
      <c r="BA24" s="4">
        <f>SUMIFS(super1[Qtde],super1[Item],tab_higiene[[#This Row],[Item]],super1[Bairro],mercado17)+SUMIFS(supercb[Qtde],supercb[Item],tab_higiene[[#This Row],[Item]],supercb[Bairro],mercado17)</f>
        <v>0</v>
      </c>
      <c r="BB24" s="4">
        <f>SUMIFS(super1[Qtde],super1[Item],tab_higiene[[#This Row],[Item]],super1[Bairro],mercado18)+SUMIFS(supercb[Qtde],supercb[Item],tab_higiene[[#This Row],[Item]],supercb[Bairro],mercado18)</f>
        <v>0</v>
      </c>
      <c r="BC24" s="4">
        <f>SUMIFS(super1[Qtde],super1[Item],tab_higiene[[#This Row],[Item]],super1[Bairro],extras)+SUMIFS(supercb[Qtde],supercb[Item],tab_higiene[[#This Row],[Item]],supercb[Bairro],extras)</f>
        <v>0</v>
      </c>
      <c r="BD24" s="4">
        <f t="shared" si="3"/>
        <v>0</v>
      </c>
      <c r="BE24" s="4">
        <f t="shared" si="4"/>
        <v>0</v>
      </c>
      <c r="BF24" s="6">
        <f t="shared" si="5"/>
        <v>0</v>
      </c>
      <c r="BI24" s="1" t="str">
        <f>tab_alimentos[[#This Row],[Item]]</f>
        <v>Açúcar (500g)</v>
      </c>
      <c r="BJ24" s="1">
        <f t="shared" si="6"/>
        <v>7</v>
      </c>
      <c r="BK24" s="1" t="str">
        <f t="shared" si="7"/>
        <v>Açúcar</v>
      </c>
      <c r="BL24" s="1">
        <f>tab_alimentos[[#This Row],[kg]]</f>
        <v>0</v>
      </c>
      <c r="BM24" s="25" t="s">
        <v>59</v>
      </c>
      <c r="BN24" s="1">
        <f t="shared" si="11"/>
        <v>0</v>
      </c>
      <c r="BP24" s="1" t="str">
        <f>tab_higiene[[#This Row],[Item]]</f>
        <v>Algodão (25g)</v>
      </c>
      <c r="BQ24" s="1">
        <f t="shared" si="8"/>
        <v>8</v>
      </c>
      <c r="BR24" s="1" t="str">
        <f t="shared" si="9"/>
        <v>Algodão</v>
      </c>
      <c r="BS24" s="1">
        <f>higiene[[#This Row],[Quantidade]]</f>
        <v>2.5000000000000001E-2</v>
      </c>
      <c r="BT24" s="1">
        <f>tab_higiene[[#This Row],[Qtde (tot)]]</f>
        <v>0</v>
      </c>
      <c r="BU24" s="1">
        <f t="shared" si="12"/>
        <v>0</v>
      </c>
      <c r="BV24" s="25" t="s">
        <v>241</v>
      </c>
      <c r="BW24" s="1">
        <f t="shared" si="10"/>
        <v>0</v>
      </c>
    </row>
    <row r="25" spans="1:75" x14ac:dyDescent="0.25">
      <c r="A25">
        <f>tabMercados[[#This Row],[Mercados]]</f>
        <v>0</v>
      </c>
      <c r="B25" s="20">
        <f>SUMPRODUCT(tab_alimentos[kg/embalagem],tab_alimentos[Qtde (S17)])</f>
        <v>0</v>
      </c>
      <c r="C25" s="20">
        <f>SUMPRODUCT(tab_alimentos[Preço],tab_alimentos[Qtde (S17)])</f>
        <v>0</v>
      </c>
      <c r="D25" s="20">
        <f>SUMPRODUCT(tab_higiene[kg/embalagem],tab_higiene[Qtde (S17)])</f>
        <v>0</v>
      </c>
      <c r="E25" s="20">
        <f>SUMPRODUCT(tab_higiene[Preço],tab_higiene[Qtde (S17)])</f>
        <v>0</v>
      </c>
      <c r="F25" s="20">
        <f t="shared" ref="F25:G27" si="16">B25+D25</f>
        <v>0</v>
      </c>
      <c r="G25" s="20">
        <f t="shared" si="16"/>
        <v>0</v>
      </c>
      <c r="I25" s="19" t="str">
        <f>alimentos[[#This Row],[Item]]</f>
        <v>Açúcar (5kg)</v>
      </c>
      <c r="J25" s="4">
        <f>IFERROR(alimentos[[#This Row],[kg/embalagem]],0)</f>
        <v>5</v>
      </c>
      <c r="K25" s="4">
        <f>IFERROR(alimentos[[#This Row],[Preço]],0)</f>
        <v>18.899999999999999</v>
      </c>
      <c r="L25" s="4">
        <f>SUMIFS(super1[Qtde],super1[Item],tab_alimentos[[#This Row],[Item]],super1[Bairro],mercado1)+SUMIFS(supercb[Qtde],supercb[Item],tab_alimentos[[#This Row],[Item]],supercb[Bairro],mercado1)</f>
        <v>0</v>
      </c>
      <c r="M25" s="4">
        <f>SUMIFS(super1[Qtde],super1[Item],tab_alimentos[[#This Row],[Item]],super1[Bairro],mercado2)+SUMIFS(supercb[Qtde],supercb[Item],tab_alimentos[[#This Row],[Item]],supercb[Bairro],mercado2)</f>
        <v>0</v>
      </c>
      <c r="N25" s="4">
        <f>SUMIFS(super1[Qtde],super1[Item],tab_alimentos[[#This Row],[Item]],super1[Bairro],mercado3)+SUMIFS(supercb[Qtde],supercb[Item],tab_alimentos[[#This Row],[Item]],supercb[Bairro],mercado3)</f>
        <v>0</v>
      </c>
      <c r="O25" s="4">
        <f>SUMIFS(super1[Qtde],super1[Item],tab_alimentos[[#This Row],[Item]],super1[Bairro],mercado4)+SUMIFS(supercb[Qtde],supercb[Item],tab_alimentos[[#This Row],[Item]],supercb[Bairro],mercado4)</f>
        <v>0</v>
      </c>
      <c r="P25" s="4">
        <f>SUMIFS(super1[Qtde],super1[Item],tab_alimentos[[#This Row],[Item]],super1[Bairro],mercado5)+SUMIFS(supercb[Qtde],supercb[Item],tab_alimentos[[#This Row],[Item]],supercb[Bairro],mercado5)</f>
        <v>0</v>
      </c>
      <c r="Q25" s="4">
        <f>SUMIFS(super1[Qtde],super1[Item],tab_alimentos[[#This Row],[Item]],super1[Bairro],mercado6)+SUMIFS(supercb[Qtde],supercb[Item],tab_alimentos[[#This Row],[Item]],supercb[Bairro],mercado6)</f>
        <v>0</v>
      </c>
      <c r="R25" s="4">
        <f>SUMIFS(super1[Qtde],super1[Item],tab_alimentos[[#This Row],[Item]],super1[Bairro],mercado7)+SUMIFS(supercb[Qtde],supercb[Item],tab_alimentos[[#This Row],[Item]],supercb[Bairro],mercado7)</f>
        <v>0</v>
      </c>
      <c r="S25" s="4">
        <f>SUMIFS(super1[Qtde],super1[Item],tab_alimentos[[#This Row],[Item]],super1[Bairro],mercado8)+SUMIFS(supercb[Qtde],supercb[Item],tab_alimentos[[#This Row],[Item]],supercb[Bairro],mercado8)</f>
        <v>0</v>
      </c>
      <c r="T25" s="4">
        <f>SUMIFS(super1[Qtde],super1[Item],tab_alimentos[[#This Row],[Item]],super1[Bairro],mercado9)+SUMIFS(supercb[Qtde],supercb[Item],tab_alimentos[[#This Row],[Item]],supercb[Bairro],mercado9)</f>
        <v>0</v>
      </c>
      <c r="U25" s="4">
        <f>SUMIFS(super1[Qtde],super1[Item],tab_alimentos[[#This Row],[Item]],super1[Bairro],mercado10)+SUMIFS(supercb[Qtde],supercb[Item],tab_alimentos[[#This Row],[Item]],supercb[Bairro],mercado10)</f>
        <v>0</v>
      </c>
      <c r="V25" s="4">
        <f>SUMIFS(super1[Qtde],super1[Item],tab_alimentos[[#This Row],[Item]],super1[Bairro],mercado11)+SUMIFS(supercb[Qtde],supercb[Item],tab_alimentos[[#This Row],[Item]],supercb[Bairro],mercado11)</f>
        <v>0</v>
      </c>
      <c r="W25" s="4">
        <f>SUMIFS(super1[Qtde],super1[Item],tab_alimentos[[#This Row],[Item]],super1[Bairro],mercado12)+SUMIFS(supercb[Qtde],supercb[Item],tab_alimentos[[#This Row],[Item]],supercb[Bairro],mercado12)</f>
        <v>0</v>
      </c>
      <c r="X25" s="4">
        <f>SUMIFS(super1[Qtde],super1[Item],tab_alimentos[[#This Row],[Item]],super1[Bairro],mercado13)+SUMIFS(supercb[Qtde],supercb[Item],tab_alimentos[[#This Row],[Item]],supercb[Bairro],mercado13)</f>
        <v>0</v>
      </c>
      <c r="Y25" s="4">
        <f>SUMIFS(super1[Qtde],super1[Item],tab_alimentos[[#This Row],[Item]],super1[Bairro],mercado14)+SUMIFS(supercb[Qtde],supercb[Item],tab_alimentos[[#This Row],[Item]],supercb[Bairro],mercado14)</f>
        <v>0</v>
      </c>
      <c r="Z25" s="4">
        <f>SUMIFS(super1[Qtde],super1[Item],tab_alimentos[[#This Row],[Item]],super1[Bairro],mercado15)+SUMIFS(supercb[Qtde],supercb[Item],tab_alimentos[[#This Row],[Item]],supercb[Bairro],mercado15)</f>
        <v>0</v>
      </c>
      <c r="AA25" s="4">
        <f>SUMIFS(super1[Qtde],super1[Item],tab_alimentos[[#This Row],[Item]],super1[Bairro],mercado16)+SUMIFS(supercb[Qtde],supercb[Item],tab_alimentos[[#This Row],[Item]],supercb[Bairro],mercado16)</f>
        <v>0</v>
      </c>
      <c r="AB25" s="4">
        <f>SUMIFS(super1[Qtde],super1[Item],tab_alimentos[[#This Row],[Item]],super1[Bairro],mercado17)+SUMIFS(supercb[Qtde],supercb[Item],tab_alimentos[[#This Row],[Item]],supercb[Bairro],mercado17)</f>
        <v>0</v>
      </c>
      <c r="AC25" s="4">
        <f>SUMIFS(super1[Qtde],super1[Item],tab_alimentos[[#This Row],[Item]],super1[Bairro],mercado18)+SUMIFS(supercb[Qtde],supercb[Item],tab_alimentos[[#This Row],[Item]],supercb[Bairro],mercado18)</f>
        <v>0</v>
      </c>
      <c r="AD25" s="4">
        <f>SUMIFS(super1[Qtde],super1[Item],tab_alimentos[[#This Row],[Item]],super1[Bairro],extras)+SUMIFS(supercb[Qtde],supercb[Item],tab_alimentos[[#This Row],[Item]],supercb[Bairro],extras)</f>
        <v>0</v>
      </c>
      <c r="AE25" s="4">
        <f t="shared" si="0"/>
        <v>0</v>
      </c>
      <c r="AF25" s="4">
        <f t="shared" si="1"/>
        <v>0</v>
      </c>
      <c r="AG25" s="6">
        <f t="shared" si="2"/>
        <v>0</v>
      </c>
      <c r="AH25" s="19" t="str">
        <f>higiene[[#This Row],[Item]]</f>
        <v>Algodão (50g)</v>
      </c>
      <c r="AI25" s="4">
        <f>IFERROR(higiene[[#This Row],[Kg equivalente]],0)</f>
        <v>0</v>
      </c>
      <c r="AJ25" s="4">
        <f>IFERROR(higiene[[#This Row],[Preço por produto]],0)</f>
        <v>3.49</v>
      </c>
      <c r="AK25" s="4">
        <f>SUMIFS(super1[Qtde],super1[Item],tab_higiene[[#This Row],[Item]],super1[Bairro],mercado1)+SUMIFS(supercb[Qtde],supercb[Item],tab_higiene[[#This Row],[Item]],supercb[Bairro],mercado1)</f>
        <v>0</v>
      </c>
      <c r="AL25" s="4">
        <f>SUMIFS(super1[Qtde],super1[Item],tab_higiene[[#This Row],[Item]],super1[Bairro],mercado2)+SUMIFS(supercb[Qtde],supercb[Item],tab_higiene[[#This Row],[Item]],supercb[Bairro],mercado2)</f>
        <v>0</v>
      </c>
      <c r="AM25" s="4">
        <f>SUMIFS(super1[Qtde],super1[Item],tab_higiene[[#This Row],[Item]],super1[Bairro],mercado3)+SUMIFS(supercb[Qtde],supercb[Item],tab_higiene[[#This Row],[Item]],supercb[Bairro],mercado3)</f>
        <v>0</v>
      </c>
      <c r="AN25" s="4">
        <f>SUMIFS(super1[Qtde],super1[Item],tab_higiene[[#This Row],[Item]],super1[Bairro],mercado4)+SUMIFS(supercb[Qtde],supercb[Item],tab_higiene[[#This Row],[Item]],supercb[Bairro],mercado4)</f>
        <v>0</v>
      </c>
      <c r="AO25" s="4">
        <f>SUMIFS(super1[Qtde],super1[Item],tab_higiene[[#This Row],[Item]],super1[Bairro],mercado5)+SUMIFS(supercb[Qtde],supercb[Item],tab_higiene[[#This Row],[Item]],supercb[Bairro],mercado5)</f>
        <v>0</v>
      </c>
      <c r="AP25" s="4">
        <f>SUMIFS(super1[Qtde],super1[Item],tab_higiene[[#This Row],[Item]],super1[Bairro],mercado6)+SUMIFS(supercb[Qtde],supercb[Item],tab_higiene[[#This Row],[Item]],supercb[Bairro],mercado6)</f>
        <v>0</v>
      </c>
      <c r="AQ25" s="4">
        <f>SUMIFS(super1[Qtde],super1[Item],tab_higiene[[#This Row],[Item]],super1[Bairro],mercado7)+SUMIFS(supercb[Qtde],supercb[Item],tab_higiene[[#This Row],[Item]],supercb[Bairro],mercado7)</f>
        <v>0</v>
      </c>
      <c r="AR25" s="4">
        <f>SUMIFS(super1[Qtde],super1[Item],tab_higiene[[#This Row],[Item]],super1[Bairro],mercado8)+SUMIFS(supercb[Qtde],supercb[Item],tab_higiene[[#This Row],[Item]],supercb[Bairro],mercado8)</f>
        <v>0</v>
      </c>
      <c r="AS25" s="4">
        <f>SUMIFS(super1[Qtde],super1[Item],tab_higiene[[#This Row],[Item]],super1[Bairro],mercado9)+SUMIFS(supercb[Qtde],supercb[Item],tab_higiene[[#This Row],[Item]],supercb[Bairro],mercado9)</f>
        <v>0</v>
      </c>
      <c r="AT25" s="4">
        <f>SUMIFS(super1[Qtde],super1[Item],tab_higiene[[#This Row],[Item]],super1[Bairro],mercado10)+SUMIFS(supercb[Qtde],supercb[Item],tab_higiene[[#This Row],[Item]],supercb[Bairro],mercado10)</f>
        <v>0</v>
      </c>
      <c r="AU25" s="4">
        <f>SUMIFS(super1[Qtde],super1[Item],tab_higiene[[#This Row],[Item]],super1[Bairro],mercado11)+SUMIFS(supercb[Qtde],supercb[Item],tab_higiene[[#This Row],[Item]],supercb[Bairro],mercado11)</f>
        <v>0</v>
      </c>
      <c r="AV25" s="4">
        <f>SUMIFS(super1[Qtde],super1[Item],tab_higiene[[#This Row],[Item]],super1[Bairro],mercado12)+SUMIFS(supercb[Qtde],supercb[Item],tab_higiene[[#This Row],[Item]],supercb[Bairro],mercado12)</f>
        <v>0</v>
      </c>
      <c r="AW25" s="4">
        <f>SUMIFS(super1[Qtde],super1[Item],tab_higiene[[#This Row],[Item]],super1[Bairro],mercado13)+SUMIFS(supercb[Qtde],supercb[Item],tab_higiene[[#This Row],[Item]],supercb[Bairro],mercado13)</f>
        <v>0</v>
      </c>
      <c r="AX25" s="4">
        <f>SUMIFS(super1[Qtde],super1[Item],tab_higiene[[#This Row],[Item]],super1[Bairro],mercado14)+SUMIFS(supercb[Qtde],supercb[Item],tab_higiene[[#This Row],[Item]],supercb[Bairro],mercado14)</f>
        <v>0</v>
      </c>
      <c r="AY25" s="4">
        <f>SUMIFS(super1[Qtde],super1[Item],tab_higiene[[#This Row],[Item]],super1[Bairro],mercado15)+SUMIFS(supercb[Qtde],supercb[Item],tab_higiene[[#This Row],[Item]],supercb[Bairro],mercado15)</f>
        <v>0</v>
      </c>
      <c r="AZ25" s="4">
        <f>SUMIFS(super1[Qtde],super1[Item],tab_higiene[[#This Row],[Item]],super1[Bairro],mercado16)+SUMIFS(supercb[Qtde],supercb[Item],tab_higiene[[#This Row],[Item]],supercb[Bairro],mercado16)</f>
        <v>0</v>
      </c>
      <c r="BA25" s="4">
        <f>SUMIFS(super1[Qtde],super1[Item],tab_higiene[[#This Row],[Item]],super1[Bairro],mercado17)+SUMIFS(supercb[Qtde],supercb[Item],tab_higiene[[#This Row],[Item]],supercb[Bairro],mercado17)</f>
        <v>0</v>
      </c>
      <c r="BB25" s="4">
        <f>SUMIFS(super1[Qtde],super1[Item],tab_higiene[[#This Row],[Item]],super1[Bairro],mercado18)+SUMIFS(supercb[Qtde],supercb[Item],tab_higiene[[#This Row],[Item]],supercb[Bairro],mercado18)</f>
        <v>0</v>
      </c>
      <c r="BC25" s="4">
        <f>SUMIFS(super1[Qtde],super1[Item],tab_higiene[[#This Row],[Item]],super1[Bairro],extras)+SUMIFS(supercb[Qtde],supercb[Item],tab_higiene[[#This Row],[Item]],supercb[Bairro],extras)</f>
        <v>0</v>
      </c>
      <c r="BD25" s="4">
        <f t="shared" si="3"/>
        <v>0</v>
      </c>
      <c r="BE25" s="4">
        <f t="shared" si="4"/>
        <v>0</v>
      </c>
      <c r="BF25" s="6">
        <f t="shared" si="5"/>
        <v>0</v>
      </c>
      <c r="BI25" s="1" t="str">
        <f>tab_alimentos[[#This Row],[Item]]</f>
        <v>Açúcar (5kg)</v>
      </c>
      <c r="BJ25" s="1">
        <f t="shared" si="6"/>
        <v>7</v>
      </c>
      <c r="BK25" s="1" t="str">
        <f t="shared" si="7"/>
        <v>Açúcar</v>
      </c>
      <c r="BL25" s="1">
        <f>tab_alimentos[[#This Row],[kg]]</f>
        <v>0</v>
      </c>
      <c r="BM25" s="25" t="s">
        <v>203</v>
      </c>
      <c r="BN25" s="1">
        <f t="shared" si="11"/>
        <v>0</v>
      </c>
      <c r="BP25" s="1" t="str">
        <f>tab_higiene[[#This Row],[Item]]</f>
        <v>Algodão (50g)</v>
      </c>
      <c r="BQ25" s="1">
        <f t="shared" si="8"/>
        <v>8</v>
      </c>
      <c r="BR25" s="1" t="str">
        <f t="shared" si="9"/>
        <v>Algodão</v>
      </c>
      <c r="BS25" s="1">
        <f>higiene[[#This Row],[Quantidade]]</f>
        <v>0.05</v>
      </c>
      <c r="BT25" s="1">
        <f>tab_higiene[[#This Row],[Qtde (tot)]]</f>
        <v>0</v>
      </c>
      <c r="BU25" s="1">
        <f t="shared" si="12"/>
        <v>0</v>
      </c>
      <c r="BV25" s="25" t="s">
        <v>282</v>
      </c>
      <c r="BW25" s="1">
        <f t="shared" si="10"/>
        <v>0</v>
      </c>
    </row>
    <row r="26" spans="1:75" x14ac:dyDescent="0.25">
      <c r="A26">
        <f>tabMercados[[#This Row],[Mercados]]</f>
        <v>0</v>
      </c>
      <c r="B26" s="20">
        <f>SUMPRODUCT(tab_alimentos[kg/embalagem],tab_alimentos[Qtde (S18)])</f>
        <v>0</v>
      </c>
      <c r="C26" s="20">
        <f>SUMPRODUCT(tab_alimentos[Preço],tab_alimentos[Qtde (S18)])</f>
        <v>0</v>
      </c>
      <c r="D26" s="20">
        <f>SUMPRODUCT(tab_higiene[kg/embalagem],tab_higiene[Qtde (S18)])</f>
        <v>0</v>
      </c>
      <c r="E26" s="20">
        <f>SUMPRODUCT(tab_higiene[Preço],tab_higiene[Qtde (S18)])</f>
        <v>0</v>
      </c>
      <c r="F26" s="20">
        <f t="shared" si="16"/>
        <v>0</v>
      </c>
      <c r="G26" s="20">
        <f t="shared" si="16"/>
        <v>0</v>
      </c>
      <c r="I26" s="19" t="str">
        <f>alimentos[[#This Row],[Item]]</f>
        <v>Adoçante (100mL)</v>
      </c>
      <c r="J26" s="4">
        <f>IFERROR(alimentos[[#This Row],[kg/embalagem]],0)</f>
        <v>0.1</v>
      </c>
      <c r="K26" s="4">
        <f>IFERROR(alimentos[[#This Row],[Preço]],0)</f>
        <v>5.99</v>
      </c>
      <c r="L26" s="4">
        <f>SUMIFS(super1[Qtde],super1[Item],tab_alimentos[[#This Row],[Item]],super1[Bairro],mercado1)+SUMIFS(supercb[Qtde],supercb[Item],tab_alimentos[[#This Row],[Item]],supercb[Bairro],mercado1)</f>
        <v>0</v>
      </c>
      <c r="M26" s="4">
        <f>SUMIFS(super1[Qtde],super1[Item],tab_alimentos[[#This Row],[Item]],super1[Bairro],mercado2)+SUMIFS(supercb[Qtde],supercb[Item],tab_alimentos[[#This Row],[Item]],supercb[Bairro],mercado2)</f>
        <v>0</v>
      </c>
      <c r="N26" s="4">
        <f>SUMIFS(super1[Qtde],super1[Item],tab_alimentos[[#This Row],[Item]],super1[Bairro],mercado3)+SUMIFS(supercb[Qtde],supercb[Item],tab_alimentos[[#This Row],[Item]],supercb[Bairro],mercado3)</f>
        <v>0</v>
      </c>
      <c r="O26" s="4">
        <f>SUMIFS(super1[Qtde],super1[Item],tab_alimentos[[#This Row],[Item]],super1[Bairro],mercado4)+SUMIFS(supercb[Qtde],supercb[Item],tab_alimentos[[#This Row],[Item]],supercb[Bairro],mercado4)</f>
        <v>0</v>
      </c>
      <c r="P26" s="4">
        <f>SUMIFS(super1[Qtde],super1[Item],tab_alimentos[[#This Row],[Item]],super1[Bairro],mercado5)+SUMIFS(supercb[Qtde],supercb[Item],tab_alimentos[[#This Row],[Item]],supercb[Bairro],mercado5)</f>
        <v>0</v>
      </c>
      <c r="Q26" s="4">
        <f>SUMIFS(super1[Qtde],super1[Item],tab_alimentos[[#This Row],[Item]],super1[Bairro],mercado6)+SUMIFS(supercb[Qtde],supercb[Item],tab_alimentos[[#This Row],[Item]],supercb[Bairro],mercado6)</f>
        <v>0</v>
      </c>
      <c r="R26" s="4">
        <f>SUMIFS(super1[Qtde],super1[Item],tab_alimentos[[#This Row],[Item]],super1[Bairro],mercado7)+SUMIFS(supercb[Qtde],supercb[Item],tab_alimentos[[#This Row],[Item]],supercb[Bairro],mercado7)</f>
        <v>0</v>
      </c>
      <c r="S26" s="4">
        <f>SUMIFS(super1[Qtde],super1[Item],tab_alimentos[[#This Row],[Item]],super1[Bairro],mercado8)+SUMIFS(supercb[Qtde],supercb[Item],tab_alimentos[[#This Row],[Item]],supercb[Bairro],mercado8)</f>
        <v>0</v>
      </c>
      <c r="T26" s="4">
        <f>SUMIFS(super1[Qtde],super1[Item],tab_alimentos[[#This Row],[Item]],super1[Bairro],mercado9)+SUMIFS(supercb[Qtde],supercb[Item],tab_alimentos[[#This Row],[Item]],supercb[Bairro],mercado9)</f>
        <v>0</v>
      </c>
      <c r="U26" s="4">
        <f>SUMIFS(super1[Qtde],super1[Item],tab_alimentos[[#This Row],[Item]],super1[Bairro],mercado10)+SUMIFS(supercb[Qtde],supercb[Item],tab_alimentos[[#This Row],[Item]],supercb[Bairro],mercado10)</f>
        <v>0</v>
      </c>
      <c r="V26" s="4">
        <f>SUMIFS(super1[Qtde],super1[Item],tab_alimentos[[#This Row],[Item]],super1[Bairro],mercado11)+SUMIFS(supercb[Qtde],supercb[Item],tab_alimentos[[#This Row],[Item]],supercb[Bairro],mercado11)</f>
        <v>0</v>
      </c>
      <c r="W26" s="4">
        <f>SUMIFS(super1[Qtde],super1[Item],tab_alimentos[[#This Row],[Item]],super1[Bairro],mercado12)+SUMIFS(supercb[Qtde],supercb[Item],tab_alimentos[[#This Row],[Item]],supercb[Bairro],mercado12)</f>
        <v>0</v>
      </c>
      <c r="X26" s="4">
        <f>SUMIFS(super1[Qtde],super1[Item],tab_alimentos[[#This Row],[Item]],super1[Bairro],mercado13)+SUMIFS(supercb[Qtde],supercb[Item],tab_alimentos[[#This Row],[Item]],supercb[Bairro],mercado13)</f>
        <v>0</v>
      </c>
      <c r="Y26" s="4">
        <f>SUMIFS(super1[Qtde],super1[Item],tab_alimentos[[#This Row],[Item]],super1[Bairro],mercado14)+SUMIFS(supercb[Qtde],supercb[Item],tab_alimentos[[#This Row],[Item]],supercb[Bairro],mercado14)</f>
        <v>0</v>
      </c>
      <c r="Z26" s="4">
        <f>SUMIFS(super1[Qtde],super1[Item],tab_alimentos[[#This Row],[Item]],super1[Bairro],mercado15)+SUMIFS(supercb[Qtde],supercb[Item],tab_alimentos[[#This Row],[Item]],supercb[Bairro],mercado15)</f>
        <v>0</v>
      </c>
      <c r="AA26" s="4">
        <f>SUMIFS(super1[Qtde],super1[Item],tab_alimentos[[#This Row],[Item]],super1[Bairro],mercado16)+SUMIFS(supercb[Qtde],supercb[Item],tab_alimentos[[#This Row],[Item]],supercb[Bairro],mercado16)</f>
        <v>0</v>
      </c>
      <c r="AB26" s="4">
        <f>SUMIFS(super1[Qtde],super1[Item],tab_alimentos[[#This Row],[Item]],super1[Bairro],mercado17)+SUMIFS(supercb[Qtde],supercb[Item],tab_alimentos[[#This Row],[Item]],supercb[Bairro],mercado17)</f>
        <v>0</v>
      </c>
      <c r="AC26" s="4">
        <f>SUMIFS(super1[Qtde],super1[Item],tab_alimentos[[#This Row],[Item]],super1[Bairro],mercado18)+SUMIFS(supercb[Qtde],supercb[Item],tab_alimentos[[#This Row],[Item]],supercb[Bairro],mercado18)</f>
        <v>0</v>
      </c>
      <c r="AD26" s="4">
        <f>SUMIFS(super1[Qtde],super1[Item],tab_alimentos[[#This Row],[Item]],super1[Bairro],extras)+SUMIFS(supercb[Qtde],supercb[Item],tab_alimentos[[#This Row],[Item]],supercb[Bairro],extras)</f>
        <v>0</v>
      </c>
      <c r="AE26" s="4">
        <f t="shared" si="0"/>
        <v>0</v>
      </c>
      <c r="AF26" s="4">
        <f t="shared" si="1"/>
        <v>0</v>
      </c>
      <c r="AG26" s="6">
        <f t="shared" si="2"/>
        <v>0</v>
      </c>
      <c r="AH26" s="19" t="str">
        <f>higiene[[#This Row],[Item]]</f>
        <v>Alvejante (1L)</v>
      </c>
      <c r="AI26" s="4">
        <f>IFERROR(higiene[[#This Row],[Kg equivalente]],0)</f>
        <v>0</v>
      </c>
      <c r="AJ26" s="4">
        <f>IFERROR(higiene[[#This Row],[Preço por produto]],0)</f>
        <v>3.49</v>
      </c>
      <c r="AK26" s="4">
        <f>SUMIFS(super1[Qtde],super1[Item],tab_higiene[[#This Row],[Item]],super1[Bairro],mercado1)+SUMIFS(supercb[Qtde],supercb[Item],tab_higiene[[#This Row],[Item]],supercb[Bairro],mercado1)</f>
        <v>0</v>
      </c>
      <c r="AL26" s="4">
        <f>SUMIFS(super1[Qtde],super1[Item],tab_higiene[[#This Row],[Item]],super1[Bairro],mercado2)+SUMIFS(supercb[Qtde],supercb[Item],tab_higiene[[#This Row],[Item]],supercb[Bairro],mercado2)</f>
        <v>0</v>
      </c>
      <c r="AM26" s="4">
        <f>SUMIFS(super1[Qtde],super1[Item],tab_higiene[[#This Row],[Item]],super1[Bairro],mercado3)+SUMIFS(supercb[Qtde],supercb[Item],tab_higiene[[#This Row],[Item]],supercb[Bairro],mercado3)</f>
        <v>0</v>
      </c>
      <c r="AN26" s="4">
        <f>SUMIFS(super1[Qtde],super1[Item],tab_higiene[[#This Row],[Item]],super1[Bairro],mercado4)+SUMIFS(supercb[Qtde],supercb[Item],tab_higiene[[#This Row],[Item]],supercb[Bairro],mercado4)</f>
        <v>0</v>
      </c>
      <c r="AO26" s="4">
        <f>SUMIFS(super1[Qtde],super1[Item],tab_higiene[[#This Row],[Item]],super1[Bairro],mercado5)+SUMIFS(supercb[Qtde],supercb[Item],tab_higiene[[#This Row],[Item]],supercb[Bairro],mercado5)</f>
        <v>0</v>
      </c>
      <c r="AP26" s="4">
        <f>SUMIFS(super1[Qtde],super1[Item],tab_higiene[[#This Row],[Item]],super1[Bairro],mercado6)+SUMIFS(supercb[Qtde],supercb[Item],tab_higiene[[#This Row],[Item]],supercb[Bairro],mercado6)</f>
        <v>0</v>
      </c>
      <c r="AQ26" s="4">
        <f>SUMIFS(super1[Qtde],super1[Item],tab_higiene[[#This Row],[Item]],super1[Bairro],mercado7)+SUMIFS(supercb[Qtde],supercb[Item],tab_higiene[[#This Row],[Item]],supercb[Bairro],mercado7)</f>
        <v>0</v>
      </c>
      <c r="AR26" s="4">
        <f>SUMIFS(super1[Qtde],super1[Item],tab_higiene[[#This Row],[Item]],super1[Bairro],mercado8)+SUMIFS(supercb[Qtde],supercb[Item],tab_higiene[[#This Row],[Item]],supercb[Bairro],mercado8)</f>
        <v>0</v>
      </c>
      <c r="AS26" s="4">
        <f>SUMIFS(super1[Qtde],super1[Item],tab_higiene[[#This Row],[Item]],super1[Bairro],mercado9)+SUMIFS(supercb[Qtde],supercb[Item],tab_higiene[[#This Row],[Item]],supercb[Bairro],mercado9)</f>
        <v>0</v>
      </c>
      <c r="AT26" s="4">
        <f>SUMIFS(super1[Qtde],super1[Item],tab_higiene[[#This Row],[Item]],super1[Bairro],mercado10)+SUMIFS(supercb[Qtde],supercb[Item],tab_higiene[[#This Row],[Item]],supercb[Bairro],mercado10)</f>
        <v>0</v>
      </c>
      <c r="AU26" s="4">
        <f>SUMIFS(super1[Qtde],super1[Item],tab_higiene[[#This Row],[Item]],super1[Bairro],mercado11)+SUMIFS(supercb[Qtde],supercb[Item],tab_higiene[[#This Row],[Item]],supercb[Bairro],mercado11)</f>
        <v>0</v>
      </c>
      <c r="AV26" s="4">
        <f>SUMIFS(super1[Qtde],super1[Item],tab_higiene[[#This Row],[Item]],super1[Bairro],mercado12)+SUMIFS(supercb[Qtde],supercb[Item],tab_higiene[[#This Row],[Item]],supercb[Bairro],mercado12)</f>
        <v>0</v>
      </c>
      <c r="AW26" s="4">
        <f>SUMIFS(super1[Qtde],super1[Item],tab_higiene[[#This Row],[Item]],super1[Bairro],mercado13)+SUMIFS(supercb[Qtde],supercb[Item],tab_higiene[[#This Row],[Item]],supercb[Bairro],mercado13)</f>
        <v>0</v>
      </c>
      <c r="AX26" s="4">
        <f>SUMIFS(super1[Qtde],super1[Item],tab_higiene[[#This Row],[Item]],super1[Bairro],mercado14)+SUMIFS(supercb[Qtde],supercb[Item],tab_higiene[[#This Row],[Item]],supercb[Bairro],mercado14)</f>
        <v>0</v>
      </c>
      <c r="AY26" s="4">
        <f>SUMIFS(super1[Qtde],super1[Item],tab_higiene[[#This Row],[Item]],super1[Bairro],mercado15)+SUMIFS(supercb[Qtde],supercb[Item],tab_higiene[[#This Row],[Item]],supercb[Bairro],mercado15)</f>
        <v>0</v>
      </c>
      <c r="AZ26" s="4">
        <f>SUMIFS(super1[Qtde],super1[Item],tab_higiene[[#This Row],[Item]],super1[Bairro],mercado16)+SUMIFS(supercb[Qtde],supercb[Item],tab_higiene[[#This Row],[Item]],supercb[Bairro],mercado16)</f>
        <v>0</v>
      </c>
      <c r="BA26" s="4">
        <f>SUMIFS(super1[Qtde],super1[Item],tab_higiene[[#This Row],[Item]],super1[Bairro],mercado17)+SUMIFS(supercb[Qtde],supercb[Item],tab_higiene[[#This Row],[Item]],supercb[Bairro],mercado17)</f>
        <v>0</v>
      </c>
      <c r="BB26" s="4">
        <f>SUMIFS(super1[Qtde],super1[Item],tab_higiene[[#This Row],[Item]],super1[Bairro],mercado18)+SUMIFS(supercb[Qtde],supercb[Item],tab_higiene[[#This Row],[Item]],supercb[Bairro],mercado18)</f>
        <v>0</v>
      </c>
      <c r="BC26" s="4">
        <f>SUMIFS(super1[Qtde],super1[Item],tab_higiene[[#This Row],[Item]],super1[Bairro],extras)+SUMIFS(supercb[Qtde],supercb[Item],tab_higiene[[#This Row],[Item]],supercb[Bairro],extras)</f>
        <v>0</v>
      </c>
      <c r="BD26" s="4">
        <f t="shared" si="3"/>
        <v>0</v>
      </c>
      <c r="BE26" s="4">
        <f t="shared" si="4"/>
        <v>0</v>
      </c>
      <c r="BF26" s="6">
        <f t="shared" si="5"/>
        <v>0</v>
      </c>
      <c r="BI26" s="1" t="str">
        <f>tab_alimentos[[#This Row],[Item]]</f>
        <v>Adoçante (100mL)</v>
      </c>
      <c r="BJ26" s="1">
        <f t="shared" si="6"/>
        <v>9</v>
      </c>
      <c r="BK26" s="1" t="str">
        <f t="shared" si="7"/>
        <v>Adoçante</v>
      </c>
      <c r="BL26" s="1">
        <f>tab_alimentos[[#This Row],[kg]]</f>
        <v>0</v>
      </c>
      <c r="BM26" s="25" t="s">
        <v>60</v>
      </c>
      <c r="BN26" s="1">
        <f t="shared" si="11"/>
        <v>0</v>
      </c>
      <c r="BP26" s="1" t="str">
        <f>tab_higiene[[#This Row],[Item]]</f>
        <v>Alvejante (1L)</v>
      </c>
      <c r="BQ26" s="1">
        <f t="shared" si="8"/>
        <v>10</v>
      </c>
      <c r="BR26" s="1" t="str">
        <f t="shared" si="9"/>
        <v>Alvejante</v>
      </c>
      <c r="BS26" s="1">
        <f>higiene[[#This Row],[Quantidade]]</f>
        <v>1</v>
      </c>
      <c r="BT26" s="1">
        <f>tab_higiene[[#This Row],[Qtde (tot)]]</f>
        <v>0</v>
      </c>
      <c r="BU26" s="1">
        <f t="shared" si="12"/>
        <v>0</v>
      </c>
      <c r="BV26" s="25" t="s">
        <v>242</v>
      </c>
      <c r="BW26" s="1">
        <f t="shared" si="10"/>
        <v>0</v>
      </c>
    </row>
    <row r="27" spans="1:75" x14ac:dyDescent="0.25">
      <c r="A27">
        <f>tabMercados[[#This Row],[Mercados]]</f>
        <v>0</v>
      </c>
      <c r="B27" s="20">
        <f>SUMPRODUCT(tab_alimentos[kg/embalagem],tab_alimentos[Qtde (ex)])</f>
        <v>0</v>
      </c>
      <c r="C27" s="20">
        <f>SUMPRODUCT(tab_alimentos[Preço],tab_alimentos[Qtde (ex)])</f>
        <v>0</v>
      </c>
      <c r="D27" s="20">
        <f>SUMPRODUCT(tab_higiene[kg/embalagem],tab_higiene[Qtde (ex)])</f>
        <v>0</v>
      </c>
      <c r="E27" s="20">
        <f>SUMPRODUCT(tab_higiene[Preço],tab_higiene[Qtde (ex)])</f>
        <v>0</v>
      </c>
      <c r="F27" s="20">
        <f t="shared" si="16"/>
        <v>0</v>
      </c>
      <c r="G27" s="20">
        <f t="shared" si="16"/>
        <v>0</v>
      </c>
      <c r="I27" s="19" t="str">
        <f>alimentos[[#This Row],[Item]]</f>
        <v>Água de Coco (2L)</v>
      </c>
      <c r="J27" s="4">
        <f>IFERROR(alimentos[[#This Row],[kg/embalagem]],0)</f>
        <v>2</v>
      </c>
      <c r="K27" s="4">
        <f>IFERROR(alimentos[[#This Row],[Preço]],0)</f>
        <v>10.79</v>
      </c>
      <c r="L27" s="4">
        <f>SUMIFS(super1[Qtde],super1[Item],tab_alimentos[[#This Row],[Item]],super1[Bairro],mercado1)+SUMIFS(supercb[Qtde],supercb[Item],tab_alimentos[[#This Row],[Item]],supercb[Bairro],mercado1)</f>
        <v>0</v>
      </c>
      <c r="M27" s="4">
        <f>SUMIFS(super1[Qtde],super1[Item],tab_alimentos[[#This Row],[Item]],super1[Bairro],mercado2)+SUMIFS(supercb[Qtde],supercb[Item],tab_alimentos[[#This Row],[Item]],supercb[Bairro],mercado2)</f>
        <v>0</v>
      </c>
      <c r="N27" s="4">
        <f>SUMIFS(super1[Qtde],super1[Item],tab_alimentos[[#This Row],[Item]],super1[Bairro],mercado3)+SUMIFS(supercb[Qtde],supercb[Item],tab_alimentos[[#This Row],[Item]],supercb[Bairro],mercado3)</f>
        <v>0</v>
      </c>
      <c r="O27" s="4">
        <f>SUMIFS(super1[Qtde],super1[Item],tab_alimentos[[#This Row],[Item]],super1[Bairro],mercado4)+SUMIFS(supercb[Qtde],supercb[Item],tab_alimentos[[#This Row],[Item]],supercb[Bairro],mercado4)</f>
        <v>0</v>
      </c>
      <c r="P27" s="4">
        <f>SUMIFS(super1[Qtde],super1[Item],tab_alimentos[[#This Row],[Item]],super1[Bairro],mercado5)+SUMIFS(supercb[Qtde],supercb[Item],tab_alimentos[[#This Row],[Item]],supercb[Bairro],mercado5)</f>
        <v>0</v>
      </c>
      <c r="Q27" s="4">
        <f>SUMIFS(super1[Qtde],super1[Item],tab_alimentos[[#This Row],[Item]],super1[Bairro],mercado6)+SUMIFS(supercb[Qtde],supercb[Item],tab_alimentos[[#This Row],[Item]],supercb[Bairro],mercado6)</f>
        <v>0</v>
      </c>
      <c r="R27" s="4">
        <f>SUMIFS(super1[Qtde],super1[Item],tab_alimentos[[#This Row],[Item]],super1[Bairro],mercado7)+SUMIFS(supercb[Qtde],supercb[Item],tab_alimentos[[#This Row],[Item]],supercb[Bairro],mercado7)</f>
        <v>0</v>
      </c>
      <c r="S27" s="4">
        <f>SUMIFS(super1[Qtde],super1[Item],tab_alimentos[[#This Row],[Item]],super1[Bairro],mercado8)+SUMIFS(supercb[Qtde],supercb[Item],tab_alimentos[[#This Row],[Item]],supercb[Bairro],mercado8)</f>
        <v>0</v>
      </c>
      <c r="T27" s="4">
        <f>SUMIFS(super1[Qtde],super1[Item],tab_alimentos[[#This Row],[Item]],super1[Bairro],mercado9)+SUMIFS(supercb[Qtde],supercb[Item],tab_alimentos[[#This Row],[Item]],supercb[Bairro],mercado9)</f>
        <v>0</v>
      </c>
      <c r="U27" s="4">
        <f>SUMIFS(super1[Qtde],super1[Item],tab_alimentos[[#This Row],[Item]],super1[Bairro],mercado10)+SUMIFS(supercb[Qtde],supercb[Item],tab_alimentos[[#This Row],[Item]],supercb[Bairro],mercado10)</f>
        <v>0</v>
      </c>
      <c r="V27" s="4">
        <f>SUMIFS(super1[Qtde],super1[Item],tab_alimentos[[#This Row],[Item]],super1[Bairro],mercado11)+SUMIFS(supercb[Qtde],supercb[Item],tab_alimentos[[#This Row],[Item]],supercb[Bairro],mercado11)</f>
        <v>0</v>
      </c>
      <c r="W27" s="4">
        <f>SUMIFS(super1[Qtde],super1[Item],tab_alimentos[[#This Row],[Item]],super1[Bairro],mercado12)+SUMIFS(supercb[Qtde],supercb[Item],tab_alimentos[[#This Row],[Item]],supercb[Bairro],mercado12)</f>
        <v>0</v>
      </c>
      <c r="X27" s="4">
        <f>SUMIFS(super1[Qtde],super1[Item],tab_alimentos[[#This Row],[Item]],super1[Bairro],mercado13)+SUMIFS(supercb[Qtde],supercb[Item],tab_alimentos[[#This Row],[Item]],supercb[Bairro],mercado13)</f>
        <v>0</v>
      </c>
      <c r="Y27" s="4">
        <f>SUMIFS(super1[Qtde],super1[Item],tab_alimentos[[#This Row],[Item]],super1[Bairro],mercado14)+SUMIFS(supercb[Qtde],supercb[Item],tab_alimentos[[#This Row],[Item]],supercb[Bairro],mercado14)</f>
        <v>0</v>
      </c>
      <c r="Z27" s="4">
        <f>SUMIFS(super1[Qtde],super1[Item],tab_alimentos[[#This Row],[Item]],super1[Bairro],mercado15)+SUMIFS(supercb[Qtde],supercb[Item],tab_alimentos[[#This Row],[Item]],supercb[Bairro],mercado15)</f>
        <v>0</v>
      </c>
      <c r="AA27" s="4">
        <f>SUMIFS(super1[Qtde],super1[Item],tab_alimentos[[#This Row],[Item]],super1[Bairro],mercado16)+SUMIFS(supercb[Qtde],supercb[Item],tab_alimentos[[#This Row],[Item]],supercb[Bairro],mercado16)</f>
        <v>0</v>
      </c>
      <c r="AB27" s="4">
        <f>SUMIFS(super1[Qtde],super1[Item],tab_alimentos[[#This Row],[Item]],super1[Bairro],mercado17)+SUMIFS(supercb[Qtde],supercb[Item],tab_alimentos[[#This Row],[Item]],supercb[Bairro],mercado17)</f>
        <v>0</v>
      </c>
      <c r="AC27" s="4">
        <f>SUMIFS(super1[Qtde],super1[Item],tab_alimentos[[#This Row],[Item]],super1[Bairro],mercado18)+SUMIFS(supercb[Qtde],supercb[Item],tab_alimentos[[#This Row],[Item]],supercb[Bairro],mercado18)</f>
        <v>0</v>
      </c>
      <c r="AD27" s="4">
        <f>SUMIFS(super1[Qtde],super1[Item],tab_alimentos[[#This Row],[Item]],super1[Bairro],extras)+SUMIFS(supercb[Qtde],supercb[Item],tab_alimentos[[#This Row],[Item]],supercb[Bairro],extras)</f>
        <v>0</v>
      </c>
      <c r="AE27" s="4">
        <f t="shared" si="0"/>
        <v>0</v>
      </c>
      <c r="AF27" s="4">
        <f t="shared" si="1"/>
        <v>0</v>
      </c>
      <c r="AG27" s="6">
        <f t="shared" si="2"/>
        <v>0</v>
      </c>
      <c r="AH27" s="19" t="str">
        <f>higiene[[#This Row],[Item]]</f>
        <v>Alvejante (2L)</v>
      </c>
      <c r="AI27" s="4">
        <f>IFERROR(higiene[[#This Row],[Kg equivalente]],0)</f>
        <v>0</v>
      </c>
      <c r="AJ27" s="4">
        <f>IFERROR(higiene[[#This Row],[Preço por produto]],0)</f>
        <v>12.9</v>
      </c>
      <c r="AK27" s="4">
        <f>SUMIFS(super1[Qtde],super1[Item],tab_higiene[[#This Row],[Item]],super1[Bairro],mercado1)+SUMIFS(supercb[Qtde],supercb[Item],tab_higiene[[#This Row],[Item]],supercb[Bairro],mercado1)</f>
        <v>0</v>
      </c>
      <c r="AL27" s="4">
        <f>SUMIFS(super1[Qtde],super1[Item],tab_higiene[[#This Row],[Item]],super1[Bairro],mercado2)+SUMIFS(supercb[Qtde],supercb[Item],tab_higiene[[#This Row],[Item]],supercb[Bairro],mercado2)</f>
        <v>0</v>
      </c>
      <c r="AM27" s="4">
        <f>SUMIFS(super1[Qtde],super1[Item],tab_higiene[[#This Row],[Item]],super1[Bairro],mercado3)+SUMIFS(supercb[Qtde],supercb[Item],tab_higiene[[#This Row],[Item]],supercb[Bairro],mercado3)</f>
        <v>0</v>
      </c>
      <c r="AN27" s="4">
        <f>SUMIFS(super1[Qtde],super1[Item],tab_higiene[[#This Row],[Item]],super1[Bairro],mercado4)+SUMIFS(supercb[Qtde],supercb[Item],tab_higiene[[#This Row],[Item]],supercb[Bairro],mercado4)</f>
        <v>0</v>
      </c>
      <c r="AO27" s="4">
        <f>SUMIFS(super1[Qtde],super1[Item],tab_higiene[[#This Row],[Item]],super1[Bairro],mercado5)+SUMIFS(supercb[Qtde],supercb[Item],tab_higiene[[#This Row],[Item]],supercb[Bairro],mercado5)</f>
        <v>0</v>
      </c>
      <c r="AP27" s="4">
        <f>SUMIFS(super1[Qtde],super1[Item],tab_higiene[[#This Row],[Item]],super1[Bairro],mercado6)+SUMIFS(supercb[Qtde],supercb[Item],tab_higiene[[#This Row],[Item]],supercb[Bairro],mercado6)</f>
        <v>0</v>
      </c>
      <c r="AQ27" s="4">
        <f>SUMIFS(super1[Qtde],super1[Item],tab_higiene[[#This Row],[Item]],super1[Bairro],mercado7)+SUMIFS(supercb[Qtde],supercb[Item],tab_higiene[[#This Row],[Item]],supercb[Bairro],mercado7)</f>
        <v>0</v>
      </c>
      <c r="AR27" s="4">
        <f>SUMIFS(super1[Qtde],super1[Item],tab_higiene[[#This Row],[Item]],super1[Bairro],mercado8)+SUMIFS(supercb[Qtde],supercb[Item],tab_higiene[[#This Row],[Item]],supercb[Bairro],mercado8)</f>
        <v>0</v>
      </c>
      <c r="AS27" s="4">
        <f>SUMIFS(super1[Qtde],super1[Item],tab_higiene[[#This Row],[Item]],super1[Bairro],mercado9)+SUMIFS(supercb[Qtde],supercb[Item],tab_higiene[[#This Row],[Item]],supercb[Bairro],mercado9)</f>
        <v>0</v>
      </c>
      <c r="AT27" s="4">
        <f>SUMIFS(super1[Qtde],super1[Item],tab_higiene[[#This Row],[Item]],super1[Bairro],mercado10)+SUMIFS(supercb[Qtde],supercb[Item],tab_higiene[[#This Row],[Item]],supercb[Bairro],mercado10)</f>
        <v>0</v>
      </c>
      <c r="AU27" s="4">
        <f>SUMIFS(super1[Qtde],super1[Item],tab_higiene[[#This Row],[Item]],super1[Bairro],mercado11)+SUMIFS(supercb[Qtde],supercb[Item],tab_higiene[[#This Row],[Item]],supercb[Bairro],mercado11)</f>
        <v>0</v>
      </c>
      <c r="AV27" s="4">
        <f>SUMIFS(super1[Qtde],super1[Item],tab_higiene[[#This Row],[Item]],super1[Bairro],mercado12)+SUMIFS(supercb[Qtde],supercb[Item],tab_higiene[[#This Row],[Item]],supercb[Bairro],mercado12)</f>
        <v>0</v>
      </c>
      <c r="AW27" s="4">
        <f>SUMIFS(super1[Qtde],super1[Item],tab_higiene[[#This Row],[Item]],super1[Bairro],mercado13)+SUMIFS(supercb[Qtde],supercb[Item],tab_higiene[[#This Row],[Item]],supercb[Bairro],mercado13)</f>
        <v>0</v>
      </c>
      <c r="AX27" s="4">
        <f>SUMIFS(super1[Qtde],super1[Item],tab_higiene[[#This Row],[Item]],super1[Bairro],mercado14)+SUMIFS(supercb[Qtde],supercb[Item],tab_higiene[[#This Row],[Item]],supercb[Bairro],mercado14)</f>
        <v>0</v>
      </c>
      <c r="AY27" s="4">
        <f>SUMIFS(super1[Qtde],super1[Item],tab_higiene[[#This Row],[Item]],super1[Bairro],mercado15)+SUMIFS(supercb[Qtde],supercb[Item],tab_higiene[[#This Row],[Item]],supercb[Bairro],mercado15)</f>
        <v>0</v>
      </c>
      <c r="AZ27" s="4">
        <f>SUMIFS(super1[Qtde],super1[Item],tab_higiene[[#This Row],[Item]],super1[Bairro],mercado16)+SUMIFS(supercb[Qtde],supercb[Item],tab_higiene[[#This Row],[Item]],supercb[Bairro],mercado16)</f>
        <v>0</v>
      </c>
      <c r="BA27" s="4">
        <f>SUMIFS(super1[Qtde],super1[Item],tab_higiene[[#This Row],[Item]],super1[Bairro],mercado17)+SUMIFS(supercb[Qtde],supercb[Item],tab_higiene[[#This Row],[Item]],supercb[Bairro],mercado17)</f>
        <v>0</v>
      </c>
      <c r="BB27" s="4">
        <f>SUMIFS(super1[Qtde],super1[Item],tab_higiene[[#This Row],[Item]],super1[Bairro],mercado18)+SUMIFS(supercb[Qtde],supercb[Item],tab_higiene[[#This Row],[Item]],supercb[Bairro],mercado18)</f>
        <v>0</v>
      </c>
      <c r="BC27" s="4">
        <f>SUMIFS(super1[Qtde],super1[Item],tab_higiene[[#This Row],[Item]],super1[Bairro],extras)+SUMIFS(supercb[Qtde],supercb[Item],tab_higiene[[#This Row],[Item]],supercb[Bairro],extras)</f>
        <v>0</v>
      </c>
      <c r="BD27" s="4">
        <f t="shared" si="3"/>
        <v>0</v>
      </c>
      <c r="BE27" s="4">
        <f t="shared" si="4"/>
        <v>0</v>
      </c>
      <c r="BF27" s="6">
        <f t="shared" si="5"/>
        <v>0</v>
      </c>
      <c r="BI27" s="1" t="str">
        <f>tab_alimentos[[#This Row],[Item]]</f>
        <v>Água de Coco (2L)</v>
      </c>
      <c r="BJ27" s="1">
        <f t="shared" si="6"/>
        <v>13</v>
      </c>
      <c r="BK27" s="1" t="str">
        <f t="shared" si="7"/>
        <v>Água de Coco</v>
      </c>
      <c r="BL27" s="1">
        <f>tab_alimentos[[#This Row],[kg]]</f>
        <v>0</v>
      </c>
      <c r="BM27" s="25" t="s">
        <v>204</v>
      </c>
      <c r="BN27" s="1">
        <f t="shared" si="11"/>
        <v>0</v>
      </c>
      <c r="BP27" s="1" t="str">
        <f>tab_higiene[[#This Row],[Item]]</f>
        <v>Alvejante (2L)</v>
      </c>
      <c r="BQ27" s="1">
        <f t="shared" si="8"/>
        <v>10</v>
      </c>
      <c r="BR27" s="1" t="str">
        <f t="shared" si="9"/>
        <v>Alvejante</v>
      </c>
      <c r="BS27" s="1">
        <f>higiene[[#This Row],[Quantidade]]</f>
        <v>2</v>
      </c>
      <c r="BT27" s="1">
        <f>tab_higiene[[#This Row],[Qtde (tot)]]</f>
        <v>0</v>
      </c>
      <c r="BU27" s="1">
        <f t="shared" si="12"/>
        <v>0</v>
      </c>
      <c r="BV27" s="25" t="s">
        <v>134</v>
      </c>
      <c r="BW27" s="1">
        <f t="shared" si="10"/>
        <v>0</v>
      </c>
    </row>
    <row r="28" spans="1:75" x14ac:dyDescent="0.25">
      <c r="I28" s="19" t="str">
        <f>alimentos[[#This Row],[Item]]</f>
        <v>Água Tônica (237mL)</v>
      </c>
      <c r="J28" s="4">
        <f>IFERROR(alimentos[[#This Row],[kg/embalagem]],0)</f>
        <v>0.23699999999999999</v>
      </c>
      <c r="K28" s="4">
        <f>IFERROR(alimentos[[#This Row],[Preço]],0)</f>
        <v>2.4900000000000002</v>
      </c>
      <c r="L28" s="4">
        <f>SUMIFS(super1[Qtde],super1[Item],tab_alimentos[[#This Row],[Item]],super1[Bairro],mercado1)+SUMIFS(supercb[Qtde],supercb[Item],tab_alimentos[[#This Row],[Item]],supercb[Bairro],mercado1)</f>
        <v>0</v>
      </c>
      <c r="M28" s="4">
        <f>SUMIFS(super1[Qtde],super1[Item],tab_alimentos[[#This Row],[Item]],super1[Bairro],mercado2)+SUMIFS(supercb[Qtde],supercb[Item],tab_alimentos[[#This Row],[Item]],supercb[Bairro],mercado2)</f>
        <v>0</v>
      </c>
      <c r="N28" s="4">
        <f>SUMIFS(super1[Qtde],super1[Item],tab_alimentos[[#This Row],[Item]],super1[Bairro],mercado3)+SUMIFS(supercb[Qtde],supercb[Item],tab_alimentos[[#This Row],[Item]],supercb[Bairro],mercado3)</f>
        <v>0</v>
      </c>
      <c r="O28" s="4">
        <f>SUMIFS(super1[Qtde],super1[Item],tab_alimentos[[#This Row],[Item]],super1[Bairro],mercado4)+SUMIFS(supercb[Qtde],supercb[Item],tab_alimentos[[#This Row],[Item]],supercb[Bairro],mercado4)</f>
        <v>0</v>
      </c>
      <c r="P28" s="4">
        <f>SUMIFS(super1[Qtde],super1[Item],tab_alimentos[[#This Row],[Item]],super1[Bairro],mercado5)+SUMIFS(supercb[Qtde],supercb[Item],tab_alimentos[[#This Row],[Item]],supercb[Bairro],mercado5)</f>
        <v>0</v>
      </c>
      <c r="Q28" s="4">
        <f>SUMIFS(super1[Qtde],super1[Item],tab_alimentos[[#This Row],[Item]],super1[Bairro],mercado6)+SUMIFS(supercb[Qtde],supercb[Item],tab_alimentos[[#This Row],[Item]],supercb[Bairro],mercado6)</f>
        <v>0</v>
      </c>
      <c r="R28" s="4">
        <f>SUMIFS(super1[Qtde],super1[Item],tab_alimentos[[#This Row],[Item]],super1[Bairro],mercado7)+SUMIFS(supercb[Qtde],supercb[Item],tab_alimentos[[#This Row],[Item]],supercb[Bairro],mercado7)</f>
        <v>0</v>
      </c>
      <c r="S28" s="4">
        <f>SUMIFS(super1[Qtde],super1[Item],tab_alimentos[[#This Row],[Item]],super1[Bairro],mercado8)+SUMIFS(supercb[Qtde],supercb[Item],tab_alimentos[[#This Row],[Item]],supercb[Bairro],mercado8)</f>
        <v>0</v>
      </c>
      <c r="T28" s="4">
        <f>SUMIFS(super1[Qtde],super1[Item],tab_alimentos[[#This Row],[Item]],super1[Bairro],mercado9)+SUMIFS(supercb[Qtde],supercb[Item],tab_alimentos[[#This Row],[Item]],supercb[Bairro],mercado9)</f>
        <v>0</v>
      </c>
      <c r="U28" s="4">
        <f>SUMIFS(super1[Qtde],super1[Item],tab_alimentos[[#This Row],[Item]],super1[Bairro],mercado10)+SUMIFS(supercb[Qtde],supercb[Item],tab_alimentos[[#This Row],[Item]],supercb[Bairro],mercado10)</f>
        <v>0</v>
      </c>
      <c r="V28" s="4">
        <f>SUMIFS(super1[Qtde],super1[Item],tab_alimentos[[#This Row],[Item]],super1[Bairro],mercado11)+SUMIFS(supercb[Qtde],supercb[Item],tab_alimentos[[#This Row],[Item]],supercb[Bairro],mercado11)</f>
        <v>0</v>
      </c>
      <c r="W28" s="4">
        <f>SUMIFS(super1[Qtde],super1[Item],tab_alimentos[[#This Row],[Item]],super1[Bairro],mercado12)+SUMIFS(supercb[Qtde],supercb[Item],tab_alimentos[[#This Row],[Item]],supercb[Bairro],mercado12)</f>
        <v>0</v>
      </c>
      <c r="X28" s="4">
        <f>SUMIFS(super1[Qtde],super1[Item],tab_alimentos[[#This Row],[Item]],super1[Bairro],mercado13)+SUMIFS(supercb[Qtde],supercb[Item],tab_alimentos[[#This Row],[Item]],supercb[Bairro],mercado13)</f>
        <v>0</v>
      </c>
      <c r="Y28" s="4">
        <f>SUMIFS(super1[Qtde],super1[Item],tab_alimentos[[#This Row],[Item]],super1[Bairro],mercado14)+SUMIFS(supercb[Qtde],supercb[Item],tab_alimentos[[#This Row],[Item]],supercb[Bairro],mercado14)</f>
        <v>0</v>
      </c>
      <c r="Z28" s="4">
        <f>SUMIFS(super1[Qtde],super1[Item],tab_alimentos[[#This Row],[Item]],super1[Bairro],mercado15)+SUMIFS(supercb[Qtde],supercb[Item],tab_alimentos[[#This Row],[Item]],supercb[Bairro],mercado15)</f>
        <v>0</v>
      </c>
      <c r="AA28" s="4">
        <f>SUMIFS(super1[Qtde],super1[Item],tab_alimentos[[#This Row],[Item]],super1[Bairro],mercado16)+SUMIFS(supercb[Qtde],supercb[Item],tab_alimentos[[#This Row],[Item]],supercb[Bairro],mercado16)</f>
        <v>0</v>
      </c>
      <c r="AB28" s="4">
        <f>SUMIFS(super1[Qtde],super1[Item],tab_alimentos[[#This Row],[Item]],super1[Bairro],mercado17)+SUMIFS(supercb[Qtde],supercb[Item],tab_alimentos[[#This Row],[Item]],supercb[Bairro],mercado17)</f>
        <v>0</v>
      </c>
      <c r="AC28" s="4">
        <f>SUMIFS(super1[Qtde],super1[Item],tab_alimentos[[#This Row],[Item]],super1[Bairro],mercado18)+SUMIFS(supercb[Qtde],supercb[Item],tab_alimentos[[#This Row],[Item]],supercb[Bairro],mercado18)</f>
        <v>0</v>
      </c>
      <c r="AD28" s="4">
        <f>SUMIFS(super1[Qtde],super1[Item],tab_alimentos[[#This Row],[Item]],super1[Bairro],extras)+SUMIFS(supercb[Qtde],supercb[Item],tab_alimentos[[#This Row],[Item]],supercb[Bairro],extras)</f>
        <v>0</v>
      </c>
      <c r="AE28" s="4">
        <f t="shared" si="0"/>
        <v>0</v>
      </c>
      <c r="AF28" s="4">
        <f t="shared" si="1"/>
        <v>0</v>
      </c>
      <c r="AG28" s="6">
        <f t="shared" si="2"/>
        <v>0</v>
      </c>
      <c r="AH28" s="19" t="str">
        <f>higiene[[#This Row],[Item]]</f>
        <v>Alvejante (500mL)</v>
      </c>
      <c r="AI28" s="4">
        <f>IFERROR(higiene[[#This Row],[Kg equivalente]],0)</f>
        <v>0</v>
      </c>
      <c r="AJ28" s="4">
        <f>IFERROR(higiene[[#This Row],[Preço por produto]],0)</f>
        <v>10.99</v>
      </c>
      <c r="AK28" s="4">
        <f>SUMIFS(super1[Qtde],super1[Item],tab_higiene[[#This Row],[Item]],super1[Bairro],mercado1)+SUMIFS(supercb[Qtde],supercb[Item],tab_higiene[[#This Row],[Item]],supercb[Bairro],mercado1)</f>
        <v>0</v>
      </c>
      <c r="AL28" s="4">
        <f>SUMIFS(super1[Qtde],super1[Item],tab_higiene[[#This Row],[Item]],super1[Bairro],mercado2)+SUMIFS(supercb[Qtde],supercb[Item],tab_higiene[[#This Row],[Item]],supercb[Bairro],mercado2)</f>
        <v>0</v>
      </c>
      <c r="AM28" s="4">
        <f>SUMIFS(super1[Qtde],super1[Item],tab_higiene[[#This Row],[Item]],super1[Bairro],mercado3)+SUMIFS(supercb[Qtde],supercb[Item],tab_higiene[[#This Row],[Item]],supercb[Bairro],mercado3)</f>
        <v>0</v>
      </c>
      <c r="AN28" s="4">
        <f>SUMIFS(super1[Qtde],super1[Item],tab_higiene[[#This Row],[Item]],super1[Bairro],mercado4)+SUMIFS(supercb[Qtde],supercb[Item],tab_higiene[[#This Row],[Item]],supercb[Bairro],mercado4)</f>
        <v>0</v>
      </c>
      <c r="AO28" s="4">
        <f>SUMIFS(super1[Qtde],super1[Item],tab_higiene[[#This Row],[Item]],super1[Bairro],mercado5)+SUMIFS(supercb[Qtde],supercb[Item],tab_higiene[[#This Row],[Item]],supercb[Bairro],mercado5)</f>
        <v>0</v>
      </c>
      <c r="AP28" s="4">
        <f>SUMIFS(super1[Qtde],super1[Item],tab_higiene[[#This Row],[Item]],super1[Bairro],mercado6)+SUMIFS(supercb[Qtde],supercb[Item],tab_higiene[[#This Row],[Item]],supercb[Bairro],mercado6)</f>
        <v>0</v>
      </c>
      <c r="AQ28" s="4">
        <f>SUMIFS(super1[Qtde],super1[Item],tab_higiene[[#This Row],[Item]],super1[Bairro],mercado7)+SUMIFS(supercb[Qtde],supercb[Item],tab_higiene[[#This Row],[Item]],supercb[Bairro],mercado7)</f>
        <v>0</v>
      </c>
      <c r="AR28" s="4">
        <f>SUMIFS(super1[Qtde],super1[Item],tab_higiene[[#This Row],[Item]],super1[Bairro],mercado8)+SUMIFS(supercb[Qtde],supercb[Item],tab_higiene[[#This Row],[Item]],supercb[Bairro],mercado8)</f>
        <v>0</v>
      </c>
      <c r="AS28" s="4">
        <f>SUMIFS(super1[Qtde],super1[Item],tab_higiene[[#This Row],[Item]],super1[Bairro],mercado9)+SUMIFS(supercb[Qtde],supercb[Item],tab_higiene[[#This Row],[Item]],supercb[Bairro],mercado9)</f>
        <v>0</v>
      </c>
      <c r="AT28" s="4">
        <f>SUMIFS(super1[Qtde],super1[Item],tab_higiene[[#This Row],[Item]],super1[Bairro],mercado10)+SUMIFS(supercb[Qtde],supercb[Item],tab_higiene[[#This Row],[Item]],supercb[Bairro],mercado10)</f>
        <v>0</v>
      </c>
      <c r="AU28" s="4">
        <f>SUMIFS(super1[Qtde],super1[Item],tab_higiene[[#This Row],[Item]],super1[Bairro],mercado11)+SUMIFS(supercb[Qtde],supercb[Item],tab_higiene[[#This Row],[Item]],supercb[Bairro],mercado11)</f>
        <v>0</v>
      </c>
      <c r="AV28" s="4">
        <f>SUMIFS(super1[Qtde],super1[Item],tab_higiene[[#This Row],[Item]],super1[Bairro],mercado12)+SUMIFS(supercb[Qtde],supercb[Item],tab_higiene[[#This Row],[Item]],supercb[Bairro],mercado12)</f>
        <v>0</v>
      </c>
      <c r="AW28" s="4">
        <f>SUMIFS(super1[Qtde],super1[Item],tab_higiene[[#This Row],[Item]],super1[Bairro],mercado13)+SUMIFS(supercb[Qtde],supercb[Item],tab_higiene[[#This Row],[Item]],supercb[Bairro],mercado13)</f>
        <v>0</v>
      </c>
      <c r="AX28" s="4">
        <f>SUMIFS(super1[Qtde],super1[Item],tab_higiene[[#This Row],[Item]],super1[Bairro],mercado14)+SUMIFS(supercb[Qtde],supercb[Item],tab_higiene[[#This Row],[Item]],supercb[Bairro],mercado14)</f>
        <v>0</v>
      </c>
      <c r="AY28" s="4">
        <f>SUMIFS(super1[Qtde],super1[Item],tab_higiene[[#This Row],[Item]],super1[Bairro],mercado15)+SUMIFS(supercb[Qtde],supercb[Item],tab_higiene[[#This Row],[Item]],supercb[Bairro],mercado15)</f>
        <v>0</v>
      </c>
      <c r="AZ28" s="4">
        <f>SUMIFS(super1[Qtde],super1[Item],tab_higiene[[#This Row],[Item]],super1[Bairro],mercado16)+SUMIFS(supercb[Qtde],supercb[Item],tab_higiene[[#This Row],[Item]],supercb[Bairro],mercado16)</f>
        <v>0</v>
      </c>
      <c r="BA28" s="4">
        <f>SUMIFS(super1[Qtde],super1[Item],tab_higiene[[#This Row],[Item]],super1[Bairro],mercado17)+SUMIFS(supercb[Qtde],supercb[Item],tab_higiene[[#This Row],[Item]],supercb[Bairro],mercado17)</f>
        <v>0</v>
      </c>
      <c r="BB28" s="4">
        <f>SUMIFS(super1[Qtde],super1[Item],tab_higiene[[#This Row],[Item]],super1[Bairro],mercado18)+SUMIFS(supercb[Qtde],supercb[Item],tab_higiene[[#This Row],[Item]],supercb[Bairro],mercado18)</f>
        <v>0</v>
      </c>
      <c r="BC28" s="4">
        <f>SUMIFS(super1[Qtde],super1[Item],tab_higiene[[#This Row],[Item]],super1[Bairro],extras)+SUMIFS(supercb[Qtde],supercb[Item],tab_higiene[[#This Row],[Item]],supercb[Bairro],extras)</f>
        <v>0</v>
      </c>
      <c r="BD28" s="4">
        <f t="shared" si="3"/>
        <v>0</v>
      </c>
      <c r="BE28" s="4">
        <f t="shared" si="4"/>
        <v>0</v>
      </c>
      <c r="BF28" s="6">
        <f t="shared" si="5"/>
        <v>0</v>
      </c>
      <c r="BI28" s="1" t="str">
        <f>tab_alimentos[[#This Row],[Item]]</f>
        <v>Água Tônica (237mL)</v>
      </c>
      <c r="BJ28" s="1">
        <f t="shared" si="6"/>
        <v>12</v>
      </c>
      <c r="BK28" s="1" t="str">
        <f t="shared" si="7"/>
        <v>Água Tônica</v>
      </c>
      <c r="BL28" s="1">
        <f>tab_alimentos[[#This Row],[kg]]</f>
        <v>0</v>
      </c>
      <c r="BM28" s="25" t="s">
        <v>205</v>
      </c>
      <c r="BN28" s="1">
        <f t="shared" si="11"/>
        <v>0</v>
      </c>
      <c r="BP28" s="1" t="str">
        <f>tab_higiene[[#This Row],[Item]]</f>
        <v>Alvejante (500mL)</v>
      </c>
      <c r="BQ28" s="1">
        <f t="shared" si="8"/>
        <v>10</v>
      </c>
      <c r="BR28" s="1" t="str">
        <f t="shared" si="9"/>
        <v>Alvejante</v>
      </c>
      <c r="BS28" s="1">
        <f>higiene[[#This Row],[Quantidade]]</f>
        <v>0.5</v>
      </c>
      <c r="BT28" s="1">
        <f>tab_higiene[[#This Row],[Qtde (tot)]]</f>
        <v>0</v>
      </c>
      <c r="BU28" s="1">
        <f t="shared" si="12"/>
        <v>0</v>
      </c>
      <c r="BV28" s="25" t="s">
        <v>61</v>
      </c>
      <c r="BW28" s="1">
        <f t="shared" si="10"/>
        <v>0</v>
      </c>
    </row>
    <row r="29" spans="1:75" x14ac:dyDescent="0.25">
      <c r="A29" t="s">
        <v>171</v>
      </c>
      <c r="B29" s="20">
        <f t="shared" ref="B29:F29" si="17">SUM(B9:B27)</f>
        <v>0</v>
      </c>
      <c r="C29" s="20">
        <f t="shared" si="17"/>
        <v>0</v>
      </c>
      <c r="D29" s="20">
        <f t="shared" si="17"/>
        <v>0</v>
      </c>
      <c r="E29" s="20">
        <f t="shared" si="17"/>
        <v>0</v>
      </c>
      <c r="F29" s="20">
        <f t="shared" si="17"/>
        <v>0</v>
      </c>
      <c r="G29" s="20">
        <f>SUM(G9:G27)</f>
        <v>0</v>
      </c>
      <c r="I29" s="19" t="str">
        <f>alimentos[[#This Row],[Item]]</f>
        <v>Amendoim (27g)</v>
      </c>
      <c r="J29" s="4">
        <f>IFERROR(alimentos[[#This Row],[kg/embalagem]],0)</f>
        <v>2.7E-2</v>
      </c>
      <c r="K29" s="4">
        <f>IFERROR(alimentos[[#This Row],[Preço]],0)</f>
        <v>1.19</v>
      </c>
      <c r="L29" s="4">
        <f>SUMIFS(super1[Qtde],super1[Item],tab_alimentos[[#This Row],[Item]],super1[Bairro],mercado1)+SUMIFS(supercb[Qtde],supercb[Item],tab_alimentos[[#This Row],[Item]],supercb[Bairro],mercado1)</f>
        <v>0</v>
      </c>
      <c r="M29" s="4">
        <f>SUMIFS(super1[Qtde],super1[Item],tab_alimentos[[#This Row],[Item]],super1[Bairro],mercado2)+SUMIFS(supercb[Qtde],supercb[Item],tab_alimentos[[#This Row],[Item]],supercb[Bairro],mercado2)</f>
        <v>0</v>
      </c>
      <c r="N29" s="4">
        <f>SUMIFS(super1[Qtde],super1[Item],tab_alimentos[[#This Row],[Item]],super1[Bairro],mercado3)+SUMIFS(supercb[Qtde],supercb[Item],tab_alimentos[[#This Row],[Item]],supercb[Bairro],mercado3)</f>
        <v>0</v>
      </c>
      <c r="O29" s="4">
        <f>SUMIFS(super1[Qtde],super1[Item],tab_alimentos[[#This Row],[Item]],super1[Bairro],mercado4)+SUMIFS(supercb[Qtde],supercb[Item],tab_alimentos[[#This Row],[Item]],supercb[Bairro],mercado4)</f>
        <v>0</v>
      </c>
      <c r="P29" s="4">
        <f>SUMIFS(super1[Qtde],super1[Item],tab_alimentos[[#This Row],[Item]],super1[Bairro],mercado5)+SUMIFS(supercb[Qtde],supercb[Item],tab_alimentos[[#This Row],[Item]],supercb[Bairro],mercado5)</f>
        <v>0</v>
      </c>
      <c r="Q29" s="4">
        <f>SUMIFS(super1[Qtde],super1[Item],tab_alimentos[[#This Row],[Item]],super1[Bairro],mercado6)+SUMIFS(supercb[Qtde],supercb[Item],tab_alimentos[[#This Row],[Item]],supercb[Bairro],mercado6)</f>
        <v>0</v>
      </c>
      <c r="R29" s="4">
        <f>SUMIFS(super1[Qtde],super1[Item],tab_alimentos[[#This Row],[Item]],super1[Bairro],mercado7)+SUMIFS(supercb[Qtde],supercb[Item],tab_alimentos[[#This Row],[Item]],supercb[Bairro],mercado7)</f>
        <v>0</v>
      </c>
      <c r="S29" s="4">
        <f>SUMIFS(super1[Qtde],super1[Item],tab_alimentos[[#This Row],[Item]],super1[Bairro],mercado8)+SUMIFS(supercb[Qtde],supercb[Item],tab_alimentos[[#This Row],[Item]],supercb[Bairro],mercado8)</f>
        <v>0</v>
      </c>
      <c r="T29" s="4">
        <f>SUMIFS(super1[Qtde],super1[Item],tab_alimentos[[#This Row],[Item]],super1[Bairro],mercado9)+SUMIFS(supercb[Qtde],supercb[Item],tab_alimentos[[#This Row],[Item]],supercb[Bairro],mercado9)</f>
        <v>0</v>
      </c>
      <c r="U29" s="4">
        <f>SUMIFS(super1[Qtde],super1[Item],tab_alimentos[[#This Row],[Item]],super1[Bairro],mercado10)+SUMIFS(supercb[Qtde],supercb[Item],tab_alimentos[[#This Row],[Item]],supercb[Bairro],mercado10)</f>
        <v>0</v>
      </c>
      <c r="V29" s="4">
        <f>SUMIFS(super1[Qtde],super1[Item],tab_alimentos[[#This Row],[Item]],super1[Bairro],mercado11)+SUMIFS(supercb[Qtde],supercb[Item],tab_alimentos[[#This Row],[Item]],supercb[Bairro],mercado11)</f>
        <v>0</v>
      </c>
      <c r="W29" s="4">
        <f>SUMIFS(super1[Qtde],super1[Item],tab_alimentos[[#This Row],[Item]],super1[Bairro],mercado12)+SUMIFS(supercb[Qtde],supercb[Item],tab_alimentos[[#This Row],[Item]],supercb[Bairro],mercado12)</f>
        <v>0</v>
      </c>
      <c r="X29" s="4">
        <f>SUMIFS(super1[Qtde],super1[Item],tab_alimentos[[#This Row],[Item]],super1[Bairro],mercado13)+SUMIFS(supercb[Qtde],supercb[Item],tab_alimentos[[#This Row],[Item]],supercb[Bairro],mercado13)</f>
        <v>0</v>
      </c>
      <c r="Y29" s="4">
        <f>SUMIFS(super1[Qtde],super1[Item],tab_alimentos[[#This Row],[Item]],super1[Bairro],mercado14)+SUMIFS(supercb[Qtde],supercb[Item],tab_alimentos[[#This Row],[Item]],supercb[Bairro],mercado14)</f>
        <v>0</v>
      </c>
      <c r="Z29" s="4">
        <f>SUMIFS(super1[Qtde],super1[Item],tab_alimentos[[#This Row],[Item]],super1[Bairro],mercado15)+SUMIFS(supercb[Qtde],supercb[Item],tab_alimentos[[#This Row],[Item]],supercb[Bairro],mercado15)</f>
        <v>0</v>
      </c>
      <c r="AA29" s="4">
        <f>SUMIFS(super1[Qtde],super1[Item],tab_alimentos[[#This Row],[Item]],super1[Bairro],mercado16)+SUMIFS(supercb[Qtde],supercb[Item],tab_alimentos[[#This Row],[Item]],supercb[Bairro],mercado16)</f>
        <v>0</v>
      </c>
      <c r="AB29" s="4">
        <f>SUMIFS(super1[Qtde],super1[Item],tab_alimentos[[#This Row],[Item]],super1[Bairro],mercado17)+SUMIFS(supercb[Qtde],supercb[Item],tab_alimentos[[#This Row],[Item]],supercb[Bairro],mercado17)</f>
        <v>0</v>
      </c>
      <c r="AC29" s="4">
        <f>SUMIFS(super1[Qtde],super1[Item],tab_alimentos[[#This Row],[Item]],super1[Bairro],mercado18)+SUMIFS(supercb[Qtde],supercb[Item],tab_alimentos[[#This Row],[Item]],supercb[Bairro],mercado18)</f>
        <v>0</v>
      </c>
      <c r="AD29" s="4">
        <f>SUMIFS(super1[Qtde],super1[Item],tab_alimentos[[#This Row],[Item]],super1[Bairro],extras)+SUMIFS(supercb[Qtde],supercb[Item],tab_alimentos[[#This Row],[Item]],supercb[Bairro],extras)</f>
        <v>0</v>
      </c>
      <c r="AE29" s="4">
        <f t="shared" si="0"/>
        <v>0</v>
      </c>
      <c r="AF29" s="4">
        <f t="shared" si="1"/>
        <v>0</v>
      </c>
      <c r="AG29" s="6">
        <f t="shared" si="2"/>
        <v>0</v>
      </c>
      <c r="AH29" s="19" t="str">
        <f>higiene[[#This Row],[Item]]</f>
        <v>Amaciante (1L)</v>
      </c>
      <c r="AI29" s="4">
        <f>IFERROR(higiene[[#This Row],[Kg equivalente]],0)</f>
        <v>0</v>
      </c>
      <c r="AJ29" s="4">
        <f>IFERROR(higiene[[#This Row],[Preço por produto]],0)</f>
        <v>7.59</v>
      </c>
      <c r="AK29" s="4">
        <f>SUMIFS(super1[Qtde],super1[Item],tab_higiene[[#This Row],[Item]],super1[Bairro],mercado1)+SUMIFS(supercb[Qtde],supercb[Item],tab_higiene[[#This Row],[Item]],supercb[Bairro],mercado1)</f>
        <v>0</v>
      </c>
      <c r="AL29" s="4">
        <f>SUMIFS(super1[Qtde],super1[Item],tab_higiene[[#This Row],[Item]],super1[Bairro],mercado2)+SUMIFS(supercb[Qtde],supercb[Item],tab_higiene[[#This Row],[Item]],supercb[Bairro],mercado2)</f>
        <v>0</v>
      </c>
      <c r="AM29" s="4">
        <f>SUMIFS(super1[Qtde],super1[Item],tab_higiene[[#This Row],[Item]],super1[Bairro],mercado3)+SUMIFS(supercb[Qtde],supercb[Item],tab_higiene[[#This Row],[Item]],supercb[Bairro],mercado3)</f>
        <v>0</v>
      </c>
      <c r="AN29" s="4">
        <f>SUMIFS(super1[Qtde],super1[Item],tab_higiene[[#This Row],[Item]],super1[Bairro],mercado4)+SUMIFS(supercb[Qtde],supercb[Item],tab_higiene[[#This Row],[Item]],supercb[Bairro],mercado4)</f>
        <v>0</v>
      </c>
      <c r="AO29" s="4">
        <f>SUMIFS(super1[Qtde],super1[Item],tab_higiene[[#This Row],[Item]],super1[Bairro],mercado5)+SUMIFS(supercb[Qtde],supercb[Item],tab_higiene[[#This Row],[Item]],supercb[Bairro],mercado5)</f>
        <v>0</v>
      </c>
      <c r="AP29" s="4">
        <f>SUMIFS(super1[Qtde],super1[Item],tab_higiene[[#This Row],[Item]],super1[Bairro],mercado6)+SUMIFS(supercb[Qtde],supercb[Item],tab_higiene[[#This Row],[Item]],supercb[Bairro],mercado6)</f>
        <v>0</v>
      </c>
      <c r="AQ29" s="4">
        <f>SUMIFS(super1[Qtde],super1[Item],tab_higiene[[#This Row],[Item]],super1[Bairro],mercado7)+SUMIFS(supercb[Qtde],supercb[Item],tab_higiene[[#This Row],[Item]],supercb[Bairro],mercado7)</f>
        <v>0</v>
      </c>
      <c r="AR29" s="4">
        <f>SUMIFS(super1[Qtde],super1[Item],tab_higiene[[#This Row],[Item]],super1[Bairro],mercado8)+SUMIFS(supercb[Qtde],supercb[Item],tab_higiene[[#This Row],[Item]],supercb[Bairro],mercado8)</f>
        <v>0</v>
      </c>
      <c r="AS29" s="4">
        <f>SUMIFS(super1[Qtde],super1[Item],tab_higiene[[#This Row],[Item]],super1[Bairro],mercado9)+SUMIFS(supercb[Qtde],supercb[Item],tab_higiene[[#This Row],[Item]],supercb[Bairro],mercado9)</f>
        <v>0</v>
      </c>
      <c r="AT29" s="4">
        <f>SUMIFS(super1[Qtde],super1[Item],tab_higiene[[#This Row],[Item]],super1[Bairro],mercado10)+SUMIFS(supercb[Qtde],supercb[Item],tab_higiene[[#This Row],[Item]],supercb[Bairro],mercado10)</f>
        <v>0</v>
      </c>
      <c r="AU29" s="4">
        <f>SUMIFS(super1[Qtde],super1[Item],tab_higiene[[#This Row],[Item]],super1[Bairro],mercado11)+SUMIFS(supercb[Qtde],supercb[Item],tab_higiene[[#This Row],[Item]],supercb[Bairro],mercado11)</f>
        <v>0</v>
      </c>
      <c r="AV29" s="4">
        <f>SUMIFS(super1[Qtde],super1[Item],tab_higiene[[#This Row],[Item]],super1[Bairro],mercado12)+SUMIFS(supercb[Qtde],supercb[Item],tab_higiene[[#This Row],[Item]],supercb[Bairro],mercado12)</f>
        <v>0</v>
      </c>
      <c r="AW29" s="4">
        <f>SUMIFS(super1[Qtde],super1[Item],tab_higiene[[#This Row],[Item]],super1[Bairro],mercado13)+SUMIFS(supercb[Qtde],supercb[Item],tab_higiene[[#This Row],[Item]],supercb[Bairro],mercado13)</f>
        <v>0</v>
      </c>
      <c r="AX29" s="4">
        <f>SUMIFS(super1[Qtde],super1[Item],tab_higiene[[#This Row],[Item]],super1[Bairro],mercado14)+SUMIFS(supercb[Qtde],supercb[Item],tab_higiene[[#This Row],[Item]],supercb[Bairro],mercado14)</f>
        <v>0</v>
      </c>
      <c r="AY29" s="4">
        <f>SUMIFS(super1[Qtde],super1[Item],tab_higiene[[#This Row],[Item]],super1[Bairro],mercado15)+SUMIFS(supercb[Qtde],supercb[Item],tab_higiene[[#This Row],[Item]],supercb[Bairro],mercado15)</f>
        <v>0</v>
      </c>
      <c r="AZ29" s="4">
        <f>SUMIFS(super1[Qtde],super1[Item],tab_higiene[[#This Row],[Item]],super1[Bairro],mercado16)+SUMIFS(supercb[Qtde],supercb[Item],tab_higiene[[#This Row],[Item]],supercb[Bairro],mercado16)</f>
        <v>0</v>
      </c>
      <c r="BA29" s="4">
        <f>SUMIFS(super1[Qtde],super1[Item],tab_higiene[[#This Row],[Item]],super1[Bairro],mercado17)+SUMIFS(supercb[Qtde],supercb[Item],tab_higiene[[#This Row],[Item]],supercb[Bairro],mercado17)</f>
        <v>0</v>
      </c>
      <c r="BB29" s="4">
        <f>SUMIFS(super1[Qtde],super1[Item],tab_higiene[[#This Row],[Item]],super1[Bairro],mercado18)+SUMIFS(supercb[Qtde],supercb[Item],tab_higiene[[#This Row],[Item]],supercb[Bairro],mercado18)</f>
        <v>0</v>
      </c>
      <c r="BC29" s="4">
        <f>SUMIFS(super1[Qtde],super1[Item],tab_higiene[[#This Row],[Item]],super1[Bairro],extras)+SUMIFS(supercb[Qtde],supercb[Item],tab_higiene[[#This Row],[Item]],supercb[Bairro],extras)</f>
        <v>0</v>
      </c>
      <c r="BD29" s="4">
        <f t="shared" si="3"/>
        <v>0</v>
      </c>
      <c r="BE29" s="4">
        <f t="shared" si="4"/>
        <v>0</v>
      </c>
      <c r="BF29" s="6">
        <f t="shared" si="5"/>
        <v>0</v>
      </c>
      <c r="BI29" s="1" t="str">
        <f>tab_alimentos[[#This Row],[Item]]</f>
        <v>Amendoim (27g)</v>
      </c>
      <c r="BJ29" s="1">
        <f t="shared" si="6"/>
        <v>9</v>
      </c>
      <c r="BK29" s="1" t="str">
        <f t="shared" si="7"/>
        <v>Amendoim</v>
      </c>
      <c r="BL29" s="1">
        <f>tab_alimentos[[#This Row],[kg]]</f>
        <v>0</v>
      </c>
      <c r="BM29" s="25" t="s">
        <v>206</v>
      </c>
      <c r="BN29" s="1">
        <f t="shared" si="11"/>
        <v>0</v>
      </c>
      <c r="BP29" s="1" t="str">
        <f>tab_higiene[[#This Row],[Item]]</f>
        <v>Amaciante (1L)</v>
      </c>
      <c r="BQ29" s="1">
        <f t="shared" si="8"/>
        <v>10</v>
      </c>
      <c r="BR29" s="1" t="str">
        <f t="shared" si="9"/>
        <v>Amaciante</v>
      </c>
      <c r="BS29" s="1">
        <f>higiene[[#This Row],[Quantidade]]</f>
        <v>0</v>
      </c>
      <c r="BT29" s="1">
        <f>tab_higiene[[#This Row],[Qtde (tot)]]</f>
        <v>0</v>
      </c>
      <c r="BU29" s="1">
        <f t="shared" si="12"/>
        <v>0</v>
      </c>
      <c r="BV29" s="25" t="s">
        <v>243</v>
      </c>
      <c r="BW29" s="1">
        <f t="shared" si="10"/>
        <v>0</v>
      </c>
    </row>
    <row r="30" spans="1:75" x14ac:dyDescent="0.25">
      <c r="I30" s="19" t="str">
        <f>alimentos[[#This Row],[Item]]</f>
        <v>Amendoim (500g)</v>
      </c>
      <c r="J30" s="4">
        <f>IFERROR(alimentos[[#This Row],[kg/embalagem]],0)</f>
        <v>0.5</v>
      </c>
      <c r="K30" s="4">
        <f>IFERROR(alimentos[[#This Row],[Preço]],0)</f>
        <v>13.2</v>
      </c>
      <c r="L30" s="4">
        <f>SUMIFS(super1[Qtde],super1[Item],tab_alimentos[[#This Row],[Item]],super1[Bairro],mercado1)+SUMIFS(supercb[Qtde],supercb[Item],tab_alimentos[[#This Row],[Item]],supercb[Bairro],mercado1)</f>
        <v>0</v>
      </c>
      <c r="M30" s="4">
        <f>SUMIFS(super1[Qtde],super1[Item],tab_alimentos[[#This Row],[Item]],super1[Bairro],mercado2)+SUMIFS(supercb[Qtde],supercb[Item],tab_alimentos[[#This Row],[Item]],supercb[Bairro],mercado2)</f>
        <v>0</v>
      </c>
      <c r="N30" s="4">
        <f>SUMIFS(super1[Qtde],super1[Item],tab_alimentos[[#This Row],[Item]],super1[Bairro],mercado3)+SUMIFS(supercb[Qtde],supercb[Item],tab_alimentos[[#This Row],[Item]],supercb[Bairro],mercado3)</f>
        <v>0</v>
      </c>
      <c r="O30" s="4">
        <f>SUMIFS(super1[Qtde],super1[Item],tab_alimentos[[#This Row],[Item]],super1[Bairro],mercado4)+SUMIFS(supercb[Qtde],supercb[Item],tab_alimentos[[#This Row],[Item]],supercb[Bairro],mercado4)</f>
        <v>0</v>
      </c>
      <c r="P30" s="4">
        <f>SUMIFS(super1[Qtde],super1[Item],tab_alimentos[[#This Row],[Item]],super1[Bairro],mercado5)+SUMIFS(supercb[Qtde],supercb[Item],tab_alimentos[[#This Row],[Item]],supercb[Bairro],mercado5)</f>
        <v>0</v>
      </c>
      <c r="Q30" s="4">
        <f>SUMIFS(super1[Qtde],super1[Item],tab_alimentos[[#This Row],[Item]],super1[Bairro],mercado6)+SUMIFS(supercb[Qtde],supercb[Item],tab_alimentos[[#This Row],[Item]],supercb[Bairro],mercado6)</f>
        <v>0</v>
      </c>
      <c r="R30" s="4">
        <f>SUMIFS(super1[Qtde],super1[Item],tab_alimentos[[#This Row],[Item]],super1[Bairro],mercado7)+SUMIFS(supercb[Qtde],supercb[Item],tab_alimentos[[#This Row],[Item]],supercb[Bairro],mercado7)</f>
        <v>0</v>
      </c>
      <c r="S30" s="4">
        <f>SUMIFS(super1[Qtde],super1[Item],tab_alimentos[[#This Row],[Item]],super1[Bairro],mercado8)+SUMIFS(supercb[Qtde],supercb[Item],tab_alimentos[[#This Row],[Item]],supercb[Bairro],mercado8)</f>
        <v>0</v>
      </c>
      <c r="T30" s="4">
        <f>SUMIFS(super1[Qtde],super1[Item],tab_alimentos[[#This Row],[Item]],super1[Bairro],mercado9)+SUMIFS(supercb[Qtde],supercb[Item],tab_alimentos[[#This Row],[Item]],supercb[Bairro],mercado9)</f>
        <v>0</v>
      </c>
      <c r="U30" s="4">
        <f>SUMIFS(super1[Qtde],super1[Item],tab_alimentos[[#This Row],[Item]],super1[Bairro],mercado10)+SUMIFS(supercb[Qtde],supercb[Item],tab_alimentos[[#This Row],[Item]],supercb[Bairro],mercado10)</f>
        <v>0</v>
      </c>
      <c r="V30" s="4">
        <f>SUMIFS(super1[Qtde],super1[Item],tab_alimentos[[#This Row],[Item]],super1[Bairro],mercado11)+SUMIFS(supercb[Qtde],supercb[Item],tab_alimentos[[#This Row],[Item]],supercb[Bairro],mercado11)</f>
        <v>0</v>
      </c>
      <c r="W30" s="4">
        <f>SUMIFS(super1[Qtde],super1[Item],tab_alimentos[[#This Row],[Item]],super1[Bairro],mercado12)+SUMIFS(supercb[Qtde],supercb[Item],tab_alimentos[[#This Row],[Item]],supercb[Bairro],mercado12)</f>
        <v>0</v>
      </c>
      <c r="X30" s="4">
        <f>SUMIFS(super1[Qtde],super1[Item],tab_alimentos[[#This Row],[Item]],super1[Bairro],mercado13)+SUMIFS(supercb[Qtde],supercb[Item],tab_alimentos[[#This Row],[Item]],supercb[Bairro],mercado13)</f>
        <v>0</v>
      </c>
      <c r="Y30" s="4">
        <f>SUMIFS(super1[Qtde],super1[Item],tab_alimentos[[#This Row],[Item]],super1[Bairro],mercado14)+SUMIFS(supercb[Qtde],supercb[Item],tab_alimentos[[#This Row],[Item]],supercb[Bairro],mercado14)</f>
        <v>0</v>
      </c>
      <c r="Z30" s="4">
        <f>SUMIFS(super1[Qtde],super1[Item],tab_alimentos[[#This Row],[Item]],super1[Bairro],mercado15)+SUMIFS(supercb[Qtde],supercb[Item],tab_alimentos[[#This Row],[Item]],supercb[Bairro],mercado15)</f>
        <v>0</v>
      </c>
      <c r="AA30" s="4">
        <f>SUMIFS(super1[Qtde],super1[Item],tab_alimentos[[#This Row],[Item]],super1[Bairro],mercado16)+SUMIFS(supercb[Qtde],supercb[Item],tab_alimentos[[#This Row],[Item]],supercb[Bairro],mercado16)</f>
        <v>0</v>
      </c>
      <c r="AB30" s="4">
        <f>SUMIFS(super1[Qtde],super1[Item],tab_alimentos[[#This Row],[Item]],super1[Bairro],mercado17)+SUMIFS(supercb[Qtde],supercb[Item],tab_alimentos[[#This Row],[Item]],supercb[Bairro],mercado17)</f>
        <v>0</v>
      </c>
      <c r="AC30" s="4">
        <f>SUMIFS(super1[Qtde],super1[Item],tab_alimentos[[#This Row],[Item]],super1[Bairro],mercado18)+SUMIFS(supercb[Qtde],supercb[Item],tab_alimentos[[#This Row],[Item]],supercb[Bairro],mercado18)</f>
        <v>0</v>
      </c>
      <c r="AD30" s="4">
        <f>SUMIFS(super1[Qtde],super1[Item],tab_alimentos[[#This Row],[Item]],super1[Bairro],extras)+SUMIFS(supercb[Qtde],supercb[Item],tab_alimentos[[#This Row],[Item]],supercb[Bairro],extras)</f>
        <v>0</v>
      </c>
      <c r="AE30" s="4">
        <f t="shared" si="0"/>
        <v>0</v>
      </c>
      <c r="AF30" s="4">
        <f t="shared" si="1"/>
        <v>0</v>
      </c>
      <c r="AG30" s="6">
        <f t="shared" si="2"/>
        <v>0</v>
      </c>
      <c r="AH30" s="19" t="str">
        <f>higiene[[#This Row],[Item]]</f>
        <v>Amaciante (2L)</v>
      </c>
      <c r="AI30" s="4">
        <f>IFERROR(higiene[[#This Row],[Kg equivalente]],0)</f>
        <v>0</v>
      </c>
      <c r="AJ30" s="4">
        <f>IFERROR(higiene[[#This Row],[Preço por produto]],0)</f>
        <v>4.8499999999999996</v>
      </c>
      <c r="AK30" s="4">
        <f>SUMIFS(super1[Qtde],super1[Item],tab_higiene[[#This Row],[Item]],super1[Bairro],mercado1)+SUMIFS(supercb[Qtde],supercb[Item],tab_higiene[[#This Row],[Item]],supercb[Bairro],mercado1)</f>
        <v>0</v>
      </c>
      <c r="AL30" s="4">
        <f>SUMIFS(super1[Qtde],super1[Item],tab_higiene[[#This Row],[Item]],super1[Bairro],mercado2)+SUMIFS(supercb[Qtde],supercb[Item],tab_higiene[[#This Row],[Item]],supercb[Bairro],mercado2)</f>
        <v>0</v>
      </c>
      <c r="AM30" s="4">
        <f>SUMIFS(super1[Qtde],super1[Item],tab_higiene[[#This Row],[Item]],super1[Bairro],mercado3)+SUMIFS(supercb[Qtde],supercb[Item],tab_higiene[[#This Row],[Item]],supercb[Bairro],mercado3)</f>
        <v>0</v>
      </c>
      <c r="AN30" s="4">
        <f>SUMIFS(super1[Qtde],super1[Item],tab_higiene[[#This Row],[Item]],super1[Bairro],mercado4)+SUMIFS(supercb[Qtde],supercb[Item],tab_higiene[[#This Row],[Item]],supercb[Bairro],mercado4)</f>
        <v>0</v>
      </c>
      <c r="AO30" s="4">
        <f>SUMIFS(super1[Qtde],super1[Item],tab_higiene[[#This Row],[Item]],super1[Bairro],mercado5)+SUMIFS(supercb[Qtde],supercb[Item],tab_higiene[[#This Row],[Item]],supercb[Bairro],mercado5)</f>
        <v>0</v>
      </c>
      <c r="AP30" s="4">
        <f>SUMIFS(super1[Qtde],super1[Item],tab_higiene[[#This Row],[Item]],super1[Bairro],mercado6)+SUMIFS(supercb[Qtde],supercb[Item],tab_higiene[[#This Row],[Item]],supercb[Bairro],mercado6)</f>
        <v>0</v>
      </c>
      <c r="AQ30" s="4">
        <f>SUMIFS(super1[Qtde],super1[Item],tab_higiene[[#This Row],[Item]],super1[Bairro],mercado7)+SUMIFS(supercb[Qtde],supercb[Item],tab_higiene[[#This Row],[Item]],supercb[Bairro],mercado7)</f>
        <v>0</v>
      </c>
      <c r="AR30" s="4">
        <f>SUMIFS(super1[Qtde],super1[Item],tab_higiene[[#This Row],[Item]],super1[Bairro],mercado8)+SUMIFS(supercb[Qtde],supercb[Item],tab_higiene[[#This Row],[Item]],supercb[Bairro],mercado8)</f>
        <v>0</v>
      </c>
      <c r="AS30" s="4">
        <f>SUMIFS(super1[Qtde],super1[Item],tab_higiene[[#This Row],[Item]],super1[Bairro],mercado9)+SUMIFS(supercb[Qtde],supercb[Item],tab_higiene[[#This Row],[Item]],supercb[Bairro],mercado9)</f>
        <v>0</v>
      </c>
      <c r="AT30" s="4">
        <f>SUMIFS(super1[Qtde],super1[Item],tab_higiene[[#This Row],[Item]],super1[Bairro],mercado10)+SUMIFS(supercb[Qtde],supercb[Item],tab_higiene[[#This Row],[Item]],supercb[Bairro],mercado10)</f>
        <v>0</v>
      </c>
      <c r="AU30" s="4">
        <f>SUMIFS(super1[Qtde],super1[Item],tab_higiene[[#This Row],[Item]],super1[Bairro],mercado11)+SUMIFS(supercb[Qtde],supercb[Item],tab_higiene[[#This Row],[Item]],supercb[Bairro],mercado11)</f>
        <v>0</v>
      </c>
      <c r="AV30" s="4">
        <f>SUMIFS(super1[Qtde],super1[Item],tab_higiene[[#This Row],[Item]],super1[Bairro],mercado12)+SUMIFS(supercb[Qtde],supercb[Item],tab_higiene[[#This Row],[Item]],supercb[Bairro],mercado12)</f>
        <v>0</v>
      </c>
      <c r="AW30" s="4">
        <f>SUMIFS(super1[Qtde],super1[Item],tab_higiene[[#This Row],[Item]],super1[Bairro],mercado13)+SUMIFS(supercb[Qtde],supercb[Item],tab_higiene[[#This Row],[Item]],supercb[Bairro],mercado13)</f>
        <v>0</v>
      </c>
      <c r="AX30" s="4">
        <f>SUMIFS(super1[Qtde],super1[Item],tab_higiene[[#This Row],[Item]],super1[Bairro],mercado14)+SUMIFS(supercb[Qtde],supercb[Item],tab_higiene[[#This Row],[Item]],supercb[Bairro],mercado14)</f>
        <v>0</v>
      </c>
      <c r="AY30" s="4">
        <f>SUMIFS(super1[Qtde],super1[Item],tab_higiene[[#This Row],[Item]],super1[Bairro],mercado15)+SUMIFS(supercb[Qtde],supercb[Item],tab_higiene[[#This Row],[Item]],supercb[Bairro],mercado15)</f>
        <v>0</v>
      </c>
      <c r="AZ30" s="4">
        <f>SUMIFS(super1[Qtde],super1[Item],tab_higiene[[#This Row],[Item]],super1[Bairro],mercado16)+SUMIFS(supercb[Qtde],supercb[Item],tab_higiene[[#This Row],[Item]],supercb[Bairro],mercado16)</f>
        <v>0</v>
      </c>
      <c r="BA30" s="4">
        <f>SUMIFS(super1[Qtde],super1[Item],tab_higiene[[#This Row],[Item]],super1[Bairro],mercado17)+SUMIFS(supercb[Qtde],supercb[Item],tab_higiene[[#This Row],[Item]],supercb[Bairro],mercado17)</f>
        <v>0</v>
      </c>
      <c r="BB30" s="4">
        <f>SUMIFS(super1[Qtde],super1[Item],tab_higiene[[#This Row],[Item]],super1[Bairro],mercado18)+SUMIFS(supercb[Qtde],supercb[Item],tab_higiene[[#This Row],[Item]],supercb[Bairro],mercado18)</f>
        <v>0</v>
      </c>
      <c r="BC30" s="4">
        <f>SUMIFS(super1[Qtde],super1[Item],tab_higiene[[#This Row],[Item]],super1[Bairro],extras)+SUMIFS(supercb[Qtde],supercb[Item],tab_higiene[[#This Row],[Item]],supercb[Bairro],extras)</f>
        <v>0</v>
      </c>
      <c r="BD30" s="4">
        <f t="shared" si="3"/>
        <v>0</v>
      </c>
      <c r="BE30" s="4">
        <f t="shared" si="4"/>
        <v>0</v>
      </c>
      <c r="BF30" s="6">
        <f t="shared" si="5"/>
        <v>0</v>
      </c>
      <c r="BI30" s="1" t="str">
        <f>tab_alimentos[[#This Row],[Item]]</f>
        <v>Amendoim (500g)</v>
      </c>
      <c r="BJ30" s="1">
        <f t="shared" si="6"/>
        <v>9</v>
      </c>
      <c r="BK30" s="1" t="str">
        <f t="shared" si="7"/>
        <v>Amendoim</v>
      </c>
      <c r="BL30" s="1">
        <f>tab_alimentos[[#This Row],[kg]]</f>
        <v>0</v>
      </c>
      <c r="BM30" s="25" t="s">
        <v>61</v>
      </c>
      <c r="BN30" s="1">
        <f t="shared" si="11"/>
        <v>0</v>
      </c>
      <c r="BP30" s="1" t="str">
        <f>tab_higiene[[#This Row],[Item]]</f>
        <v>Amaciante (2L)</v>
      </c>
      <c r="BQ30" s="1">
        <f t="shared" si="8"/>
        <v>10</v>
      </c>
      <c r="BR30" s="1" t="str">
        <f t="shared" si="9"/>
        <v>Amaciante</v>
      </c>
      <c r="BS30" s="1">
        <f>higiene[[#This Row],[Quantidade]]</f>
        <v>2</v>
      </c>
      <c r="BT30" s="1">
        <f>tab_higiene[[#This Row],[Qtde (tot)]]</f>
        <v>0</v>
      </c>
      <c r="BU30" s="1">
        <f t="shared" si="12"/>
        <v>0</v>
      </c>
      <c r="BV30" s="25" t="s">
        <v>244</v>
      </c>
      <c r="BW30" s="1">
        <f t="shared" si="10"/>
        <v>0</v>
      </c>
    </row>
    <row r="31" spans="1:75" x14ac:dyDescent="0.25">
      <c r="A31" s="102" t="s">
        <v>174</v>
      </c>
      <c r="B31" s="102"/>
      <c r="C31" s="102"/>
      <c r="D31" s="102"/>
      <c r="E31" s="102"/>
      <c r="F31" s="102"/>
      <c r="G31" s="102"/>
      <c r="I31" s="19" t="str">
        <f>alimentos[[#This Row],[Item]]</f>
        <v>Amido de Milho (150g)</v>
      </c>
      <c r="J31" s="4">
        <f>IFERROR(alimentos[[#This Row],[kg/embalagem]],0)</f>
        <v>0.15</v>
      </c>
      <c r="K31" s="4">
        <f>IFERROR(alimentos[[#This Row],[Preço]],0)</f>
        <v>2.2000000000000002</v>
      </c>
      <c r="L31" s="4">
        <f>SUMIFS(super1[Qtde],super1[Item],tab_alimentos[[#This Row],[Item]],super1[Bairro],mercado1)+SUMIFS(supercb[Qtde],supercb[Item],tab_alimentos[[#This Row],[Item]],supercb[Bairro],mercado1)</f>
        <v>0</v>
      </c>
      <c r="M31" s="4">
        <f>SUMIFS(super1[Qtde],super1[Item],tab_alimentos[[#This Row],[Item]],super1[Bairro],mercado2)+SUMIFS(supercb[Qtde],supercb[Item],tab_alimentos[[#This Row],[Item]],supercb[Bairro],mercado2)</f>
        <v>0</v>
      </c>
      <c r="N31" s="4">
        <f>SUMIFS(super1[Qtde],super1[Item],tab_alimentos[[#This Row],[Item]],super1[Bairro],mercado3)+SUMIFS(supercb[Qtde],supercb[Item],tab_alimentos[[#This Row],[Item]],supercb[Bairro],mercado3)</f>
        <v>0</v>
      </c>
      <c r="O31" s="4">
        <f>SUMIFS(super1[Qtde],super1[Item],tab_alimentos[[#This Row],[Item]],super1[Bairro],mercado4)+SUMIFS(supercb[Qtde],supercb[Item],tab_alimentos[[#This Row],[Item]],supercb[Bairro],mercado4)</f>
        <v>0</v>
      </c>
      <c r="P31" s="4">
        <f>SUMIFS(super1[Qtde],super1[Item],tab_alimentos[[#This Row],[Item]],super1[Bairro],mercado5)+SUMIFS(supercb[Qtde],supercb[Item],tab_alimentos[[#This Row],[Item]],supercb[Bairro],mercado5)</f>
        <v>0</v>
      </c>
      <c r="Q31" s="4">
        <f>SUMIFS(super1[Qtde],super1[Item],tab_alimentos[[#This Row],[Item]],super1[Bairro],mercado6)+SUMIFS(supercb[Qtde],supercb[Item],tab_alimentos[[#This Row],[Item]],supercb[Bairro],mercado6)</f>
        <v>0</v>
      </c>
      <c r="R31" s="4">
        <f>SUMIFS(super1[Qtde],super1[Item],tab_alimentos[[#This Row],[Item]],super1[Bairro],mercado7)+SUMIFS(supercb[Qtde],supercb[Item],tab_alimentos[[#This Row],[Item]],supercb[Bairro],mercado7)</f>
        <v>0</v>
      </c>
      <c r="S31" s="4">
        <f>SUMIFS(super1[Qtde],super1[Item],tab_alimentos[[#This Row],[Item]],super1[Bairro],mercado8)+SUMIFS(supercb[Qtde],supercb[Item],tab_alimentos[[#This Row],[Item]],supercb[Bairro],mercado8)</f>
        <v>0</v>
      </c>
      <c r="T31" s="4">
        <f>SUMIFS(super1[Qtde],super1[Item],tab_alimentos[[#This Row],[Item]],super1[Bairro],mercado9)+SUMIFS(supercb[Qtde],supercb[Item],tab_alimentos[[#This Row],[Item]],supercb[Bairro],mercado9)</f>
        <v>0</v>
      </c>
      <c r="U31" s="4">
        <f>SUMIFS(super1[Qtde],super1[Item],tab_alimentos[[#This Row],[Item]],super1[Bairro],mercado10)+SUMIFS(supercb[Qtde],supercb[Item],tab_alimentos[[#This Row],[Item]],supercb[Bairro],mercado10)</f>
        <v>0</v>
      </c>
      <c r="V31" s="4">
        <f>SUMIFS(super1[Qtde],super1[Item],tab_alimentos[[#This Row],[Item]],super1[Bairro],mercado11)+SUMIFS(supercb[Qtde],supercb[Item],tab_alimentos[[#This Row],[Item]],supercb[Bairro],mercado11)</f>
        <v>0</v>
      </c>
      <c r="W31" s="4">
        <f>SUMIFS(super1[Qtde],super1[Item],tab_alimentos[[#This Row],[Item]],super1[Bairro],mercado12)+SUMIFS(supercb[Qtde],supercb[Item],tab_alimentos[[#This Row],[Item]],supercb[Bairro],mercado12)</f>
        <v>0</v>
      </c>
      <c r="X31" s="4">
        <f>SUMIFS(super1[Qtde],super1[Item],tab_alimentos[[#This Row],[Item]],super1[Bairro],mercado13)+SUMIFS(supercb[Qtde],supercb[Item],tab_alimentos[[#This Row],[Item]],supercb[Bairro],mercado13)</f>
        <v>0</v>
      </c>
      <c r="Y31" s="4">
        <f>SUMIFS(super1[Qtde],super1[Item],tab_alimentos[[#This Row],[Item]],super1[Bairro],mercado14)+SUMIFS(supercb[Qtde],supercb[Item],tab_alimentos[[#This Row],[Item]],supercb[Bairro],mercado14)</f>
        <v>0</v>
      </c>
      <c r="Z31" s="4">
        <f>SUMIFS(super1[Qtde],super1[Item],tab_alimentos[[#This Row],[Item]],super1[Bairro],mercado15)+SUMIFS(supercb[Qtde],supercb[Item],tab_alimentos[[#This Row],[Item]],supercb[Bairro],mercado15)</f>
        <v>0</v>
      </c>
      <c r="AA31" s="4">
        <f>SUMIFS(super1[Qtde],super1[Item],tab_alimentos[[#This Row],[Item]],super1[Bairro],mercado16)+SUMIFS(supercb[Qtde],supercb[Item],tab_alimentos[[#This Row],[Item]],supercb[Bairro],mercado16)</f>
        <v>0</v>
      </c>
      <c r="AB31" s="4">
        <f>SUMIFS(super1[Qtde],super1[Item],tab_alimentos[[#This Row],[Item]],super1[Bairro],mercado17)+SUMIFS(supercb[Qtde],supercb[Item],tab_alimentos[[#This Row],[Item]],supercb[Bairro],mercado17)</f>
        <v>0</v>
      </c>
      <c r="AC31" s="4">
        <f>SUMIFS(super1[Qtde],super1[Item],tab_alimentos[[#This Row],[Item]],super1[Bairro],mercado18)+SUMIFS(supercb[Qtde],supercb[Item],tab_alimentos[[#This Row],[Item]],supercb[Bairro],mercado18)</f>
        <v>0</v>
      </c>
      <c r="AD31" s="4">
        <f>SUMIFS(super1[Qtde],super1[Item],tab_alimentos[[#This Row],[Item]],super1[Bairro],extras)+SUMIFS(supercb[Qtde],supercb[Item],tab_alimentos[[#This Row],[Item]],supercb[Bairro],extras)</f>
        <v>0</v>
      </c>
      <c r="AE31" s="4">
        <f t="shared" si="0"/>
        <v>0</v>
      </c>
      <c r="AF31" s="4">
        <f t="shared" si="1"/>
        <v>0</v>
      </c>
      <c r="AG31" s="6">
        <f t="shared" si="2"/>
        <v>0</v>
      </c>
      <c r="AH31" s="19" t="str">
        <f>higiene[[#This Row],[Item]]</f>
        <v>Amaciante (500mL)</v>
      </c>
      <c r="AI31" s="4">
        <f>IFERROR(higiene[[#This Row],[Kg equivalente]],0)</f>
        <v>0</v>
      </c>
      <c r="AJ31" s="4">
        <f>IFERROR(higiene[[#This Row],[Preço por produto]],0)</f>
        <v>2.89</v>
      </c>
      <c r="AK31" s="4">
        <f>SUMIFS(super1[Qtde],super1[Item],tab_higiene[[#This Row],[Item]],super1[Bairro],mercado1)+SUMIFS(supercb[Qtde],supercb[Item],tab_higiene[[#This Row],[Item]],supercb[Bairro],mercado1)</f>
        <v>0</v>
      </c>
      <c r="AL31" s="4">
        <f>SUMIFS(super1[Qtde],super1[Item],tab_higiene[[#This Row],[Item]],super1[Bairro],mercado2)+SUMIFS(supercb[Qtde],supercb[Item],tab_higiene[[#This Row],[Item]],supercb[Bairro],mercado2)</f>
        <v>0</v>
      </c>
      <c r="AM31" s="4">
        <f>SUMIFS(super1[Qtde],super1[Item],tab_higiene[[#This Row],[Item]],super1[Bairro],mercado3)+SUMIFS(supercb[Qtde],supercb[Item],tab_higiene[[#This Row],[Item]],supercb[Bairro],mercado3)</f>
        <v>0</v>
      </c>
      <c r="AN31" s="4">
        <f>SUMIFS(super1[Qtde],super1[Item],tab_higiene[[#This Row],[Item]],super1[Bairro],mercado4)+SUMIFS(supercb[Qtde],supercb[Item],tab_higiene[[#This Row],[Item]],supercb[Bairro],mercado4)</f>
        <v>0</v>
      </c>
      <c r="AO31" s="4">
        <f>SUMIFS(super1[Qtde],super1[Item],tab_higiene[[#This Row],[Item]],super1[Bairro],mercado5)+SUMIFS(supercb[Qtde],supercb[Item],tab_higiene[[#This Row],[Item]],supercb[Bairro],mercado5)</f>
        <v>0</v>
      </c>
      <c r="AP31" s="4">
        <f>SUMIFS(super1[Qtde],super1[Item],tab_higiene[[#This Row],[Item]],super1[Bairro],mercado6)+SUMIFS(supercb[Qtde],supercb[Item],tab_higiene[[#This Row],[Item]],supercb[Bairro],mercado6)</f>
        <v>0</v>
      </c>
      <c r="AQ31" s="4">
        <f>SUMIFS(super1[Qtde],super1[Item],tab_higiene[[#This Row],[Item]],super1[Bairro],mercado7)+SUMIFS(supercb[Qtde],supercb[Item],tab_higiene[[#This Row],[Item]],supercb[Bairro],mercado7)</f>
        <v>0</v>
      </c>
      <c r="AR31" s="4">
        <f>SUMIFS(super1[Qtde],super1[Item],tab_higiene[[#This Row],[Item]],super1[Bairro],mercado8)+SUMIFS(supercb[Qtde],supercb[Item],tab_higiene[[#This Row],[Item]],supercb[Bairro],mercado8)</f>
        <v>0</v>
      </c>
      <c r="AS31" s="4">
        <f>SUMIFS(super1[Qtde],super1[Item],tab_higiene[[#This Row],[Item]],super1[Bairro],mercado9)+SUMIFS(supercb[Qtde],supercb[Item],tab_higiene[[#This Row],[Item]],supercb[Bairro],mercado9)</f>
        <v>0</v>
      </c>
      <c r="AT31" s="4">
        <f>SUMIFS(super1[Qtde],super1[Item],tab_higiene[[#This Row],[Item]],super1[Bairro],mercado10)+SUMIFS(supercb[Qtde],supercb[Item],tab_higiene[[#This Row],[Item]],supercb[Bairro],mercado10)</f>
        <v>0</v>
      </c>
      <c r="AU31" s="4">
        <f>SUMIFS(super1[Qtde],super1[Item],tab_higiene[[#This Row],[Item]],super1[Bairro],mercado11)+SUMIFS(supercb[Qtde],supercb[Item],tab_higiene[[#This Row],[Item]],supercb[Bairro],mercado11)</f>
        <v>0</v>
      </c>
      <c r="AV31" s="4">
        <f>SUMIFS(super1[Qtde],super1[Item],tab_higiene[[#This Row],[Item]],super1[Bairro],mercado12)+SUMIFS(supercb[Qtde],supercb[Item],tab_higiene[[#This Row],[Item]],supercb[Bairro],mercado12)</f>
        <v>0</v>
      </c>
      <c r="AW31" s="4">
        <f>SUMIFS(super1[Qtde],super1[Item],tab_higiene[[#This Row],[Item]],super1[Bairro],mercado13)+SUMIFS(supercb[Qtde],supercb[Item],tab_higiene[[#This Row],[Item]],supercb[Bairro],mercado13)</f>
        <v>0</v>
      </c>
      <c r="AX31" s="4">
        <f>SUMIFS(super1[Qtde],super1[Item],tab_higiene[[#This Row],[Item]],super1[Bairro],mercado14)+SUMIFS(supercb[Qtde],supercb[Item],tab_higiene[[#This Row],[Item]],supercb[Bairro],mercado14)</f>
        <v>0</v>
      </c>
      <c r="AY31" s="4">
        <f>SUMIFS(super1[Qtde],super1[Item],tab_higiene[[#This Row],[Item]],super1[Bairro],mercado15)+SUMIFS(supercb[Qtde],supercb[Item],tab_higiene[[#This Row],[Item]],supercb[Bairro],mercado15)</f>
        <v>0</v>
      </c>
      <c r="AZ31" s="4">
        <f>SUMIFS(super1[Qtde],super1[Item],tab_higiene[[#This Row],[Item]],super1[Bairro],mercado16)+SUMIFS(supercb[Qtde],supercb[Item],tab_higiene[[#This Row],[Item]],supercb[Bairro],mercado16)</f>
        <v>0</v>
      </c>
      <c r="BA31" s="4">
        <f>SUMIFS(super1[Qtde],super1[Item],tab_higiene[[#This Row],[Item]],super1[Bairro],mercado17)+SUMIFS(supercb[Qtde],supercb[Item],tab_higiene[[#This Row],[Item]],supercb[Bairro],mercado17)</f>
        <v>0</v>
      </c>
      <c r="BB31" s="4">
        <f>SUMIFS(super1[Qtde],super1[Item],tab_higiene[[#This Row],[Item]],super1[Bairro],mercado18)+SUMIFS(supercb[Qtde],supercb[Item],tab_higiene[[#This Row],[Item]],supercb[Bairro],mercado18)</f>
        <v>0</v>
      </c>
      <c r="BC31" s="4">
        <f>SUMIFS(super1[Qtde],super1[Item],tab_higiene[[#This Row],[Item]],super1[Bairro],extras)+SUMIFS(supercb[Qtde],supercb[Item],tab_higiene[[#This Row],[Item]],supercb[Bairro],extras)</f>
        <v>0</v>
      </c>
      <c r="BD31" s="4">
        <f t="shared" si="3"/>
        <v>0</v>
      </c>
      <c r="BE31" s="4">
        <f t="shared" si="4"/>
        <v>0</v>
      </c>
      <c r="BF31" s="6">
        <f t="shared" si="5"/>
        <v>0</v>
      </c>
      <c r="BI31" s="1" t="str">
        <f>tab_alimentos[[#This Row],[Item]]</f>
        <v>Amido de Milho (150g)</v>
      </c>
      <c r="BJ31" s="1">
        <f t="shared" si="6"/>
        <v>15</v>
      </c>
      <c r="BK31" s="1" t="str">
        <f t="shared" si="7"/>
        <v>Amido de Milho</v>
      </c>
      <c r="BL31" s="1">
        <f>tab_alimentos[[#This Row],[kg]]</f>
        <v>0</v>
      </c>
      <c r="BM31" s="25" t="s">
        <v>277</v>
      </c>
      <c r="BN31" s="1">
        <f t="shared" si="11"/>
        <v>0</v>
      </c>
      <c r="BP31" s="1" t="str">
        <f>tab_higiene[[#This Row],[Item]]</f>
        <v>Amaciante (500mL)</v>
      </c>
      <c r="BQ31" s="1">
        <f t="shared" si="8"/>
        <v>10</v>
      </c>
      <c r="BR31" s="1" t="str">
        <f t="shared" si="9"/>
        <v>Amaciante</v>
      </c>
      <c r="BS31" s="1">
        <f>higiene[[#This Row],[Quantidade]]</f>
        <v>5</v>
      </c>
      <c r="BT31" s="1">
        <f>tab_higiene[[#This Row],[Qtde (tot)]]</f>
        <v>0</v>
      </c>
      <c r="BU31" s="1">
        <f t="shared" si="12"/>
        <v>0</v>
      </c>
      <c r="BV31" s="25" t="s">
        <v>62</v>
      </c>
      <c r="BW31" s="1">
        <f t="shared" si="10"/>
        <v>0</v>
      </c>
    </row>
    <row r="32" spans="1:75" x14ac:dyDescent="0.25">
      <c r="A32" s="110">
        <f>SUM(tab_alimentos[kg])</f>
        <v>0</v>
      </c>
      <c r="B32" s="110"/>
      <c r="C32" s="110"/>
      <c r="D32" s="110"/>
      <c r="E32" s="110"/>
      <c r="F32" s="110"/>
      <c r="G32" s="110"/>
      <c r="I32" s="19" t="str">
        <f>alimentos[[#This Row],[Item]]</f>
        <v>Amido de Milho (200g)</v>
      </c>
      <c r="J32" s="4">
        <f>IFERROR(alimentos[[#This Row],[kg/embalagem]],0)</f>
        <v>0.2</v>
      </c>
      <c r="K32" s="4">
        <f>IFERROR(alimentos[[#This Row],[Preço]],0)</f>
        <v>2.2999999999999998</v>
      </c>
      <c r="L32" s="4">
        <f>SUMIFS(super1[Qtde],super1[Item],tab_alimentos[[#This Row],[Item]],super1[Bairro],mercado1)+SUMIFS(supercb[Qtde],supercb[Item],tab_alimentos[[#This Row],[Item]],supercb[Bairro],mercado1)</f>
        <v>0</v>
      </c>
      <c r="M32" s="4">
        <f>SUMIFS(super1[Qtde],super1[Item],tab_alimentos[[#This Row],[Item]],super1[Bairro],mercado2)+SUMIFS(supercb[Qtde],supercb[Item],tab_alimentos[[#This Row],[Item]],supercb[Bairro],mercado2)</f>
        <v>0</v>
      </c>
      <c r="N32" s="4">
        <f>SUMIFS(super1[Qtde],super1[Item],tab_alimentos[[#This Row],[Item]],super1[Bairro],mercado3)+SUMIFS(supercb[Qtde],supercb[Item],tab_alimentos[[#This Row],[Item]],supercb[Bairro],mercado3)</f>
        <v>0</v>
      </c>
      <c r="O32" s="4">
        <f>SUMIFS(super1[Qtde],super1[Item],tab_alimentos[[#This Row],[Item]],super1[Bairro],mercado4)+SUMIFS(supercb[Qtde],supercb[Item],tab_alimentos[[#This Row],[Item]],supercb[Bairro],mercado4)</f>
        <v>0</v>
      </c>
      <c r="P32" s="4">
        <f>SUMIFS(super1[Qtde],super1[Item],tab_alimentos[[#This Row],[Item]],super1[Bairro],mercado5)+SUMIFS(supercb[Qtde],supercb[Item],tab_alimentos[[#This Row],[Item]],supercb[Bairro],mercado5)</f>
        <v>0</v>
      </c>
      <c r="Q32" s="4">
        <f>SUMIFS(super1[Qtde],super1[Item],tab_alimentos[[#This Row],[Item]],super1[Bairro],mercado6)+SUMIFS(supercb[Qtde],supercb[Item],tab_alimentos[[#This Row],[Item]],supercb[Bairro],mercado6)</f>
        <v>0</v>
      </c>
      <c r="R32" s="4">
        <f>SUMIFS(super1[Qtde],super1[Item],tab_alimentos[[#This Row],[Item]],super1[Bairro],mercado7)+SUMIFS(supercb[Qtde],supercb[Item],tab_alimentos[[#This Row],[Item]],supercb[Bairro],mercado7)</f>
        <v>0</v>
      </c>
      <c r="S32" s="4">
        <f>SUMIFS(super1[Qtde],super1[Item],tab_alimentos[[#This Row],[Item]],super1[Bairro],mercado8)+SUMIFS(supercb[Qtde],supercb[Item],tab_alimentos[[#This Row],[Item]],supercb[Bairro],mercado8)</f>
        <v>0</v>
      </c>
      <c r="T32" s="4">
        <f>SUMIFS(super1[Qtde],super1[Item],tab_alimentos[[#This Row],[Item]],super1[Bairro],mercado9)+SUMIFS(supercb[Qtde],supercb[Item],tab_alimentos[[#This Row],[Item]],supercb[Bairro],mercado9)</f>
        <v>0</v>
      </c>
      <c r="U32" s="4">
        <f>SUMIFS(super1[Qtde],super1[Item],tab_alimentos[[#This Row],[Item]],super1[Bairro],mercado10)+SUMIFS(supercb[Qtde],supercb[Item],tab_alimentos[[#This Row],[Item]],supercb[Bairro],mercado10)</f>
        <v>0</v>
      </c>
      <c r="V32" s="4">
        <f>SUMIFS(super1[Qtde],super1[Item],tab_alimentos[[#This Row],[Item]],super1[Bairro],mercado11)+SUMIFS(supercb[Qtde],supercb[Item],tab_alimentos[[#This Row],[Item]],supercb[Bairro],mercado11)</f>
        <v>0</v>
      </c>
      <c r="W32" s="4">
        <f>SUMIFS(super1[Qtde],super1[Item],tab_alimentos[[#This Row],[Item]],super1[Bairro],mercado12)+SUMIFS(supercb[Qtde],supercb[Item],tab_alimentos[[#This Row],[Item]],supercb[Bairro],mercado12)</f>
        <v>0</v>
      </c>
      <c r="X32" s="4">
        <f>SUMIFS(super1[Qtde],super1[Item],tab_alimentos[[#This Row],[Item]],super1[Bairro],mercado13)+SUMIFS(supercb[Qtde],supercb[Item],tab_alimentos[[#This Row],[Item]],supercb[Bairro],mercado13)</f>
        <v>0</v>
      </c>
      <c r="Y32" s="4">
        <f>SUMIFS(super1[Qtde],super1[Item],tab_alimentos[[#This Row],[Item]],super1[Bairro],mercado14)+SUMIFS(supercb[Qtde],supercb[Item],tab_alimentos[[#This Row],[Item]],supercb[Bairro],mercado14)</f>
        <v>0</v>
      </c>
      <c r="Z32" s="4">
        <f>SUMIFS(super1[Qtde],super1[Item],tab_alimentos[[#This Row],[Item]],super1[Bairro],mercado15)+SUMIFS(supercb[Qtde],supercb[Item],tab_alimentos[[#This Row],[Item]],supercb[Bairro],mercado15)</f>
        <v>0</v>
      </c>
      <c r="AA32" s="4">
        <f>SUMIFS(super1[Qtde],super1[Item],tab_alimentos[[#This Row],[Item]],super1[Bairro],mercado16)+SUMIFS(supercb[Qtde],supercb[Item],tab_alimentos[[#This Row],[Item]],supercb[Bairro],mercado16)</f>
        <v>0</v>
      </c>
      <c r="AB32" s="4">
        <f>SUMIFS(super1[Qtde],super1[Item],tab_alimentos[[#This Row],[Item]],super1[Bairro],mercado17)+SUMIFS(supercb[Qtde],supercb[Item],tab_alimentos[[#This Row],[Item]],supercb[Bairro],mercado17)</f>
        <v>0</v>
      </c>
      <c r="AC32" s="4">
        <f>SUMIFS(super1[Qtde],super1[Item],tab_alimentos[[#This Row],[Item]],super1[Bairro],mercado18)+SUMIFS(supercb[Qtde],supercb[Item],tab_alimentos[[#This Row],[Item]],supercb[Bairro],mercado18)</f>
        <v>0</v>
      </c>
      <c r="AD32" s="4">
        <f>SUMIFS(super1[Qtde],super1[Item],tab_alimentos[[#This Row],[Item]],super1[Bairro],extras)+SUMIFS(supercb[Qtde],supercb[Item],tab_alimentos[[#This Row],[Item]],supercb[Bairro],extras)</f>
        <v>0</v>
      </c>
      <c r="AE32" s="4">
        <f t="shared" si="0"/>
        <v>0</v>
      </c>
      <c r="AF32" s="4">
        <f t="shared" si="1"/>
        <v>0</v>
      </c>
      <c r="AG32" s="6">
        <f t="shared" si="2"/>
        <v>0</v>
      </c>
      <c r="AH32" s="19" t="str">
        <f>higiene[[#This Row],[Item]]</f>
        <v>Amaciante (5L)</v>
      </c>
      <c r="AI32" s="4">
        <f>IFERROR(higiene[[#This Row],[Kg equivalente]],0)</f>
        <v>0</v>
      </c>
      <c r="AJ32" s="4">
        <f>IFERROR(higiene[[#This Row],[Preço por produto]],0)</f>
        <v>15.98</v>
      </c>
      <c r="AK32" s="4">
        <f>SUMIFS(super1[Qtde],super1[Item],tab_higiene[[#This Row],[Item]],super1[Bairro],mercado1)+SUMIFS(supercb[Qtde],supercb[Item],tab_higiene[[#This Row],[Item]],supercb[Bairro],mercado1)</f>
        <v>0</v>
      </c>
      <c r="AL32" s="4">
        <f>SUMIFS(super1[Qtde],super1[Item],tab_higiene[[#This Row],[Item]],super1[Bairro],mercado2)+SUMIFS(supercb[Qtde],supercb[Item],tab_higiene[[#This Row],[Item]],supercb[Bairro],mercado2)</f>
        <v>0</v>
      </c>
      <c r="AM32" s="4">
        <f>SUMIFS(super1[Qtde],super1[Item],tab_higiene[[#This Row],[Item]],super1[Bairro],mercado3)+SUMIFS(supercb[Qtde],supercb[Item],tab_higiene[[#This Row],[Item]],supercb[Bairro],mercado3)</f>
        <v>0</v>
      </c>
      <c r="AN32" s="4">
        <f>SUMIFS(super1[Qtde],super1[Item],tab_higiene[[#This Row],[Item]],super1[Bairro],mercado4)+SUMIFS(supercb[Qtde],supercb[Item],tab_higiene[[#This Row],[Item]],supercb[Bairro],mercado4)</f>
        <v>0</v>
      </c>
      <c r="AO32" s="4">
        <f>SUMIFS(super1[Qtde],super1[Item],tab_higiene[[#This Row],[Item]],super1[Bairro],mercado5)+SUMIFS(supercb[Qtde],supercb[Item],tab_higiene[[#This Row],[Item]],supercb[Bairro],mercado5)</f>
        <v>0</v>
      </c>
      <c r="AP32" s="4">
        <f>SUMIFS(super1[Qtde],super1[Item],tab_higiene[[#This Row],[Item]],super1[Bairro],mercado6)+SUMIFS(supercb[Qtde],supercb[Item],tab_higiene[[#This Row],[Item]],supercb[Bairro],mercado6)</f>
        <v>0</v>
      </c>
      <c r="AQ32" s="4">
        <f>SUMIFS(super1[Qtde],super1[Item],tab_higiene[[#This Row],[Item]],super1[Bairro],mercado7)+SUMIFS(supercb[Qtde],supercb[Item],tab_higiene[[#This Row],[Item]],supercb[Bairro],mercado7)</f>
        <v>0</v>
      </c>
      <c r="AR32" s="4">
        <f>SUMIFS(super1[Qtde],super1[Item],tab_higiene[[#This Row],[Item]],super1[Bairro],mercado8)+SUMIFS(supercb[Qtde],supercb[Item],tab_higiene[[#This Row],[Item]],supercb[Bairro],mercado8)</f>
        <v>0</v>
      </c>
      <c r="AS32" s="4">
        <f>SUMIFS(super1[Qtde],super1[Item],tab_higiene[[#This Row],[Item]],super1[Bairro],mercado9)+SUMIFS(supercb[Qtde],supercb[Item],tab_higiene[[#This Row],[Item]],supercb[Bairro],mercado9)</f>
        <v>0</v>
      </c>
      <c r="AT32" s="4">
        <f>SUMIFS(super1[Qtde],super1[Item],tab_higiene[[#This Row],[Item]],super1[Bairro],mercado10)+SUMIFS(supercb[Qtde],supercb[Item],tab_higiene[[#This Row],[Item]],supercb[Bairro],mercado10)</f>
        <v>0</v>
      </c>
      <c r="AU32" s="4">
        <f>SUMIFS(super1[Qtde],super1[Item],tab_higiene[[#This Row],[Item]],super1[Bairro],mercado11)+SUMIFS(supercb[Qtde],supercb[Item],tab_higiene[[#This Row],[Item]],supercb[Bairro],mercado11)</f>
        <v>0</v>
      </c>
      <c r="AV32" s="4">
        <f>SUMIFS(super1[Qtde],super1[Item],tab_higiene[[#This Row],[Item]],super1[Bairro],mercado12)+SUMIFS(supercb[Qtde],supercb[Item],tab_higiene[[#This Row],[Item]],supercb[Bairro],mercado12)</f>
        <v>0</v>
      </c>
      <c r="AW32" s="4">
        <f>SUMIFS(super1[Qtde],super1[Item],tab_higiene[[#This Row],[Item]],super1[Bairro],mercado13)+SUMIFS(supercb[Qtde],supercb[Item],tab_higiene[[#This Row],[Item]],supercb[Bairro],mercado13)</f>
        <v>0</v>
      </c>
      <c r="AX32" s="4">
        <f>SUMIFS(super1[Qtde],super1[Item],tab_higiene[[#This Row],[Item]],super1[Bairro],mercado14)+SUMIFS(supercb[Qtde],supercb[Item],tab_higiene[[#This Row],[Item]],supercb[Bairro],mercado14)</f>
        <v>0</v>
      </c>
      <c r="AY32" s="4">
        <f>SUMIFS(super1[Qtde],super1[Item],tab_higiene[[#This Row],[Item]],super1[Bairro],mercado15)+SUMIFS(supercb[Qtde],supercb[Item],tab_higiene[[#This Row],[Item]],supercb[Bairro],mercado15)</f>
        <v>0</v>
      </c>
      <c r="AZ32" s="4">
        <f>SUMIFS(super1[Qtde],super1[Item],tab_higiene[[#This Row],[Item]],super1[Bairro],mercado16)+SUMIFS(supercb[Qtde],supercb[Item],tab_higiene[[#This Row],[Item]],supercb[Bairro],mercado16)</f>
        <v>0</v>
      </c>
      <c r="BA32" s="4">
        <f>SUMIFS(super1[Qtde],super1[Item],tab_higiene[[#This Row],[Item]],super1[Bairro],mercado17)+SUMIFS(supercb[Qtde],supercb[Item],tab_higiene[[#This Row],[Item]],supercb[Bairro],mercado17)</f>
        <v>0</v>
      </c>
      <c r="BB32" s="4">
        <f>SUMIFS(super1[Qtde],super1[Item],tab_higiene[[#This Row],[Item]],super1[Bairro],mercado18)+SUMIFS(supercb[Qtde],supercb[Item],tab_higiene[[#This Row],[Item]],supercb[Bairro],mercado18)</f>
        <v>0</v>
      </c>
      <c r="BC32" s="4">
        <f>SUMIFS(super1[Qtde],super1[Item],tab_higiene[[#This Row],[Item]],super1[Bairro],extras)+SUMIFS(supercb[Qtde],supercb[Item],tab_higiene[[#This Row],[Item]],supercb[Bairro],extras)</f>
        <v>0</v>
      </c>
      <c r="BD32" s="4">
        <f t="shared" si="3"/>
        <v>0</v>
      </c>
      <c r="BE32" s="4">
        <f t="shared" si="4"/>
        <v>0</v>
      </c>
      <c r="BF32" s="6">
        <f t="shared" si="5"/>
        <v>0</v>
      </c>
      <c r="BI32" s="1" t="str">
        <f>tab_alimentos[[#This Row],[Item]]</f>
        <v>Amido de Milho (200g)</v>
      </c>
      <c r="BJ32" s="1">
        <f t="shared" si="6"/>
        <v>15</v>
      </c>
      <c r="BK32" s="1" t="str">
        <f t="shared" si="7"/>
        <v>Amido de Milho</v>
      </c>
      <c r="BL32" s="1">
        <f>tab_alimentos[[#This Row],[kg]]</f>
        <v>0</v>
      </c>
      <c r="BM32" s="25" t="s">
        <v>108</v>
      </c>
      <c r="BN32" s="1">
        <f t="shared" si="11"/>
        <v>0</v>
      </c>
      <c r="BP32" s="1" t="str">
        <f>tab_higiene[[#This Row],[Item]]</f>
        <v>Amaciante (5L)</v>
      </c>
      <c r="BQ32" s="1">
        <f t="shared" si="8"/>
        <v>10</v>
      </c>
      <c r="BR32" s="1" t="str">
        <f t="shared" si="9"/>
        <v>Amaciante</v>
      </c>
      <c r="BS32" s="1">
        <f>higiene[[#This Row],[Quantidade]]</f>
        <v>0.1</v>
      </c>
      <c r="BT32" s="1">
        <f>tab_higiene[[#This Row],[Qtde (tot)]]</f>
        <v>0</v>
      </c>
      <c r="BU32" s="1">
        <f t="shared" si="12"/>
        <v>0</v>
      </c>
      <c r="BV32" s="25" t="s">
        <v>159</v>
      </c>
      <c r="BW32" s="1">
        <f t="shared" si="10"/>
        <v>0</v>
      </c>
    </row>
    <row r="33" spans="1:75" x14ac:dyDescent="0.25">
      <c r="A33" s="110"/>
      <c r="B33" s="110"/>
      <c r="C33" s="110"/>
      <c r="D33" s="110"/>
      <c r="E33" s="110"/>
      <c r="F33" s="110"/>
      <c r="G33" s="110"/>
      <c r="I33" s="19" t="str">
        <f>alimentos[[#This Row],[Item]]</f>
        <v>Amido de Milho (500g)</v>
      </c>
      <c r="J33" s="4">
        <f>IFERROR(alimentos[[#This Row],[kg/embalagem]],0)</f>
        <v>0.5</v>
      </c>
      <c r="K33" s="4">
        <f>IFERROR(alimentos[[#This Row],[Preço]],0)</f>
        <v>5.49</v>
      </c>
      <c r="L33" s="4">
        <f>SUMIFS(super1[Qtde],super1[Item],tab_alimentos[[#This Row],[Item]],super1[Bairro],mercado1)+SUMIFS(supercb[Qtde],supercb[Item],tab_alimentos[[#This Row],[Item]],supercb[Bairro],mercado1)</f>
        <v>0</v>
      </c>
      <c r="M33" s="4">
        <f>SUMIFS(super1[Qtde],super1[Item],tab_alimentos[[#This Row],[Item]],super1[Bairro],mercado2)+SUMIFS(supercb[Qtde],supercb[Item],tab_alimentos[[#This Row],[Item]],supercb[Bairro],mercado2)</f>
        <v>0</v>
      </c>
      <c r="N33" s="4">
        <f>SUMIFS(super1[Qtde],super1[Item],tab_alimentos[[#This Row],[Item]],super1[Bairro],mercado3)+SUMIFS(supercb[Qtde],supercb[Item],tab_alimentos[[#This Row],[Item]],supercb[Bairro],mercado3)</f>
        <v>0</v>
      </c>
      <c r="O33" s="4">
        <f>SUMIFS(super1[Qtde],super1[Item],tab_alimentos[[#This Row],[Item]],super1[Bairro],mercado4)+SUMIFS(supercb[Qtde],supercb[Item],tab_alimentos[[#This Row],[Item]],supercb[Bairro],mercado4)</f>
        <v>0</v>
      </c>
      <c r="P33" s="4">
        <f>SUMIFS(super1[Qtde],super1[Item],tab_alimentos[[#This Row],[Item]],super1[Bairro],mercado5)+SUMIFS(supercb[Qtde],supercb[Item],tab_alimentos[[#This Row],[Item]],supercb[Bairro],mercado5)</f>
        <v>0</v>
      </c>
      <c r="Q33" s="4">
        <f>SUMIFS(super1[Qtde],super1[Item],tab_alimentos[[#This Row],[Item]],super1[Bairro],mercado6)+SUMIFS(supercb[Qtde],supercb[Item],tab_alimentos[[#This Row],[Item]],supercb[Bairro],mercado6)</f>
        <v>0</v>
      </c>
      <c r="R33" s="4">
        <f>SUMIFS(super1[Qtde],super1[Item],tab_alimentos[[#This Row],[Item]],super1[Bairro],mercado7)+SUMIFS(supercb[Qtde],supercb[Item],tab_alimentos[[#This Row],[Item]],supercb[Bairro],mercado7)</f>
        <v>0</v>
      </c>
      <c r="S33" s="4">
        <f>SUMIFS(super1[Qtde],super1[Item],tab_alimentos[[#This Row],[Item]],super1[Bairro],mercado8)+SUMIFS(supercb[Qtde],supercb[Item],tab_alimentos[[#This Row],[Item]],supercb[Bairro],mercado8)</f>
        <v>0</v>
      </c>
      <c r="T33" s="4">
        <f>SUMIFS(super1[Qtde],super1[Item],tab_alimentos[[#This Row],[Item]],super1[Bairro],mercado9)+SUMIFS(supercb[Qtde],supercb[Item],tab_alimentos[[#This Row],[Item]],supercb[Bairro],mercado9)</f>
        <v>0</v>
      </c>
      <c r="U33" s="4">
        <f>SUMIFS(super1[Qtde],super1[Item],tab_alimentos[[#This Row],[Item]],super1[Bairro],mercado10)+SUMIFS(supercb[Qtde],supercb[Item],tab_alimentos[[#This Row],[Item]],supercb[Bairro],mercado10)</f>
        <v>0</v>
      </c>
      <c r="V33" s="4">
        <f>SUMIFS(super1[Qtde],super1[Item],tab_alimentos[[#This Row],[Item]],super1[Bairro],mercado11)+SUMIFS(supercb[Qtde],supercb[Item],tab_alimentos[[#This Row],[Item]],supercb[Bairro],mercado11)</f>
        <v>0</v>
      </c>
      <c r="W33" s="4">
        <f>SUMIFS(super1[Qtde],super1[Item],tab_alimentos[[#This Row],[Item]],super1[Bairro],mercado12)+SUMIFS(supercb[Qtde],supercb[Item],tab_alimentos[[#This Row],[Item]],supercb[Bairro],mercado12)</f>
        <v>0</v>
      </c>
      <c r="X33" s="4">
        <f>SUMIFS(super1[Qtde],super1[Item],tab_alimentos[[#This Row],[Item]],super1[Bairro],mercado13)+SUMIFS(supercb[Qtde],supercb[Item],tab_alimentos[[#This Row],[Item]],supercb[Bairro],mercado13)</f>
        <v>0</v>
      </c>
      <c r="Y33" s="4">
        <f>SUMIFS(super1[Qtde],super1[Item],tab_alimentos[[#This Row],[Item]],super1[Bairro],mercado14)+SUMIFS(supercb[Qtde],supercb[Item],tab_alimentos[[#This Row],[Item]],supercb[Bairro],mercado14)</f>
        <v>0</v>
      </c>
      <c r="Z33" s="4">
        <f>SUMIFS(super1[Qtde],super1[Item],tab_alimentos[[#This Row],[Item]],super1[Bairro],mercado15)+SUMIFS(supercb[Qtde],supercb[Item],tab_alimentos[[#This Row],[Item]],supercb[Bairro],mercado15)</f>
        <v>0</v>
      </c>
      <c r="AA33" s="4">
        <f>SUMIFS(super1[Qtde],super1[Item],tab_alimentos[[#This Row],[Item]],super1[Bairro],mercado16)+SUMIFS(supercb[Qtde],supercb[Item],tab_alimentos[[#This Row],[Item]],supercb[Bairro],mercado16)</f>
        <v>0</v>
      </c>
      <c r="AB33" s="4">
        <f>SUMIFS(super1[Qtde],super1[Item],tab_alimentos[[#This Row],[Item]],super1[Bairro],mercado17)+SUMIFS(supercb[Qtde],supercb[Item],tab_alimentos[[#This Row],[Item]],supercb[Bairro],mercado17)</f>
        <v>0</v>
      </c>
      <c r="AC33" s="4">
        <f>SUMIFS(super1[Qtde],super1[Item],tab_alimentos[[#This Row],[Item]],super1[Bairro],mercado18)+SUMIFS(supercb[Qtde],supercb[Item],tab_alimentos[[#This Row],[Item]],supercb[Bairro],mercado18)</f>
        <v>0</v>
      </c>
      <c r="AD33" s="4">
        <f>SUMIFS(super1[Qtde],super1[Item],tab_alimentos[[#This Row],[Item]],super1[Bairro],extras)+SUMIFS(supercb[Qtde],supercb[Item],tab_alimentos[[#This Row],[Item]],supercb[Bairro],extras)</f>
        <v>0</v>
      </c>
      <c r="AE33" s="4">
        <f t="shared" si="0"/>
        <v>0</v>
      </c>
      <c r="AF33" s="4">
        <f t="shared" si="1"/>
        <v>0</v>
      </c>
      <c r="AG33" s="6">
        <f t="shared" si="2"/>
        <v>0</v>
      </c>
      <c r="AH33" s="19" t="str">
        <f>higiene[[#This Row],[Item]]</f>
        <v>Amaciante (900mL)</v>
      </c>
      <c r="AI33" s="4">
        <f>IFERROR(higiene[[#This Row],[Kg equivalente]],0)</f>
        <v>0</v>
      </c>
      <c r="AJ33" s="4">
        <f>IFERROR(higiene[[#This Row],[Preço por produto]],0)</f>
        <v>25.9</v>
      </c>
      <c r="AK33" s="4">
        <f>SUMIFS(super1[Qtde],super1[Item],tab_higiene[[#This Row],[Item]],super1[Bairro],mercado1)+SUMIFS(supercb[Qtde],supercb[Item],tab_higiene[[#This Row],[Item]],supercb[Bairro],mercado1)</f>
        <v>0</v>
      </c>
      <c r="AL33" s="4">
        <f>SUMIFS(super1[Qtde],super1[Item],tab_higiene[[#This Row],[Item]],super1[Bairro],mercado2)+SUMIFS(supercb[Qtde],supercb[Item],tab_higiene[[#This Row],[Item]],supercb[Bairro],mercado2)</f>
        <v>0</v>
      </c>
      <c r="AM33" s="4">
        <f>SUMIFS(super1[Qtde],super1[Item],tab_higiene[[#This Row],[Item]],super1[Bairro],mercado3)+SUMIFS(supercb[Qtde],supercb[Item],tab_higiene[[#This Row],[Item]],supercb[Bairro],mercado3)</f>
        <v>0</v>
      </c>
      <c r="AN33" s="4">
        <f>SUMIFS(super1[Qtde],super1[Item],tab_higiene[[#This Row],[Item]],super1[Bairro],mercado4)+SUMIFS(supercb[Qtde],supercb[Item],tab_higiene[[#This Row],[Item]],supercb[Bairro],mercado4)</f>
        <v>0</v>
      </c>
      <c r="AO33" s="4">
        <f>SUMIFS(super1[Qtde],super1[Item],tab_higiene[[#This Row],[Item]],super1[Bairro],mercado5)+SUMIFS(supercb[Qtde],supercb[Item],tab_higiene[[#This Row],[Item]],supercb[Bairro],mercado5)</f>
        <v>0</v>
      </c>
      <c r="AP33" s="4">
        <f>SUMIFS(super1[Qtde],super1[Item],tab_higiene[[#This Row],[Item]],super1[Bairro],mercado6)+SUMIFS(supercb[Qtde],supercb[Item],tab_higiene[[#This Row],[Item]],supercb[Bairro],mercado6)</f>
        <v>0</v>
      </c>
      <c r="AQ33" s="4">
        <f>SUMIFS(super1[Qtde],super1[Item],tab_higiene[[#This Row],[Item]],super1[Bairro],mercado7)+SUMIFS(supercb[Qtde],supercb[Item],tab_higiene[[#This Row],[Item]],supercb[Bairro],mercado7)</f>
        <v>0</v>
      </c>
      <c r="AR33" s="4">
        <f>SUMIFS(super1[Qtde],super1[Item],tab_higiene[[#This Row],[Item]],super1[Bairro],mercado8)+SUMIFS(supercb[Qtde],supercb[Item],tab_higiene[[#This Row],[Item]],supercb[Bairro],mercado8)</f>
        <v>0</v>
      </c>
      <c r="AS33" s="4">
        <f>SUMIFS(super1[Qtde],super1[Item],tab_higiene[[#This Row],[Item]],super1[Bairro],mercado9)+SUMIFS(supercb[Qtde],supercb[Item],tab_higiene[[#This Row],[Item]],supercb[Bairro],mercado9)</f>
        <v>0</v>
      </c>
      <c r="AT33" s="4">
        <f>SUMIFS(super1[Qtde],super1[Item],tab_higiene[[#This Row],[Item]],super1[Bairro],mercado10)+SUMIFS(supercb[Qtde],supercb[Item],tab_higiene[[#This Row],[Item]],supercb[Bairro],mercado10)</f>
        <v>0</v>
      </c>
      <c r="AU33" s="4">
        <f>SUMIFS(super1[Qtde],super1[Item],tab_higiene[[#This Row],[Item]],super1[Bairro],mercado11)+SUMIFS(supercb[Qtde],supercb[Item],tab_higiene[[#This Row],[Item]],supercb[Bairro],mercado11)</f>
        <v>0</v>
      </c>
      <c r="AV33" s="4">
        <f>SUMIFS(super1[Qtde],super1[Item],tab_higiene[[#This Row],[Item]],super1[Bairro],mercado12)+SUMIFS(supercb[Qtde],supercb[Item],tab_higiene[[#This Row],[Item]],supercb[Bairro],mercado12)</f>
        <v>0</v>
      </c>
      <c r="AW33" s="4">
        <f>SUMIFS(super1[Qtde],super1[Item],tab_higiene[[#This Row],[Item]],super1[Bairro],mercado13)+SUMIFS(supercb[Qtde],supercb[Item],tab_higiene[[#This Row],[Item]],supercb[Bairro],mercado13)</f>
        <v>0</v>
      </c>
      <c r="AX33" s="4">
        <f>SUMIFS(super1[Qtde],super1[Item],tab_higiene[[#This Row],[Item]],super1[Bairro],mercado14)+SUMIFS(supercb[Qtde],supercb[Item],tab_higiene[[#This Row],[Item]],supercb[Bairro],mercado14)</f>
        <v>0</v>
      </c>
      <c r="AY33" s="4">
        <f>SUMIFS(super1[Qtde],super1[Item],tab_higiene[[#This Row],[Item]],super1[Bairro],mercado15)+SUMIFS(supercb[Qtde],supercb[Item],tab_higiene[[#This Row],[Item]],supercb[Bairro],mercado15)</f>
        <v>0</v>
      </c>
      <c r="AZ33" s="4">
        <f>SUMIFS(super1[Qtde],super1[Item],tab_higiene[[#This Row],[Item]],super1[Bairro],mercado16)+SUMIFS(supercb[Qtde],supercb[Item],tab_higiene[[#This Row],[Item]],supercb[Bairro],mercado16)</f>
        <v>0</v>
      </c>
      <c r="BA33" s="4">
        <f>SUMIFS(super1[Qtde],super1[Item],tab_higiene[[#This Row],[Item]],super1[Bairro],mercado17)+SUMIFS(supercb[Qtde],supercb[Item],tab_higiene[[#This Row],[Item]],supercb[Bairro],mercado17)</f>
        <v>0</v>
      </c>
      <c r="BB33" s="4">
        <f>SUMIFS(super1[Qtde],super1[Item],tab_higiene[[#This Row],[Item]],super1[Bairro],mercado18)+SUMIFS(supercb[Qtde],supercb[Item],tab_higiene[[#This Row],[Item]],supercb[Bairro],mercado18)</f>
        <v>0</v>
      </c>
      <c r="BC33" s="4">
        <f>SUMIFS(super1[Qtde],super1[Item],tab_higiene[[#This Row],[Item]],super1[Bairro],extras)+SUMIFS(supercb[Qtde],supercb[Item],tab_higiene[[#This Row],[Item]],supercb[Bairro],extras)</f>
        <v>0</v>
      </c>
      <c r="BD33" s="4">
        <f t="shared" si="3"/>
        <v>0</v>
      </c>
      <c r="BE33" s="4">
        <f t="shared" si="4"/>
        <v>0</v>
      </c>
      <c r="BF33" s="6">
        <f t="shared" si="5"/>
        <v>0</v>
      </c>
      <c r="BI33" s="1" t="str">
        <f>tab_alimentos[[#This Row],[Item]]</f>
        <v>Amido de Milho (500g)</v>
      </c>
      <c r="BJ33" s="1">
        <f t="shared" si="6"/>
        <v>15</v>
      </c>
      <c r="BK33" s="1" t="str">
        <f t="shared" si="7"/>
        <v>Amido de Milho</v>
      </c>
      <c r="BL33" s="1">
        <f>tab_alimentos[[#This Row],[kg]]</f>
        <v>0</v>
      </c>
      <c r="BM33" s="25" t="s">
        <v>109</v>
      </c>
      <c r="BN33" s="1">
        <f t="shared" si="11"/>
        <v>0</v>
      </c>
      <c r="BP33" s="1" t="str">
        <f>tab_higiene[[#This Row],[Item]]</f>
        <v>Amaciante (900mL)</v>
      </c>
      <c r="BQ33" s="1">
        <f t="shared" si="8"/>
        <v>10</v>
      </c>
      <c r="BR33" s="1" t="str">
        <f t="shared" si="9"/>
        <v>Amaciante</v>
      </c>
      <c r="BS33" s="1">
        <f>higiene[[#This Row],[Quantidade]]</f>
        <v>2</v>
      </c>
      <c r="BT33" s="1">
        <f>tab_higiene[[#This Row],[Qtde (tot)]]</f>
        <v>0</v>
      </c>
      <c r="BU33" s="1">
        <f t="shared" si="12"/>
        <v>0</v>
      </c>
      <c r="BV33" s="25" t="s">
        <v>63</v>
      </c>
      <c r="BW33" s="1">
        <f t="shared" si="10"/>
        <v>0</v>
      </c>
    </row>
    <row r="34" spans="1:75" x14ac:dyDescent="0.25">
      <c r="A34" s="102" t="s">
        <v>175</v>
      </c>
      <c r="B34" s="102"/>
      <c r="C34" s="102"/>
      <c r="D34" s="102"/>
      <c r="E34" s="102"/>
      <c r="F34" s="102"/>
      <c r="G34" s="102"/>
      <c r="I34" s="19" t="str">
        <f>alimentos[[#This Row],[Item]]</f>
        <v>Arroz (1kg)</v>
      </c>
      <c r="J34" s="4">
        <f>IFERROR(alimentos[[#This Row],[kg/embalagem]],0)</f>
        <v>1</v>
      </c>
      <c r="K34" s="4">
        <f>IFERROR(alimentos[[#This Row],[Preço]],0)</f>
        <v>7.2</v>
      </c>
      <c r="L34" s="4">
        <f>SUMIFS(super1[Qtde],super1[Item],tab_alimentos[[#This Row],[Item]],super1[Bairro],mercado1)+SUMIFS(supercb[Qtde],supercb[Item],tab_alimentos[[#This Row],[Item]],supercb[Bairro],mercado1)</f>
        <v>0</v>
      </c>
      <c r="M34" s="4">
        <f>SUMIFS(super1[Qtde],super1[Item],tab_alimentos[[#This Row],[Item]],super1[Bairro],mercado2)+SUMIFS(supercb[Qtde],supercb[Item],tab_alimentos[[#This Row],[Item]],supercb[Bairro],mercado2)</f>
        <v>0</v>
      </c>
      <c r="N34" s="4">
        <f>SUMIFS(super1[Qtde],super1[Item],tab_alimentos[[#This Row],[Item]],super1[Bairro],mercado3)+SUMIFS(supercb[Qtde],supercb[Item],tab_alimentos[[#This Row],[Item]],supercb[Bairro],mercado3)</f>
        <v>0</v>
      </c>
      <c r="O34" s="4">
        <f>SUMIFS(super1[Qtde],super1[Item],tab_alimentos[[#This Row],[Item]],super1[Bairro],mercado4)+SUMIFS(supercb[Qtde],supercb[Item],tab_alimentos[[#This Row],[Item]],supercb[Bairro],mercado4)</f>
        <v>0</v>
      </c>
      <c r="P34" s="4">
        <f>SUMIFS(super1[Qtde],super1[Item],tab_alimentos[[#This Row],[Item]],super1[Bairro],mercado5)+SUMIFS(supercb[Qtde],supercb[Item],tab_alimentos[[#This Row],[Item]],supercb[Bairro],mercado5)</f>
        <v>0</v>
      </c>
      <c r="Q34" s="4">
        <f>SUMIFS(super1[Qtde],super1[Item],tab_alimentos[[#This Row],[Item]],super1[Bairro],mercado6)+SUMIFS(supercb[Qtde],supercb[Item],tab_alimentos[[#This Row],[Item]],supercb[Bairro],mercado6)</f>
        <v>0</v>
      </c>
      <c r="R34" s="4">
        <f>SUMIFS(super1[Qtde],super1[Item],tab_alimentos[[#This Row],[Item]],super1[Bairro],mercado7)+SUMIFS(supercb[Qtde],supercb[Item],tab_alimentos[[#This Row],[Item]],supercb[Bairro],mercado7)</f>
        <v>0</v>
      </c>
      <c r="S34" s="4">
        <f>SUMIFS(super1[Qtde],super1[Item],tab_alimentos[[#This Row],[Item]],super1[Bairro],mercado8)+SUMIFS(supercb[Qtde],supercb[Item],tab_alimentos[[#This Row],[Item]],supercb[Bairro],mercado8)</f>
        <v>0</v>
      </c>
      <c r="T34" s="4">
        <f>SUMIFS(super1[Qtde],super1[Item],tab_alimentos[[#This Row],[Item]],super1[Bairro],mercado9)+SUMIFS(supercb[Qtde],supercb[Item],tab_alimentos[[#This Row],[Item]],supercb[Bairro],mercado9)</f>
        <v>0</v>
      </c>
      <c r="U34" s="4">
        <f>SUMIFS(super1[Qtde],super1[Item],tab_alimentos[[#This Row],[Item]],super1[Bairro],mercado10)+SUMIFS(supercb[Qtde],supercb[Item],tab_alimentos[[#This Row],[Item]],supercb[Bairro],mercado10)</f>
        <v>0</v>
      </c>
      <c r="V34" s="4">
        <f>SUMIFS(super1[Qtde],super1[Item],tab_alimentos[[#This Row],[Item]],super1[Bairro],mercado11)+SUMIFS(supercb[Qtde],supercb[Item],tab_alimentos[[#This Row],[Item]],supercb[Bairro],mercado11)</f>
        <v>0</v>
      </c>
      <c r="W34" s="4">
        <f>SUMIFS(super1[Qtde],super1[Item],tab_alimentos[[#This Row],[Item]],super1[Bairro],mercado12)+SUMIFS(supercb[Qtde],supercb[Item],tab_alimentos[[#This Row],[Item]],supercb[Bairro],mercado12)</f>
        <v>0</v>
      </c>
      <c r="X34" s="4">
        <f>SUMIFS(super1[Qtde],super1[Item],tab_alimentos[[#This Row],[Item]],super1[Bairro],mercado13)+SUMIFS(supercb[Qtde],supercb[Item],tab_alimentos[[#This Row],[Item]],supercb[Bairro],mercado13)</f>
        <v>0</v>
      </c>
      <c r="Y34" s="4">
        <f>SUMIFS(super1[Qtde],super1[Item],tab_alimentos[[#This Row],[Item]],super1[Bairro],mercado14)+SUMIFS(supercb[Qtde],supercb[Item],tab_alimentos[[#This Row],[Item]],supercb[Bairro],mercado14)</f>
        <v>0</v>
      </c>
      <c r="Z34" s="4">
        <f>SUMIFS(super1[Qtde],super1[Item],tab_alimentos[[#This Row],[Item]],super1[Bairro],mercado15)+SUMIFS(supercb[Qtde],supercb[Item],tab_alimentos[[#This Row],[Item]],supercb[Bairro],mercado15)</f>
        <v>0</v>
      </c>
      <c r="AA34" s="4">
        <f>SUMIFS(super1[Qtde],super1[Item],tab_alimentos[[#This Row],[Item]],super1[Bairro],mercado16)+SUMIFS(supercb[Qtde],supercb[Item],tab_alimentos[[#This Row],[Item]],supercb[Bairro],mercado16)</f>
        <v>0</v>
      </c>
      <c r="AB34" s="4">
        <f>SUMIFS(super1[Qtde],super1[Item],tab_alimentos[[#This Row],[Item]],super1[Bairro],mercado17)+SUMIFS(supercb[Qtde],supercb[Item],tab_alimentos[[#This Row],[Item]],supercb[Bairro],mercado17)</f>
        <v>0</v>
      </c>
      <c r="AC34" s="4">
        <f>SUMIFS(super1[Qtde],super1[Item],tab_alimentos[[#This Row],[Item]],super1[Bairro],mercado18)+SUMIFS(supercb[Qtde],supercb[Item],tab_alimentos[[#This Row],[Item]],supercb[Bairro],mercado18)</f>
        <v>0</v>
      </c>
      <c r="AD34" s="4">
        <f>SUMIFS(super1[Qtde],super1[Item],tab_alimentos[[#This Row],[Item]],super1[Bairro],extras)+SUMIFS(supercb[Qtde],supercb[Item],tab_alimentos[[#This Row],[Item]],supercb[Bairro],extras)</f>
        <v>0</v>
      </c>
      <c r="AE34" s="4">
        <f t="shared" si="0"/>
        <v>0</v>
      </c>
      <c r="AF34" s="4">
        <f t="shared" si="1"/>
        <v>0</v>
      </c>
      <c r="AG34" s="6">
        <f t="shared" si="2"/>
        <v>0</v>
      </c>
      <c r="AH34" s="19" t="str">
        <f>higiene[[#This Row],[Item]]</f>
        <v>Antisséptico (100mL)</v>
      </c>
      <c r="AI34" s="4">
        <f>IFERROR(higiene[[#This Row],[Kg equivalente]],0)</f>
        <v>0</v>
      </c>
      <c r="AJ34" s="4">
        <f>IFERROR(higiene[[#This Row],[Preço por produto]],0)</f>
        <v>4.5599999999999996</v>
      </c>
      <c r="AK34" s="4">
        <f>SUMIFS(super1[Qtde],super1[Item],tab_higiene[[#This Row],[Item]],super1[Bairro],mercado1)+SUMIFS(supercb[Qtde],supercb[Item],tab_higiene[[#This Row],[Item]],supercb[Bairro],mercado1)</f>
        <v>0</v>
      </c>
      <c r="AL34" s="4">
        <f>SUMIFS(super1[Qtde],super1[Item],tab_higiene[[#This Row],[Item]],super1[Bairro],mercado2)+SUMIFS(supercb[Qtde],supercb[Item],tab_higiene[[#This Row],[Item]],supercb[Bairro],mercado2)</f>
        <v>0</v>
      </c>
      <c r="AM34" s="4">
        <f>SUMIFS(super1[Qtde],super1[Item],tab_higiene[[#This Row],[Item]],super1[Bairro],mercado3)+SUMIFS(supercb[Qtde],supercb[Item],tab_higiene[[#This Row],[Item]],supercb[Bairro],mercado3)</f>
        <v>0</v>
      </c>
      <c r="AN34" s="4">
        <f>SUMIFS(super1[Qtde],super1[Item],tab_higiene[[#This Row],[Item]],super1[Bairro],mercado4)+SUMIFS(supercb[Qtde],supercb[Item],tab_higiene[[#This Row],[Item]],supercb[Bairro],mercado4)</f>
        <v>0</v>
      </c>
      <c r="AO34" s="4">
        <f>SUMIFS(super1[Qtde],super1[Item],tab_higiene[[#This Row],[Item]],super1[Bairro],mercado5)+SUMIFS(supercb[Qtde],supercb[Item],tab_higiene[[#This Row],[Item]],supercb[Bairro],mercado5)</f>
        <v>0</v>
      </c>
      <c r="AP34" s="4">
        <f>SUMIFS(super1[Qtde],super1[Item],tab_higiene[[#This Row],[Item]],super1[Bairro],mercado6)+SUMIFS(supercb[Qtde],supercb[Item],tab_higiene[[#This Row],[Item]],supercb[Bairro],mercado6)</f>
        <v>0</v>
      </c>
      <c r="AQ34" s="4">
        <f>SUMIFS(super1[Qtde],super1[Item],tab_higiene[[#This Row],[Item]],super1[Bairro],mercado7)+SUMIFS(supercb[Qtde],supercb[Item],tab_higiene[[#This Row],[Item]],supercb[Bairro],mercado7)</f>
        <v>0</v>
      </c>
      <c r="AR34" s="4">
        <f>SUMIFS(super1[Qtde],super1[Item],tab_higiene[[#This Row],[Item]],super1[Bairro],mercado8)+SUMIFS(supercb[Qtde],supercb[Item],tab_higiene[[#This Row],[Item]],supercb[Bairro],mercado8)</f>
        <v>0</v>
      </c>
      <c r="AS34" s="4">
        <f>SUMIFS(super1[Qtde],super1[Item],tab_higiene[[#This Row],[Item]],super1[Bairro],mercado9)+SUMIFS(supercb[Qtde],supercb[Item],tab_higiene[[#This Row],[Item]],supercb[Bairro],mercado9)</f>
        <v>0</v>
      </c>
      <c r="AT34" s="4">
        <f>SUMIFS(super1[Qtde],super1[Item],tab_higiene[[#This Row],[Item]],super1[Bairro],mercado10)+SUMIFS(supercb[Qtde],supercb[Item],tab_higiene[[#This Row],[Item]],supercb[Bairro],mercado10)</f>
        <v>0</v>
      </c>
      <c r="AU34" s="4">
        <f>SUMIFS(super1[Qtde],super1[Item],tab_higiene[[#This Row],[Item]],super1[Bairro],mercado11)+SUMIFS(supercb[Qtde],supercb[Item],tab_higiene[[#This Row],[Item]],supercb[Bairro],mercado11)</f>
        <v>0</v>
      </c>
      <c r="AV34" s="4">
        <f>SUMIFS(super1[Qtde],super1[Item],tab_higiene[[#This Row],[Item]],super1[Bairro],mercado12)+SUMIFS(supercb[Qtde],supercb[Item],tab_higiene[[#This Row],[Item]],supercb[Bairro],mercado12)</f>
        <v>0</v>
      </c>
      <c r="AW34" s="4">
        <f>SUMIFS(super1[Qtde],super1[Item],tab_higiene[[#This Row],[Item]],super1[Bairro],mercado13)+SUMIFS(supercb[Qtde],supercb[Item],tab_higiene[[#This Row],[Item]],supercb[Bairro],mercado13)</f>
        <v>0</v>
      </c>
      <c r="AX34" s="4">
        <f>SUMIFS(super1[Qtde],super1[Item],tab_higiene[[#This Row],[Item]],super1[Bairro],mercado14)+SUMIFS(supercb[Qtde],supercb[Item],tab_higiene[[#This Row],[Item]],supercb[Bairro],mercado14)</f>
        <v>0</v>
      </c>
      <c r="AY34" s="4">
        <f>SUMIFS(super1[Qtde],super1[Item],tab_higiene[[#This Row],[Item]],super1[Bairro],mercado15)+SUMIFS(supercb[Qtde],supercb[Item],tab_higiene[[#This Row],[Item]],supercb[Bairro],mercado15)</f>
        <v>0</v>
      </c>
      <c r="AZ34" s="4">
        <f>SUMIFS(super1[Qtde],super1[Item],tab_higiene[[#This Row],[Item]],super1[Bairro],mercado16)+SUMIFS(supercb[Qtde],supercb[Item],tab_higiene[[#This Row],[Item]],supercb[Bairro],mercado16)</f>
        <v>0</v>
      </c>
      <c r="BA34" s="4">
        <f>SUMIFS(super1[Qtde],super1[Item],tab_higiene[[#This Row],[Item]],super1[Bairro],mercado17)+SUMIFS(supercb[Qtde],supercb[Item],tab_higiene[[#This Row],[Item]],supercb[Bairro],mercado17)</f>
        <v>0</v>
      </c>
      <c r="BB34" s="4">
        <f>SUMIFS(super1[Qtde],super1[Item],tab_higiene[[#This Row],[Item]],super1[Bairro],mercado18)+SUMIFS(supercb[Qtde],supercb[Item],tab_higiene[[#This Row],[Item]],supercb[Bairro],mercado18)</f>
        <v>0</v>
      </c>
      <c r="BC34" s="4">
        <f>SUMIFS(super1[Qtde],super1[Item],tab_higiene[[#This Row],[Item]],super1[Bairro],extras)+SUMIFS(supercb[Qtde],supercb[Item],tab_higiene[[#This Row],[Item]],supercb[Bairro],extras)</f>
        <v>0</v>
      </c>
      <c r="BD34" s="4">
        <f t="shared" si="3"/>
        <v>0</v>
      </c>
      <c r="BE34" s="4">
        <f t="shared" si="4"/>
        <v>0</v>
      </c>
      <c r="BF34" s="6">
        <f t="shared" si="5"/>
        <v>0</v>
      </c>
      <c r="BI34" s="1" t="str">
        <f>tab_alimentos[[#This Row],[Item]]</f>
        <v>Arroz (1kg)</v>
      </c>
      <c r="BJ34" s="1">
        <f t="shared" si="6"/>
        <v>6</v>
      </c>
      <c r="BK34" s="1" t="str">
        <f t="shared" si="7"/>
        <v>Arroz</v>
      </c>
      <c r="BL34" s="1">
        <f>tab_alimentos[[#This Row],[kg]]</f>
        <v>0</v>
      </c>
      <c r="BM34" s="25" t="s">
        <v>207</v>
      </c>
      <c r="BN34" s="1">
        <f t="shared" si="11"/>
        <v>0</v>
      </c>
      <c r="BP34" s="1" t="str">
        <f>tab_higiene[[#This Row],[Item]]</f>
        <v>Antisséptico (100mL)</v>
      </c>
      <c r="BQ34" s="1">
        <f t="shared" si="8"/>
        <v>13</v>
      </c>
      <c r="BR34" s="1" t="str">
        <f t="shared" si="9"/>
        <v>Antisséptico</v>
      </c>
      <c r="BS34" s="1">
        <f>higiene[[#This Row],[Quantidade]]</f>
        <v>1</v>
      </c>
      <c r="BT34" s="1">
        <f>tab_higiene[[#This Row],[Qtde (tot)]]</f>
        <v>0</v>
      </c>
      <c r="BU34" s="1">
        <f t="shared" si="12"/>
        <v>0</v>
      </c>
      <c r="BV34" s="25" t="s">
        <v>64</v>
      </c>
      <c r="BW34" s="1">
        <f t="shared" si="10"/>
        <v>0</v>
      </c>
    </row>
    <row r="35" spans="1:75" x14ac:dyDescent="0.25">
      <c r="A35" s="110">
        <f>SUM(tab_higiene[kg])</f>
        <v>0</v>
      </c>
      <c r="B35" s="110"/>
      <c r="C35" s="110"/>
      <c r="D35" s="110"/>
      <c r="E35" s="110"/>
      <c r="F35" s="110"/>
      <c r="G35" s="110"/>
      <c r="I35" s="19" t="str">
        <f>alimentos[[#This Row],[Item]]</f>
        <v>Arroz (2kg)</v>
      </c>
      <c r="J35" s="4">
        <f>IFERROR(alimentos[[#This Row],[kg/embalagem]],0)</f>
        <v>2</v>
      </c>
      <c r="K35" s="4">
        <f>IFERROR(alimentos[[#This Row],[Preço]],0)</f>
        <v>11.8</v>
      </c>
      <c r="L35" s="4">
        <f>SUMIFS(super1[Qtde],super1[Item],tab_alimentos[[#This Row],[Item]],super1[Bairro],mercado1)+SUMIFS(supercb[Qtde],supercb[Item],tab_alimentos[[#This Row],[Item]],supercb[Bairro],mercado1)</f>
        <v>0</v>
      </c>
      <c r="M35" s="4">
        <f>SUMIFS(super1[Qtde],super1[Item],tab_alimentos[[#This Row],[Item]],super1[Bairro],mercado2)+SUMIFS(supercb[Qtde],supercb[Item],tab_alimentos[[#This Row],[Item]],supercb[Bairro],mercado2)</f>
        <v>0</v>
      </c>
      <c r="N35" s="4">
        <f>SUMIFS(super1[Qtde],super1[Item],tab_alimentos[[#This Row],[Item]],super1[Bairro],mercado3)+SUMIFS(supercb[Qtde],supercb[Item],tab_alimentos[[#This Row],[Item]],supercb[Bairro],mercado3)</f>
        <v>0</v>
      </c>
      <c r="O35" s="4">
        <f>SUMIFS(super1[Qtde],super1[Item],tab_alimentos[[#This Row],[Item]],super1[Bairro],mercado4)+SUMIFS(supercb[Qtde],supercb[Item],tab_alimentos[[#This Row],[Item]],supercb[Bairro],mercado4)</f>
        <v>0</v>
      </c>
      <c r="P35" s="4">
        <f>SUMIFS(super1[Qtde],super1[Item],tab_alimentos[[#This Row],[Item]],super1[Bairro],mercado5)+SUMIFS(supercb[Qtde],supercb[Item],tab_alimentos[[#This Row],[Item]],supercb[Bairro],mercado5)</f>
        <v>0</v>
      </c>
      <c r="Q35" s="4">
        <f>SUMIFS(super1[Qtde],super1[Item],tab_alimentos[[#This Row],[Item]],super1[Bairro],mercado6)+SUMIFS(supercb[Qtde],supercb[Item],tab_alimentos[[#This Row],[Item]],supercb[Bairro],mercado6)</f>
        <v>0</v>
      </c>
      <c r="R35" s="4">
        <f>SUMIFS(super1[Qtde],super1[Item],tab_alimentos[[#This Row],[Item]],super1[Bairro],mercado7)+SUMIFS(supercb[Qtde],supercb[Item],tab_alimentos[[#This Row],[Item]],supercb[Bairro],mercado7)</f>
        <v>0</v>
      </c>
      <c r="S35" s="4">
        <f>SUMIFS(super1[Qtde],super1[Item],tab_alimentos[[#This Row],[Item]],super1[Bairro],mercado8)+SUMIFS(supercb[Qtde],supercb[Item],tab_alimentos[[#This Row],[Item]],supercb[Bairro],mercado8)</f>
        <v>0</v>
      </c>
      <c r="T35" s="4">
        <f>SUMIFS(super1[Qtde],super1[Item],tab_alimentos[[#This Row],[Item]],super1[Bairro],mercado9)+SUMIFS(supercb[Qtde],supercb[Item],tab_alimentos[[#This Row],[Item]],supercb[Bairro],mercado9)</f>
        <v>0</v>
      </c>
      <c r="U35" s="4">
        <f>SUMIFS(super1[Qtde],super1[Item],tab_alimentos[[#This Row],[Item]],super1[Bairro],mercado10)+SUMIFS(supercb[Qtde],supercb[Item],tab_alimentos[[#This Row],[Item]],supercb[Bairro],mercado10)</f>
        <v>0</v>
      </c>
      <c r="V35" s="4">
        <f>SUMIFS(super1[Qtde],super1[Item],tab_alimentos[[#This Row],[Item]],super1[Bairro],mercado11)+SUMIFS(supercb[Qtde],supercb[Item],tab_alimentos[[#This Row],[Item]],supercb[Bairro],mercado11)</f>
        <v>0</v>
      </c>
      <c r="W35" s="4">
        <f>SUMIFS(super1[Qtde],super1[Item],tab_alimentos[[#This Row],[Item]],super1[Bairro],mercado12)+SUMIFS(supercb[Qtde],supercb[Item],tab_alimentos[[#This Row],[Item]],supercb[Bairro],mercado12)</f>
        <v>0</v>
      </c>
      <c r="X35" s="4">
        <f>SUMIFS(super1[Qtde],super1[Item],tab_alimentos[[#This Row],[Item]],super1[Bairro],mercado13)+SUMIFS(supercb[Qtde],supercb[Item],tab_alimentos[[#This Row],[Item]],supercb[Bairro],mercado13)</f>
        <v>0</v>
      </c>
      <c r="Y35" s="4">
        <f>SUMIFS(super1[Qtde],super1[Item],tab_alimentos[[#This Row],[Item]],super1[Bairro],mercado14)+SUMIFS(supercb[Qtde],supercb[Item],tab_alimentos[[#This Row],[Item]],supercb[Bairro],mercado14)</f>
        <v>0</v>
      </c>
      <c r="Z35" s="4">
        <f>SUMIFS(super1[Qtde],super1[Item],tab_alimentos[[#This Row],[Item]],super1[Bairro],mercado15)+SUMIFS(supercb[Qtde],supercb[Item],tab_alimentos[[#This Row],[Item]],supercb[Bairro],mercado15)</f>
        <v>0</v>
      </c>
      <c r="AA35" s="4">
        <f>SUMIFS(super1[Qtde],super1[Item],tab_alimentos[[#This Row],[Item]],super1[Bairro],mercado16)+SUMIFS(supercb[Qtde],supercb[Item],tab_alimentos[[#This Row],[Item]],supercb[Bairro],mercado16)</f>
        <v>0</v>
      </c>
      <c r="AB35" s="4">
        <f>SUMIFS(super1[Qtde],super1[Item],tab_alimentos[[#This Row],[Item]],super1[Bairro],mercado17)+SUMIFS(supercb[Qtde],supercb[Item],tab_alimentos[[#This Row],[Item]],supercb[Bairro],mercado17)</f>
        <v>0</v>
      </c>
      <c r="AC35" s="4">
        <f>SUMIFS(super1[Qtde],super1[Item],tab_alimentos[[#This Row],[Item]],super1[Bairro],mercado18)+SUMIFS(supercb[Qtde],supercb[Item],tab_alimentos[[#This Row],[Item]],supercb[Bairro],mercado18)</f>
        <v>0</v>
      </c>
      <c r="AD35" s="4">
        <f>SUMIFS(super1[Qtde],super1[Item],tab_alimentos[[#This Row],[Item]],super1[Bairro],extras)+SUMIFS(supercb[Qtde],supercb[Item],tab_alimentos[[#This Row],[Item]],supercb[Bairro],extras)</f>
        <v>0</v>
      </c>
      <c r="AE35" s="4">
        <f t="shared" si="0"/>
        <v>0</v>
      </c>
      <c r="AF35" s="4">
        <f t="shared" si="1"/>
        <v>0</v>
      </c>
      <c r="AG35" s="6">
        <f t="shared" si="2"/>
        <v>0</v>
      </c>
      <c r="AH35" s="19" t="str">
        <f>higiene[[#This Row],[Item]]</f>
        <v>Antisséptico (440mL)</v>
      </c>
      <c r="AI35" s="4">
        <f>IFERROR(higiene[[#This Row],[Kg equivalente]],0)</f>
        <v>0</v>
      </c>
      <c r="AJ35" s="4">
        <f>IFERROR(higiene[[#This Row],[Preço por produto]],0)</f>
        <v>11.98</v>
      </c>
      <c r="AK35" s="4">
        <f>SUMIFS(super1[Qtde],super1[Item],tab_higiene[[#This Row],[Item]],super1[Bairro],mercado1)+SUMIFS(supercb[Qtde],supercb[Item],tab_higiene[[#This Row],[Item]],supercb[Bairro],mercado1)</f>
        <v>0</v>
      </c>
      <c r="AL35" s="4">
        <f>SUMIFS(super1[Qtde],super1[Item],tab_higiene[[#This Row],[Item]],super1[Bairro],mercado2)+SUMIFS(supercb[Qtde],supercb[Item],tab_higiene[[#This Row],[Item]],supercb[Bairro],mercado2)</f>
        <v>0</v>
      </c>
      <c r="AM35" s="4">
        <f>SUMIFS(super1[Qtde],super1[Item],tab_higiene[[#This Row],[Item]],super1[Bairro],mercado3)+SUMIFS(supercb[Qtde],supercb[Item],tab_higiene[[#This Row],[Item]],supercb[Bairro],mercado3)</f>
        <v>0</v>
      </c>
      <c r="AN35" s="4">
        <f>SUMIFS(super1[Qtde],super1[Item],tab_higiene[[#This Row],[Item]],super1[Bairro],mercado4)+SUMIFS(supercb[Qtde],supercb[Item],tab_higiene[[#This Row],[Item]],supercb[Bairro],mercado4)</f>
        <v>0</v>
      </c>
      <c r="AO35" s="4">
        <f>SUMIFS(super1[Qtde],super1[Item],tab_higiene[[#This Row],[Item]],super1[Bairro],mercado5)+SUMIFS(supercb[Qtde],supercb[Item],tab_higiene[[#This Row],[Item]],supercb[Bairro],mercado5)</f>
        <v>0</v>
      </c>
      <c r="AP35" s="4">
        <f>SUMIFS(super1[Qtde],super1[Item],tab_higiene[[#This Row],[Item]],super1[Bairro],mercado6)+SUMIFS(supercb[Qtde],supercb[Item],tab_higiene[[#This Row],[Item]],supercb[Bairro],mercado6)</f>
        <v>0</v>
      </c>
      <c r="AQ35" s="4">
        <f>SUMIFS(super1[Qtde],super1[Item],tab_higiene[[#This Row],[Item]],super1[Bairro],mercado7)+SUMIFS(supercb[Qtde],supercb[Item],tab_higiene[[#This Row],[Item]],supercb[Bairro],mercado7)</f>
        <v>0</v>
      </c>
      <c r="AR35" s="4">
        <f>SUMIFS(super1[Qtde],super1[Item],tab_higiene[[#This Row],[Item]],super1[Bairro],mercado8)+SUMIFS(supercb[Qtde],supercb[Item],tab_higiene[[#This Row],[Item]],supercb[Bairro],mercado8)</f>
        <v>0</v>
      </c>
      <c r="AS35" s="4">
        <f>SUMIFS(super1[Qtde],super1[Item],tab_higiene[[#This Row],[Item]],super1[Bairro],mercado9)+SUMIFS(supercb[Qtde],supercb[Item],tab_higiene[[#This Row],[Item]],supercb[Bairro],mercado9)</f>
        <v>0</v>
      </c>
      <c r="AT35" s="4">
        <f>SUMIFS(super1[Qtde],super1[Item],tab_higiene[[#This Row],[Item]],super1[Bairro],mercado10)+SUMIFS(supercb[Qtde],supercb[Item],tab_higiene[[#This Row],[Item]],supercb[Bairro],mercado10)</f>
        <v>0</v>
      </c>
      <c r="AU35" s="4">
        <f>SUMIFS(super1[Qtde],super1[Item],tab_higiene[[#This Row],[Item]],super1[Bairro],mercado11)+SUMIFS(supercb[Qtde],supercb[Item],tab_higiene[[#This Row],[Item]],supercb[Bairro],mercado11)</f>
        <v>0</v>
      </c>
      <c r="AV35" s="4">
        <f>SUMIFS(super1[Qtde],super1[Item],tab_higiene[[#This Row],[Item]],super1[Bairro],mercado12)+SUMIFS(supercb[Qtde],supercb[Item],tab_higiene[[#This Row],[Item]],supercb[Bairro],mercado12)</f>
        <v>0</v>
      </c>
      <c r="AW35" s="4">
        <f>SUMIFS(super1[Qtde],super1[Item],tab_higiene[[#This Row],[Item]],super1[Bairro],mercado13)+SUMIFS(supercb[Qtde],supercb[Item],tab_higiene[[#This Row],[Item]],supercb[Bairro],mercado13)</f>
        <v>0</v>
      </c>
      <c r="AX35" s="4">
        <f>SUMIFS(super1[Qtde],super1[Item],tab_higiene[[#This Row],[Item]],super1[Bairro],mercado14)+SUMIFS(supercb[Qtde],supercb[Item],tab_higiene[[#This Row],[Item]],supercb[Bairro],mercado14)</f>
        <v>0</v>
      </c>
      <c r="AY35" s="4">
        <f>SUMIFS(super1[Qtde],super1[Item],tab_higiene[[#This Row],[Item]],super1[Bairro],mercado15)+SUMIFS(supercb[Qtde],supercb[Item],tab_higiene[[#This Row],[Item]],supercb[Bairro],mercado15)</f>
        <v>0</v>
      </c>
      <c r="AZ35" s="4">
        <f>SUMIFS(super1[Qtde],super1[Item],tab_higiene[[#This Row],[Item]],super1[Bairro],mercado16)+SUMIFS(supercb[Qtde],supercb[Item],tab_higiene[[#This Row],[Item]],supercb[Bairro],mercado16)</f>
        <v>0</v>
      </c>
      <c r="BA35" s="4">
        <f>SUMIFS(super1[Qtde],super1[Item],tab_higiene[[#This Row],[Item]],super1[Bairro],mercado17)+SUMIFS(supercb[Qtde],supercb[Item],tab_higiene[[#This Row],[Item]],supercb[Bairro],mercado17)</f>
        <v>0</v>
      </c>
      <c r="BB35" s="4">
        <f>SUMIFS(super1[Qtde],super1[Item],tab_higiene[[#This Row],[Item]],super1[Bairro],mercado18)+SUMIFS(supercb[Qtde],supercb[Item],tab_higiene[[#This Row],[Item]],supercb[Bairro],mercado18)</f>
        <v>0</v>
      </c>
      <c r="BC35" s="4">
        <f>SUMIFS(super1[Qtde],super1[Item],tab_higiene[[#This Row],[Item]],super1[Bairro],extras)+SUMIFS(supercb[Qtde],supercb[Item],tab_higiene[[#This Row],[Item]],supercb[Bairro],extras)</f>
        <v>0</v>
      </c>
      <c r="BD35" s="4">
        <f t="shared" si="3"/>
        <v>0</v>
      </c>
      <c r="BE35" s="4">
        <f t="shared" si="4"/>
        <v>0</v>
      </c>
      <c r="BF35" s="6">
        <f t="shared" si="5"/>
        <v>0</v>
      </c>
      <c r="BI35" s="1" t="str">
        <f>tab_alimentos[[#This Row],[Item]]</f>
        <v>Arroz (2kg)</v>
      </c>
      <c r="BJ35" s="1">
        <f t="shared" si="6"/>
        <v>6</v>
      </c>
      <c r="BK35" s="1" t="str">
        <f t="shared" si="7"/>
        <v>Arroz</v>
      </c>
      <c r="BL35" s="1">
        <f>tab_alimentos[[#This Row],[kg]]</f>
        <v>0</v>
      </c>
      <c r="BM35" s="25" t="s">
        <v>110</v>
      </c>
      <c r="BN35" s="1">
        <f t="shared" si="11"/>
        <v>0</v>
      </c>
      <c r="BP35" s="1" t="str">
        <f>tab_higiene[[#This Row],[Item]]</f>
        <v>Antisséptico (440mL)</v>
      </c>
      <c r="BQ35" s="1">
        <f t="shared" si="8"/>
        <v>13</v>
      </c>
      <c r="BR35" s="1" t="str">
        <f t="shared" si="9"/>
        <v>Antisséptico</v>
      </c>
      <c r="BS35" s="1">
        <f>higiene[[#This Row],[Quantidade]]</f>
        <v>0</v>
      </c>
      <c r="BT35" s="1">
        <f>tab_higiene[[#This Row],[Qtde (tot)]]</f>
        <v>0</v>
      </c>
      <c r="BU35" s="1">
        <f t="shared" si="12"/>
        <v>0</v>
      </c>
      <c r="BV35" s="25" t="s">
        <v>65</v>
      </c>
      <c r="BW35" s="1">
        <f t="shared" si="10"/>
        <v>0</v>
      </c>
    </row>
    <row r="36" spans="1:75" x14ac:dyDescent="0.25">
      <c r="A36" s="110"/>
      <c r="B36" s="110"/>
      <c r="C36" s="110"/>
      <c r="D36" s="110"/>
      <c r="E36" s="110"/>
      <c r="F36" s="110"/>
      <c r="G36" s="110"/>
      <c r="I36" s="19" t="str">
        <f>alimentos[[#This Row],[Item]]</f>
        <v>Arroz (5kg)</v>
      </c>
      <c r="J36" s="4">
        <f>IFERROR(alimentos[[#This Row],[kg/embalagem]],0)</f>
        <v>5</v>
      </c>
      <c r="K36" s="4">
        <f>IFERROR(alimentos[[#This Row],[Preço]],0)</f>
        <v>24.99</v>
      </c>
      <c r="L36" s="4">
        <f>SUMIFS(super1[Qtde],super1[Item],tab_alimentos[[#This Row],[Item]],super1[Bairro],mercado1)+SUMIFS(supercb[Qtde],supercb[Item],tab_alimentos[[#This Row],[Item]],supercb[Bairro],mercado1)</f>
        <v>0</v>
      </c>
      <c r="M36" s="4">
        <f>SUMIFS(super1[Qtde],super1[Item],tab_alimentos[[#This Row],[Item]],super1[Bairro],mercado2)+SUMIFS(supercb[Qtde],supercb[Item],tab_alimentos[[#This Row],[Item]],supercb[Bairro],mercado2)</f>
        <v>0</v>
      </c>
      <c r="N36" s="4">
        <f>SUMIFS(super1[Qtde],super1[Item],tab_alimentos[[#This Row],[Item]],super1[Bairro],mercado3)+SUMIFS(supercb[Qtde],supercb[Item],tab_alimentos[[#This Row],[Item]],supercb[Bairro],mercado3)</f>
        <v>0</v>
      </c>
      <c r="O36" s="4">
        <f>SUMIFS(super1[Qtde],super1[Item],tab_alimentos[[#This Row],[Item]],super1[Bairro],mercado4)+SUMIFS(supercb[Qtde],supercb[Item],tab_alimentos[[#This Row],[Item]],supercb[Bairro],mercado4)</f>
        <v>0</v>
      </c>
      <c r="P36" s="4">
        <f>SUMIFS(super1[Qtde],super1[Item],tab_alimentos[[#This Row],[Item]],super1[Bairro],mercado5)+SUMIFS(supercb[Qtde],supercb[Item],tab_alimentos[[#This Row],[Item]],supercb[Bairro],mercado5)</f>
        <v>0</v>
      </c>
      <c r="Q36" s="4">
        <f>SUMIFS(super1[Qtde],super1[Item],tab_alimentos[[#This Row],[Item]],super1[Bairro],mercado6)+SUMIFS(supercb[Qtde],supercb[Item],tab_alimentos[[#This Row],[Item]],supercb[Bairro],mercado6)</f>
        <v>0</v>
      </c>
      <c r="R36" s="4">
        <f>SUMIFS(super1[Qtde],super1[Item],tab_alimentos[[#This Row],[Item]],super1[Bairro],mercado7)+SUMIFS(supercb[Qtde],supercb[Item],tab_alimentos[[#This Row],[Item]],supercb[Bairro],mercado7)</f>
        <v>0</v>
      </c>
      <c r="S36" s="4">
        <f>SUMIFS(super1[Qtde],super1[Item],tab_alimentos[[#This Row],[Item]],super1[Bairro],mercado8)+SUMIFS(supercb[Qtde],supercb[Item],tab_alimentos[[#This Row],[Item]],supercb[Bairro],mercado8)</f>
        <v>0</v>
      </c>
      <c r="T36" s="4">
        <f>SUMIFS(super1[Qtde],super1[Item],tab_alimentos[[#This Row],[Item]],super1[Bairro],mercado9)+SUMIFS(supercb[Qtde],supercb[Item],tab_alimentos[[#This Row],[Item]],supercb[Bairro],mercado9)</f>
        <v>0</v>
      </c>
      <c r="U36" s="4">
        <f>SUMIFS(super1[Qtde],super1[Item],tab_alimentos[[#This Row],[Item]],super1[Bairro],mercado10)+SUMIFS(supercb[Qtde],supercb[Item],tab_alimentos[[#This Row],[Item]],supercb[Bairro],mercado10)</f>
        <v>0</v>
      </c>
      <c r="V36" s="4">
        <f>SUMIFS(super1[Qtde],super1[Item],tab_alimentos[[#This Row],[Item]],super1[Bairro],mercado11)+SUMIFS(supercb[Qtde],supercb[Item],tab_alimentos[[#This Row],[Item]],supercb[Bairro],mercado11)</f>
        <v>0</v>
      </c>
      <c r="W36" s="4">
        <f>SUMIFS(super1[Qtde],super1[Item],tab_alimentos[[#This Row],[Item]],super1[Bairro],mercado12)+SUMIFS(supercb[Qtde],supercb[Item],tab_alimentos[[#This Row],[Item]],supercb[Bairro],mercado12)</f>
        <v>0</v>
      </c>
      <c r="X36" s="4">
        <f>SUMIFS(super1[Qtde],super1[Item],tab_alimentos[[#This Row],[Item]],super1[Bairro],mercado13)+SUMIFS(supercb[Qtde],supercb[Item],tab_alimentos[[#This Row],[Item]],supercb[Bairro],mercado13)</f>
        <v>0</v>
      </c>
      <c r="Y36" s="4">
        <f>SUMIFS(super1[Qtde],super1[Item],tab_alimentos[[#This Row],[Item]],super1[Bairro],mercado14)+SUMIFS(supercb[Qtde],supercb[Item],tab_alimentos[[#This Row],[Item]],supercb[Bairro],mercado14)</f>
        <v>0</v>
      </c>
      <c r="Z36" s="4">
        <f>SUMIFS(super1[Qtde],super1[Item],tab_alimentos[[#This Row],[Item]],super1[Bairro],mercado15)+SUMIFS(supercb[Qtde],supercb[Item],tab_alimentos[[#This Row],[Item]],supercb[Bairro],mercado15)</f>
        <v>0</v>
      </c>
      <c r="AA36" s="4">
        <f>SUMIFS(super1[Qtde],super1[Item],tab_alimentos[[#This Row],[Item]],super1[Bairro],mercado16)+SUMIFS(supercb[Qtde],supercb[Item],tab_alimentos[[#This Row],[Item]],supercb[Bairro],mercado16)</f>
        <v>0</v>
      </c>
      <c r="AB36" s="4">
        <f>SUMIFS(super1[Qtde],super1[Item],tab_alimentos[[#This Row],[Item]],super1[Bairro],mercado17)+SUMIFS(supercb[Qtde],supercb[Item],tab_alimentos[[#This Row],[Item]],supercb[Bairro],mercado17)</f>
        <v>0</v>
      </c>
      <c r="AC36" s="4">
        <f>SUMIFS(super1[Qtde],super1[Item],tab_alimentos[[#This Row],[Item]],super1[Bairro],mercado18)+SUMIFS(supercb[Qtde],supercb[Item],tab_alimentos[[#This Row],[Item]],supercb[Bairro],mercado18)</f>
        <v>0</v>
      </c>
      <c r="AD36" s="4">
        <f>SUMIFS(super1[Qtde],super1[Item],tab_alimentos[[#This Row],[Item]],super1[Bairro],extras)+SUMIFS(supercb[Qtde],supercb[Item],tab_alimentos[[#This Row],[Item]],supercb[Bairro],extras)</f>
        <v>0</v>
      </c>
      <c r="AE36" s="4">
        <f t="shared" si="0"/>
        <v>0</v>
      </c>
      <c r="AF36" s="4">
        <f t="shared" si="1"/>
        <v>0</v>
      </c>
      <c r="AG36" s="6">
        <f t="shared" si="2"/>
        <v>0</v>
      </c>
      <c r="AH36" s="19" t="str">
        <f>higiene[[#This Row],[Item]]</f>
        <v>Aparelho Barbear (2un)</v>
      </c>
      <c r="AI36" s="4">
        <f>IFERROR(higiene[[#This Row],[Kg equivalente]],0)</f>
        <v>0</v>
      </c>
      <c r="AJ36" s="4">
        <f>IFERROR(higiene[[#This Row],[Preço por produto]],0)</f>
        <v>6.99</v>
      </c>
      <c r="AK36" s="4">
        <f>SUMIFS(super1[Qtde],super1[Item],tab_higiene[[#This Row],[Item]],super1[Bairro],mercado1)+SUMIFS(supercb[Qtde],supercb[Item],tab_higiene[[#This Row],[Item]],supercb[Bairro],mercado1)</f>
        <v>0</v>
      </c>
      <c r="AL36" s="4">
        <f>SUMIFS(super1[Qtde],super1[Item],tab_higiene[[#This Row],[Item]],super1[Bairro],mercado2)+SUMIFS(supercb[Qtde],supercb[Item],tab_higiene[[#This Row],[Item]],supercb[Bairro],mercado2)</f>
        <v>0</v>
      </c>
      <c r="AM36" s="4">
        <f>SUMIFS(super1[Qtde],super1[Item],tab_higiene[[#This Row],[Item]],super1[Bairro],mercado3)+SUMIFS(supercb[Qtde],supercb[Item],tab_higiene[[#This Row],[Item]],supercb[Bairro],mercado3)</f>
        <v>0</v>
      </c>
      <c r="AN36" s="4">
        <f>SUMIFS(super1[Qtde],super1[Item],tab_higiene[[#This Row],[Item]],super1[Bairro],mercado4)+SUMIFS(supercb[Qtde],supercb[Item],tab_higiene[[#This Row],[Item]],supercb[Bairro],mercado4)</f>
        <v>0</v>
      </c>
      <c r="AO36" s="4">
        <f>SUMIFS(super1[Qtde],super1[Item],tab_higiene[[#This Row],[Item]],super1[Bairro],mercado5)+SUMIFS(supercb[Qtde],supercb[Item],tab_higiene[[#This Row],[Item]],supercb[Bairro],mercado5)</f>
        <v>0</v>
      </c>
      <c r="AP36" s="4">
        <f>SUMIFS(super1[Qtde],super1[Item],tab_higiene[[#This Row],[Item]],super1[Bairro],mercado6)+SUMIFS(supercb[Qtde],supercb[Item],tab_higiene[[#This Row],[Item]],supercb[Bairro],mercado6)</f>
        <v>0</v>
      </c>
      <c r="AQ36" s="4">
        <f>SUMIFS(super1[Qtde],super1[Item],tab_higiene[[#This Row],[Item]],super1[Bairro],mercado7)+SUMIFS(supercb[Qtde],supercb[Item],tab_higiene[[#This Row],[Item]],supercb[Bairro],mercado7)</f>
        <v>0</v>
      </c>
      <c r="AR36" s="4">
        <f>SUMIFS(super1[Qtde],super1[Item],tab_higiene[[#This Row],[Item]],super1[Bairro],mercado8)+SUMIFS(supercb[Qtde],supercb[Item],tab_higiene[[#This Row],[Item]],supercb[Bairro],mercado8)</f>
        <v>0</v>
      </c>
      <c r="AS36" s="4">
        <f>SUMIFS(super1[Qtde],super1[Item],tab_higiene[[#This Row],[Item]],super1[Bairro],mercado9)+SUMIFS(supercb[Qtde],supercb[Item],tab_higiene[[#This Row],[Item]],supercb[Bairro],mercado9)</f>
        <v>0</v>
      </c>
      <c r="AT36" s="4">
        <f>SUMIFS(super1[Qtde],super1[Item],tab_higiene[[#This Row],[Item]],super1[Bairro],mercado10)+SUMIFS(supercb[Qtde],supercb[Item],tab_higiene[[#This Row],[Item]],supercb[Bairro],mercado10)</f>
        <v>0</v>
      </c>
      <c r="AU36" s="4">
        <f>SUMIFS(super1[Qtde],super1[Item],tab_higiene[[#This Row],[Item]],super1[Bairro],mercado11)+SUMIFS(supercb[Qtde],supercb[Item],tab_higiene[[#This Row],[Item]],supercb[Bairro],mercado11)</f>
        <v>0</v>
      </c>
      <c r="AV36" s="4">
        <f>SUMIFS(super1[Qtde],super1[Item],tab_higiene[[#This Row],[Item]],super1[Bairro],mercado12)+SUMIFS(supercb[Qtde],supercb[Item],tab_higiene[[#This Row],[Item]],supercb[Bairro],mercado12)</f>
        <v>0</v>
      </c>
      <c r="AW36" s="4">
        <f>SUMIFS(super1[Qtde],super1[Item],tab_higiene[[#This Row],[Item]],super1[Bairro],mercado13)+SUMIFS(supercb[Qtde],supercb[Item],tab_higiene[[#This Row],[Item]],supercb[Bairro],mercado13)</f>
        <v>0</v>
      </c>
      <c r="AX36" s="4">
        <f>SUMIFS(super1[Qtde],super1[Item],tab_higiene[[#This Row],[Item]],super1[Bairro],mercado14)+SUMIFS(supercb[Qtde],supercb[Item],tab_higiene[[#This Row],[Item]],supercb[Bairro],mercado14)</f>
        <v>0</v>
      </c>
      <c r="AY36" s="4">
        <f>SUMIFS(super1[Qtde],super1[Item],tab_higiene[[#This Row],[Item]],super1[Bairro],mercado15)+SUMIFS(supercb[Qtde],supercb[Item],tab_higiene[[#This Row],[Item]],supercb[Bairro],mercado15)</f>
        <v>0</v>
      </c>
      <c r="AZ36" s="4">
        <f>SUMIFS(super1[Qtde],super1[Item],tab_higiene[[#This Row],[Item]],super1[Bairro],mercado16)+SUMIFS(supercb[Qtde],supercb[Item],tab_higiene[[#This Row],[Item]],supercb[Bairro],mercado16)</f>
        <v>0</v>
      </c>
      <c r="BA36" s="4">
        <f>SUMIFS(super1[Qtde],super1[Item],tab_higiene[[#This Row],[Item]],super1[Bairro],mercado17)+SUMIFS(supercb[Qtde],supercb[Item],tab_higiene[[#This Row],[Item]],supercb[Bairro],mercado17)</f>
        <v>0</v>
      </c>
      <c r="BB36" s="4">
        <f>SUMIFS(super1[Qtde],super1[Item],tab_higiene[[#This Row],[Item]],super1[Bairro],mercado18)+SUMIFS(supercb[Qtde],supercb[Item],tab_higiene[[#This Row],[Item]],supercb[Bairro],mercado18)</f>
        <v>0</v>
      </c>
      <c r="BC36" s="4">
        <f>SUMIFS(super1[Qtde],super1[Item],tab_higiene[[#This Row],[Item]],super1[Bairro],extras)+SUMIFS(supercb[Qtde],supercb[Item],tab_higiene[[#This Row],[Item]],supercb[Bairro],extras)</f>
        <v>0</v>
      </c>
      <c r="BD36" s="4">
        <f t="shared" si="3"/>
        <v>0</v>
      </c>
      <c r="BE36" s="4">
        <f t="shared" si="4"/>
        <v>0</v>
      </c>
      <c r="BF36" s="6">
        <f t="shared" si="5"/>
        <v>0</v>
      </c>
      <c r="BI36" s="1" t="str">
        <f>tab_alimentos[[#This Row],[Item]]</f>
        <v>Arroz (5kg)</v>
      </c>
      <c r="BJ36" s="1">
        <f t="shared" si="6"/>
        <v>6</v>
      </c>
      <c r="BK36" s="1" t="str">
        <f t="shared" si="7"/>
        <v>Arroz</v>
      </c>
      <c r="BL36" s="1">
        <f>tab_alimentos[[#This Row],[kg]]</f>
        <v>0</v>
      </c>
      <c r="BM36" s="25" t="s">
        <v>208</v>
      </c>
      <c r="BN36" s="1">
        <f t="shared" si="11"/>
        <v>0</v>
      </c>
      <c r="BP36" s="1" t="str">
        <f>tab_higiene[[#This Row],[Item]]</f>
        <v>Aparelho Barbear (2un)</v>
      </c>
      <c r="BQ36" s="1">
        <f t="shared" si="8"/>
        <v>17</v>
      </c>
      <c r="BR36" s="1" t="str">
        <f t="shared" si="9"/>
        <v>Aparelho Barbear</v>
      </c>
      <c r="BS36" s="1">
        <f>higiene[[#This Row],[Quantidade]]</f>
        <v>1</v>
      </c>
      <c r="BT36" s="1">
        <f>tab_higiene[[#This Row],[Qtde (tot)]]</f>
        <v>0</v>
      </c>
      <c r="BU36" s="1">
        <f t="shared" si="12"/>
        <v>0</v>
      </c>
      <c r="BV36" s="25" t="s">
        <v>66</v>
      </c>
      <c r="BW36" s="1">
        <f t="shared" si="10"/>
        <v>0</v>
      </c>
    </row>
    <row r="37" spans="1:75" x14ac:dyDescent="0.25">
      <c r="A37" s="102" t="s">
        <v>176</v>
      </c>
      <c r="B37" s="102"/>
      <c r="C37" s="102"/>
      <c r="D37" s="102"/>
      <c r="E37" s="102"/>
      <c r="F37" s="102"/>
      <c r="G37" s="102"/>
      <c r="I37" s="19" t="str">
        <f>alimentos[[#This Row],[Item]]</f>
        <v>Arroz Doce (175g)</v>
      </c>
      <c r="J37" s="4">
        <f>IFERROR(alimentos[[#This Row],[kg/embalagem]],0)</f>
        <v>0.17499999999999999</v>
      </c>
      <c r="K37" s="4">
        <f>IFERROR(alimentos[[#This Row],[Preço]],0)</f>
        <v>10.8</v>
      </c>
      <c r="L37" s="4">
        <f>SUMIFS(super1[Qtde],super1[Item],tab_alimentos[[#This Row],[Item]],super1[Bairro],mercado1)+SUMIFS(supercb[Qtde],supercb[Item],tab_alimentos[[#This Row],[Item]],supercb[Bairro],mercado1)</f>
        <v>0</v>
      </c>
      <c r="M37" s="4">
        <f>SUMIFS(super1[Qtde],super1[Item],tab_alimentos[[#This Row],[Item]],super1[Bairro],mercado2)+SUMIFS(supercb[Qtde],supercb[Item],tab_alimentos[[#This Row],[Item]],supercb[Bairro],mercado2)</f>
        <v>0</v>
      </c>
      <c r="N37" s="4">
        <f>SUMIFS(super1[Qtde],super1[Item],tab_alimentos[[#This Row],[Item]],super1[Bairro],mercado3)+SUMIFS(supercb[Qtde],supercb[Item],tab_alimentos[[#This Row],[Item]],supercb[Bairro],mercado3)</f>
        <v>0</v>
      </c>
      <c r="O37" s="4">
        <f>SUMIFS(super1[Qtde],super1[Item],tab_alimentos[[#This Row],[Item]],super1[Bairro],mercado4)+SUMIFS(supercb[Qtde],supercb[Item],tab_alimentos[[#This Row],[Item]],supercb[Bairro],mercado4)</f>
        <v>0</v>
      </c>
      <c r="P37" s="4">
        <f>SUMIFS(super1[Qtde],super1[Item],tab_alimentos[[#This Row],[Item]],super1[Bairro],mercado5)+SUMIFS(supercb[Qtde],supercb[Item],tab_alimentos[[#This Row],[Item]],supercb[Bairro],mercado5)</f>
        <v>0</v>
      </c>
      <c r="Q37" s="4">
        <f>SUMIFS(super1[Qtde],super1[Item],tab_alimentos[[#This Row],[Item]],super1[Bairro],mercado6)+SUMIFS(supercb[Qtde],supercb[Item],tab_alimentos[[#This Row],[Item]],supercb[Bairro],mercado6)</f>
        <v>0</v>
      </c>
      <c r="R37" s="4">
        <f>SUMIFS(super1[Qtde],super1[Item],tab_alimentos[[#This Row],[Item]],super1[Bairro],mercado7)+SUMIFS(supercb[Qtde],supercb[Item],tab_alimentos[[#This Row],[Item]],supercb[Bairro],mercado7)</f>
        <v>0</v>
      </c>
      <c r="S37" s="4">
        <f>SUMIFS(super1[Qtde],super1[Item],tab_alimentos[[#This Row],[Item]],super1[Bairro],mercado8)+SUMIFS(supercb[Qtde],supercb[Item],tab_alimentos[[#This Row],[Item]],supercb[Bairro],mercado8)</f>
        <v>0</v>
      </c>
      <c r="T37" s="4">
        <f>SUMIFS(super1[Qtde],super1[Item],tab_alimentos[[#This Row],[Item]],super1[Bairro],mercado9)+SUMIFS(supercb[Qtde],supercb[Item],tab_alimentos[[#This Row],[Item]],supercb[Bairro],mercado9)</f>
        <v>0</v>
      </c>
      <c r="U37" s="4">
        <f>SUMIFS(super1[Qtde],super1[Item],tab_alimentos[[#This Row],[Item]],super1[Bairro],mercado10)+SUMIFS(supercb[Qtde],supercb[Item],tab_alimentos[[#This Row],[Item]],supercb[Bairro],mercado10)</f>
        <v>0</v>
      </c>
      <c r="V37" s="4">
        <f>SUMIFS(super1[Qtde],super1[Item],tab_alimentos[[#This Row],[Item]],super1[Bairro],mercado11)+SUMIFS(supercb[Qtde],supercb[Item],tab_alimentos[[#This Row],[Item]],supercb[Bairro],mercado11)</f>
        <v>0</v>
      </c>
      <c r="W37" s="4">
        <f>SUMIFS(super1[Qtde],super1[Item],tab_alimentos[[#This Row],[Item]],super1[Bairro],mercado12)+SUMIFS(supercb[Qtde],supercb[Item],tab_alimentos[[#This Row],[Item]],supercb[Bairro],mercado12)</f>
        <v>0</v>
      </c>
      <c r="X37" s="4">
        <f>SUMIFS(super1[Qtde],super1[Item],tab_alimentos[[#This Row],[Item]],super1[Bairro],mercado13)+SUMIFS(supercb[Qtde],supercb[Item],tab_alimentos[[#This Row],[Item]],supercb[Bairro],mercado13)</f>
        <v>0</v>
      </c>
      <c r="Y37" s="4">
        <f>SUMIFS(super1[Qtde],super1[Item],tab_alimentos[[#This Row],[Item]],super1[Bairro],mercado14)+SUMIFS(supercb[Qtde],supercb[Item],tab_alimentos[[#This Row],[Item]],supercb[Bairro],mercado14)</f>
        <v>0</v>
      </c>
      <c r="Z37" s="4">
        <f>SUMIFS(super1[Qtde],super1[Item],tab_alimentos[[#This Row],[Item]],super1[Bairro],mercado15)+SUMIFS(supercb[Qtde],supercb[Item],tab_alimentos[[#This Row],[Item]],supercb[Bairro],mercado15)</f>
        <v>0</v>
      </c>
      <c r="AA37" s="4">
        <f>SUMIFS(super1[Qtde],super1[Item],tab_alimentos[[#This Row],[Item]],super1[Bairro],mercado16)+SUMIFS(supercb[Qtde],supercb[Item],tab_alimentos[[#This Row],[Item]],supercb[Bairro],mercado16)</f>
        <v>0</v>
      </c>
      <c r="AB37" s="4">
        <f>SUMIFS(super1[Qtde],super1[Item],tab_alimentos[[#This Row],[Item]],super1[Bairro],mercado17)+SUMIFS(supercb[Qtde],supercb[Item],tab_alimentos[[#This Row],[Item]],supercb[Bairro],mercado17)</f>
        <v>0</v>
      </c>
      <c r="AC37" s="4">
        <f>SUMIFS(super1[Qtde],super1[Item],tab_alimentos[[#This Row],[Item]],super1[Bairro],mercado18)+SUMIFS(supercb[Qtde],supercb[Item],tab_alimentos[[#This Row],[Item]],supercb[Bairro],mercado18)</f>
        <v>0</v>
      </c>
      <c r="AD37" s="4">
        <f>SUMIFS(super1[Qtde],super1[Item],tab_alimentos[[#This Row],[Item]],super1[Bairro],extras)+SUMIFS(supercb[Qtde],supercb[Item],tab_alimentos[[#This Row],[Item]],supercb[Bairro],extras)</f>
        <v>0</v>
      </c>
      <c r="AE37" s="4">
        <f t="shared" ref="AE37:AE68" si="18">SUM(L37:AC37)</f>
        <v>0</v>
      </c>
      <c r="AF37" s="4">
        <f t="shared" ref="AF37:AF68" si="19">IFERROR(AE37*K37,0)</f>
        <v>0</v>
      </c>
      <c r="AG37" s="6">
        <f t="shared" ref="AG37:AG68" si="20">IFERROR(J37*AE37,0)</f>
        <v>0</v>
      </c>
      <c r="AH37" s="19" t="str">
        <f>higiene[[#This Row],[Item]]</f>
        <v>B</v>
      </c>
      <c r="AI37" s="4">
        <f>IFERROR(higiene[[#This Row],[Kg equivalente]],0)</f>
        <v>0</v>
      </c>
      <c r="AJ37" s="4">
        <f>IFERROR(higiene[[#This Row],[Preço por produto]],0)</f>
        <v>0</v>
      </c>
      <c r="AK37" s="4">
        <f>SUMIFS(super1[Qtde],super1[Item],tab_higiene[[#This Row],[Item]],super1[Bairro],mercado1)+SUMIFS(supercb[Qtde],supercb[Item],tab_higiene[[#This Row],[Item]],supercb[Bairro],mercado1)</f>
        <v>0</v>
      </c>
      <c r="AL37" s="4">
        <f>SUMIFS(super1[Qtde],super1[Item],tab_higiene[[#This Row],[Item]],super1[Bairro],mercado2)+SUMIFS(supercb[Qtde],supercb[Item],tab_higiene[[#This Row],[Item]],supercb[Bairro],mercado2)</f>
        <v>0</v>
      </c>
      <c r="AM37" s="4">
        <f>SUMIFS(super1[Qtde],super1[Item],tab_higiene[[#This Row],[Item]],super1[Bairro],mercado3)+SUMIFS(supercb[Qtde],supercb[Item],tab_higiene[[#This Row],[Item]],supercb[Bairro],mercado3)</f>
        <v>0</v>
      </c>
      <c r="AN37" s="4">
        <f>SUMIFS(super1[Qtde],super1[Item],tab_higiene[[#This Row],[Item]],super1[Bairro],mercado4)+SUMIFS(supercb[Qtde],supercb[Item],tab_higiene[[#This Row],[Item]],supercb[Bairro],mercado4)</f>
        <v>0</v>
      </c>
      <c r="AO37" s="4">
        <f>SUMIFS(super1[Qtde],super1[Item],tab_higiene[[#This Row],[Item]],super1[Bairro],mercado5)+SUMIFS(supercb[Qtde],supercb[Item],tab_higiene[[#This Row],[Item]],supercb[Bairro],mercado5)</f>
        <v>0</v>
      </c>
      <c r="AP37" s="4">
        <f>SUMIFS(super1[Qtde],super1[Item],tab_higiene[[#This Row],[Item]],super1[Bairro],mercado6)+SUMIFS(supercb[Qtde],supercb[Item],tab_higiene[[#This Row],[Item]],supercb[Bairro],mercado6)</f>
        <v>0</v>
      </c>
      <c r="AQ37" s="4">
        <f>SUMIFS(super1[Qtde],super1[Item],tab_higiene[[#This Row],[Item]],super1[Bairro],mercado7)+SUMIFS(supercb[Qtde],supercb[Item],tab_higiene[[#This Row],[Item]],supercb[Bairro],mercado7)</f>
        <v>0</v>
      </c>
      <c r="AR37" s="4">
        <f>SUMIFS(super1[Qtde],super1[Item],tab_higiene[[#This Row],[Item]],super1[Bairro],mercado8)+SUMIFS(supercb[Qtde],supercb[Item],tab_higiene[[#This Row],[Item]],supercb[Bairro],mercado8)</f>
        <v>0</v>
      </c>
      <c r="AS37" s="4">
        <f>SUMIFS(super1[Qtde],super1[Item],tab_higiene[[#This Row],[Item]],super1[Bairro],mercado9)+SUMIFS(supercb[Qtde],supercb[Item],tab_higiene[[#This Row],[Item]],supercb[Bairro],mercado9)</f>
        <v>0</v>
      </c>
      <c r="AT37" s="4">
        <f>SUMIFS(super1[Qtde],super1[Item],tab_higiene[[#This Row],[Item]],super1[Bairro],mercado10)+SUMIFS(supercb[Qtde],supercb[Item],tab_higiene[[#This Row],[Item]],supercb[Bairro],mercado10)</f>
        <v>0</v>
      </c>
      <c r="AU37" s="4">
        <f>SUMIFS(super1[Qtde],super1[Item],tab_higiene[[#This Row],[Item]],super1[Bairro],mercado11)+SUMIFS(supercb[Qtde],supercb[Item],tab_higiene[[#This Row],[Item]],supercb[Bairro],mercado11)</f>
        <v>0</v>
      </c>
      <c r="AV37" s="4">
        <f>SUMIFS(super1[Qtde],super1[Item],tab_higiene[[#This Row],[Item]],super1[Bairro],mercado12)+SUMIFS(supercb[Qtde],supercb[Item],tab_higiene[[#This Row],[Item]],supercb[Bairro],mercado12)</f>
        <v>0</v>
      </c>
      <c r="AW37" s="4">
        <f>SUMIFS(super1[Qtde],super1[Item],tab_higiene[[#This Row],[Item]],super1[Bairro],mercado13)+SUMIFS(supercb[Qtde],supercb[Item],tab_higiene[[#This Row],[Item]],supercb[Bairro],mercado13)</f>
        <v>0</v>
      </c>
      <c r="AX37" s="4">
        <f>SUMIFS(super1[Qtde],super1[Item],tab_higiene[[#This Row],[Item]],super1[Bairro],mercado14)+SUMIFS(supercb[Qtde],supercb[Item],tab_higiene[[#This Row],[Item]],supercb[Bairro],mercado14)</f>
        <v>0</v>
      </c>
      <c r="AY37" s="4">
        <f>SUMIFS(super1[Qtde],super1[Item],tab_higiene[[#This Row],[Item]],super1[Bairro],mercado15)+SUMIFS(supercb[Qtde],supercb[Item],tab_higiene[[#This Row],[Item]],supercb[Bairro],mercado15)</f>
        <v>0</v>
      </c>
      <c r="AZ37" s="4">
        <f>SUMIFS(super1[Qtde],super1[Item],tab_higiene[[#This Row],[Item]],super1[Bairro],mercado16)+SUMIFS(supercb[Qtde],supercb[Item],tab_higiene[[#This Row],[Item]],supercb[Bairro],mercado16)</f>
        <v>0</v>
      </c>
      <c r="BA37" s="4">
        <f>SUMIFS(super1[Qtde],super1[Item],tab_higiene[[#This Row],[Item]],super1[Bairro],mercado17)+SUMIFS(supercb[Qtde],supercb[Item],tab_higiene[[#This Row],[Item]],supercb[Bairro],mercado17)</f>
        <v>0</v>
      </c>
      <c r="BB37" s="4">
        <f>SUMIFS(super1[Qtde],super1[Item],tab_higiene[[#This Row],[Item]],super1[Bairro],mercado18)+SUMIFS(supercb[Qtde],supercb[Item],tab_higiene[[#This Row],[Item]],supercb[Bairro],mercado18)</f>
        <v>0</v>
      </c>
      <c r="BC37" s="4">
        <f>SUMIFS(super1[Qtde],super1[Item],tab_higiene[[#This Row],[Item]],super1[Bairro],extras)+SUMIFS(supercb[Qtde],supercb[Item],tab_higiene[[#This Row],[Item]],supercb[Bairro],extras)</f>
        <v>0</v>
      </c>
      <c r="BD37" s="4">
        <f t="shared" ref="BD37:BD68" si="21">SUM(AK37:BB37)</f>
        <v>0</v>
      </c>
      <c r="BE37" s="4">
        <f t="shared" ref="BE37:BE68" si="22">IFERROR(BD37*AJ37,0)</f>
        <v>0</v>
      </c>
      <c r="BF37" s="6">
        <f t="shared" ref="BF37:BF68" si="23">IFERROR(AI37*BD37,0)</f>
        <v>0</v>
      </c>
      <c r="BI37" s="1" t="str">
        <f>tab_alimentos[[#This Row],[Item]]</f>
        <v>Arroz Doce (175g)</v>
      </c>
      <c r="BJ37" s="1">
        <f t="shared" si="6"/>
        <v>11</v>
      </c>
      <c r="BK37" s="1" t="str">
        <f t="shared" si="7"/>
        <v>Arroz Doce</v>
      </c>
      <c r="BL37" s="1">
        <f>tab_alimentos[[#This Row],[kg]]</f>
        <v>0</v>
      </c>
      <c r="BM37" s="25" t="s">
        <v>209</v>
      </c>
      <c r="BN37" s="1">
        <f t="shared" si="11"/>
        <v>0</v>
      </c>
      <c r="BP37" s="1" t="str">
        <f>tab_higiene[[#This Row],[Item]]</f>
        <v>B</v>
      </c>
      <c r="BQ37" s="1">
        <f t="shared" si="8"/>
        <v>0</v>
      </c>
      <c r="BR37" s="1" t="str">
        <f t="shared" si="9"/>
        <v>B</v>
      </c>
      <c r="BS37" s="1">
        <f>higiene[[#This Row],[Quantidade]]</f>
        <v>0</v>
      </c>
      <c r="BT37" s="1">
        <f>tab_higiene[[#This Row],[Qtde (tot)]]</f>
        <v>0</v>
      </c>
      <c r="BU37" s="1">
        <f t="shared" si="12"/>
        <v>0</v>
      </c>
      <c r="BV37" s="25" t="s">
        <v>245</v>
      </c>
      <c r="BW37" s="1">
        <f t="shared" ref="BW37:BW68" si="24">SUMIF($BR$5:$BR$142,BV37,$BU$5:$BU$142)</f>
        <v>0</v>
      </c>
    </row>
    <row r="38" spans="1:75" x14ac:dyDescent="0.25">
      <c r="A38" s="110" t="e">
        <f>SUM(tab_alimentos[Preço x Qtde])/SUM(tab_alimentos[kg])</f>
        <v>#DIV/0!</v>
      </c>
      <c r="B38" s="110"/>
      <c r="C38" s="110"/>
      <c r="D38" s="110"/>
      <c r="E38" s="110"/>
      <c r="F38" s="110"/>
      <c r="G38" s="110"/>
      <c r="I38" s="19" t="str">
        <f>alimentos[[#This Row],[Item]]</f>
        <v>Arroz integral (1kg)</v>
      </c>
      <c r="J38" s="4">
        <f>IFERROR(alimentos[[#This Row],[kg/embalagem]],0)</f>
        <v>1</v>
      </c>
      <c r="K38" s="4">
        <f>IFERROR(alimentos[[#This Row],[Preço]],0)</f>
        <v>4.05</v>
      </c>
      <c r="L38" s="4">
        <f>SUMIFS(super1[Qtde],super1[Item],tab_alimentos[[#This Row],[Item]],super1[Bairro],mercado1)+SUMIFS(supercb[Qtde],supercb[Item],tab_alimentos[[#This Row],[Item]],supercb[Bairro],mercado1)</f>
        <v>0</v>
      </c>
      <c r="M38" s="4">
        <f>SUMIFS(super1[Qtde],super1[Item],tab_alimentos[[#This Row],[Item]],super1[Bairro],mercado2)+SUMIFS(supercb[Qtde],supercb[Item],tab_alimentos[[#This Row],[Item]],supercb[Bairro],mercado2)</f>
        <v>0</v>
      </c>
      <c r="N38" s="4">
        <f>SUMIFS(super1[Qtde],super1[Item],tab_alimentos[[#This Row],[Item]],super1[Bairro],mercado3)+SUMIFS(supercb[Qtde],supercb[Item],tab_alimentos[[#This Row],[Item]],supercb[Bairro],mercado3)</f>
        <v>0</v>
      </c>
      <c r="O38" s="4">
        <f>SUMIFS(super1[Qtde],super1[Item],tab_alimentos[[#This Row],[Item]],super1[Bairro],mercado4)+SUMIFS(supercb[Qtde],supercb[Item],tab_alimentos[[#This Row],[Item]],supercb[Bairro],mercado4)</f>
        <v>0</v>
      </c>
      <c r="P38" s="4">
        <f>SUMIFS(super1[Qtde],super1[Item],tab_alimentos[[#This Row],[Item]],super1[Bairro],mercado5)+SUMIFS(supercb[Qtde],supercb[Item],tab_alimentos[[#This Row],[Item]],supercb[Bairro],mercado5)</f>
        <v>0</v>
      </c>
      <c r="Q38" s="4">
        <f>SUMIFS(super1[Qtde],super1[Item],tab_alimentos[[#This Row],[Item]],super1[Bairro],mercado6)+SUMIFS(supercb[Qtde],supercb[Item],tab_alimentos[[#This Row],[Item]],supercb[Bairro],mercado6)</f>
        <v>0</v>
      </c>
      <c r="R38" s="4">
        <f>SUMIFS(super1[Qtde],super1[Item],tab_alimentos[[#This Row],[Item]],super1[Bairro],mercado7)+SUMIFS(supercb[Qtde],supercb[Item],tab_alimentos[[#This Row],[Item]],supercb[Bairro],mercado7)</f>
        <v>0</v>
      </c>
      <c r="S38" s="4">
        <f>SUMIFS(super1[Qtde],super1[Item],tab_alimentos[[#This Row],[Item]],super1[Bairro],mercado8)+SUMIFS(supercb[Qtde],supercb[Item],tab_alimentos[[#This Row],[Item]],supercb[Bairro],mercado8)</f>
        <v>0</v>
      </c>
      <c r="T38" s="4">
        <f>SUMIFS(super1[Qtde],super1[Item],tab_alimentos[[#This Row],[Item]],super1[Bairro],mercado9)+SUMIFS(supercb[Qtde],supercb[Item],tab_alimentos[[#This Row],[Item]],supercb[Bairro],mercado9)</f>
        <v>0</v>
      </c>
      <c r="U38" s="4">
        <f>SUMIFS(super1[Qtde],super1[Item],tab_alimentos[[#This Row],[Item]],super1[Bairro],mercado10)+SUMIFS(supercb[Qtde],supercb[Item],tab_alimentos[[#This Row],[Item]],supercb[Bairro],mercado10)</f>
        <v>0</v>
      </c>
      <c r="V38" s="4">
        <f>SUMIFS(super1[Qtde],super1[Item],tab_alimentos[[#This Row],[Item]],super1[Bairro],mercado11)+SUMIFS(supercb[Qtde],supercb[Item],tab_alimentos[[#This Row],[Item]],supercb[Bairro],mercado11)</f>
        <v>0</v>
      </c>
      <c r="W38" s="4">
        <f>SUMIFS(super1[Qtde],super1[Item],tab_alimentos[[#This Row],[Item]],super1[Bairro],mercado12)+SUMIFS(supercb[Qtde],supercb[Item],tab_alimentos[[#This Row],[Item]],supercb[Bairro],mercado12)</f>
        <v>0</v>
      </c>
      <c r="X38" s="4">
        <f>SUMIFS(super1[Qtde],super1[Item],tab_alimentos[[#This Row],[Item]],super1[Bairro],mercado13)+SUMIFS(supercb[Qtde],supercb[Item],tab_alimentos[[#This Row],[Item]],supercb[Bairro],mercado13)</f>
        <v>0</v>
      </c>
      <c r="Y38" s="4">
        <f>SUMIFS(super1[Qtde],super1[Item],tab_alimentos[[#This Row],[Item]],super1[Bairro],mercado14)+SUMIFS(supercb[Qtde],supercb[Item],tab_alimentos[[#This Row],[Item]],supercb[Bairro],mercado14)</f>
        <v>0</v>
      </c>
      <c r="Z38" s="4">
        <f>SUMIFS(super1[Qtde],super1[Item],tab_alimentos[[#This Row],[Item]],super1[Bairro],mercado15)+SUMIFS(supercb[Qtde],supercb[Item],tab_alimentos[[#This Row],[Item]],supercb[Bairro],mercado15)</f>
        <v>0</v>
      </c>
      <c r="AA38" s="4">
        <f>SUMIFS(super1[Qtde],super1[Item],tab_alimentos[[#This Row],[Item]],super1[Bairro],mercado16)+SUMIFS(supercb[Qtde],supercb[Item],tab_alimentos[[#This Row],[Item]],supercb[Bairro],mercado16)</f>
        <v>0</v>
      </c>
      <c r="AB38" s="4">
        <f>SUMIFS(super1[Qtde],super1[Item],tab_alimentos[[#This Row],[Item]],super1[Bairro],mercado17)+SUMIFS(supercb[Qtde],supercb[Item],tab_alimentos[[#This Row],[Item]],supercb[Bairro],mercado17)</f>
        <v>0</v>
      </c>
      <c r="AC38" s="4">
        <f>SUMIFS(super1[Qtde],super1[Item],tab_alimentos[[#This Row],[Item]],super1[Bairro],mercado18)+SUMIFS(supercb[Qtde],supercb[Item],tab_alimentos[[#This Row],[Item]],supercb[Bairro],mercado18)</f>
        <v>0</v>
      </c>
      <c r="AD38" s="4">
        <f>SUMIFS(super1[Qtde],super1[Item],tab_alimentos[[#This Row],[Item]],super1[Bairro],extras)+SUMIFS(supercb[Qtde],supercb[Item],tab_alimentos[[#This Row],[Item]],supercb[Bairro],extras)</f>
        <v>0</v>
      </c>
      <c r="AE38" s="4">
        <f t="shared" si="18"/>
        <v>0</v>
      </c>
      <c r="AF38" s="4">
        <f t="shared" si="19"/>
        <v>0</v>
      </c>
      <c r="AG38" s="6">
        <f t="shared" si="20"/>
        <v>0</v>
      </c>
      <c r="AH38" s="19" t="str">
        <f>higiene[[#This Row],[Item]]</f>
        <v>Band Aid (10un)</v>
      </c>
      <c r="AI38" s="4">
        <f>IFERROR(higiene[[#This Row],[Kg equivalente]],0)</f>
        <v>0</v>
      </c>
      <c r="AJ38" s="4">
        <f>IFERROR(higiene[[#This Row],[Preço por produto]],0)</f>
        <v>7.99</v>
      </c>
      <c r="AK38" s="4">
        <f>SUMIFS(super1[Qtde],super1[Item],tab_higiene[[#This Row],[Item]],super1[Bairro],mercado1)+SUMIFS(supercb[Qtde],supercb[Item],tab_higiene[[#This Row],[Item]],supercb[Bairro],mercado1)</f>
        <v>0</v>
      </c>
      <c r="AL38" s="4">
        <f>SUMIFS(super1[Qtde],super1[Item],tab_higiene[[#This Row],[Item]],super1[Bairro],mercado2)+SUMIFS(supercb[Qtde],supercb[Item],tab_higiene[[#This Row],[Item]],supercb[Bairro],mercado2)</f>
        <v>0</v>
      </c>
      <c r="AM38" s="4">
        <f>SUMIFS(super1[Qtde],super1[Item],tab_higiene[[#This Row],[Item]],super1[Bairro],mercado3)+SUMIFS(supercb[Qtde],supercb[Item],tab_higiene[[#This Row],[Item]],supercb[Bairro],mercado3)</f>
        <v>0</v>
      </c>
      <c r="AN38" s="4">
        <f>SUMIFS(super1[Qtde],super1[Item],tab_higiene[[#This Row],[Item]],super1[Bairro],mercado4)+SUMIFS(supercb[Qtde],supercb[Item],tab_higiene[[#This Row],[Item]],supercb[Bairro],mercado4)</f>
        <v>0</v>
      </c>
      <c r="AO38" s="4">
        <f>SUMIFS(super1[Qtde],super1[Item],tab_higiene[[#This Row],[Item]],super1[Bairro],mercado5)+SUMIFS(supercb[Qtde],supercb[Item],tab_higiene[[#This Row],[Item]],supercb[Bairro],mercado5)</f>
        <v>0</v>
      </c>
      <c r="AP38" s="4">
        <f>SUMIFS(super1[Qtde],super1[Item],tab_higiene[[#This Row],[Item]],super1[Bairro],mercado6)+SUMIFS(supercb[Qtde],supercb[Item],tab_higiene[[#This Row],[Item]],supercb[Bairro],mercado6)</f>
        <v>0</v>
      </c>
      <c r="AQ38" s="4">
        <f>SUMIFS(super1[Qtde],super1[Item],tab_higiene[[#This Row],[Item]],super1[Bairro],mercado7)+SUMIFS(supercb[Qtde],supercb[Item],tab_higiene[[#This Row],[Item]],supercb[Bairro],mercado7)</f>
        <v>0</v>
      </c>
      <c r="AR38" s="4">
        <f>SUMIFS(super1[Qtde],super1[Item],tab_higiene[[#This Row],[Item]],super1[Bairro],mercado8)+SUMIFS(supercb[Qtde],supercb[Item],tab_higiene[[#This Row],[Item]],supercb[Bairro],mercado8)</f>
        <v>0</v>
      </c>
      <c r="AS38" s="4">
        <f>SUMIFS(super1[Qtde],super1[Item],tab_higiene[[#This Row],[Item]],super1[Bairro],mercado9)+SUMIFS(supercb[Qtde],supercb[Item],tab_higiene[[#This Row],[Item]],supercb[Bairro],mercado9)</f>
        <v>0</v>
      </c>
      <c r="AT38" s="4">
        <f>SUMIFS(super1[Qtde],super1[Item],tab_higiene[[#This Row],[Item]],super1[Bairro],mercado10)+SUMIFS(supercb[Qtde],supercb[Item],tab_higiene[[#This Row],[Item]],supercb[Bairro],mercado10)</f>
        <v>0</v>
      </c>
      <c r="AU38" s="4">
        <f>SUMIFS(super1[Qtde],super1[Item],tab_higiene[[#This Row],[Item]],super1[Bairro],mercado11)+SUMIFS(supercb[Qtde],supercb[Item],tab_higiene[[#This Row],[Item]],supercb[Bairro],mercado11)</f>
        <v>0</v>
      </c>
      <c r="AV38" s="4">
        <f>SUMIFS(super1[Qtde],super1[Item],tab_higiene[[#This Row],[Item]],super1[Bairro],mercado12)+SUMIFS(supercb[Qtde],supercb[Item],tab_higiene[[#This Row],[Item]],supercb[Bairro],mercado12)</f>
        <v>0</v>
      </c>
      <c r="AW38" s="4">
        <f>SUMIFS(super1[Qtde],super1[Item],tab_higiene[[#This Row],[Item]],super1[Bairro],mercado13)+SUMIFS(supercb[Qtde],supercb[Item],tab_higiene[[#This Row],[Item]],supercb[Bairro],mercado13)</f>
        <v>0</v>
      </c>
      <c r="AX38" s="4">
        <f>SUMIFS(super1[Qtde],super1[Item],tab_higiene[[#This Row],[Item]],super1[Bairro],mercado14)+SUMIFS(supercb[Qtde],supercb[Item],tab_higiene[[#This Row],[Item]],supercb[Bairro],mercado14)</f>
        <v>0</v>
      </c>
      <c r="AY38" s="4">
        <f>SUMIFS(super1[Qtde],super1[Item],tab_higiene[[#This Row],[Item]],super1[Bairro],mercado15)+SUMIFS(supercb[Qtde],supercb[Item],tab_higiene[[#This Row],[Item]],supercb[Bairro],mercado15)</f>
        <v>0</v>
      </c>
      <c r="AZ38" s="4">
        <f>SUMIFS(super1[Qtde],super1[Item],tab_higiene[[#This Row],[Item]],super1[Bairro],mercado16)+SUMIFS(supercb[Qtde],supercb[Item],tab_higiene[[#This Row],[Item]],supercb[Bairro],mercado16)</f>
        <v>0</v>
      </c>
      <c r="BA38" s="4">
        <f>SUMIFS(super1[Qtde],super1[Item],tab_higiene[[#This Row],[Item]],super1[Bairro],mercado17)+SUMIFS(supercb[Qtde],supercb[Item],tab_higiene[[#This Row],[Item]],supercb[Bairro],mercado17)</f>
        <v>0</v>
      </c>
      <c r="BB38" s="4">
        <f>SUMIFS(super1[Qtde],super1[Item],tab_higiene[[#This Row],[Item]],super1[Bairro],mercado18)+SUMIFS(supercb[Qtde],supercb[Item],tab_higiene[[#This Row],[Item]],supercb[Bairro],mercado18)</f>
        <v>0</v>
      </c>
      <c r="BC38" s="4">
        <f>SUMIFS(super1[Qtde],super1[Item],tab_higiene[[#This Row],[Item]],super1[Bairro],extras)+SUMIFS(supercb[Qtde],supercb[Item],tab_higiene[[#This Row],[Item]],supercb[Bairro],extras)</f>
        <v>0</v>
      </c>
      <c r="BD38" s="4">
        <f t="shared" si="21"/>
        <v>0</v>
      </c>
      <c r="BE38" s="4">
        <f t="shared" si="22"/>
        <v>0</v>
      </c>
      <c r="BF38" s="6">
        <f t="shared" si="23"/>
        <v>0</v>
      </c>
      <c r="BI38" s="1" t="str">
        <f>tab_alimentos[[#This Row],[Item]]</f>
        <v>Arroz integral (1kg)</v>
      </c>
      <c r="BJ38" s="1">
        <f t="shared" si="6"/>
        <v>15</v>
      </c>
      <c r="BK38" s="1" t="str">
        <f t="shared" si="7"/>
        <v>Arroz integral</v>
      </c>
      <c r="BL38" s="1">
        <f>tab_alimentos[[#This Row],[kg]]</f>
        <v>0</v>
      </c>
      <c r="BM38" s="25" t="s">
        <v>62</v>
      </c>
      <c r="BN38" s="1">
        <f t="shared" si="11"/>
        <v>0</v>
      </c>
      <c r="BP38" s="1" t="str">
        <f>tab_higiene[[#This Row],[Item]]</f>
        <v>Band Aid (10un)</v>
      </c>
      <c r="BQ38" s="1">
        <f t="shared" si="8"/>
        <v>9</v>
      </c>
      <c r="BR38" s="1" t="str">
        <f t="shared" si="9"/>
        <v>Band Aid</v>
      </c>
      <c r="BS38" s="1">
        <f>higiene[[#This Row],[Quantidade]]</f>
        <v>1</v>
      </c>
      <c r="BT38" s="1">
        <f>tab_higiene[[#This Row],[Qtde (tot)]]</f>
        <v>0</v>
      </c>
      <c r="BU38" s="1">
        <f t="shared" si="12"/>
        <v>0</v>
      </c>
      <c r="BV38" s="25" t="s">
        <v>246</v>
      </c>
      <c r="BW38" s="1">
        <f t="shared" si="24"/>
        <v>0</v>
      </c>
    </row>
    <row r="39" spans="1:75" x14ac:dyDescent="0.25">
      <c r="A39" s="110"/>
      <c r="B39" s="110"/>
      <c r="C39" s="110"/>
      <c r="D39" s="110"/>
      <c r="E39" s="110"/>
      <c r="F39" s="110"/>
      <c r="G39" s="110"/>
      <c r="I39" s="19" t="str">
        <f>alimentos[[#This Row],[Item]]</f>
        <v>Arroz integral (500g)</v>
      </c>
      <c r="J39" s="4">
        <f>IFERROR(alimentos[[#This Row],[kg/embalagem]],0)</f>
        <v>0.5</v>
      </c>
      <c r="K39" s="4">
        <f>IFERROR(alimentos[[#This Row],[Preço]],0)</f>
        <v>8.8000000000000007</v>
      </c>
      <c r="L39" s="4">
        <f>SUMIFS(super1[Qtde],super1[Item],tab_alimentos[[#This Row],[Item]],super1[Bairro],mercado1)+SUMIFS(supercb[Qtde],supercb[Item],tab_alimentos[[#This Row],[Item]],supercb[Bairro],mercado1)</f>
        <v>0</v>
      </c>
      <c r="M39" s="4">
        <f>SUMIFS(super1[Qtde],super1[Item],tab_alimentos[[#This Row],[Item]],super1[Bairro],mercado2)+SUMIFS(supercb[Qtde],supercb[Item],tab_alimentos[[#This Row],[Item]],supercb[Bairro],mercado2)</f>
        <v>0</v>
      </c>
      <c r="N39" s="4">
        <f>SUMIFS(super1[Qtde],super1[Item],tab_alimentos[[#This Row],[Item]],super1[Bairro],mercado3)+SUMIFS(supercb[Qtde],supercb[Item],tab_alimentos[[#This Row],[Item]],supercb[Bairro],mercado3)</f>
        <v>0</v>
      </c>
      <c r="O39" s="4">
        <f>SUMIFS(super1[Qtde],super1[Item],tab_alimentos[[#This Row],[Item]],super1[Bairro],mercado4)+SUMIFS(supercb[Qtde],supercb[Item],tab_alimentos[[#This Row],[Item]],supercb[Bairro],mercado4)</f>
        <v>0</v>
      </c>
      <c r="P39" s="4">
        <f>SUMIFS(super1[Qtde],super1[Item],tab_alimentos[[#This Row],[Item]],super1[Bairro],mercado5)+SUMIFS(supercb[Qtde],supercb[Item],tab_alimentos[[#This Row],[Item]],supercb[Bairro],mercado5)</f>
        <v>0</v>
      </c>
      <c r="Q39" s="4">
        <f>SUMIFS(super1[Qtde],super1[Item],tab_alimentos[[#This Row],[Item]],super1[Bairro],mercado6)+SUMIFS(supercb[Qtde],supercb[Item],tab_alimentos[[#This Row],[Item]],supercb[Bairro],mercado6)</f>
        <v>0</v>
      </c>
      <c r="R39" s="4">
        <f>SUMIFS(super1[Qtde],super1[Item],tab_alimentos[[#This Row],[Item]],super1[Bairro],mercado7)+SUMIFS(supercb[Qtde],supercb[Item],tab_alimentos[[#This Row],[Item]],supercb[Bairro],mercado7)</f>
        <v>0</v>
      </c>
      <c r="S39" s="4">
        <f>SUMIFS(super1[Qtde],super1[Item],tab_alimentos[[#This Row],[Item]],super1[Bairro],mercado8)+SUMIFS(supercb[Qtde],supercb[Item],tab_alimentos[[#This Row],[Item]],supercb[Bairro],mercado8)</f>
        <v>0</v>
      </c>
      <c r="T39" s="4">
        <f>SUMIFS(super1[Qtde],super1[Item],tab_alimentos[[#This Row],[Item]],super1[Bairro],mercado9)+SUMIFS(supercb[Qtde],supercb[Item],tab_alimentos[[#This Row],[Item]],supercb[Bairro],mercado9)</f>
        <v>0</v>
      </c>
      <c r="U39" s="4">
        <f>SUMIFS(super1[Qtde],super1[Item],tab_alimentos[[#This Row],[Item]],super1[Bairro],mercado10)+SUMIFS(supercb[Qtde],supercb[Item],tab_alimentos[[#This Row],[Item]],supercb[Bairro],mercado10)</f>
        <v>0</v>
      </c>
      <c r="V39" s="4">
        <f>SUMIFS(super1[Qtde],super1[Item],tab_alimentos[[#This Row],[Item]],super1[Bairro],mercado11)+SUMIFS(supercb[Qtde],supercb[Item],tab_alimentos[[#This Row],[Item]],supercb[Bairro],mercado11)</f>
        <v>0</v>
      </c>
      <c r="W39" s="4">
        <f>SUMIFS(super1[Qtde],super1[Item],tab_alimentos[[#This Row],[Item]],super1[Bairro],mercado12)+SUMIFS(supercb[Qtde],supercb[Item],tab_alimentos[[#This Row],[Item]],supercb[Bairro],mercado12)</f>
        <v>0</v>
      </c>
      <c r="X39" s="4">
        <f>SUMIFS(super1[Qtde],super1[Item],tab_alimentos[[#This Row],[Item]],super1[Bairro],mercado13)+SUMIFS(supercb[Qtde],supercb[Item],tab_alimentos[[#This Row],[Item]],supercb[Bairro],mercado13)</f>
        <v>0</v>
      </c>
      <c r="Y39" s="4">
        <f>SUMIFS(super1[Qtde],super1[Item],tab_alimentos[[#This Row],[Item]],super1[Bairro],mercado14)+SUMIFS(supercb[Qtde],supercb[Item],tab_alimentos[[#This Row],[Item]],supercb[Bairro],mercado14)</f>
        <v>0</v>
      </c>
      <c r="Z39" s="4">
        <f>SUMIFS(super1[Qtde],super1[Item],tab_alimentos[[#This Row],[Item]],super1[Bairro],mercado15)+SUMIFS(supercb[Qtde],supercb[Item],tab_alimentos[[#This Row],[Item]],supercb[Bairro],mercado15)</f>
        <v>0</v>
      </c>
      <c r="AA39" s="4">
        <f>SUMIFS(super1[Qtde],super1[Item],tab_alimentos[[#This Row],[Item]],super1[Bairro],mercado16)+SUMIFS(supercb[Qtde],supercb[Item],tab_alimentos[[#This Row],[Item]],supercb[Bairro],mercado16)</f>
        <v>0</v>
      </c>
      <c r="AB39" s="4">
        <f>SUMIFS(super1[Qtde],super1[Item],tab_alimentos[[#This Row],[Item]],super1[Bairro],mercado17)+SUMIFS(supercb[Qtde],supercb[Item],tab_alimentos[[#This Row],[Item]],supercb[Bairro],mercado17)</f>
        <v>0</v>
      </c>
      <c r="AC39" s="4">
        <f>SUMIFS(super1[Qtde],super1[Item],tab_alimentos[[#This Row],[Item]],super1[Bairro],mercado18)+SUMIFS(supercb[Qtde],supercb[Item],tab_alimentos[[#This Row],[Item]],supercb[Bairro],mercado18)</f>
        <v>0</v>
      </c>
      <c r="AD39" s="4">
        <f>SUMIFS(super1[Qtde],super1[Item],tab_alimentos[[#This Row],[Item]],super1[Bairro],extras)+SUMIFS(supercb[Qtde],supercb[Item],tab_alimentos[[#This Row],[Item]],supercb[Bairro],extras)</f>
        <v>0</v>
      </c>
      <c r="AE39" s="4">
        <f t="shared" si="18"/>
        <v>0</v>
      </c>
      <c r="AF39" s="4">
        <f t="shared" si="19"/>
        <v>0</v>
      </c>
      <c r="AG39" s="6">
        <f t="shared" si="20"/>
        <v>0</v>
      </c>
      <c r="AH39" s="19" t="str">
        <f>higiene[[#This Row],[Item]]</f>
        <v>Band Aid (40un)</v>
      </c>
      <c r="AI39" s="4">
        <f>IFERROR(higiene[[#This Row],[Kg equivalente]],0)</f>
        <v>0</v>
      </c>
      <c r="AJ39" s="4">
        <f>IFERROR(higiene[[#This Row],[Preço por produto]],0)</f>
        <v>15.99</v>
      </c>
      <c r="AK39" s="4">
        <f>SUMIFS(super1[Qtde],super1[Item],tab_higiene[[#This Row],[Item]],super1[Bairro],mercado1)+SUMIFS(supercb[Qtde],supercb[Item],tab_higiene[[#This Row],[Item]],supercb[Bairro],mercado1)</f>
        <v>0</v>
      </c>
      <c r="AL39" s="4">
        <f>SUMIFS(super1[Qtde],super1[Item],tab_higiene[[#This Row],[Item]],super1[Bairro],mercado2)+SUMIFS(supercb[Qtde],supercb[Item],tab_higiene[[#This Row],[Item]],supercb[Bairro],mercado2)</f>
        <v>0</v>
      </c>
      <c r="AM39" s="4">
        <f>SUMIFS(super1[Qtde],super1[Item],tab_higiene[[#This Row],[Item]],super1[Bairro],mercado3)+SUMIFS(supercb[Qtde],supercb[Item],tab_higiene[[#This Row],[Item]],supercb[Bairro],mercado3)</f>
        <v>0</v>
      </c>
      <c r="AN39" s="4">
        <f>SUMIFS(super1[Qtde],super1[Item],tab_higiene[[#This Row],[Item]],super1[Bairro],mercado4)+SUMIFS(supercb[Qtde],supercb[Item],tab_higiene[[#This Row],[Item]],supercb[Bairro],mercado4)</f>
        <v>0</v>
      </c>
      <c r="AO39" s="4">
        <f>SUMIFS(super1[Qtde],super1[Item],tab_higiene[[#This Row],[Item]],super1[Bairro],mercado5)+SUMIFS(supercb[Qtde],supercb[Item],tab_higiene[[#This Row],[Item]],supercb[Bairro],mercado5)</f>
        <v>0</v>
      </c>
      <c r="AP39" s="4">
        <f>SUMIFS(super1[Qtde],super1[Item],tab_higiene[[#This Row],[Item]],super1[Bairro],mercado6)+SUMIFS(supercb[Qtde],supercb[Item],tab_higiene[[#This Row],[Item]],supercb[Bairro],mercado6)</f>
        <v>0</v>
      </c>
      <c r="AQ39" s="4">
        <f>SUMIFS(super1[Qtde],super1[Item],tab_higiene[[#This Row],[Item]],super1[Bairro],mercado7)+SUMIFS(supercb[Qtde],supercb[Item],tab_higiene[[#This Row],[Item]],supercb[Bairro],mercado7)</f>
        <v>0</v>
      </c>
      <c r="AR39" s="4">
        <f>SUMIFS(super1[Qtde],super1[Item],tab_higiene[[#This Row],[Item]],super1[Bairro],mercado8)+SUMIFS(supercb[Qtde],supercb[Item],tab_higiene[[#This Row],[Item]],supercb[Bairro],mercado8)</f>
        <v>0</v>
      </c>
      <c r="AS39" s="4">
        <f>SUMIFS(super1[Qtde],super1[Item],tab_higiene[[#This Row],[Item]],super1[Bairro],mercado9)+SUMIFS(supercb[Qtde],supercb[Item],tab_higiene[[#This Row],[Item]],supercb[Bairro],mercado9)</f>
        <v>0</v>
      </c>
      <c r="AT39" s="4">
        <f>SUMIFS(super1[Qtde],super1[Item],tab_higiene[[#This Row],[Item]],super1[Bairro],mercado10)+SUMIFS(supercb[Qtde],supercb[Item],tab_higiene[[#This Row],[Item]],supercb[Bairro],mercado10)</f>
        <v>0</v>
      </c>
      <c r="AU39" s="4">
        <f>SUMIFS(super1[Qtde],super1[Item],tab_higiene[[#This Row],[Item]],super1[Bairro],mercado11)+SUMIFS(supercb[Qtde],supercb[Item],tab_higiene[[#This Row],[Item]],supercb[Bairro],mercado11)</f>
        <v>0</v>
      </c>
      <c r="AV39" s="4">
        <f>SUMIFS(super1[Qtde],super1[Item],tab_higiene[[#This Row],[Item]],super1[Bairro],mercado12)+SUMIFS(supercb[Qtde],supercb[Item],tab_higiene[[#This Row],[Item]],supercb[Bairro],mercado12)</f>
        <v>0</v>
      </c>
      <c r="AW39" s="4">
        <f>SUMIFS(super1[Qtde],super1[Item],tab_higiene[[#This Row],[Item]],super1[Bairro],mercado13)+SUMIFS(supercb[Qtde],supercb[Item],tab_higiene[[#This Row],[Item]],supercb[Bairro],mercado13)</f>
        <v>0</v>
      </c>
      <c r="AX39" s="4">
        <f>SUMIFS(super1[Qtde],super1[Item],tab_higiene[[#This Row],[Item]],super1[Bairro],mercado14)+SUMIFS(supercb[Qtde],supercb[Item],tab_higiene[[#This Row],[Item]],supercb[Bairro],mercado14)</f>
        <v>0</v>
      </c>
      <c r="AY39" s="4">
        <f>SUMIFS(super1[Qtde],super1[Item],tab_higiene[[#This Row],[Item]],super1[Bairro],mercado15)+SUMIFS(supercb[Qtde],supercb[Item],tab_higiene[[#This Row],[Item]],supercb[Bairro],mercado15)</f>
        <v>0</v>
      </c>
      <c r="AZ39" s="4">
        <f>SUMIFS(super1[Qtde],super1[Item],tab_higiene[[#This Row],[Item]],super1[Bairro],mercado16)+SUMIFS(supercb[Qtde],supercb[Item],tab_higiene[[#This Row],[Item]],supercb[Bairro],mercado16)</f>
        <v>0</v>
      </c>
      <c r="BA39" s="4">
        <f>SUMIFS(super1[Qtde],super1[Item],tab_higiene[[#This Row],[Item]],super1[Bairro],mercado17)+SUMIFS(supercb[Qtde],supercb[Item],tab_higiene[[#This Row],[Item]],supercb[Bairro],mercado17)</f>
        <v>0</v>
      </c>
      <c r="BB39" s="4">
        <f>SUMIFS(super1[Qtde],super1[Item],tab_higiene[[#This Row],[Item]],super1[Bairro],mercado18)+SUMIFS(supercb[Qtde],supercb[Item],tab_higiene[[#This Row],[Item]],supercb[Bairro],mercado18)</f>
        <v>0</v>
      </c>
      <c r="BC39" s="4">
        <f>SUMIFS(super1[Qtde],super1[Item],tab_higiene[[#This Row],[Item]],super1[Bairro],extras)+SUMIFS(supercb[Qtde],supercb[Item],tab_higiene[[#This Row],[Item]],supercb[Bairro],extras)</f>
        <v>0</v>
      </c>
      <c r="BD39" s="4">
        <f t="shared" si="21"/>
        <v>0</v>
      </c>
      <c r="BE39" s="4">
        <f t="shared" si="22"/>
        <v>0</v>
      </c>
      <c r="BF39" s="6">
        <f t="shared" si="23"/>
        <v>0</v>
      </c>
      <c r="BI39" s="1" t="str">
        <f>tab_alimentos[[#This Row],[Item]]</f>
        <v>Arroz integral (500g)</v>
      </c>
      <c r="BJ39" s="1">
        <f t="shared" si="6"/>
        <v>15</v>
      </c>
      <c r="BK39" s="1" t="str">
        <f t="shared" si="7"/>
        <v>Arroz integral</v>
      </c>
      <c r="BL39" s="1">
        <f>tab_alimentos[[#This Row],[kg]]</f>
        <v>0</v>
      </c>
      <c r="BM39" s="25" t="s">
        <v>210</v>
      </c>
      <c r="BN39" s="1">
        <f t="shared" si="11"/>
        <v>0</v>
      </c>
      <c r="BP39" s="1" t="str">
        <f>tab_higiene[[#This Row],[Item]]</f>
        <v>Band Aid (40un)</v>
      </c>
      <c r="BQ39" s="1">
        <f t="shared" si="8"/>
        <v>9</v>
      </c>
      <c r="BR39" s="1" t="str">
        <f t="shared" si="9"/>
        <v>Band Aid</v>
      </c>
      <c r="BS39" s="1">
        <f>higiene[[#This Row],[Quantidade]]</f>
        <v>0</v>
      </c>
      <c r="BT39" s="1">
        <f>tab_higiene[[#This Row],[Qtde (tot)]]</f>
        <v>0</v>
      </c>
      <c r="BU39" s="1">
        <f t="shared" si="12"/>
        <v>0</v>
      </c>
      <c r="BV39" s="25" t="s">
        <v>247</v>
      </c>
      <c r="BW39" s="1">
        <f t="shared" si="24"/>
        <v>0</v>
      </c>
    </row>
    <row r="40" spans="1:75" x14ac:dyDescent="0.25">
      <c r="A40" s="102" t="s">
        <v>177</v>
      </c>
      <c r="B40" s="102"/>
      <c r="C40" s="102"/>
      <c r="D40" s="102"/>
      <c r="E40" s="102"/>
      <c r="F40" s="102"/>
      <c r="G40" s="102"/>
      <c r="I40" s="19" t="str">
        <f>alimentos[[#This Row],[Item]]</f>
        <v>Atum (170g)</v>
      </c>
      <c r="J40" s="4">
        <f>IFERROR(alimentos[[#This Row],[kg/embalagem]],0)</f>
        <v>0.17</v>
      </c>
      <c r="K40" s="4">
        <f>IFERROR(alimentos[[#This Row],[Preço]],0)</f>
        <v>6.18</v>
      </c>
      <c r="L40" s="4">
        <f>SUMIFS(super1[Qtde],super1[Item],tab_alimentos[[#This Row],[Item]],super1[Bairro],mercado1)+SUMIFS(supercb[Qtde],supercb[Item],tab_alimentos[[#This Row],[Item]],supercb[Bairro],mercado1)</f>
        <v>0</v>
      </c>
      <c r="M40" s="4">
        <f>SUMIFS(super1[Qtde],super1[Item],tab_alimentos[[#This Row],[Item]],super1[Bairro],mercado2)+SUMIFS(supercb[Qtde],supercb[Item],tab_alimentos[[#This Row],[Item]],supercb[Bairro],mercado2)</f>
        <v>0</v>
      </c>
      <c r="N40" s="4">
        <f>SUMIFS(super1[Qtde],super1[Item],tab_alimentos[[#This Row],[Item]],super1[Bairro],mercado3)+SUMIFS(supercb[Qtde],supercb[Item],tab_alimentos[[#This Row],[Item]],supercb[Bairro],mercado3)</f>
        <v>0</v>
      </c>
      <c r="O40" s="4">
        <f>SUMIFS(super1[Qtde],super1[Item],tab_alimentos[[#This Row],[Item]],super1[Bairro],mercado4)+SUMIFS(supercb[Qtde],supercb[Item],tab_alimentos[[#This Row],[Item]],supercb[Bairro],mercado4)</f>
        <v>0</v>
      </c>
      <c r="P40" s="4">
        <f>SUMIFS(super1[Qtde],super1[Item],tab_alimentos[[#This Row],[Item]],super1[Bairro],mercado5)+SUMIFS(supercb[Qtde],supercb[Item],tab_alimentos[[#This Row],[Item]],supercb[Bairro],mercado5)</f>
        <v>0</v>
      </c>
      <c r="Q40" s="4">
        <f>SUMIFS(super1[Qtde],super1[Item],tab_alimentos[[#This Row],[Item]],super1[Bairro],mercado6)+SUMIFS(supercb[Qtde],supercb[Item],tab_alimentos[[#This Row],[Item]],supercb[Bairro],mercado6)</f>
        <v>0</v>
      </c>
      <c r="R40" s="4">
        <f>SUMIFS(super1[Qtde],super1[Item],tab_alimentos[[#This Row],[Item]],super1[Bairro],mercado7)+SUMIFS(supercb[Qtde],supercb[Item],tab_alimentos[[#This Row],[Item]],supercb[Bairro],mercado7)</f>
        <v>0</v>
      </c>
      <c r="S40" s="4">
        <f>SUMIFS(super1[Qtde],super1[Item],tab_alimentos[[#This Row],[Item]],super1[Bairro],mercado8)+SUMIFS(supercb[Qtde],supercb[Item],tab_alimentos[[#This Row],[Item]],supercb[Bairro],mercado8)</f>
        <v>0</v>
      </c>
      <c r="T40" s="4">
        <f>SUMIFS(super1[Qtde],super1[Item],tab_alimentos[[#This Row],[Item]],super1[Bairro],mercado9)+SUMIFS(supercb[Qtde],supercb[Item],tab_alimentos[[#This Row],[Item]],supercb[Bairro],mercado9)</f>
        <v>0</v>
      </c>
      <c r="U40" s="4">
        <f>SUMIFS(super1[Qtde],super1[Item],tab_alimentos[[#This Row],[Item]],super1[Bairro],mercado10)+SUMIFS(supercb[Qtde],supercb[Item],tab_alimentos[[#This Row],[Item]],supercb[Bairro],mercado10)</f>
        <v>0</v>
      </c>
      <c r="V40" s="4">
        <f>SUMIFS(super1[Qtde],super1[Item],tab_alimentos[[#This Row],[Item]],super1[Bairro],mercado11)+SUMIFS(supercb[Qtde],supercb[Item],tab_alimentos[[#This Row],[Item]],supercb[Bairro],mercado11)</f>
        <v>0</v>
      </c>
      <c r="W40" s="4">
        <f>SUMIFS(super1[Qtde],super1[Item],tab_alimentos[[#This Row],[Item]],super1[Bairro],mercado12)+SUMIFS(supercb[Qtde],supercb[Item],tab_alimentos[[#This Row],[Item]],supercb[Bairro],mercado12)</f>
        <v>0</v>
      </c>
      <c r="X40" s="4">
        <f>SUMIFS(super1[Qtde],super1[Item],tab_alimentos[[#This Row],[Item]],super1[Bairro],mercado13)+SUMIFS(supercb[Qtde],supercb[Item],tab_alimentos[[#This Row],[Item]],supercb[Bairro],mercado13)</f>
        <v>0</v>
      </c>
      <c r="Y40" s="4">
        <f>SUMIFS(super1[Qtde],super1[Item],tab_alimentos[[#This Row],[Item]],super1[Bairro],mercado14)+SUMIFS(supercb[Qtde],supercb[Item],tab_alimentos[[#This Row],[Item]],supercb[Bairro],mercado14)</f>
        <v>0</v>
      </c>
      <c r="Z40" s="4">
        <f>SUMIFS(super1[Qtde],super1[Item],tab_alimentos[[#This Row],[Item]],super1[Bairro],mercado15)+SUMIFS(supercb[Qtde],supercb[Item],tab_alimentos[[#This Row],[Item]],supercb[Bairro],mercado15)</f>
        <v>0</v>
      </c>
      <c r="AA40" s="4">
        <f>SUMIFS(super1[Qtde],super1[Item],tab_alimentos[[#This Row],[Item]],super1[Bairro],mercado16)+SUMIFS(supercb[Qtde],supercb[Item],tab_alimentos[[#This Row],[Item]],supercb[Bairro],mercado16)</f>
        <v>0</v>
      </c>
      <c r="AB40" s="4">
        <f>SUMIFS(super1[Qtde],super1[Item],tab_alimentos[[#This Row],[Item]],super1[Bairro],mercado17)+SUMIFS(supercb[Qtde],supercb[Item],tab_alimentos[[#This Row],[Item]],supercb[Bairro],mercado17)</f>
        <v>0</v>
      </c>
      <c r="AC40" s="4">
        <f>SUMIFS(super1[Qtde],super1[Item],tab_alimentos[[#This Row],[Item]],super1[Bairro],mercado18)+SUMIFS(supercb[Qtde],supercb[Item],tab_alimentos[[#This Row],[Item]],supercb[Bairro],mercado18)</f>
        <v>0</v>
      </c>
      <c r="AD40" s="4">
        <f>SUMIFS(super1[Qtde],super1[Item],tab_alimentos[[#This Row],[Item]],super1[Bairro],extras)+SUMIFS(supercb[Qtde],supercb[Item],tab_alimentos[[#This Row],[Item]],supercb[Bairro],extras)</f>
        <v>0</v>
      </c>
      <c r="AE40" s="4">
        <f t="shared" si="18"/>
        <v>0</v>
      </c>
      <c r="AF40" s="4">
        <f t="shared" si="19"/>
        <v>0</v>
      </c>
      <c r="AG40" s="6">
        <f t="shared" si="20"/>
        <v>0</v>
      </c>
      <c r="AH40" s="19" t="str">
        <f>higiene[[#This Row],[Item]]</f>
        <v>Bob (8un)</v>
      </c>
      <c r="AI40" s="4">
        <f>IFERROR(higiene[[#This Row],[Kg equivalente]],0)</f>
        <v>0</v>
      </c>
      <c r="AJ40" s="4">
        <f>IFERROR(higiene[[#This Row],[Preço por produto]],0)</f>
        <v>15.6</v>
      </c>
      <c r="AK40" s="4">
        <f>SUMIFS(super1[Qtde],super1[Item],tab_higiene[[#This Row],[Item]],super1[Bairro],mercado1)+SUMIFS(supercb[Qtde],supercb[Item],tab_higiene[[#This Row],[Item]],supercb[Bairro],mercado1)</f>
        <v>0</v>
      </c>
      <c r="AL40" s="4">
        <f>SUMIFS(super1[Qtde],super1[Item],tab_higiene[[#This Row],[Item]],super1[Bairro],mercado2)+SUMIFS(supercb[Qtde],supercb[Item],tab_higiene[[#This Row],[Item]],supercb[Bairro],mercado2)</f>
        <v>0</v>
      </c>
      <c r="AM40" s="4">
        <f>SUMIFS(super1[Qtde],super1[Item],tab_higiene[[#This Row],[Item]],super1[Bairro],mercado3)+SUMIFS(supercb[Qtde],supercb[Item],tab_higiene[[#This Row],[Item]],supercb[Bairro],mercado3)</f>
        <v>0</v>
      </c>
      <c r="AN40" s="4">
        <f>SUMIFS(super1[Qtde],super1[Item],tab_higiene[[#This Row],[Item]],super1[Bairro],mercado4)+SUMIFS(supercb[Qtde],supercb[Item],tab_higiene[[#This Row],[Item]],supercb[Bairro],mercado4)</f>
        <v>0</v>
      </c>
      <c r="AO40" s="4">
        <f>SUMIFS(super1[Qtde],super1[Item],tab_higiene[[#This Row],[Item]],super1[Bairro],mercado5)+SUMIFS(supercb[Qtde],supercb[Item],tab_higiene[[#This Row],[Item]],supercb[Bairro],mercado5)</f>
        <v>0</v>
      </c>
      <c r="AP40" s="4">
        <f>SUMIFS(super1[Qtde],super1[Item],tab_higiene[[#This Row],[Item]],super1[Bairro],mercado6)+SUMIFS(supercb[Qtde],supercb[Item],tab_higiene[[#This Row],[Item]],supercb[Bairro],mercado6)</f>
        <v>0</v>
      </c>
      <c r="AQ40" s="4">
        <f>SUMIFS(super1[Qtde],super1[Item],tab_higiene[[#This Row],[Item]],super1[Bairro],mercado7)+SUMIFS(supercb[Qtde],supercb[Item],tab_higiene[[#This Row],[Item]],supercb[Bairro],mercado7)</f>
        <v>0</v>
      </c>
      <c r="AR40" s="4">
        <f>SUMIFS(super1[Qtde],super1[Item],tab_higiene[[#This Row],[Item]],super1[Bairro],mercado8)+SUMIFS(supercb[Qtde],supercb[Item],tab_higiene[[#This Row],[Item]],supercb[Bairro],mercado8)</f>
        <v>0</v>
      </c>
      <c r="AS40" s="4">
        <f>SUMIFS(super1[Qtde],super1[Item],tab_higiene[[#This Row],[Item]],super1[Bairro],mercado9)+SUMIFS(supercb[Qtde],supercb[Item],tab_higiene[[#This Row],[Item]],supercb[Bairro],mercado9)</f>
        <v>0</v>
      </c>
      <c r="AT40" s="4">
        <f>SUMIFS(super1[Qtde],super1[Item],tab_higiene[[#This Row],[Item]],super1[Bairro],mercado10)+SUMIFS(supercb[Qtde],supercb[Item],tab_higiene[[#This Row],[Item]],supercb[Bairro],mercado10)</f>
        <v>0</v>
      </c>
      <c r="AU40" s="4">
        <f>SUMIFS(super1[Qtde],super1[Item],tab_higiene[[#This Row],[Item]],super1[Bairro],mercado11)+SUMIFS(supercb[Qtde],supercb[Item],tab_higiene[[#This Row],[Item]],supercb[Bairro],mercado11)</f>
        <v>0</v>
      </c>
      <c r="AV40" s="4">
        <f>SUMIFS(super1[Qtde],super1[Item],tab_higiene[[#This Row],[Item]],super1[Bairro],mercado12)+SUMIFS(supercb[Qtde],supercb[Item],tab_higiene[[#This Row],[Item]],supercb[Bairro],mercado12)</f>
        <v>0</v>
      </c>
      <c r="AW40" s="4">
        <f>SUMIFS(super1[Qtde],super1[Item],tab_higiene[[#This Row],[Item]],super1[Bairro],mercado13)+SUMIFS(supercb[Qtde],supercb[Item],tab_higiene[[#This Row],[Item]],supercb[Bairro],mercado13)</f>
        <v>0</v>
      </c>
      <c r="AX40" s="4">
        <f>SUMIFS(super1[Qtde],super1[Item],tab_higiene[[#This Row],[Item]],super1[Bairro],mercado14)+SUMIFS(supercb[Qtde],supercb[Item],tab_higiene[[#This Row],[Item]],supercb[Bairro],mercado14)</f>
        <v>0</v>
      </c>
      <c r="AY40" s="4">
        <f>SUMIFS(super1[Qtde],super1[Item],tab_higiene[[#This Row],[Item]],super1[Bairro],mercado15)+SUMIFS(supercb[Qtde],supercb[Item],tab_higiene[[#This Row],[Item]],supercb[Bairro],mercado15)</f>
        <v>0</v>
      </c>
      <c r="AZ40" s="4">
        <f>SUMIFS(super1[Qtde],super1[Item],tab_higiene[[#This Row],[Item]],super1[Bairro],mercado16)+SUMIFS(supercb[Qtde],supercb[Item],tab_higiene[[#This Row],[Item]],supercb[Bairro],mercado16)</f>
        <v>0</v>
      </c>
      <c r="BA40" s="4">
        <f>SUMIFS(super1[Qtde],super1[Item],tab_higiene[[#This Row],[Item]],super1[Bairro],mercado17)+SUMIFS(supercb[Qtde],supercb[Item],tab_higiene[[#This Row],[Item]],supercb[Bairro],mercado17)</f>
        <v>0</v>
      </c>
      <c r="BB40" s="4">
        <f>SUMIFS(super1[Qtde],super1[Item],tab_higiene[[#This Row],[Item]],super1[Bairro],mercado18)+SUMIFS(supercb[Qtde],supercb[Item],tab_higiene[[#This Row],[Item]],supercb[Bairro],mercado18)</f>
        <v>0</v>
      </c>
      <c r="BC40" s="4">
        <f>SUMIFS(super1[Qtde],super1[Item],tab_higiene[[#This Row],[Item]],super1[Bairro],extras)+SUMIFS(supercb[Qtde],supercb[Item],tab_higiene[[#This Row],[Item]],supercb[Bairro],extras)</f>
        <v>0</v>
      </c>
      <c r="BD40" s="4">
        <f t="shared" si="21"/>
        <v>0</v>
      </c>
      <c r="BE40" s="4">
        <f t="shared" si="22"/>
        <v>0</v>
      </c>
      <c r="BF40" s="6">
        <f t="shared" si="23"/>
        <v>0</v>
      </c>
      <c r="BI40" s="1" t="str">
        <f>tab_alimentos[[#This Row],[Item]]</f>
        <v>Atum (170g)</v>
      </c>
      <c r="BJ40" s="1">
        <f t="shared" si="6"/>
        <v>5</v>
      </c>
      <c r="BK40" s="1" t="str">
        <f t="shared" si="7"/>
        <v>Atum</v>
      </c>
      <c r="BL40" s="1">
        <f>tab_alimentos[[#This Row],[kg]]</f>
        <v>0</v>
      </c>
      <c r="BM40" s="25" t="s">
        <v>211</v>
      </c>
      <c r="BN40" s="1">
        <f t="shared" si="11"/>
        <v>0</v>
      </c>
      <c r="BP40" s="1" t="str">
        <f>tab_higiene[[#This Row],[Item]]</f>
        <v>Bob (8un)</v>
      </c>
      <c r="BQ40" s="1">
        <f t="shared" si="8"/>
        <v>4</v>
      </c>
      <c r="BR40" s="1" t="str">
        <f t="shared" si="9"/>
        <v>Bob</v>
      </c>
      <c r="BS40" s="1">
        <f>higiene[[#This Row],[Quantidade]]</f>
        <v>8</v>
      </c>
      <c r="BT40" s="1">
        <f>tab_higiene[[#This Row],[Qtde (tot)]]</f>
        <v>0</v>
      </c>
      <c r="BU40" s="1">
        <f t="shared" si="12"/>
        <v>0</v>
      </c>
      <c r="BV40" s="25" t="s">
        <v>67</v>
      </c>
      <c r="BW40" s="1">
        <f t="shared" si="24"/>
        <v>0</v>
      </c>
    </row>
    <row r="41" spans="1:75" x14ac:dyDescent="0.25">
      <c r="A41" s="110">
        <f>SUM(tab_alimentos[Preço x Qtde])+SUM(tab_higiene[Preço x Qtde])</f>
        <v>0</v>
      </c>
      <c r="B41" s="110"/>
      <c r="C41" s="110"/>
      <c r="D41" s="110"/>
      <c r="E41" s="110"/>
      <c r="F41" s="110"/>
      <c r="G41" s="110"/>
      <c r="I41" s="19" t="str">
        <f>alimentos[[#This Row],[Item]]</f>
        <v>Atum (325g)</v>
      </c>
      <c r="J41" s="4">
        <f>IFERROR(alimentos[[#This Row],[kg/embalagem]],0)</f>
        <v>0.32500000000000001</v>
      </c>
      <c r="K41" s="4">
        <f>IFERROR(alimentos[[#This Row],[Preço]],0)</f>
        <v>11.26</v>
      </c>
      <c r="L41" s="4">
        <f>SUMIFS(super1[Qtde],super1[Item],tab_alimentos[[#This Row],[Item]],super1[Bairro],mercado1)+SUMIFS(supercb[Qtde],supercb[Item],tab_alimentos[[#This Row],[Item]],supercb[Bairro],mercado1)</f>
        <v>0</v>
      </c>
      <c r="M41" s="4">
        <f>SUMIFS(super1[Qtde],super1[Item],tab_alimentos[[#This Row],[Item]],super1[Bairro],mercado2)+SUMIFS(supercb[Qtde],supercb[Item],tab_alimentos[[#This Row],[Item]],supercb[Bairro],mercado2)</f>
        <v>0</v>
      </c>
      <c r="N41" s="4">
        <f>SUMIFS(super1[Qtde],super1[Item],tab_alimentos[[#This Row],[Item]],super1[Bairro],mercado3)+SUMIFS(supercb[Qtde],supercb[Item],tab_alimentos[[#This Row],[Item]],supercb[Bairro],mercado3)</f>
        <v>0</v>
      </c>
      <c r="O41" s="4">
        <f>SUMIFS(super1[Qtde],super1[Item],tab_alimentos[[#This Row],[Item]],super1[Bairro],mercado4)+SUMIFS(supercb[Qtde],supercb[Item],tab_alimentos[[#This Row],[Item]],supercb[Bairro],mercado4)</f>
        <v>0</v>
      </c>
      <c r="P41" s="4">
        <f>SUMIFS(super1[Qtde],super1[Item],tab_alimentos[[#This Row],[Item]],super1[Bairro],mercado5)+SUMIFS(supercb[Qtde],supercb[Item],tab_alimentos[[#This Row],[Item]],supercb[Bairro],mercado5)</f>
        <v>0</v>
      </c>
      <c r="Q41" s="4">
        <f>SUMIFS(super1[Qtde],super1[Item],tab_alimentos[[#This Row],[Item]],super1[Bairro],mercado6)+SUMIFS(supercb[Qtde],supercb[Item],tab_alimentos[[#This Row],[Item]],supercb[Bairro],mercado6)</f>
        <v>0</v>
      </c>
      <c r="R41" s="4">
        <f>SUMIFS(super1[Qtde],super1[Item],tab_alimentos[[#This Row],[Item]],super1[Bairro],mercado7)+SUMIFS(supercb[Qtde],supercb[Item],tab_alimentos[[#This Row],[Item]],supercb[Bairro],mercado7)</f>
        <v>0</v>
      </c>
      <c r="S41" s="4">
        <f>SUMIFS(super1[Qtde],super1[Item],tab_alimentos[[#This Row],[Item]],super1[Bairro],mercado8)+SUMIFS(supercb[Qtde],supercb[Item],tab_alimentos[[#This Row],[Item]],supercb[Bairro],mercado8)</f>
        <v>0</v>
      </c>
      <c r="T41" s="4">
        <f>SUMIFS(super1[Qtde],super1[Item],tab_alimentos[[#This Row],[Item]],super1[Bairro],mercado9)+SUMIFS(supercb[Qtde],supercb[Item],tab_alimentos[[#This Row],[Item]],supercb[Bairro],mercado9)</f>
        <v>0</v>
      </c>
      <c r="U41" s="4">
        <f>SUMIFS(super1[Qtde],super1[Item],tab_alimentos[[#This Row],[Item]],super1[Bairro],mercado10)+SUMIFS(supercb[Qtde],supercb[Item],tab_alimentos[[#This Row],[Item]],supercb[Bairro],mercado10)</f>
        <v>0</v>
      </c>
      <c r="V41" s="4">
        <f>SUMIFS(super1[Qtde],super1[Item],tab_alimentos[[#This Row],[Item]],super1[Bairro],mercado11)+SUMIFS(supercb[Qtde],supercb[Item],tab_alimentos[[#This Row],[Item]],supercb[Bairro],mercado11)</f>
        <v>0</v>
      </c>
      <c r="W41" s="4">
        <f>SUMIFS(super1[Qtde],super1[Item],tab_alimentos[[#This Row],[Item]],super1[Bairro],mercado12)+SUMIFS(supercb[Qtde],supercb[Item],tab_alimentos[[#This Row],[Item]],supercb[Bairro],mercado12)</f>
        <v>0</v>
      </c>
      <c r="X41" s="4">
        <f>SUMIFS(super1[Qtde],super1[Item],tab_alimentos[[#This Row],[Item]],super1[Bairro],mercado13)+SUMIFS(supercb[Qtde],supercb[Item],tab_alimentos[[#This Row],[Item]],supercb[Bairro],mercado13)</f>
        <v>0</v>
      </c>
      <c r="Y41" s="4">
        <f>SUMIFS(super1[Qtde],super1[Item],tab_alimentos[[#This Row],[Item]],super1[Bairro],mercado14)+SUMIFS(supercb[Qtde],supercb[Item],tab_alimentos[[#This Row],[Item]],supercb[Bairro],mercado14)</f>
        <v>0</v>
      </c>
      <c r="Z41" s="4">
        <f>SUMIFS(super1[Qtde],super1[Item],tab_alimentos[[#This Row],[Item]],super1[Bairro],mercado15)+SUMIFS(supercb[Qtde],supercb[Item],tab_alimentos[[#This Row],[Item]],supercb[Bairro],mercado15)</f>
        <v>0</v>
      </c>
      <c r="AA41" s="4">
        <f>SUMIFS(super1[Qtde],super1[Item],tab_alimentos[[#This Row],[Item]],super1[Bairro],mercado16)+SUMIFS(supercb[Qtde],supercb[Item],tab_alimentos[[#This Row],[Item]],supercb[Bairro],mercado16)</f>
        <v>0</v>
      </c>
      <c r="AB41" s="4">
        <f>SUMIFS(super1[Qtde],super1[Item],tab_alimentos[[#This Row],[Item]],super1[Bairro],mercado17)+SUMIFS(supercb[Qtde],supercb[Item],tab_alimentos[[#This Row],[Item]],supercb[Bairro],mercado17)</f>
        <v>0</v>
      </c>
      <c r="AC41" s="4">
        <f>SUMIFS(super1[Qtde],super1[Item],tab_alimentos[[#This Row],[Item]],super1[Bairro],mercado18)+SUMIFS(supercb[Qtde],supercb[Item],tab_alimentos[[#This Row],[Item]],supercb[Bairro],mercado18)</f>
        <v>0</v>
      </c>
      <c r="AD41" s="4">
        <f>SUMIFS(super1[Qtde],super1[Item],tab_alimentos[[#This Row],[Item]],super1[Bairro],extras)+SUMIFS(supercb[Qtde],supercb[Item],tab_alimentos[[#This Row],[Item]],supercb[Bairro],extras)</f>
        <v>0</v>
      </c>
      <c r="AE41" s="4">
        <f t="shared" si="18"/>
        <v>0</v>
      </c>
      <c r="AF41" s="4">
        <f t="shared" si="19"/>
        <v>0</v>
      </c>
      <c r="AG41" s="6">
        <f t="shared" si="20"/>
        <v>0</v>
      </c>
      <c r="AH41" s="19" t="str">
        <f>higiene[[#This Row],[Item]]</f>
        <v>Brilho Alumínio (2L)</v>
      </c>
      <c r="AI41" s="4">
        <f>IFERROR(higiene[[#This Row],[Kg equivalente]],0)</f>
        <v>0</v>
      </c>
      <c r="AJ41" s="4">
        <f>IFERROR(higiene[[#This Row],[Preço por produto]],0)</f>
        <v>5.89</v>
      </c>
      <c r="AK41" s="4">
        <f>SUMIFS(super1[Qtde],super1[Item],tab_higiene[[#This Row],[Item]],super1[Bairro],mercado1)+SUMIFS(supercb[Qtde],supercb[Item],tab_higiene[[#This Row],[Item]],supercb[Bairro],mercado1)</f>
        <v>0</v>
      </c>
      <c r="AL41" s="4">
        <f>SUMIFS(super1[Qtde],super1[Item],tab_higiene[[#This Row],[Item]],super1[Bairro],mercado2)+SUMIFS(supercb[Qtde],supercb[Item],tab_higiene[[#This Row],[Item]],supercb[Bairro],mercado2)</f>
        <v>0</v>
      </c>
      <c r="AM41" s="4">
        <f>SUMIFS(super1[Qtde],super1[Item],tab_higiene[[#This Row],[Item]],super1[Bairro],mercado3)+SUMIFS(supercb[Qtde],supercb[Item],tab_higiene[[#This Row],[Item]],supercb[Bairro],mercado3)</f>
        <v>0</v>
      </c>
      <c r="AN41" s="4">
        <f>SUMIFS(super1[Qtde],super1[Item],tab_higiene[[#This Row],[Item]],super1[Bairro],mercado4)+SUMIFS(supercb[Qtde],supercb[Item],tab_higiene[[#This Row],[Item]],supercb[Bairro],mercado4)</f>
        <v>0</v>
      </c>
      <c r="AO41" s="4">
        <f>SUMIFS(super1[Qtde],super1[Item],tab_higiene[[#This Row],[Item]],super1[Bairro],mercado5)+SUMIFS(supercb[Qtde],supercb[Item],tab_higiene[[#This Row],[Item]],supercb[Bairro],mercado5)</f>
        <v>0</v>
      </c>
      <c r="AP41" s="4">
        <f>SUMIFS(super1[Qtde],super1[Item],tab_higiene[[#This Row],[Item]],super1[Bairro],mercado6)+SUMIFS(supercb[Qtde],supercb[Item],tab_higiene[[#This Row],[Item]],supercb[Bairro],mercado6)</f>
        <v>0</v>
      </c>
      <c r="AQ41" s="4">
        <f>SUMIFS(super1[Qtde],super1[Item],tab_higiene[[#This Row],[Item]],super1[Bairro],mercado7)+SUMIFS(supercb[Qtde],supercb[Item],tab_higiene[[#This Row],[Item]],supercb[Bairro],mercado7)</f>
        <v>0</v>
      </c>
      <c r="AR41" s="4">
        <f>SUMIFS(super1[Qtde],super1[Item],tab_higiene[[#This Row],[Item]],super1[Bairro],mercado8)+SUMIFS(supercb[Qtde],supercb[Item],tab_higiene[[#This Row],[Item]],supercb[Bairro],mercado8)</f>
        <v>0</v>
      </c>
      <c r="AS41" s="4">
        <f>SUMIFS(super1[Qtde],super1[Item],tab_higiene[[#This Row],[Item]],super1[Bairro],mercado9)+SUMIFS(supercb[Qtde],supercb[Item],tab_higiene[[#This Row],[Item]],supercb[Bairro],mercado9)</f>
        <v>0</v>
      </c>
      <c r="AT41" s="4">
        <f>SUMIFS(super1[Qtde],super1[Item],tab_higiene[[#This Row],[Item]],super1[Bairro],mercado10)+SUMIFS(supercb[Qtde],supercb[Item],tab_higiene[[#This Row],[Item]],supercb[Bairro],mercado10)</f>
        <v>0</v>
      </c>
      <c r="AU41" s="4">
        <f>SUMIFS(super1[Qtde],super1[Item],tab_higiene[[#This Row],[Item]],super1[Bairro],mercado11)+SUMIFS(supercb[Qtde],supercb[Item],tab_higiene[[#This Row],[Item]],supercb[Bairro],mercado11)</f>
        <v>0</v>
      </c>
      <c r="AV41" s="4">
        <f>SUMIFS(super1[Qtde],super1[Item],tab_higiene[[#This Row],[Item]],super1[Bairro],mercado12)+SUMIFS(supercb[Qtde],supercb[Item],tab_higiene[[#This Row],[Item]],supercb[Bairro],mercado12)</f>
        <v>0</v>
      </c>
      <c r="AW41" s="4">
        <f>SUMIFS(super1[Qtde],super1[Item],tab_higiene[[#This Row],[Item]],super1[Bairro],mercado13)+SUMIFS(supercb[Qtde],supercb[Item],tab_higiene[[#This Row],[Item]],supercb[Bairro],mercado13)</f>
        <v>0</v>
      </c>
      <c r="AX41" s="4">
        <f>SUMIFS(super1[Qtde],super1[Item],tab_higiene[[#This Row],[Item]],super1[Bairro],mercado14)+SUMIFS(supercb[Qtde],supercb[Item],tab_higiene[[#This Row],[Item]],supercb[Bairro],mercado14)</f>
        <v>0</v>
      </c>
      <c r="AY41" s="4">
        <f>SUMIFS(super1[Qtde],super1[Item],tab_higiene[[#This Row],[Item]],super1[Bairro],mercado15)+SUMIFS(supercb[Qtde],supercb[Item],tab_higiene[[#This Row],[Item]],supercb[Bairro],mercado15)</f>
        <v>0</v>
      </c>
      <c r="AZ41" s="4">
        <f>SUMIFS(super1[Qtde],super1[Item],tab_higiene[[#This Row],[Item]],super1[Bairro],mercado16)+SUMIFS(supercb[Qtde],supercb[Item],tab_higiene[[#This Row],[Item]],supercb[Bairro],mercado16)</f>
        <v>0</v>
      </c>
      <c r="BA41" s="4">
        <f>SUMIFS(super1[Qtde],super1[Item],tab_higiene[[#This Row],[Item]],super1[Bairro],mercado17)+SUMIFS(supercb[Qtde],supercb[Item],tab_higiene[[#This Row],[Item]],supercb[Bairro],mercado17)</f>
        <v>0</v>
      </c>
      <c r="BB41" s="4">
        <f>SUMIFS(super1[Qtde],super1[Item],tab_higiene[[#This Row],[Item]],super1[Bairro],mercado18)+SUMIFS(supercb[Qtde],supercb[Item],tab_higiene[[#This Row],[Item]],supercb[Bairro],mercado18)</f>
        <v>0</v>
      </c>
      <c r="BC41" s="4">
        <f>SUMIFS(super1[Qtde],super1[Item],tab_higiene[[#This Row],[Item]],super1[Bairro],extras)+SUMIFS(supercb[Qtde],supercb[Item],tab_higiene[[#This Row],[Item]],supercb[Bairro],extras)</f>
        <v>0</v>
      </c>
      <c r="BD41" s="4">
        <f t="shared" si="21"/>
        <v>0</v>
      </c>
      <c r="BE41" s="4">
        <f t="shared" si="22"/>
        <v>0</v>
      </c>
      <c r="BF41" s="6">
        <f t="shared" si="23"/>
        <v>0</v>
      </c>
      <c r="BI41" s="1" t="str">
        <f>tab_alimentos[[#This Row],[Item]]</f>
        <v>Atum (325g)</v>
      </c>
      <c r="BJ41" s="1">
        <f t="shared" si="6"/>
        <v>5</v>
      </c>
      <c r="BK41" s="1" t="str">
        <f t="shared" si="7"/>
        <v>Atum</v>
      </c>
      <c r="BL41" s="1">
        <f>tab_alimentos[[#This Row],[kg]]</f>
        <v>0</v>
      </c>
      <c r="BM41" s="25" t="s">
        <v>212</v>
      </c>
      <c r="BN41" s="1">
        <f t="shared" si="11"/>
        <v>0</v>
      </c>
      <c r="BP41" s="1" t="str">
        <f>tab_higiene[[#This Row],[Item]]</f>
        <v>Brilho Alumínio (2L)</v>
      </c>
      <c r="BQ41" s="1">
        <f t="shared" si="8"/>
        <v>16</v>
      </c>
      <c r="BR41" s="1" t="str">
        <f t="shared" si="9"/>
        <v>Brilho Alumínio</v>
      </c>
      <c r="BS41" s="1">
        <f>higiene[[#This Row],[Quantidade]]</f>
        <v>0.5</v>
      </c>
      <c r="BT41" s="1">
        <f>tab_higiene[[#This Row],[Qtde (tot)]]</f>
        <v>0</v>
      </c>
      <c r="BU41" s="1">
        <f t="shared" si="12"/>
        <v>0</v>
      </c>
      <c r="BV41" s="25" t="s">
        <v>248</v>
      </c>
      <c r="BW41" s="1">
        <f t="shared" si="24"/>
        <v>0</v>
      </c>
    </row>
    <row r="42" spans="1:75" x14ac:dyDescent="0.25">
      <c r="A42" s="110"/>
      <c r="B42" s="110"/>
      <c r="C42" s="110"/>
      <c r="D42" s="110"/>
      <c r="E42" s="110"/>
      <c r="F42" s="110"/>
      <c r="G42" s="110"/>
      <c r="I42" s="19" t="str">
        <f>alimentos[[#This Row],[Item]]</f>
        <v>Atum Lata (140g)</v>
      </c>
      <c r="J42" s="4">
        <f>IFERROR(alimentos[[#This Row],[kg/embalagem]],0)</f>
        <v>0.14000000000000001</v>
      </c>
      <c r="K42" s="4">
        <f>IFERROR(alimentos[[#This Row],[Preço]],0)</f>
        <v>8.89</v>
      </c>
      <c r="L42" s="4">
        <f>SUMIFS(super1[Qtde],super1[Item],tab_alimentos[[#This Row],[Item]],super1[Bairro],mercado1)+SUMIFS(supercb[Qtde],supercb[Item],tab_alimentos[[#This Row],[Item]],supercb[Bairro],mercado1)</f>
        <v>0</v>
      </c>
      <c r="M42" s="4">
        <f>SUMIFS(super1[Qtde],super1[Item],tab_alimentos[[#This Row],[Item]],super1[Bairro],mercado2)+SUMIFS(supercb[Qtde],supercb[Item],tab_alimentos[[#This Row],[Item]],supercb[Bairro],mercado2)</f>
        <v>0</v>
      </c>
      <c r="N42" s="4">
        <f>SUMIFS(super1[Qtde],super1[Item],tab_alimentos[[#This Row],[Item]],super1[Bairro],mercado3)+SUMIFS(supercb[Qtde],supercb[Item],tab_alimentos[[#This Row],[Item]],supercb[Bairro],mercado3)</f>
        <v>0</v>
      </c>
      <c r="O42" s="4">
        <f>SUMIFS(super1[Qtde],super1[Item],tab_alimentos[[#This Row],[Item]],super1[Bairro],mercado4)+SUMIFS(supercb[Qtde],supercb[Item],tab_alimentos[[#This Row],[Item]],supercb[Bairro],mercado4)</f>
        <v>0</v>
      </c>
      <c r="P42" s="4">
        <f>SUMIFS(super1[Qtde],super1[Item],tab_alimentos[[#This Row],[Item]],super1[Bairro],mercado5)+SUMIFS(supercb[Qtde],supercb[Item],tab_alimentos[[#This Row],[Item]],supercb[Bairro],mercado5)</f>
        <v>0</v>
      </c>
      <c r="Q42" s="4">
        <f>SUMIFS(super1[Qtde],super1[Item],tab_alimentos[[#This Row],[Item]],super1[Bairro],mercado6)+SUMIFS(supercb[Qtde],supercb[Item],tab_alimentos[[#This Row],[Item]],supercb[Bairro],mercado6)</f>
        <v>0</v>
      </c>
      <c r="R42" s="4">
        <f>SUMIFS(super1[Qtde],super1[Item],tab_alimentos[[#This Row],[Item]],super1[Bairro],mercado7)+SUMIFS(supercb[Qtde],supercb[Item],tab_alimentos[[#This Row],[Item]],supercb[Bairro],mercado7)</f>
        <v>0</v>
      </c>
      <c r="S42" s="4">
        <f>SUMIFS(super1[Qtde],super1[Item],tab_alimentos[[#This Row],[Item]],super1[Bairro],mercado8)+SUMIFS(supercb[Qtde],supercb[Item],tab_alimentos[[#This Row],[Item]],supercb[Bairro],mercado8)</f>
        <v>0</v>
      </c>
      <c r="T42" s="4">
        <f>SUMIFS(super1[Qtde],super1[Item],tab_alimentos[[#This Row],[Item]],super1[Bairro],mercado9)+SUMIFS(supercb[Qtde],supercb[Item],tab_alimentos[[#This Row],[Item]],supercb[Bairro],mercado9)</f>
        <v>0</v>
      </c>
      <c r="U42" s="4">
        <f>SUMIFS(super1[Qtde],super1[Item],tab_alimentos[[#This Row],[Item]],super1[Bairro],mercado10)+SUMIFS(supercb[Qtde],supercb[Item],tab_alimentos[[#This Row],[Item]],supercb[Bairro],mercado10)</f>
        <v>0</v>
      </c>
      <c r="V42" s="4">
        <f>SUMIFS(super1[Qtde],super1[Item],tab_alimentos[[#This Row],[Item]],super1[Bairro],mercado11)+SUMIFS(supercb[Qtde],supercb[Item],tab_alimentos[[#This Row],[Item]],supercb[Bairro],mercado11)</f>
        <v>0</v>
      </c>
      <c r="W42" s="4">
        <f>SUMIFS(super1[Qtde],super1[Item],tab_alimentos[[#This Row],[Item]],super1[Bairro],mercado12)+SUMIFS(supercb[Qtde],supercb[Item],tab_alimentos[[#This Row],[Item]],supercb[Bairro],mercado12)</f>
        <v>0</v>
      </c>
      <c r="X42" s="4">
        <f>SUMIFS(super1[Qtde],super1[Item],tab_alimentos[[#This Row],[Item]],super1[Bairro],mercado13)+SUMIFS(supercb[Qtde],supercb[Item],tab_alimentos[[#This Row],[Item]],supercb[Bairro],mercado13)</f>
        <v>0</v>
      </c>
      <c r="Y42" s="4">
        <f>SUMIFS(super1[Qtde],super1[Item],tab_alimentos[[#This Row],[Item]],super1[Bairro],mercado14)+SUMIFS(supercb[Qtde],supercb[Item],tab_alimentos[[#This Row],[Item]],supercb[Bairro],mercado14)</f>
        <v>0</v>
      </c>
      <c r="Z42" s="4">
        <f>SUMIFS(super1[Qtde],super1[Item],tab_alimentos[[#This Row],[Item]],super1[Bairro],mercado15)+SUMIFS(supercb[Qtde],supercb[Item],tab_alimentos[[#This Row],[Item]],supercb[Bairro],mercado15)</f>
        <v>0</v>
      </c>
      <c r="AA42" s="4">
        <f>SUMIFS(super1[Qtde],super1[Item],tab_alimentos[[#This Row],[Item]],super1[Bairro],mercado16)+SUMIFS(supercb[Qtde],supercb[Item],tab_alimentos[[#This Row],[Item]],supercb[Bairro],mercado16)</f>
        <v>0</v>
      </c>
      <c r="AB42" s="4">
        <f>SUMIFS(super1[Qtde],super1[Item],tab_alimentos[[#This Row],[Item]],super1[Bairro],mercado17)+SUMIFS(supercb[Qtde],supercb[Item],tab_alimentos[[#This Row],[Item]],supercb[Bairro],mercado17)</f>
        <v>0</v>
      </c>
      <c r="AC42" s="4">
        <f>SUMIFS(super1[Qtde],super1[Item],tab_alimentos[[#This Row],[Item]],super1[Bairro],mercado18)+SUMIFS(supercb[Qtde],supercb[Item],tab_alimentos[[#This Row],[Item]],supercb[Bairro],mercado18)</f>
        <v>0</v>
      </c>
      <c r="AD42" s="4">
        <f>SUMIFS(super1[Qtde],super1[Item],tab_alimentos[[#This Row],[Item]],super1[Bairro],extras)+SUMIFS(supercb[Qtde],supercb[Item],tab_alimentos[[#This Row],[Item]],supercb[Bairro],extras)</f>
        <v>0</v>
      </c>
      <c r="AE42" s="4">
        <f t="shared" si="18"/>
        <v>0</v>
      </c>
      <c r="AF42" s="4">
        <f t="shared" si="19"/>
        <v>0</v>
      </c>
      <c r="AG42" s="6">
        <f t="shared" si="20"/>
        <v>0</v>
      </c>
      <c r="AH42" s="19" t="str">
        <f>higiene[[#This Row],[Item]]</f>
        <v>Brilho Alumínio (500mL)</v>
      </c>
      <c r="AI42" s="4">
        <f>IFERROR(higiene[[#This Row],[Kg equivalente]],0)</f>
        <v>0</v>
      </c>
      <c r="AJ42" s="4">
        <f>IFERROR(higiene[[#This Row],[Preço por produto]],0)</f>
        <v>9.1</v>
      </c>
      <c r="AK42" s="4">
        <f>SUMIFS(super1[Qtde],super1[Item],tab_higiene[[#This Row],[Item]],super1[Bairro],mercado1)+SUMIFS(supercb[Qtde],supercb[Item],tab_higiene[[#This Row],[Item]],supercb[Bairro],mercado1)</f>
        <v>0</v>
      </c>
      <c r="AL42" s="4">
        <f>SUMIFS(super1[Qtde],super1[Item],tab_higiene[[#This Row],[Item]],super1[Bairro],mercado2)+SUMIFS(supercb[Qtde],supercb[Item],tab_higiene[[#This Row],[Item]],supercb[Bairro],mercado2)</f>
        <v>0</v>
      </c>
      <c r="AM42" s="4">
        <f>SUMIFS(super1[Qtde],super1[Item],tab_higiene[[#This Row],[Item]],super1[Bairro],mercado3)+SUMIFS(supercb[Qtde],supercb[Item],tab_higiene[[#This Row],[Item]],supercb[Bairro],mercado3)</f>
        <v>0</v>
      </c>
      <c r="AN42" s="4">
        <f>SUMIFS(super1[Qtde],super1[Item],tab_higiene[[#This Row],[Item]],super1[Bairro],mercado4)+SUMIFS(supercb[Qtde],supercb[Item],tab_higiene[[#This Row],[Item]],supercb[Bairro],mercado4)</f>
        <v>0</v>
      </c>
      <c r="AO42" s="4">
        <f>SUMIFS(super1[Qtde],super1[Item],tab_higiene[[#This Row],[Item]],super1[Bairro],mercado5)+SUMIFS(supercb[Qtde],supercb[Item],tab_higiene[[#This Row],[Item]],supercb[Bairro],mercado5)</f>
        <v>0</v>
      </c>
      <c r="AP42" s="4">
        <f>SUMIFS(super1[Qtde],super1[Item],tab_higiene[[#This Row],[Item]],super1[Bairro],mercado6)+SUMIFS(supercb[Qtde],supercb[Item],tab_higiene[[#This Row],[Item]],supercb[Bairro],mercado6)</f>
        <v>0</v>
      </c>
      <c r="AQ42" s="4">
        <f>SUMIFS(super1[Qtde],super1[Item],tab_higiene[[#This Row],[Item]],super1[Bairro],mercado7)+SUMIFS(supercb[Qtde],supercb[Item],tab_higiene[[#This Row],[Item]],supercb[Bairro],mercado7)</f>
        <v>0</v>
      </c>
      <c r="AR42" s="4">
        <f>SUMIFS(super1[Qtde],super1[Item],tab_higiene[[#This Row],[Item]],super1[Bairro],mercado8)+SUMIFS(supercb[Qtde],supercb[Item],tab_higiene[[#This Row],[Item]],supercb[Bairro],mercado8)</f>
        <v>0</v>
      </c>
      <c r="AS42" s="4">
        <f>SUMIFS(super1[Qtde],super1[Item],tab_higiene[[#This Row],[Item]],super1[Bairro],mercado9)+SUMIFS(supercb[Qtde],supercb[Item],tab_higiene[[#This Row],[Item]],supercb[Bairro],mercado9)</f>
        <v>0</v>
      </c>
      <c r="AT42" s="4">
        <f>SUMIFS(super1[Qtde],super1[Item],tab_higiene[[#This Row],[Item]],super1[Bairro],mercado10)+SUMIFS(supercb[Qtde],supercb[Item],tab_higiene[[#This Row],[Item]],supercb[Bairro],mercado10)</f>
        <v>0</v>
      </c>
      <c r="AU42" s="4">
        <f>SUMIFS(super1[Qtde],super1[Item],tab_higiene[[#This Row],[Item]],super1[Bairro],mercado11)+SUMIFS(supercb[Qtde],supercb[Item],tab_higiene[[#This Row],[Item]],supercb[Bairro],mercado11)</f>
        <v>0</v>
      </c>
      <c r="AV42" s="4">
        <f>SUMIFS(super1[Qtde],super1[Item],tab_higiene[[#This Row],[Item]],super1[Bairro],mercado12)+SUMIFS(supercb[Qtde],supercb[Item],tab_higiene[[#This Row],[Item]],supercb[Bairro],mercado12)</f>
        <v>0</v>
      </c>
      <c r="AW42" s="4">
        <f>SUMIFS(super1[Qtde],super1[Item],tab_higiene[[#This Row],[Item]],super1[Bairro],mercado13)+SUMIFS(supercb[Qtde],supercb[Item],tab_higiene[[#This Row],[Item]],supercb[Bairro],mercado13)</f>
        <v>0</v>
      </c>
      <c r="AX42" s="4">
        <f>SUMIFS(super1[Qtde],super1[Item],tab_higiene[[#This Row],[Item]],super1[Bairro],mercado14)+SUMIFS(supercb[Qtde],supercb[Item],tab_higiene[[#This Row],[Item]],supercb[Bairro],mercado14)</f>
        <v>0</v>
      </c>
      <c r="AY42" s="4">
        <f>SUMIFS(super1[Qtde],super1[Item],tab_higiene[[#This Row],[Item]],super1[Bairro],mercado15)+SUMIFS(supercb[Qtde],supercb[Item],tab_higiene[[#This Row],[Item]],supercb[Bairro],mercado15)</f>
        <v>0</v>
      </c>
      <c r="AZ42" s="4">
        <f>SUMIFS(super1[Qtde],super1[Item],tab_higiene[[#This Row],[Item]],super1[Bairro],mercado16)+SUMIFS(supercb[Qtde],supercb[Item],tab_higiene[[#This Row],[Item]],supercb[Bairro],mercado16)</f>
        <v>0</v>
      </c>
      <c r="BA42" s="4">
        <f>SUMIFS(super1[Qtde],super1[Item],tab_higiene[[#This Row],[Item]],super1[Bairro],mercado17)+SUMIFS(supercb[Qtde],supercb[Item],tab_higiene[[#This Row],[Item]],supercb[Bairro],mercado17)</f>
        <v>0</v>
      </c>
      <c r="BB42" s="4">
        <f>SUMIFS(super1[Qtde],super1[Item],tab_higiene[[#This Row],[Item]],super1[Bairro],mercado18)+SUMIFS(supercb[Qtde],supercb[Item],tab_higiene[[#This Row],[Item]],supercb[Bairro],mercado18)</f>
        <v>0</v>
      </c>
      <c r="BC42" s="4">
        <f>SUMIFS(super1[Qtde],super1[Item],tab_higiene[[#This Row],[Item]],super1[Bairro],extras)+SUMIFS(supercb[Qtde],supercb[Item],tab_higiene[[#This Row],[Item]],supercb[Bairro],extras)</f>
        <v>0</v>
      </c>
      <c r="BD42" s="4">
        <f t="shared" si="21"/>
        <v>0</v>
      </c>
      <c r="BE42" s="4">
        <f t="shared" si="22"/>
        <v>0</v>
      </c>
      <c r="BF42" s="6">
        <f t="shared" si="23"/>
        <v>0</v>
      </c>
      <c r="BI42" s="1" t="str">
        <f>tab_alimentos[[#This Row],[Item]]</f>
        <v>Atum Lata (140g)</v>
      </c>
      <c r="BJ42" s="1">
        <f t="shared" si="6"/>
        <v>10</v>
      </c>
      <c r="BK42" s="1" t="str">
        <f t="shared" si="7"/>
        <v>Atum Lata</v>
      </c>
      <c r="BL42" s="1">
        <f>tab_alimentos[[#This Row],[kg]]</f>
        <v>0</v>
      </c>
      <c r="BM42" s="25" t="s">
        <v>63</v>
      </c>
      <c r="BN42" s="1">
        <f t="shared" si="11"/>
        <v>0</v>
      </c>
      <c r="BP42" s="1" t="str">
        <f>tab_higiene[[#This Row],[Item]]</f>
        <v>Brilho Alumínio (500mL)</v>
      </c>
      <c r="BQ42" s="1">
        <f t="shared" si="8"/>
        <v>16</v>
      </c>
      <c r="BR42" s="1" t="str">
        <f t="shared" si="9"/>
        <v>Brilho Alumínio</v>
      </c>
      <c r="BS42" s="1">
        <f>higiene[[#This Row],[Quantidade]]</f>
        <v>1</v>
      </c>
      <c r="BT42" s="1">
        <f>tab_higiene[[#This Row],[Qtde (tot)]]</f>
        <v>0</v>
      </c>
      <c r="BU42" s="1">
        <f t="shared" si="12"/>
        <v>0</v>
      </c>
      <c r="BV42" s="25" t="s">
        <v>68</v>
      </c>
      <c r="BW42" s="1">
        <f t="shared" si="24"/>
        <v>0</v>
      </c>
    </row>
    <row r="43" spans="1:75" x14ac:dyDescent="0.25">
      <c r="A43" s="102" t="s">
        <v>178</v>
      </c>
      <c r="B43" s="102"/>
      <c r="C43" s="102"/>
      <c r="D43" s="102"/>
      <c r="E43" s="102"/>
      <c r="F43" s="102"/>
      <c r="G43" s="102"/>
      <c r="I43" s="19" t="str">
        <f>alimentos[[#This Row],[Item]]</f>
        <v>Aveia (170g)</v>
      </c>
      <c r="J43" s="4">
        <f>IFERROR(alimentos[[#This Row],[kg/embalagem]],0)</f>
        <v>0.17</v>
      </c>
      <c r="K43" s="4">
        <f>IFERROR(alimentos[[#This Row],[Preço]],0)</f>
        <v>6.39</v>
      </c>
      <c r="L43" s="4">
        <f>SUMIFS(super1[Qtde],super1[Item],tab_alimentos[[#This Row],[Item]],super1[Bairro],mercado1)+SUMIFS(supercb[Qtde],supercb[Item],tab_alimentos[[#This Row],[Item]],supercb[Bairro],mercado1)</f>
        <v>0</v>
      </c>
      <c r="M43" s="4">
        <f>SUMIFS(super1[Qtde],super1[Item],tab_alimentos[[#This Row],[Item]],super1[Bairro],mercado2)+SUMIFS(supercb[Qtde],supercb[Item],tab_alimentos[[#This Row],[Item]],supercb[Bairro],mercado2)</f>
        <v>0</v>
      </c>
      <c r="N43" s="4">
        <f>SUMIFS(super1[Qtde],super1[Item],tab_alimentos[[#This Row],[Item]],super1[Bairro],mercado3)+SUMIFS(supercb[Qtde],supercb[Item],tab_alimentos[[#This Row],[Item]],supercb[Bairro],mercado3)</f>
        <v>0</v>
      </c>
      <c r="O43" s="4">
        <f>SUMIFS(super1[Qtde],super1[Item],tab_alimentos[[#This Row],[Item]],super1[Bairro],mercado4)+SUMIFS(supercb[Qtde],supercb[Item],tab_alimentos[[#This Row],[Item]],supercb[Bairro],mercado4)</f>
        <v>0</v>
      </c>
      <c r="P43" s="4">
        <f>SUMIFS(super1[Qtde],super1[Item],tab_alimentos[[#This Row],[Item]],super1[Bairro],mercado5)+SUMIFS(supercb[Qtde],supercb[Item],tab_alimentos[[#This Row],[Item]],supercb[Bairro],mercado5)</f>
        <v>0</v>
      </c>
      <c r="Q43" s="4">
        <f>SUMIFS(super1[Qtde],super1[Item],tab_alimentos[[#This Row],[Item]],super1[Bairro],mercado6)+SUMIFS(supercb[Qtde],supercb[Item],tab_alimentos[[#This Row],[Item]],supercb[Bairro],mercado6)</f>
        <v>0</v>
      </c>
      <c r="R43" s="4">
        <f>SUMIFS(super1[Qtde],super1[Item],tab_alimentos[[#This Row],[Item]],super1[Bairro],mercado7)+SUMIFS(supercb[Qtde],supercb[Item],tab_alimentos[[#This Row],[Item]],supercb[Bairro],mercado7)</f>
        <v>0</v>
      </c>
      <c r="S43" s="4">
        <f>SUMIFS(super1[Qtde],super1[Item],tab_alimentos[[#This Row],[Item]],super1[Bairro],mercado8)+SUMIFS(supercb[Qtde],supercb[Item],tab_alimentos[[#This Row],[Item]],supercb[Bairro],mercado8)</f>
        <v>0</v>
      </c>
      <c r="T43" s="4">
        <f>SUMIFS(super1[Qtde],super1[Item],tab_alimentos[[#This Row],[Item]],super1[Bairro],mercado9)+SUMIFS(supercb[Qtde],supercb[Item],tab_alimentos[[#This Row],[Item]],supercb[Bairro],mercado9)</f>
        <v>0</v>
      </c>
      <c r="U43" s="4">
        <f>SUMIFS(super1[Qtde],super1[Item],tab_alimentos[[#This Row],[Item]],super1[Bairro],mercado10)+SUMIFS(supercb[Qtde],supercb[Item],tab_alimentos[[#This Row],[Item]],supercb[Bairro],mercado10)</f>
        <v>0</v>
      </c>
      <c r="V43" s="4">
        <f>SUMIFS(super1[Qtde],super1[Item],tab_alimentos[[#This Row],[Item]],super1[Bairro],mercado11)+SUMIFS(supercb[Qtde],supercb[Item],tab_alimentos[[#This Row],[Item]],supercb[Bairro],mercado11)</f>
        <v>0</v>
      </c>
      <c r="W43" s="4">
        <f>SUMIFS(super1[Qtde],super1[Item],tab_alimentos[[#This Row],[Item]],super1[Bairro],mercado12)+SUMIFS(supercb[Qtde],supercb[Item],tab_alimentos[[#This Row],[Item]],supercb[Bairro],mercado12)</f>
        <v>0</v>
      </c>
      <c r="X43" s="4">
        <f>SUMIFS(super1[Qtde],super1[Item],tab_alimentos[[#This Row],[Item]],super1[Bairro],mercado13)+SUMIFS(supercb[Qtde],supercb[Item],tab_alimentos[[#This Row],[Item]],supercb[Bairro],mercado13)</f>
        <v>0</v>
      </c>
      <c r="Y43" s="4">
        <f>SUMIFS(super1[Qtde],super1[Item],tab_alimentos[[#This Row],[Item]],super1[Bairro],mercado14)+SUMIFS(supercb[Qtde],supercb[Item],tab_alimentos[[#This Row],[Item]],supercb[Bairro],mercado14)</f>
        <v>0</v>
      </c>
      <c r="Z43" s="4">
        <f>SUMIFS(super1[Qtde],super1[Item],tab_alimentos[[#This Row],[Item]],super1[Bairro],mercado15)+SUMIFS(supercb[Qtde],supercb[Item],tab_alimentos[[#This Row],[Item]],supercb[Bairro],mercado15)</f>
        <v>0</v>
      </c>
      <c r="AA43" s="4">
        <f>SUMIFS(super1[Qtde],super1[Item],tab_alimentos[[#This Row],[Item]],super1[Bairro],mercado16)+SUMIFS(supercb[Qtde],supercb[Item],tab_alimentos[[#This Row],[Item]],supercb[Bairro],mercado16)</f>
        <v>0</v>
      </c>
      <c r="AB43" s="4">
        <f>SUMIFS(super1[Qtde],super1[Item],tab_alimentos[[#This Row],[Item]],super1[Bairro],mercado17)+SUMIFS(supercb[Qtde],supercb[Item],tab_alimentos[[#This Row],[Item]],supercb[Bairro],mercado17)</f>
        <v>0</v>
      </c>
      <c r="AC43" s="4">
        <f>SUMIFS(super1[Qtde],super1[Item],tab_alimentos[[#This Row],[Item]],super1[Bairro],mercado18)+SUMIFS(supercb[Qtde],supercb[Item],tab_alimentos[[#This Row],[Item]],supercb[Bairro],mercado18)</f>
        <v>0</v>
      </c>
      <c r="AD43" s="4">
        <f>SUMIFS(super1[Qtde],super1[Item],tab_alimentos[[#This Row],[Item]],super1[Bairro],extras)+SUMIFS(supercb[Qtde],supercb[Item],tab_alimentos[[#This Row],[Item]],supercb[Bairro],extras)</f>
        <v>0</v>
      </c>
      <c r="AE43" s="4">
        <f t="shared" si="18"/>
        <v>0</v>
      </c>
      <c r="AF43" s="4">
        <f t="shared" si="19"/>
        <v>0</v>
      </c>
      <c r="AG43" s="6">
        <f t="shared" si="20"/>
        <v>0</v>
      </c>
      <c r="AH43" s="19" t="str">
        <f>higiene[[#This Row],[Item]]</f>
        <v>Bucha (1un)</v>
      </c>
      <c r="AI43" s="4">
        <f>IFERROR(higiene[[#This Row],[Kg equivalente]],0)</f>
        <v>0</v>
      </c>
      <c r="AJ43" s="4">
        <f>IFERROR(higiene[[#This Row],[Preço por produto]],0)</f>
        <v>6.59</v>
      </c>
      <c r="AK43" s="4">
        <f>SUMIFS(super1[Qtde],super1[Item],tab_higiene[[#This Row],[Item]],super1[Bairro],mercado1)+SUMIFS(supercb[Qtde],supercb[Item],tab_higiene[[#This Row],[Item]],supercb[Bairro],mercado1)</f>
        <v>0</v>
      </c>
      <c r="AL43" s="4">
        <f>SUMIFS(super1[Qtde],super1[Item],tab_higiene[[#This Row],[Item]],super1[Bairro],mercado2)+SUMIFS(supercb[Qtde],supercb[Item],tab_higiene[[#This Row],[Item]],supercb[Bairro],mercado2)</f>
        <v>0</v>
      </c>
      <c r="AM43" s="4">
        <f>SUMIFS(super1[Qtde],super1[Item],tab_higiene[[#This Row],[Item]],super1[Bairro],mercado3)+SUMIFS(supercb[Qtde],supercb[Item],tab_higiene[[#This Row],[Item]],supercb[Bairro],mercado3)</f>
        <v>0</v>
      </c>
      <c r="AN43" s="4">
        <f>SUMIFS(super1[Qtde],super1[Item],tab_higiene[[#This Row],[Item]],super1[Bairro],mercado4)+SUMIFS(supercb[Qtde],supercb[Item],tab_higiene[[#This Row],[Item]],supercb[Bairro],mercado4)</f>
        <v>0</v>
      </c>
      <c r="AO43" s="4">
        <f>SUMIFS(super1[Qtde],super1[Item],tab_higiene[[#This Row],[Item]],super1[Bairro],mercado5)+SUMIFS(supercb[Qtde],supercb[Item],tab_higiene[[#This Row],[Item]],supercb[Bairro],mercado5)</f>
        <v>0</v>
      </c>
      <c r="AP43" s="4">
        <f>SUMIFS(super1[Qtde],super1[Item],tab_higiene[[#This Row],[Item]],super1[Bairro],mercado6)+SUMIFS(supercb[Qtde],supercb[Item],tab_higiene[[#This Row],[Item]],supercb[Bairro],mercado6)</f>
        <v>0</v>
      </c>
      <c r="AQ43" s="4">
        <f>SUMIFS(super1[Qtde],super1[Item],tab_higiene[[#This Row],[Item]],super1[Bairro],mercado7)+SUMIFS(supercb[Qtde],supercb[Item],tab_higiene[[#This Row],[Item]],supercb[Bairro],mercado7)</f>
        <v>0</v>
      </c>
      <c r="AR43" s="4">
        <f>SUMIFS(super1[Qtde],super1[Item],tab_higiene[[#This Row],[Item]],super1[Bairro],mercado8)+SUMIFS(supercb[Qtde],supercb[Item],tab_higiene[[#This Row],[Item]],supercb[Bairro],mercado8)</f>
        <v>0</v>
      </c>
      <c r="AS43" s="4">
        <f>SUMIFS(super1[Qtde],super1[Item],tab_higiene[[#This Row],[Item]],super1[Bairro],mercado9)+SUMIFS(supercb[Qtde],supercb[Item],tab_higiene[[#This Row],[Item]],supercb[Bairro],mercado9)</f>
        <v>0</v>
      </c>
      <c r="AT43" s="4">
        <f>SUMIFS(super1[Qtde],super1[Item],tab_higiene[[#This Row],[Item]],super1[Bairro],mercado10)+SUMIFS(supercb[Qtde],supercb[Item],tab_higiene[[#This Row],[Item]],supercb[Bairro],mercado10)</f>
        <v>0</v>
      </c>
      <c r="AU43" s="4">
        <f>SUMIFS(super1[Qtde],super1[Item],tab_higiene[[#This Row],[Item]],super1[Bairro],mercado11)+SUMIFS(supercb[Qtde],supercb[Item],tab_higiene[[#This Row],[Item]],supercb[Bairro],mercado11)</f>
        <v>0</v>
      </c>
      <c r="AV43" s="4">
        <f>SUMIFS(super1[Qtde],super1[Item],tab_higiene[[#This Row],[Item]],super1[Bairro],mercado12)+SUMIFS(supercb[Qtde],supercb[Item],tab_higiene[[#This Row],[Item]],supercb[Bairro],mercado12)</f>
        <v>0</v>
      </c>
      <c r="AW43" s="4">
        <f>SUMIFS(super1[Qtde],super1[Item],tab_higiene[[#This Row],[Item]],super1[Bairro],mercado13)+SUMIFS(supercb[Qtde],supercb[Item],tab_higiene[[#This Row],[Item]],supercb[Bairro],mercado13)</f>
        <v>0</v>
      </c>
      <c r="AX43" s="4">
        <f>SUMIFS(super1[Qtde],super1[Item],tab_higiene[[#This Row],[Item]],super1[Bairro],mercado14)+SUMIFS(supercb[Qtde],supercb[Item],tab_higiene[[#This Row],[Item]],supercb[Bairro],mercado14)</f>
        <v>0</v>
      </c>
      <c r="AY43" s="4">
        <f>SUMIFS(super1[Qtde],super1[Item],tab_higiene[[#This Row],[Item]],super1[Bairro],mercado15)+SUMIFS(supercb[Qtde],supercb[Item],tab_higiene[[#This Row],[Item]],supercb[Bairro],mercado15)</f>
        <v>0</v>
      </c>
      <c r="AZ43" s="4">
        <f>SUMIFS(super1[Qtde],super1[Item],tab_higiene[[#This Row],[Item]],super1[Bairro],mercado16)+SUMIFS(supercb[Qtde],supercb[Item],tab_higiene[[#This Row],[Item]],supercb[Bairro],mercado16)</f>
        <v>0</v>
      </c>
      <c r="BA43" s="4">
        <f>SUMIFS(super1[Qtde],super1[Item],tab_higiene[[#This Row],[Item]],super1[Bairro],mercado17)+SUMIFS(supercb[Qtde],supercb[Item],tab_higiene[[#This Row],[Item]],supercb[Bairro],mercado17)</f>
        <v>0</v>
      </c>
      <c r="BB43" s="4">
        <f>SUMIFS(super1[Qtde],super1[Item],tab_higiene[[#This Row],[Item]],super1[Bairro],mercado18)+SUMIFS(supercb[Qtde],supercb[Item],tab_higiene[[#This Row],[Item]],supercb[Bairro],mercado18)</f>
        <v>0</v>
      </c>
      <c r="BC43" s="4">
        <f>SUMIFS(super1[Qtde],super1[Item],tab_higiene[[#This Row],[Item]],super1[Bairro],extras)+SUMIFS(supercb[Qtde],supercb[Item],tab_higiene[[#This Row],[Item]],supercb[Bairro],extras)</f>
        <v>0</v>
      </c>
      <c r="BD43" s="4">
        <f t="shared" si="21"/>
        <v>0</v>
      </c>
      <c r="BE43" s="4">
        <f t="shared" si="22"/>
        <v>0</v>
      </c>
      <c r="BF43" s="6">
        <f t="shared" si="23"/>
        <v>0</v>
      </c>
      <c r="BI43" s="1" t="str">
        <f>tab_alimentos[[#This Row],[Item]]</f>
        <v>Aveia (170g)</v>
      </c>
      <c r="BJ43" s="1">
        <f t="shared" si="6"/>
        <v>6</v>
      </c>
      <c r="BK43" s="1" t="str">
        <f t="shared" si="7"/>
        <v>Aveia</v>
      </c>
      <c r="BL43" s="1">
        <f>tab_alimentos[[#This Row],[kg]]</f>
        <v>0</v>
      </c>
      <c r="BM43" s="25" t="s">
        <v>64</v>
      </c>
      <c r="BN43" s="1">
        <f t="shared" si="11"/>
        <v>0</v>
      </c>
      <c r="BP43" s="1" t="str">
        <f>tab_higiene[[#This Row],[Item]]</f>
        <v>Bucha (1un)</v>
      </c>
      <c r="BQ43" s="1">
        <f t="shared" si="8"/>
        <v>6</v>
      </c>
      <c r="BR43" s="1" t="str">
        <f t="shared" si="9"/>
        <v>Bucha</v>
      </c>
      <c r="BS43" s="1">
        <f>higiene[[#This Row],[Quantidade]]</f>
        <v>1</v>
      </c>
      <c r="BT43" s="1">
        <f>tab_higiene[[#This Row],[Qtde (tot)]]</f>
        <v>0</v>
      </c>
      <c r="BU43" s="1">
        <f t="shared" si="12"/>
        <v>0</v>
      </c>
      <c r="BV43" s="25" t="s">
        <v>69</v>
      </c>
      <c r="BW43" s="1">
        <f t="shared" si="24"/>
        <v>0</v>
      </c>
    </row>
    <row r="44" spans="1:75" x14ac:dyDescent="0.25">
      <c r="A44" s="110">
        <f>A32+A35</f>
        <v>0</v>
      </c>
      <c r="B44" s="110"/>
      <c r="C44" s="110"/>
      <c r="D44" s="110"/>
      <c r="E44" s="110"/>
      <c r="F44" s="110"/>
      <c r="G44" s="110"/>
      <c r="I44" s="19" t="str">
        <f>alimentos[[#This Row],[Item]]</f>
        <v>Aveia (200g)</v>
      </c>
      <c r="J44" s="4">
        <f>IFERROR(alimentos[[#This Row],[kg/embalagem]],0)</f>
        <v>0.2</v>
      </c>
      <c r="K44" s="4">
        <f>IFERROR(alimentos[[#This Row],[Preço]],0)</f>
        <v>6.99</v>
      </c>
      <c r="L44" s="4">
        <f>SUMIFS(super1[Qtde],super1[Item],tab_alimentos[[#This Row],[Item]],super1[Bairro],mercado1)+SUMIFS(supercb[Qtde],supercb[Item],tab_alimentos[[#This Row],[Item]],supercb[Bairro],mercado1)</f>
        <v>0</v>
      </c>
      <c r="M44" s="4">
        <f>SUMIFS(super1[Qtde],super1[Item],tab_alimentos[[#This Row],[Item]],super1[Bairro],mercado2)+SUMIFS(supercb[Qtde],supercb[Item],tab_alimentos[[#This Row],[Item]],supercb[Bairro],mercado2)</f>
        <v>0</v>
      </c>
      <c r="N44" s="4">
        <f>SUMIFS(super1[Qtde],super1[Item],tab_alimentos[[#This Row],[Item]],super1[Bairro],mercado3)+SUMIFS(supercb[Qtde],supercb[Item],tab_alimentos[[#This Row],[Item]],supercb[Bairro],mercado3)</f>
        <v>0</v>
      </c>
      <c r="O44" s="4">
        <f>SUMIFS(super1[Qtde],super1[Item],tab_alimentos[[#This Row],[Item]],super1[Bairro],mercado4)+SUMIFS(supercb[Qtde],supercb[Item],tab_alimentos[[#This Row],[Item]],supercb[Bairro],mercado4)</f>
        <v>0</v>
      </c>
      <c r="P44" s="4">
        <f>SUMIFS(super1[Qtde],super1[Item],tab_alimentos[[#This Row],[Item]],super1[Bairro],mercado5)+SUMIFS(supercb[Qtde],supercb[Item],tab_alimentos[[#This Row],[Item]],supercb[Bairro],mercado5)</f>
        <v>0</v>
      </c>
      <c r="Q44" s="4">
        <f>SUMIFS(super1[Qtde],super1[Item],tab_alimentos[[#This Row],[Item]],super1[Bairro],mercado6)+SUMIFS(supercb[Qtde],supercb[Item],tab_alimentos[[#This Row],[Item]],supercb[Bairro],mercado6)</f>
        <v>0</v>
      </c>
      <c r="R44" s="4">
        <f>SUMIFS(super1[Qtde],super1[Item],tab_alimentos[[#This Row],[Item]],super1[Bairro],mercado7)+SUMIFS(supercb[Qtde],supercb[Item],tab_alimentos[[#This Row],[Item]],supercb[Bairro],mercado7)</f>
        <v>0</v>
      </c>
      <c r="S44" s="4">
        <f>SUMIFS(super1[Qtde],super1[Item],tab_alimentos[[#This Row],[Item]],super1[Bairro],mercado8)+SUMIFS(supercb[Qtde],supercb[Item],tab_alimentos[[#This Row],[Item]],supercb[Bairro],mercado8)</f>
        <v>0</v>
      </c>
      <c r="T44" s="4">
        <f>SUMIFS(super1[Qtde],super1[Item],tab_alimentos[[#This Row],[Item]],super1[Bairro],mercado9)+SUMIFS(supercb[Qtde],supercb[Item],tab_alimentos[[#This Row],[Item]],supercb[Bairro],mercado9)</f>
        <v>0</v>
      </c>
      <c r="U44" s="4">
        <f>SUMIFS(super1[Qtde],super1[Item],tab_alimentos[[#This Row],[Item]],super1[Bairro],mercado10)+SUMIFS(supercb[Qtde],supercb[Item],tab_alimentos[[#This Row],[Item]],supercb[Bairro],mercado10)</f>
        <v>0</v>
      </c>
      <c r="V44" s="4">
        <f>SUMIFS(super1[Qtde],super1[Item],tab_alimentos[[#This Row],[Item]],super1[Bairro],mercado11)+SUMIFS(supercb[Qtde],supercb[Item],tab_alimentos[[#This Row],[Item]],supercb[Bairro],mercado11)</f>
        <v>0</v>
      </c>
      <c r="W44" s="4">
        <f>SUMIFS(super1[Qtde],super1[Item],tab_alimentos[[#This Row],[Item]],super1[Bairro],mercado12)+SUMIFS(supercb[Qtde],supercb[Item],tab_alimentos[[#This Row],[Item]],supercb[Bairro],mercado12)</f>
        <v>0</v>
      </c>
      <c r="X44" s="4">
        <f>SUMIFS(super1[Qtde],super1[Item],tab_alimentos[[#This Row],[Item]],super1[Bairro],mercado13)+SUMIFS(supercb[Qtde],supercb[Item],tab_alimentos[[#This Row],[Item]],supercb[Bairro],mercado13)</f>
        <v>0</v>
      </c>
      <c r="Y44" s="4">
        <f>SUMIFS(super1[Qtde],super1[Item],tab_alimentos[[#This Row],[Item]],super1[Bairro],mercado14)+SUMIFS(supercb[Qtde],supercb[Item],tab_alimentos[[#This Row],[Item]],supercb[Bairro],mercado14)</f>
        <v>0</v>
      </c>
      <c r="Z44" s="4">
        <f>SUMIFS(super1[Qtde],super1[Item],tab_alimentos[[#This Row],[Item]],super1[Bairro],mercado15)+SUMIFS(supercb[Qtde],supercb[Item],tab_alimentos[[#This Row],[Item]],supercb[Bairro],mercado15)</f>
        <v>0</v>
      </c>
      <c r="AA44" s="4">
        <f>SUMIFS(super1[Qtde],super1[Item],tab_alimentos[[#This Row],[Item]],super1[Bairro],mercado16)+SUMIFS(supercb[Qtde],supercb[Item],tab_alimentos[[#This Row],[Item]],supercb[Bairro],mercado16)</f>
        <v>0</v>
      </c>
      <c r="AB44" s="4">
        <f>SUMIFS(super1[Qtde],super1[Item],tab_alimentos[[#This Row],[Item]],super1[Bairro],mercado17)+SUMIFS(supercb[Qtde],supercb[Item],tab_alimentos[[#This Row],[Item]],supercb[Bairro],mercado17)</f>
        <v>0</v>
      </c>
      <c r="AC44" s="4">
        <f>SUMIFS(super1[Qtde],super1[Item],tab_alimentos[[#This Row],[Item]],super1[Bairro],mercado18)+SUMIFS(supercb[Qtde],supercb[Item],tab_alimentos[[#This Row],[Item]],supercb[Bairro],mercado18)</f>
        <v>0</v>
      </c>
      <c r="AD44" s="4">
        <f>SUMIFS(super1[Qtde],super1[Item],tab_alimentos[[#This Row],[Item]],super1[Bairro],extras)+SUMIFS(supercb[Qtde],supercb[Item],tab_alimentos[[#This Row],[Item]],supercb[Bairro],extras)</f>
        <v>0</v>
      </c>
      <c r="AE44" s="4">
        <f t="shared" si="18"/>
        <v>0</v>
      </c>
      <c r="AF44" s="4">
        <f t="shared" si="19"/>
        <v>0</v>
      </c>
      <c r="AG44" s="6">
        <f t="shared" si="20"/>
        <v>0</v>
      </c>
      <c r="AH44" s="19" t="str">
        <f>higiene[[#This Row],[Item]]</f>
        <v>C</v>
      </c>
      <c r="AI44" s="4">
        <f>IFERROR(higiene[[#This Row],[Kg equivalente]],0)</f>
        <v>0</v>
      </c>
      <c r="AJ44" s="4">
        <f>IFERROR(higiene[[#This Row],[Preço por produto]],0)</f>
        <v>0</v>
      </c>
      <c r="AK44" s="4">
        <f>SUMIFS(super1[Qtde],super1[Item],tab_higiene[[#This Row],[Item]],super1[Bairro],mercado1)+SUMIFS(supercb[Qtde],supercb[Item],tab_higiene[[#This Row],[Item]],supercb[Bairro],mercado1)</f>
        <v>0</v>
      </c>
      <c r="AL44" s="4">
        <f>SUMIFS(super1[Qtde],super1[Item],tab_higiene[[#This Row],[Item]],super1[Bairro],mercado2)+SUMIFS(supercb[Qtde],supercb[Item],tab_higiene[[#This Row],[Item]],supercb[Bairro],mercado2)</f>
        <v>0</v>
      </c>
      <c r="AM44" s="4">
        <f>SUMIFS(super1[Qtde],super1[Item],tab_higiene[[#This Row],[Item]],super1[Bairro],mercado3)+SUMIFS(supercb[Qtde],supercb[Item],tab_higiene[[#This Row],[Item]],supercb[Bairro],mercado3)</f>
        <v>0</v>
      </c>
      <c r="AN44" s="4">
        <f>SUMIFS(super1[Qtde],super1[Item],tab_higiene[[#This Row],[Item]],super1[Bairro],mercado4)+SUMIFS(supercb[Qtde],supercb[Item],tab_higiene[[#This Row],[Item]],supercb[Bairro],mercado4)</f>
        <v>0</v>
      </c>
      <c r="AO44" s="4">
        <f>SUMIFS(super1[Qtde],super1[Item],tab_higiene[[#This Row],[Item]],super1[Bairro],mercado5)+SUMIFS(supercb[Qtde],supercb[Item],tab_higiene[[#This Row],[Item]],supercb[Bairro],mercado5)</f>
        <v>0</v>
      </c>
      <c r="AP44" s="4">
        <f>SUMIFS(super1[Qtde],super1[Item],tab_higiene[[#This Row],[Item]],super1[Bairro],mercado6)+SUMIFS(supercb[Qtde],supercb[Item],tab_higiene[[#This Row],[Item]],supercb[Bairro],mercado6)</f>
        <v>0</v>
      </c>
      <c r="AQ44" s="4">
        <f>SUMIFS(super1[Qtde],super1[Item],tab_higiene[[#This Row],[Item]],super1[Bairro],mercado7)+SUMIFS(supercb[Qtde],supercb[Item],tab_higiene[[#This Row],[Item]],supercb[Bairro],mercado7)</f>
        <v>0</v>
      </c>
      <c r="AR44" s="4">
        <f>SUMIFS(super1[Qtde],super1[Item],tab_higiene[[#This Row],[Item]],super1[Bairro],mercado8)+SUMIFS(supercb[Qtde],supercb[Item],tab_higiene[[#This Row],[Item]],supercb[Bairro],mercado8)</f>
        <v>0</v>
      </c>
      <c r="AS44" s="4">
        <f>SUMIFS(super1[Qtde],super1[Item],tab_higiene[[#This Row],[Item]],super1[Bairro],mercado9)+SUMIFS(supercb[Qtde],supercb[Item],tab_higiene[[#This Row],[Item]],supercb[Bairro],mercado9)</f>
        <v>0</v>
      </c>
      <c r="AT44" s="4">
        <f>SUMIFS(super1[Qtde],super1[Item],tab_higiene[[#This Row],[Item]],super1[Bairro],mercado10)+SUMIFS(supercb[Qtde],supercb[Item],tab_higiene[[#This Row],[Item]],supercb[Bairro],mercado10)</f>
        <v>0</v>
      </c>
      <c r="AU44" s="4">
        <f>SUMIFS(super1[Qtde],super1[Item],tab_higiene[[#This Row],[Item]],super1[Bairro],mercado11)+SUMIFS(supercb[Qtde],supercb[Item],tab_higiene[[#This Row],[Item]],supercb[Bairro],mercado11)</f>
        <v>0</v>
      </c>
      <c r="AV44" s="4">
        <f>SUMIFS(super1[Qtde],super1[Item],tab_higiene[[#This Row],[Item]],super1[Bairro],mercado12)+SUMIFS(supercb[Qtde],supercb[Item],tab_higiene[[#This Row],[Item]],supercb[Bairro],mercado12)</f>
        <v>0</v>
      </c>
      <c r="AW44" s="4">
        <f>SUMIFS(super1[Qtde],super1[Item],tab_higiene[[#This Row],[Item]],super1[Bairro],mercado13)+SUMIFS(supercb[Qtde],supercb[Item],tab_higiene[[#This Row],[Item]],supercb[Bairro],mercado13)</f>
        <v>0</v>
      </c>
      <c r="AX44" s="4">
        <f>SUMIFS(super1[Qtde],super1[Item],tab_higiene[[#This Row],[Item]],super1[Bairro],mercado14)+SUMIFS(supercb[Qtde],supercb[Item],tab_higiene[[#This Row],[Item]],supercb[Bairro],mercado14)</f>
        <v>0</v>
      </c>
      <c r="AY44" s="4">
        <f>SUMIFS(super1[Qtde],super1[Item],tab_higiene[[#This Row],[Item]],super1[Bairro],mercado15)+SUMIFS(supercb[Qtde],supercb[Item],tab_higiene[[#This Row],[Item]],supercb[Bairro],mercado15)</f>
        <v>0</v>
      </c>
      <c r="AZ44" s="4">
        <f>SUMIFS(super1[Qtde],super1[Item],tab_higiene[[#This Row],[Item]],super1[Bairro],mercado16)+SUMIFS(supercb[Qtde],supercb[Item],tab_higiene[[#This Row],[Item]],supercb[Bairro],mercado16)</f>
        <v>0</v>
      </c>
      <c r="BA44" s="4">
        <f>SUMIFS(super1[Qtde],super1[Item],tab_higiene[[#This Row],[Item]],super1[Bairro],mercado17)+SUMIFS(supercb[Qtde],supercb[Item],tab_higiene[[#This Row],[Item]],supercb[Bairro],mercado17)</f>
        <v>0</v>
      </c>
      <c r="BB44" s="4">
        <f>SUMIFS(super1[Qtde],super1[Item],tab_higiene[[#This Row],[Item]],super1[Bairro],mercado18)+SUMIFS(supercb[Qtde],supercb[Item],tab_higiene[[#This Row],[Item]],supercb[Bairro],mercado18)</f>
        <v>0</v>
      </c>
      <c r="BC44" s="4">
        <f>SUMIFS(super1[Qtde],super1[Item],tab_higiene[[#This Row],[Item]],super1[Bairro],extras)+SUMIFS(supercb[Qtde],supercb[Item],tab_higiene[[#This Row],[Item]],supercb[Bairro],extras)</f>
        <v>0</v>
      </c>
      <c r="BD44" s="4">
        <f t="shared" si="21"/>
        <v>0</v>
      </c>
      <c r="BE44" s="4">
        <f t="shared" si="22"/>
        <v>0</v>
      </c>
      <c r="BF44" s="6">
        <f t="shared" si="23"/>
        <v>0</v>
      </c>
      <c r="BI44" s="1" t="str">
        <f>tab_alimentos[[#This Row],[Item]]</f>
        <v>Aveia (200g)</v>
      </c>
      <c r="BJ44" s="1">
        <f t="shared" si="6"/>
        <v>6</v>
      </c>
      <c r="BK44" s="1" t="str">
        <f t="shared" si="7"/>
        <v>Aveia</v>
      </c>
      <c r="BL44" s="1">
        <f>tab_alimentos[[#This Row],[kg]]</f>
        <v>0</v>
      </c>
      <c r="BM44" s="25" t="s">
        <v>65</v>
      </c>
      <c r="BN44" s="1">
        <f t="shared" si="11"/>
        <v>0</v>
      </c>
      <c r="BP44" s="1" t="str">
        <f>tab_higiene[[#This Row],[Item]]</f>
        <v>C</v>
      </c>
      <c r="BQ44" s="1">
        <f t="shared" si="8"/>
        <v>0</v>
      </c>
      <c r="BR44" s="1" t="str">
        <f t="shared" si="9"/>
        <v>C</v>
      </c>
      <c r="BS44" s="1">
        <f>higiene[[#This Row],[Quantidade]]</f>
        <v>0</v>
      </c>
      <c r="BT44" s="1">
        <f>tab_higiene[[#This Row],[Qtde (tot)]]</f>
        <v>0</v>
      </c>
      <c r="BU44" s="1">
        <f t="shared" si="12"/>
        <v>0</v>
      </c>
      <c r="BV44" s="25" t="s">
        <v>70</v>
      </c>
      <c r="BW44" s="1">
        <f t="shared" si="24"/>
        <v>0</v>
      </c>
    </row>
    <row r="45" spans="1:75" x14ac:dyDescent="0.25">
      <c r="A45" s="110"/>
      <c r="B45" s="110"/>
      <c r="C45" s="110"/>
      <c r="D45" s="110"/>
      <c r="E45" s="110"/>
      <c r="F45" s="110"/>
      <c r="G45" s="110"/>
      <c r="I45" s="19" t="str">
        <f>alimentos[[#This Row],[Item]]</f>
        <v>Aveia (500g)</v>
      </c>
      <c r="J45" s="4">
        <f>IFERROR(alimentos[[#This Row],[kg/embalagem]],0)</f>
        <v>0.5</v>
      </c>
      <c r="K45" s="4">
        <f>IFERROR(alimentos[[#This Row],[Preço]],0)</f>
        <v>8.99</v>
      </c>
      <c r="L45" s="4">
        <f>SUMIFS(super1[Qtde],super1[Item],tab_alimentos[[#This Row],[Item]],super1[Bairro],mercado1)+SUMIFS(supercb[Qtde],supercb[Item],tab_alimentos[[#This Row],[Item]],supercb[Bairro],mercado1)</f>
        <v>0</v>
      </c>
      <c r="M45" s="4">
        <f>SUMIFS(super1[Qtde],super1[Item],tab_alimentos[[#This Row],[Item]],super1[Bairro],mercado2)+SUMIFS(supercb[Qtde],supercb[Item],tab_alimentos[[#This Row],[Item]],supercb[Bairro],mercado2)</f>
        <v>0</v>
      </c>
      <c r="N45" s="4">
        <f>SUMIFS(super1[Qtde],super1[Item],tab_alimentos[[#This Row],[Item]],super1[Bairro],mercado3)+SUMIFS(supercb[Qtde],supercb[Item],tab_alimentos[[#This Row],[Item]],supercb[Bairro],mercado3)</f>
        <v>0</v>
      </c>
      <c r="O45" s="4">
        <f>SUMIFS(super1[Qtde],super1[Item],tab_alimentos[[#This Row],[Item]],super1[Bairro],mercado4)+SUMIFS(supercb[Qtde],supercb[Item],tab_alimentos[[#This Row],[Item]],supercb[Bairro],mercado4)</f>
        <v>0</v>
      </c>
      <c r="P45" s="4">
        <f>SUMIFS(super1[Qtde],super1[Item],tab_alimentos[[#This Row],[Item]],super1[Bairro],mercado5)+SUMIFS(supercb[Qtde],supercb[Item],tab_alimentos[[#This Row],[Item]],supercb[Bairro],mercado5)</f>
        <v>0</v>
      </c>
      <c r="Q45" s="4">
        <f>SUMIFS(super1[Qtde],super1[Item],tab_alimentos[[#This Row],[Item]],super1[Bairro],mercado6)+SUMIFS(supercb[Qtde],supercb[Item],tab_alimentos[[#This Row],[Item]],supercb[Bairro],mercado6)</f>
        <v>0</v>
      </c>
      <c r="R45" s="4">
        <f>SUMIFS(super1[Qtde],super1[Item],tab_alimentos[[#This Row],[Item]],super1[Bairro],mercado7)+SUMIFS(supercb[Qtde],supercb[Item],tab_alimentos[[#This Row],[Item]],supercb[Bairro],mercado7)</f>
        <v>0</v>
      </c>
      <c r="S45" s="4">
        <f>SUMIFS(super1[Qtde],super1[Item],tab_alimentos[[#This Row],[Item]],super1[Bairro],mercado8)+SUMIFS(supercb[Qtde],supercb[Item],tab_alimentos[[#This Row],[Item]],supercb[Bairro],mercado8)</f>
        <v>0</v>
      </c>
      <c r="T45" s="4">
        <f>SUMIFS(super1[Qtde],super1[Item],tab_alimentos[[#This Row],[Item]],super1[Bairro],mercado9)+SUMIFS(supercb[Qtde],supercb[Item],tab_alimentos[[#This Row],[Item]],supercb[Bairro],mercado9)</f>
        <v>0</v>
      </c>
      <c r="U45" s="4">
        <f>SUMIFS(super1[Qtde],super1[Item],tab_alimentos[[#This Row],[Item]],super1[Bairro],mercado10)+SUMIFS(supercb[Qtde],supercb[Item],tab_alimentos[[#This Row],[Item]],supercb[Bairro],mercado10)</f>
        <v>0</v>
      </c>
      <c r="V45" s="4">
        <f>SUMIFS(super1[Qtde],super1[Item],tab_alimentos[[#This Row],[Item]],super1[Bairro],mercado11)+SUMIFS(supercb[Qtde],supercb[Item],tab_alimentos[[#This Row],[Item]],supercb[Bairro],mercado11)</f>
        <v>0</v>
      </c>
      <c r="W45" s="4">
        <f>SUMIFS(super1[Qtde],super1[Item],tab_alimentos[[#This Row],[Item]],super1[Bairro],mercado12)+SUMIFS(supercb[Qtde],supercb[Item],tab_alimentos[[#This Row],[Item]],supercb[Bairro],mercado12)</f>
        <v>0</v>
      </c>
      <c r="X45" s="4">
        <f>SUMIFS(super1[Qtde],super1[Item],tab_alimentos[[#This Row],[Item]],super1[Bairro],mercado13)+SUMIFS(supercb[Qtde],supercb[Item],tab_alimentos[[#This Row],[Item]],supercb[Bairro],mercado13)</f>
        <v>0</v>
      </c>
      <c r="Y45" s="4">
        <f>SUMIFS(super1[Qtde],super1[Item],tab_alimentos[[#This Row],[Item]],super1[Bairro],mercado14)+SUMIFS(supercb[Qtde],supercb[Item],tab_alimentos[[#This Row],[Item]],supercb[Bairro],mercado14)</f>
        <v>0</v>
      </c>
      <c r="Z45" s="4">
        <f>SUMIFS(super1[Qtde],super1[Item],tab_alimentos[[#This Row],[Item]],super1[Bairro],mercado15)+SUMIFS(supercb[Qtde],supercb[Item],tab_alimentos[[#This Row],[Item]],supercb[Bairro],mercado15)</f>
        <v>0</v>
      </c>
      <c r="AA45" s="4">
        <f>SUMIFS(super1[Qtde],super1[Item],tab_alimentos[[#This Row],[Item]],super1[Bairro],mercado16)+SUMIFS(supercb[Qtde],supercb[Item],tab_alimentos[[#This Row],[Item]],supercb[Bairro],mercado16)</f>
        <v>0</v>
      </c>
      <c r="AB45" s="4">
        <f>SUMIFS(super1[Qtde],super1[Item],tab_alimentos[[#This Row],[Item]],super1[Bairro],mercado17)+SUMIFS(supercb[Qtde],supercb[Item],tab_alimentos[[#This Row],[Item]],supercb[Bairro],mercado17)</f>
        <v>0</v>
      </c>
      <c r="AC45" s="4">
        <f>SUMIFS(super1[Qtde],super1[Item],tab_alimentos[[#This Row],[Item]],super1[Bairro],mercado18)+SUMIFS(supercb[Qtde],supercb[Item],tab_alimentos[[#This Row],[Item]],supercb[Bairro],mercado18)</f>
        <v>0</v>
      </c>
      <c r="AD45" s="4">
        <f>SUMIFS(super1[Qtde],super1[Item],tab_alimentos[[#This Row],[Item]],super1[Bairro],extras)+SUMIFS(supercb[Qtde],supercb[Item],tab_alimentos[[#This Row],[Item]],supercb[Bairro],extras)</f>
        <v>0</v>
      </c>
      <c r="AE45" s="4">
        <f t="shared" si="18"/>
        <v>0</v>
      </c>
      <c r="AF45" s="4">
        <f t="shared" si="19"/>
        <v>0</v>
      </c>
      <c r="AG45" s="6">
        <f t="shared" si="20"/>
        <v>0</v>
      </c>
      <c r="AH45" s="19" t="str">
        <f>higiene[[#This Row],[Item]]</f>
        <v>Cloro Ativo (500mL)</v>
      </c>
      <c r="AI45" s="4">
        <f>IFERROR(higiene[[#This Row],[Kg equivalente]],0)</f>
        <v>0</v>
      </c>
      <c r="AJ45" s="4">
        <f>IFERROR(higiene[[#This Row],[Preço por produto]],0)</f>
        <v>5.39</v>
      </c>
      <c r="AK45" s="4">
        <f>SUMIFS(super1[Qtde],super1[Item],tab_higiene[[#This Row],[Item]],super1[Bairro],mercado1)+SUMIFS(supercb[Qtde],supercb[Item],tab_higiene[[#This Row],[Item]],supercb[Bairro],mercado1)</f>
        <v>0</v>
      </c>
      <c r="AL45" s="4">
        <f>SUMIFS(super1[Qtde],super1[Item],tab_higiene[[#This Row],[Item]],super1[Bairro],mercado2)+SUMIFS(supercb[Qtde],supercb[Item],tab_higiene[[#This Row],[Item]],supercb[Bairro],mercado2)</f>
        <v>0</v>
      </c>
      <c r="AM45" s="4">
        <f>SUMIFS(super1[Qtde],super1[Item],tab_higiene[[#This Row],[Item]],super1[Bairro],mercado3)+SUMIFS(supercb[Qtde],supercb[Item],tab_higiene[[#This Row],[Item]],supercb[Bairro],mercado3)</f>
        <v>0</v>
      </c>
      <c r="AN45" s="4">
        <f>SUMIFS(super1[Qtde],super1[Item],tab_higiene[[#This Row],[Item]],super1[Bairro],mercado4)+SUMIFS(supercb[Qtde],supercb[Item],tab_higiene[[#This Row],[Item]],supercb[Bairro],mercado4)</f>
        <v>0</v>
      </c>
      <c r="AO45" s="4">
        <f>SUMIFS(super1[Qtde],super1[Item],tab_higiene[[#This Row],[Item]],super1[Bairro],mercado5)+SUMIFS(supercb[Qtde],supercb[Item],tab_higiene[[#This Row],[Item]],supercb[Bairro],mercado5)</f>
        <v>0</v>
      </c>
      <c r="AP45" s="4">
        <f>SUMIFS(super1[Qtde],super1[Item],tab_higiene[[#This Row],[Item]],super1[Bairro],mercado6)+SUMIFS(supercb[Qtde],supercb[Item],tab_higiene[[#This Row],[Item]],supercb[Bairro],mercado6)</f>
        <v>0</v>
      </c>
      <c r="AQ45" s="4">
        <f>SUMIFS(super1[Qtde],super1[Item],tab_higiene[[#This Row],[Item]],super1[Bairro],mercado7)+SUMIFS(supercb[Qtde],supercb[Item],tab_higiene[[#This Row],[Item]],supercb[Bairro],mercado7)</f>
        <v>0</v>
      </c>
      <c r="AR45" s="4">
        <f>SUMIFS(super1[Qtde],super1[Item],tab_higiene[[#This Row],[Item]],super1[Bairro],mercado8)+SUMIFS(supercb[Qtde],supercb[Item],tab_higiene[[#This Row],[Item]],supercb[Bairro],mercado8)</f>
        <v>0</v>
      </c>
      <c r="AS45" s="4">
        <f>SUMIFS(super1[Qtde],super1[Item],tab_higiene[[#This Row],[Item]],super1[Bairro],mercado9)+SUMIFS(supercb[Qtde],supercb[Item],tab_higiene[[#This Row],[Item]],supercb[Bairro],mercado9)</f>
        <v>0</v>
      </c>
      <c r="AT45" s="4">
        <f>SUMIFS(super1[Qtde],super1[Item],tab_higiene[[#This Row],[Item]],super1[Bairro],mercado10)+SUMIFS(supercb[Qtde],supercb[Item],tab_higiene[[#This Row],[Item]],supercb[Bairro],mercado10)</f>
        <v>0</v>
      </c>
      <c r="AU45" s="4">
        <f>SUMIFS(super1[Qtde],super1[Item],tab_higiene[[#This Row],[Item]],super1[Bairro],mercado11)+SUMIFS(supercb[Qtde],supercb[Item],tab_higiene[[#This Row],[Item]],supercb[Bairro],mercado11)</f>
        <v>0</v>
      </c>
      <c r="AV45" s="4">
        <f>SUMIFS(super1[Qtde],super1[Item],tab_higiene[[#This Row],[Item]],super1[Bairro],mercado12)+SUMIFS(supercb[Qtde],supercb[Item],tab_higiene[[#This Row],[Item]],supercb[Bairro],mercado12)</f>
        <v>0</v>
      </c>
      <c r="AW45" s="4">
        <f>SUMIFS(super1[Qtde],super1[Item],tab_higiene[[#This Row],[Item]],super1[Bairro],mercado13)+SUMIFS(supercb[Qtde],supercb[Item],tab_higiene[[#This Row],[Item]],supercb[Bairro],mercado13)</f>
        <v>0</v>
      </c>
      <c r="AX45" s="4">
        <f>SUMIFS(super1[Qtde],super1[Item],tab_higiene[[#This Row],[Item]],super1[Bairro],mercado14)+SUMIFS(supercb[Qtde],supercb[Item],tab_higiene[[#This Row],[Item]],supercb[Bairro],mercado14)</f>
        <v>0</v>
      </c>
      <c r="AY45" s="4">
        <f>SUMIFS(super1[Qtde],super1[Item],tab_higiene[[#This Row],[Item]],super1[Bairro],mercado15)+SUMIFS(supercb[Qtde],supercb[Item],tab_higiene[[#This Row],[Item]],supercb[Bairro],mercado15)</f>
        <v>0</v>
      </c>
      <c r="AZ45" s="4">
        <f>SUMIFS(super1[Qtde],super1[Item],tab_higiene[[#This Row],[Item]],super1[Bairro],mercado16)+SUMIFS(supercb[Qtde],supercb[Item],tab_higiene[[#This Row],[Item]],supercb[Bairro],mercado16)</f>
        <v>0</v>
      </c>
      <c r="BA45" s="4">
        <f>SUMIFS(super1[Qtde],super1[Item],tab_higiene[[#This Row],[Item]],super1[Bairro],mercado17)+SUMIFS(supercb[Qtde],supercb[Item],tab_higiene[[#This Row],[Item]],supercb[Bairro],mercado17)</f>
        <v>0</v>
      </c>
      <c r="BB45" s="4">
        <f>SUMIFS(super1[Qtde],super1[Item],tab_higiene[[#This Row],[Item]],super1[Bairro],mercado18)+SUMIFS(supercb[Qtde],supercb[Item],tab_higiene[[#This Row],[Item]],supercb[Bairro],mercado18)</f>
        <v>0</v>
      </c>
      <c r="BC45" s="4">
        <f>SUMIFS(super1[Qtde],super1[Item],tab_higiene[[#This Row],[Item]],super1[Bairro],extras)+SUMIFS(supercb[Qtde],supercb[Item],tab_higiene[[#This Row],[Item]],supercb[Bairro],extras)</f>
        <v>0</v>
      </c>
      <c r="BD45" s="4">
        <f t="shared" si="21"/>
        <v>0</v>
      </c>
      <c r="BE45" s="4">
        <f t="shared" si="22"/>
        <v>0</v>
      </c>
      <c r="BF45" s="6">
        <f t="shared" si="23"/>
        <v>0</v>
      </c>
      <c r="BI45" s="1" t="str">
        <f>tab_alimentos[[#This Row],[Item]]</f>
        <v>Aveia (500g)</v>
      </c>
      <c r="BJ45" s="1">
        <f t="shared" si="6"/>
        <v>6</v>
      </c>
      <c r="BK45" s="1" t="str">
        <f t="shared" si="7"/>
        <v>Aveia</v>
      </c>
      <c r="BL45" s="1">
        <f>tab_alimentos[[#This Row],[kg]]</f>
        <v>0</v>
      </c>
      <c r="BM45" s="25" t="s">
        <v>66</v>
      </c>
      <c r="BN45" s="1">
        <f t="shared" si="11"/>
        <v>0</v>
      </c>
      <c r="BP45" s="1" t="str">
        <f>tab_higiene[[#This Row],[Item]]</f>
        <v>Cloro Ativo (500mL)</v>
      </c>
      <c r="BQ45" s="1">
        <f t="shared" si="8"/>
        <v>12</v>
      </c>
      <c r="BR45" s="1" t="str">
        <f t="shared" si="9"/>
        <v>Cloro Ativo</v>
      </c>
      <c r="BS45" s="1">
        <f>higiene[[#This Row],[Quantidade]]</f>
        <v>0.3</v>
      </c>
      <c r="BT45" s="1">
        <f>tab_higiene[[#This Row],[Qtde (tot)]]</f>
        <v>0</v>
      </c>
      <c r="BU45" s="1">
        <f t="shared" si="12"/>
        <v>0</v>
      </c>
      <c r="BV45" s="25" t="s">
        <v>249</v>
      </c>
      <c r="BW45" s="1">
        <f t="shared" si="24"/>
        <v>0</v>
      </c>
    </row>
    <row r="46" spans="1:75" x14ac:dyDescent="0.25">
      <c r="I46" s="19" t="str">
        <f>alimentos[[#This Row],[Item]]</f>
        <v>Azeite (200mL)</v>
      </c>
      <c r="J46" s="4">
        <f>IFERROR(alimentos[[#This Row],[kg/embalagem]],0)</f>
        <v>0.2</v>
      </c>
      <c r="K46" s="4">
        <f>IFERROR(alimentos[[#This Row],[Preço]],0)</f>
        <v>16.899999999999999</v>
      </c>
      <c r="L46" s="4">
        <f>SUMIFS(super1[Qtde],super1[Item],tab_alimentos[[#This Row],[Item]],super1[Bairro],mercado1)+SUMIFS(supercb[Qtde],supercb[Item],tab_alimentos[[#This Row],[Item]],supercb[Bairro],mercado1)</f>
        <v>0</v>
      </c>
      <c r="M46" s="4">
        <f>SUMIFS(super1[Qtde],super1[Item],tab_alimentos[[#This Row],[Item]],super1[Bairro],mercado2)+SUMIFS(supercb[Qtde],supercb[Item],tab_alimentos[[#This Row],[Item]],supercb[Bairro],mercado2)</f>
        <v>0</v>
      </c>
      <c r="N46" s="4">
        <f>SUMIFS(super1[Qtde],super1[Item],tab_alimentos[[#This Row],[Item]],super1[Bairro],mercado3)+SUMIFS(supercb[Qtde],supercb[Item],tab_alimentos[[#This Row],[Item]],supercb[Bairro],mercado3)</f>
        <v>0</v>
      </c>
      <c r="O46" s="4">
        <f>SUMIFS(super1[Qtde],super1[Item],tab_alimentos[[#This Row],[Item]],super1[Bairro],mercado4)+SUMIFS(supercb[Qtde],supercb[Item],tab_alimentos[[#This Row],[Item]],supercb[Bairro],mercado4)</f>
        <v>0</v>
      </c>
      <c r="P46" s="4">
        <f>SUMIFS(super1[Qtde],super1[Item],tab_alimentos[[#This Row],[Item]],super1[Bairro],mercado5)+SUMIFS(supercb[Qtde],supercb[Item],tab_alimentos[[#This Row],[Item]],supercb[Bairro],mercado5)</f>
        <v>0</v>
      </c>
      <c r="Q46" s="4">
        <f>SUMIFS(super1[Qtde],super1[Item],tab_alimentos[[#This Row],[Item]],super1[Bairro],mercado6)+SUMIFS(supercb[Qtde],supercb[Item],tab_alimentos[[#This Row],[Item]],supercb[Bairro],mercado6)</f>
        <v>0</v>
      </c>
      <c r="R46" s="4">
        <f>SUMIFS(super1[Qtde],super1[Item],tab_alimentos[[#This Row],[Item]],super1[Bairro],mercado7)+SUMIFS(supercb[Qtde],supercb[Item],tab_alimentos[[#This Row],[Item]],supercb[Bairro],mercado7)</f>
        <v>0</v>
      </c>
      <c r="S46" s="4">
        <f>SUMIFS(super1[Qtde],super1[Item],tab_alimentos[[#This Row],[Item]],super1[Bairro],mercado8)+SUMIFS(supercb[Qtde],supercb[Item],tab_alimentos[[#This Row],[Item]],supercb[Bairro],mercado8)</f>
        <v>0</v>
      </c>
      <c r="T46" s="4">
        <f>SUMIFS(super1[Qtde],super1[Item],tab_alimentos[[#This Row],[Item]],super1[Bairro],mercado9)+SUMIFS(supercb[Qtde],supercb[Item],tab_alimentos[[#This Row],[Item]],supercb[Bairro],mercado9)</f>
        <v>0</v>
      </c>
      <c r="U46" s="4">
        <f>SUMIFS(super1[Qtde],super1[Item],tab_alimentos[[#This Row],[Item]],super1[Bairro],mercado10)+SUMIFS(supercb[Qtde],supercb[Item],tab_alimentos[[#This Row],[Item]],supercb[Bairro],mercado10)</f>
        <v>0</v>
      </c>
      <c r="V46" s="4">
        <f>SUMIFS(super1[Qtde],super1[Item],tab_alimentos[[#This Row],[Item]],super1[Bairro],mercado11)+SUMIFS(supercb[Qtde],supercb[Item],tab_alimentos[[#This Row],[Item]],supercb[Bairro],mercado11)</f>
        <v>0</v>
      </c>
      <c r="W46" s="4">
        <f>SUMIFS(super1[Qtde],super1[Item],tab_alimentos[[#This Row],[Item]],super1[Bairro],mercado12)+SUMIFS(supercb[Qtde],supercb[Item],tab_alimentos[[#This Row],[Item]],supercb[Bairro],mercado12)</f>
        <v>0</v>
      </c>
      <c r="X46" s="4">
        <f>SUMIFS(super1[Qtde],super1[Item],tab_alimentos[[#This Row],[Item]],super1[Bairro],mercado13)+SUMIFS(supercb[Qtde],supercb[Item],tab_alimentos[[#This Row],[Item]],supercb[Bairro],mercado13)</f>
        <v>0</v>
      </c>
      <c r="Y46" s="4">
        <f>SUMIFS(super1[Qtde],super1[Item],tab_alimentos[[#This Row],[Item]],super1[Bairro],mercado14)+SUMIFS(supercb[Qtde],supercb[Item],tab_alimentos[[#This Row],[Item]],supercb[Bairro],mercado14)</f>
        <v>0</v>
      </c>
      <c r="Z46" s="4">
        <f>SUMIFS(super1[Qtde],super1[Item],tab_alimentos[[#This Row],[Item]],super1[Bairro],mercado15)+SUMIFS(supercb[Qtde],supercb[Item],tab_alimentos[[#This Row],[Item]],supercb[Bairro],mercado15)</f>
        <v>0</v>
      </c>
      <c r="AA46" s="4">
        <f>SUMIFS(super1[Qtde],super1[Item],tab_alimentos[[#This Row],[Item]],super1[Bairro],mercado16)+SUMIFS(supercb[Qtde],supercb[Item],tab_alimentos[[#This Row],[Item]],supercb[Bairro],mercado16)</f>
        <v>0</v>
      </c>
      <c r="AB46" s="4">
        <f>SUMIFS(super1[Qtde],super1[Item],tab_alimentos[[#This Row],[Item]],super1[Bairro],mercado17)+SUMIFS(supercb[Qtde],supercb[Item],tab_alimentos[[#This Row],[Item]],supercb[Bairro],mercado17)</f>
        <v>0</v>
      </c>
      <c r="AC46" s="4">
        <f>SUMIFS(super1[Qtde],super1[Item],tab_alimentos[[#This Row],[Item]],super1[Bairro],mercado18)+SUMIFS(supercb[Qtde],supercb[Item],tab_alimentos[[#This Row],[Item]],supercb[Bairro],mercado18)</f>
        <v>0</v>
      </c>
      <c r="AD46" s="4">
        <f>SUMIFS(super1[Qtde],super1[Item],tab_alimentos[[#This Row],[Item]],super1[Bairro],extras)+SUMIFS(supercb[Qtde],supercb[Item],tab_alimentos[[#This Row],[Item]],supercb[Bairro],extras)</f>
        <v>0</v>
      </c>
      <c r="AE46" s="4">
        <f t="shared" si="18"/>
        <v>0</v>
      </c>
      <c r="AF46" s="4">
        <f t="shared" si="19"/>
        <v>0</v>
      </c>
      <c r="AG46" s="6">
        <f t="shared" si="20"/>
        <v>0</v>
      </c>
      <c r="AH46" s="19" t="str">
        <f>higiene[[#This Row],[Item]]</f>
        <v>Cloro Ativo (5L)</v>
      </c>
      <c r="AI46" s="4">
        <f>IFERROR(higiene[[#This Row],[Kg equivalente]],0)</f>
        <v>0</v>
      </c>
      <c r="AJ46" s="4">
        <f>IFERROR(higiene[[#This Row],[Preço por produto]],0)</f>
        <v>17.57</v>
      </c>
      <c r="AK46" s="4">
        <f>SUMIFS(super1[Qtde],super1[Item],tab_higiene[[#This Row],[Item]],super1[Bairro],mercado1)+SUMIFS(supercb[Qtde],supercb[Item],tab_higiene[[#This Row],[Item]],supercb[Bairro],mercado1)</f>
        <v>0</v>
      </c>
      <c r="AL46" s="4">
        <f>SUMIFS(super1[Qtde],super1[Item],tab_higiene[[#This Row],[Item]],super1[Bairro],mercado2)+SUMIFS(supercb[Qtde],supercb[Item],tab_higiene[[#This Row],[Item]],supercb[Bairro],mercado2)</f>
        <v>0</v>
      </c>
      <c r="AM46" s="4">
        <f>SUMIFS(super1[Qtde],super1[Item],tab_higiene[[#This Row],[Item]],super1[Bairro],mercado3)+SUMIFS(supercb[Qtde],supercb[Item],tab_higiene[[#This Row],[Item]],supercb[Bairro],mercado3)</f>
        <v>0</v>
      </c>
      <c r="AN46" s="4">
        <f>SUMIFS(super1[Qtde],super1[Item],tab_higiene[[#This Row],[Item]],super1[Bairro],mercado4)+SUMIFS(supercb[Qtde],supercb[Item],tab_higiene[[#This Row],[Item]],supercb[Bairro],mercado4)</f>
        <v>0</v>
      </c>
      <c r="AO46" s="4">
        <f>SUMIFS(super1[Qtde],super1[Item],tab_higiene[[#This Row],[Item]],super1[Bairro],mercado5)+SUMIFS(supercb[Qtde],supercb[Item],tab_higiene[[#This Row],[Item]],supercb[Bairro],mercado5)</f>
        <v>0</v>
      </c>
      <c r="AP46" s="4">
        <f>SUMIFS(super1[Qtde],super1[Item],tab_higiene[[#This Row],[Item]],super1[Bairro],mercado6)+SUMIFS(supercb[Qtde],supercb[Item],tab_higiene[[#This Row],[Item]],supercb[Bairro],mercado6)</f>
        <v>0</v>
      </c>
      <c r="AQ46" s="4">
        <f>SUMIFS(super1[Qtde],super1[Item],tab_higiene[[#This Row],[Item]],super1[Bairro],mercado7)+SUMIFS(supercb[Qtde],supercb[Item],tab_higiene[[#This Row],[Item]],supercb[Bairro],mercado7)</f>
        <v>0</v>
      </c>
      <c r="AR46" s="4">
        <f>SUMIFS(super1[Qtde],super1[Item],tab_higiene[[#This Row],[Item]],super1[Bairro],mercado8)+SUMIFS(supercb[Qtde],supercb[Item],tab_higiene[[#This Row],[Item]],supercb[Bairro],mercado8)</f>
        <v>0</v>
      </c>
      <c r="AS46" s="4">
        <f>SUMIFS(super1[Qtde],super1[Item],tab_higiene[[#This Row],[Item]],super1[Bairro],mercado9)+SUMIFS(supercb[Qtde],supercb[Item],tab_higiene[[#This Row],[Item]],supercb[Bairro],mercado9)</f>
        <v>0</v>
      </c>
      <c r="AT46" s="4">
        <f>SUMIFS(super1[Qtde],super1[Item],tab_higiene[[#This Row],[Item]],super1[Bairro],mercado10)+SUMIFS(supercb[Qtde],supercb[Item],tab_higiene[[#This Row],[Item]],supercb[Bairro],mercado10)</f>
        <v>0</v>
      </c>
      <c r="AU46" s="4">
        <f>SUMIFS(super1[Qtde],super1[Item],tab_higiene[[#This Row],[Item]],super1[Bairro],mercado11)+SUMIFS(supercb[Qtde],supercb[Item],tab_higiene[[#This Row],[Item]],supercb[Bairro],mercado11)</f>
        <v>0</v>
      </c>
      <c r="AV46" s="4">
        <f>SUMIFS(super1[Qtde],super1[Item],tab_higiene[[#This Row],[Item]],super1[Bairro],mercado12)+SUMIFS(supercb[Qtde],supercb[Item],tab_higiene[[#This Row],[Item]],supercb[Bairro],mercado12)</f>
        <v>0</v>
      </c>
      <c r="AW46" s="4">
        <f>SUMIFS(super1[Qtde],super1[Item],tab_higiene[[#This Row],[Item]],super1[Bairro],mercado13)+SUMIFS(supercb[Qtde],supercb[Item],tab_higiene[[#This Row],[Item]],supercb[Bairro],mercado13)</f>
        <v>0</v>
      </c>
      <c r="AX46" s="4">
        <f>SUMIFS(super1[Qtde],super1[Item],tab_higiene[[#This Row],[Item]],super1[Bairro],mercado14)+SUMIFS(supercb[Qtde],supercb[Item],tab_higiene[[#This Row],[Item]],supercb[Bairro],mercado14)</f>
        <v>0</v>
      </c>
      <c r="AY46" s="4">
        <f>SUMIFS(super1[Qtde],super1[Item],tab_higiene[[#This Row],[Item]],super1[Bairro],mercado15)+SUMIFS(supercb[Qtde],supercb[Item],tab_higiene[[#This Row],[Item]],supercb[Bairro],mercado15)</f>
        <v>0</v>
      </c>
      <c r="AZ46" s="4">
        <f>SUMIFS(super1[Qtde],super1[Item],tab_higiene[[#This Row],[Item]],super1[Bairro],mercado16)+SUMIFS(supercb[Qtde],supercb[Item],tab_higiene[[#This Row],[Item]],supercb[Bairro],mercado16)</f>
        <v>0</v>
      </c>
      <c r="BA46" s="4">
        <f>SUMIFS(super1[Qtde],super1[Item],tab_higiene[[#This Row],[Item]],super1[Bairro],mercado17)+SUMIFS(supercb[Qtde],supercb[Item],tab_higiene[[#This Row],[Item]],supercb[Bairro],mercado17)</f>
        <v>0</v>
      </c>
      <c r="BB46" s="4">
        <f>SUMIFS(super1[Qtde],super1[Item],tab_higiene[[#This Row],[Item]],super1[Bairro],mercado18)+SUMIFS(supercb[Qtde],supercb[Item],tab_higiene[[#This Row],[Item]],supercb[Bairro],mercado18)</f>
        <v>0</v>
      </c>
      <c r="BC46" s="4">
        <f>SUMIFS(super1[Qtde],super1[Item],tab_higiene[[#This Row],[Item]],super1[Bairro],extras)+SUMIFS(supercb[Qtde],supercb[Item],tab_higiene[[#This Row],[Item]],supercb[Bairro],extras)</f>
        <v>0</v>
      </c>
      <c r="BD46" s="4">
        <f t="shared" si="21"/>
        <v>0</v>
      </c>
      <c r="BE46" s="4">
        <f t="shared" si="22"/>
        <v>0</v>
      </c>
      <c r="BF46" s="6">
        <f t="shared" si="23"/>
        <v>0</v>
      </c>
      <c r="BI46" s="1" t="str">
        <f>tab_alimentos[[#This Row],[Item]]</f>
        <v>Azeite (200mL)</v>
      </c>
      <c r="BJ46" s="1">
        <f t="shared" si="6"/>
        <v>7</v>
      </c>
      <c r="BK46" s="1" t="str">
        <f t="shared" si="7"/>
        <v>Azeite</v>
      </c>
      <c r="BL46" s="1">
        <f>tab_alimentos[[#This Row],[kg]]</f>
        <v>0</v>
      </c>
      <c r="BM46" s="25" t="s">
        <v>213</v>
      </c>
      <c r="BN46" s="1">
        <f t="shared" si="11"/>
        <v>0</v>
      </c>
      <c r="BP46" s="1" t="str">
        <f>tab_higiene[[#This Row],[Item]]</f>
        <v>Cloro Ativo (5L)</v>
      </c>
      <c r="BQ46" s="1">
        <f t="shared" si="8"/>
        <v>12</v>
      </c>
      <c r="BR46" s="1" t="str">
        <f t="shared" si="9"/>
        <v>Cloro Ativo</v>
      </c>
      <c r="BS46" s="1">
        <f>higiene[[#This Row],[Quantidade]]</f>
        <v>5</v>
      </c>
      <c r="BT46" s="1">
        <f>tab_higiene[[#This Row],[Qtde (tot)]]</f>
        <v>0</v>
      </c>
      <c r="BU46" s="1">
        <f t="shared" si="12"/>
        <v>0</v>
      </c>
      <c r="BV46" s="25" t="s">
        <v>250</v>
      </c>
      <c r="BW46" s="1">
        <f t="shared" si="24"/>
        <v>0</v>
      </c>
    </row>
    <row r="47" spans="1:75" x14ac:dyDescent="0.25">
      <c r="I47" s="19" t="str">
        <f>alimentos[[#This Row],[Item]]</f>
        <v>Azeite (500mL)</v>
      </c>
      <c r="J47" s="4">
        <f>IFERROR(alimentos[[#This Row],[kg/embalagem]],0)</f>
        <v>0.5</v>
      </c>
      <c r="K47" s="4">
        <f>IFERROR(alimentos[[#This Row],[Preço]],0)</f>
        <v>22.9</v>
      </c>
      <c r="L47" s="4">
        <f>SUMIFS(super1[Qtde],super1[Item],tab_alimentos[[#This Row],[Item]],super1[Bairro],mercado1)+SUMIFS(supercb[Qtde],supercb[Item],tab_alimentos[[#This Row],[Item]],supercb[Bairro],mercado1)</f>
        <v>0</v>
      </c>
      <c r="M47" s="4">
        <f>SUMIFS(super1[Qtde],super1[Item],tab_alimentos[[#This Row],[Item]],super1[Bairro],mercado2)+SUMIFS(supercb[Qtde],supercb[Item],tab_alimentos[[#This Row],[Item]],supercb[Bairro],mercado2)</f>
        <v>0</v>
      </c>
      <c r="N47" s="4">
        <f>SUMIFS(super1[Qtde],super1[Item],tab_alimentos[[#This Row],[Item]],super1[Bairro],mercado3)+SUMIFS(supercb[Qtde],supercb[Item],tab_alimentos[[#This Row],[Item]],supercb[Bairro],mercado3)</f>
        <v>0</v>
      </c>
      <c r="O47" s="4">
        <f>SUMIFS(super1[Qtde],super1[Item],tab_alimentos[[#This Row],[Item]],super1[Bairro],mercado4)+SUMIFS(supercb[Qtde],supercb[Item],tab_alimentos[[#This Row],[Item]],supercb[Bairro],mercado4)</f>
        <v>0</v>
      </c>
      <c r="P47" s="4">
        <f>SUMIFS(super1[Qtde],super1[Item],tab_alimentos[[#This Row],[Item]],super1[Bairro],mercado5)+SUMIFS(supercb[Qtde],supercb[Item],tab_alimentos[[#This Row],[Item]],supercb[Bairro],mercado5)</f>
        <v>0</v>
      </c>
      <c r="Q47" s="4">
        <f>SUMIFS(super1[Qtde],super1[Item],tab_alimentos[[#This Row],[Item]],super1[Bairro],mercado6)+SUMIFS(supercb[Qtde],supercb[Item],tab_alimentos[[#This Row],[Item]],supercb[Bairro],mercado6)</f>
        <v>0</v>
      </c>
      <c r="R47" s="4">
        <f>SUMIFS(super1[Qtde],super1[Item],tab_alimentos[[#This Row],[Item]],super1[Bairro],mercado7)+SUMIFS(supercb[Qtde],supercb[Item],tab_alimentos[[#This Row],[Item]],supercb[Bairro],mercado7)</f>
        <v>0</v>
      </c>
      <c r="S47" s="4">
        <f>SUMIFS(super1[Qtde],super1[Item],tab_alimentos[[#This Row],[Item]],super1[Bairro],mercado8)+SUMIFS(supercb[Qtde],supercb[Item],tab_alimentos[[#This Row],[Item]],supercb[Bairro],mercado8)</f>
        <v>0</v>
      </c>
      <c r="T47" s="4">
        <f>SUMIFS(super1[Qtde],super1[Item],tab_alimentos[[#This Row],[Item]],super1[Bairro],mercado9)+SUMIFS(supercb[Qtde],supercb[Item],tab_alimentos[[#This Row],[Item]],supercb[Bairro],mercado9)</f>
        <v>0</v>
      </c>
      <c r="U47" s="4">
        <f>SUMIFS(super1[Qtde],super1[Item],tab_alimentos[[#This Row],[Item]],super1[Bairro],mercado10)+SUMIFS(supercb[Qtde],supercb[Item],tab_alimentos[[#This Row],[Item]],supercb[Bairro],mercado10)</f>
        <v>0</v>
      </c>
      <c r="V47" s="4">
        <f>SUMIFS(super1[Qtde],super1[Item],tab_alimentos[[#This Row],[Item]],super1[Bairro],mercado11)+SUMIFS(supercb[Qtde],supercb[Item],tab_alimentos[[#This Row],[Item]],supercb[Bairro],mercado11)</f>
        <v>0</v>
      </c>
      <c r="W47" s="4">
        <f>SUMIFS(super1[Qtde],super1[Item],tab_alimentos[[#This Row],[Item]],super1[Bairro],mercado12)+SUMIFS(supercb[Qtde],supercb[Item],tab_alimentos[[#This Row],[Item]],supercb[Bairro],mercado12)</f>
        <v>0</v>
      </c>
      <c r="X47" s="4">
        <f>SUMIFS(super1[Qtde],super1[Item],tab_alimentos[[#This Row],[Item]],super1[Bairro],mercado13)+SUMIFS(supercb[Qtde],supercb[Item],tab_alimentos[[#This Row],[Item]],supercb[Bairro],mercado13)</f>
        <v>0</v>
      </c>
      <c r="Y47" s="4">
        <f>SUMIFS(super1[Qtde],super1[Item],tab_alimentos[[#This Row],[Item]],super1[Bairro],mercado14)+SUMIFS(supercb[Qtde],supercb[Item],tab_alimentos[[#This Row],[Item]],supercb[Bairro],mercado14)</f>
        <v>0</v>
      </c>
      <c r="Z47" s="4">
        <f>SUMIFS(super1[Qtde],super1[Item],tab_alimentos[[#This Row],[Item]],super1[Bairro],mercado15)+SUMIFS(supercb[Qtde],supercb[Item],tab_alimentos[[#This Row],[Item]],supercb[Bairro],mercado15)</f>
        <v>0</v>
      </c>
      <c r="AA47" s="4">
        <f>SUMIFS(super1[Qtde],super1[Item],tab_alimentos[[#This Row],[Item]],super1[Bairro],mercado16)+SUMIFS(supercb[Qtde],supercb[Item],tab_alimentos[[#This Row],[Item]],supercb[Bairro],mercado16)</f>
        <v>0</v>
      </c>
      <c r="AB47" s="4">
        <f>SUMIFS(super1[Qtde],super1[Item],tab_alimentos[[#This Row],[Item]],super1[Bairro],mercado17)+SUMIFS(supercb[Qtde],supercb[Item],tab_alimentos[[#This Row],[Item]],supercb[Bairro],mercado17)</f>
        <v>0</v>
      </c>
      <c r="AC47" s="4">
        <f>SUMIFS(super1[Qtde],super1[Item],tab_alimentos[[#This Row],[Item]],super1[Bairro],mercado18)+SUMIFS(supercb[Qtde],supercb[Item],tab_alimentos[[#This Row],[Item]],supercb[Bairro],mercado18)</f>
        <v>0</v>
      </c>
      <c r="AD47" s="4">
        <f>SUMIFS(super1[Qtde],super1[Item],tab_alimentos[[#This Row],[Item]],super1[Bairro],extras)+SUMIFS(supercb[Qtde],supercb[Item],tab_alimentos[[#This Row],[Item]],supercb[Bairro],extras)</f>
        <v>0</v>
      </c>
      <c r="AE47" s="4">
        <f t="shared" si="18"/>
        <v>0</v>
      </c>
      <c r="AF47" s="4">
        <f t="shared" si="19"/>
        <v>0</v>
      </c>
      <c r="AG47" s="6">
        <f t="shared" si="20"/>
        <v>0</v>
      </c>
      <c r="AH47" s="19" t="str">
        <f>higiene[[#This Row],[Item]]</f>
        <v>Condicionador (200mL)</v>
      </c>
      <c r="AI47" s="4">
        <f>IFERROR(higiene[[#This Row],[Kg equivalente]],0)</f>
        <v>0</v>
      </c>
      <c r="AJ47" s="4">
        <f>IFERROR(higiene[[#This Row],[Preço por produto]],0)</f>
        <v>29.99</v>
      </c>
      <c r="AK47" s="4">
        <f>SUMIFS(super1[Qtde],super1[Item],tab_higiene[[#This Row],[Item]],super1[Bairro],mercado1)+SUMIFS(supercb[Qtde],supercb[Item],tab_higiene[[#This Row],[Item]],supercb[Bairro],mercado1)</f>
        <v>0</v>
      </c>
      <c r="AL47" s="4">
        <f>SUMIFS(super1[Qtde],super1[Item],tab_higiene[[#This Row],[Item]],super1[Bairro],mercado2)+SUMIFS(supercb[Qtde],supercb[Item],tab_higiene[[#This Row],[Item]],supercb[Bairro],mercado2)</f>
        <v>0</v>
      </c>
      <c r="AM47" s="4">
        <f>SUMIFS(super1[Qtde],super1[Item],tab_higiene[[#This Row],[Item]],super1[Bairro],mercado3)+SUMIFS(supercb[Qtde],supercb[Item],tab_higiene[[#This Row],[Item]],supercb[Bairro],mercado3)</f>
        <v>0</v>
      </c>
      <c r="AN47" s="4">
        <f>SUMIFS(super1[Qtde],super1[Item],tab_higiene[[#This Row],[Item]],super1[Bairro],mercado4)+SUMIFS(supercb[Qtde],supercb[Item],tab_higiene[[#This Row],[Item]],supercb[Bairro],mercado4)</f>
        <v>0</v>
      </c>
      <c r="AO47" s="4">
        <f>SUMIFS(super1[Qtde],super1[Item],tab_higiene[[#This Row],[Item]],super1[Bairro],mercado5)+SUMIFS(supercb[Qtde],supercb[Item],tab_higiene[[#This Row],[Item]],supercb[Bairro],mercado5)</f>
        <v>0</v>
      </c>
      <c r="AP47" s="4">
        <f>SUMIFS(super1[Qtde],super1[Item],tab_higiene[[#This Row],[Item]],super1[Bairro],mercado6)+SUMIFS(supercb[Qtde],supercb[Item],tab_higiene[[#This Row],[Item]],supercb[Bairro],mercado6)</f>
        <v>0</v>
      </c>
      <c r="AQ47" s="4">
        <f>SUMIFS(super1[Qtde],super1[Item],tab_higiene[[#This Row],[Item]],super1[Bairro],mercado7)+SUMIFS(supercb[Qtde],supercb[Item],tab_higiene[[#This Row],[Item]],supercb[Bairro],mercado7)</f>
        <v>0</v>
      </c>
      <c r="AR47" s="4">
        <f>SUMIFS(super1[Qtde],super1[Item],tab_higiene[[#This Row],[Item]],super1[Bairro],mercado8)+SUMIFS(supercb[Qtde],supercb[Item],tab_higiene[[#This Row],[Item]],supercb[Bairro],mercado8)</f>
        <v>0</v>
      </c>
      <c r="AS47" s="4">
        <f>SUMIFS(super1[Qtde],super1[Item],tab_higiene[[#This Row],[Item]],super1[Bairro],mercado9)+SUMIFS(supercb[Qtde],supercb[Item],tab_higiene[[#This Row],[Item]],supercb[Bairro],mercado9)</f>
        <v>0</v>
      </c>
      <c r="AT47" s="4">
        <f>SUMIFS(super1[Qtde],super1[Item],tab_higiene[[#This Row],[Item]],super1[Bairro],mercado10)+SUMIFS(supercb[Qtde],supercb[Item],tab_higiene[[#This Row],[Item]],supercb[Bairro],mercado10)</f>
        <v>0</v>
      </c>
      <c r="AU47" s="4">
        <f>SUMIFS(super1[Qtde],super1[Item],tab_higiene[[#This Row],[Item]],super1[Bairro],mercado11)+SUMIFS(supercb[Qtde],supercb[Item],tab_higiene[[#This Row],[Item]],supercb[Bairro],mercado11)</f>
        <v>0</v>
      </c>
      <c r="AV47" s="4">
        <f>SUMIFS(super1[Qtde],super1[Item],tab_higiene[[#This Row],[Item]],super1[Bairro],mercado12)+SUMIFS(supercb[Qtde],supercb[Item],tab_higiene[[#This Row],[Item]],supercb[Bairro],mercado12)</f>
        <v>0</v>
      </c>
      <c r="AW47" s="4">
        <f>SUMIFS(super1[Qtde],super1[Item],tab_higiene[[#This Row],[Item]],super1[Bairro],mercado13)+SUMIFS(supercb[Qtde],supercb[Item],tab_higiene[[#This Row],[Item]],supercb[Bairro],mercado13)</f>
        <v>0</v>
      </c>
      <c r="AX47" s="4">
        <f>SUMIFS(super1[Qtde],super1[Item],tab_higiene[[#This Row],[Item]],super1[Bairro],mercado14)+SUMIFS(supercb[Qtde],supercb[Item],tab_higiene[[#This Row],[Item]],supercb[Bairro],mercado14)</f>
        <v>0</v>
      </c>
      <c r="AY47" s="4">
        <f>SUMIFS(super1[Qtde],super1[Item],tab_higiene[[#This Row],[Item]],super1[Bairro],mercado15)+SUMIFS(supercb[Qtde],supercb[Item],tab_higiene[[#This Row],[Item]],supercb[Bairro],mercado15)</f>
        <v>0</v>
      </c>
      <c r="AZ47" s="4">
        <f>SUMIFS(super1[Qtde],super1[Item],tab_higiene[[#This Row],[Item]],super1[Bairro],mercado16)+SUMIFS(supercb[Qtde],supercb[Item],tab_higiene[[#This Row],[Item]],supercb[Bairro],mercado16)</f>
        <v>0</v>
      </c>
      <c r="BA47" s="4">
        <f>SUMIFS(super1[Qtde],super1[Item],tab_higiene[[#This Row],[Item]],super1[Bairro],mercado17)+SUMIFS(supercb[Qtde],supercb[Item],tab_higiene[[#This Row],[Item]],supercb[Bairro],mercado17)</f>
        <v>0</v>
      </c>
      <c r="BB47" s="4">
        <f>SUMIFS(super1[Qtde],super1[Item],tab_higiene[[#This Row],[Item]],super1[Bairro],mercado18)+SUMIFS(supercb[Qtde],supercb[Item],tab_higiene[[#This Row],[Item]],supercb[Bairro],mercado18)</f>
        <v>0</v>
      </c>
      <c r="BC47" s="4">
        <f>SUMIFS(super1[Qtde],super1[Item],tab_higiene[[#This Row],[Item]],super1[Bairro],extras)+SUMIFS(supercb[Qtde],supercb[Item],tab_higiene[[#This Row],[Item]],supercb[Bairro],extras)</f>
        <v>0</v>
      </c>
      <c r="BD47" s="4">
        <f t="shared" si="21"/>
        <v>0</v>
      </c>
      <c r="BE47" s="4">
        <f t="shared" si="22"/>
        <v>0</v>
      </c>
      <c r="BF47" s="6">
        <f t="shared" si="23"/>
        <v>0</v>
      </c>
      <c r="BI47" s="1" t="str">
        <f>tab_alimentos[[#This Row],[Item]]</f>
        <v>Azeite (500mL)</v>
      </c>
      <c r="BJ47" s="1">
        <f t="shared" si="6"/>
        <v>7</v>
      </c>
      <c r="BK47" s="1" t="str">
        <f t="shared" si="7"/>
        <v>Azeite</v>
      </c>
      <c r="BL47" s="1">
        <f>tab_alimentos[[#This Row],[kg]]</f>
        <v>0</v>
      </c>
      <c r="BM47" s="25" t="s">
        <v>113</v>
      </c>
      <c r="BN47" s="1">
        <f t="shared" si="11"/>
        <v>0</v>
      </c>
      <c r="BP47" s="1" t="str">
        <f>tab_higiene[[#This Row],[Item]]</f>
        <v>Condicionador (200mL)</v>
      </c>
      <c r="BQ47" s="1">
        <f t="shared" si="8"/>
        <v>14</v>
      </c>
      <c r="BR47" s="1" t="str">
        <f t="shared" si="9"/>
        <v>Condicionador</v>
      </c>
      <c r="BS47" s="1">
        <f>higiene[[#This Row],[Quantidade]]</f>
        <v>0.75</v>
      </c>
      <c r="BT47" s="1">
        <f>tab_higiene[[#This Row],[Qtde (tot)]]</f>
        <v>0</v>
      </c>
      <c r="BU47" s="1">
        <f t="shared" si="12"/>
        <v>0</v>
      </c>
      <c r="BV47" s="25" t="s">
        <v>251</v>
      </c>
      <c r="BW47" s="1">
        <f t="shared" si="24"/>
        <v>0</v>
      </c>
    </row>
    <row r="48" spans="1:75" x14ac:dyDescent="0.25">
      <c r="I48" s="19" t="str">
        <f>alimentos[[#This Row],[Item]]</f>
        <v>Azeitona (100g)</v>
      </c>
      <c r="J48" s="4">
        <f>IFERROR(alimentos[[#This Row],[kg/embalagem]],0)</f>
        <v>0.1</v>
      </c>
      <c r="K48" s="4">
        <f>IFERROR(alimentos[[#This Row],[Preço]],0)</f>
        <v>3.58</v>
      </c>
      <c r="L48" s="4">
        <f>SUMIFS(super1[Qtde],super1[Item],tab_alimentos[[#This Row],[Item]],super1[Bairro],mercado1)+SUMIFS(supercb[Qtde],supercb[Item],tab_alimentos[[#This Row],[Item]],supercb[Bairro],mercado1)</f>
        <v>0</v>
      </c>
      <c r="M48" s="4">
        <f>SUMIFS(super1[Qtde],super1[Item],tab_alimentos[[#This Row],[Item]],super1[Bairro],mercado2)+SUMIFS(supercb[Qtde],supercb[Item],tab_alimentos[[#This Row],[Item]],supercb[Bairro],mercado2)</f>
        <v>0</v>
      </c>
      <c r="N48" s="4">
        <f>SUMIFS(super1[Qtde],super1[Item],tab_alimentos[[#This Row],[Item]],super1[Bairro],mercado3)+SUMIFS(supercb[Qtde],supercb[Item],tab_alimentos[[#This Row],[Item]],supercb[Bairro],mercado3)</f>
        <v>0</v>
      </c>
      <c r="O48" s="4">
        <f>SUMIFS(super1[Qtde],super1[Item],tab_alimentos[[#This Row],[Item]],super1[Bairro],mercado4)+SUMIFS(supercb[Qtde],supercb[Item],tab_alimentos[[#This Row],[Item]],supercb[Bairro],mercado4)</f>
        <v>0</v>
      </c>
      <c r="P48" s="4">
        <f>SUMIFS(super1[Qtde],super1[Item],tab_alimentos[[#This Row],[Item]],super1[Bairro],mercado5)+SUMIFS(supercb[Qtde],supercb[Item],tab_alimentos[[#This Row],[Item]],supercb[Bairro],mercado5)</f>
        <v>0</v>
      </c>
      <c r="Q48" s="4">
        <f>SUMIFS(super1[Qtde],super1[Item],tab_alimentos[[#This Row],[Item]],super1[Bairro],mercado6)+SUMIFS(supercb[Qtde],supercb[Item],tab_alimentos[[#This Row],[Item]],supercb[Bairro],mercado6)</f>
        <v>0</v>
      </c>
      <c r="R48" s="4">
        <f>SUMIFS(super1[Qtde],super1[Item],tab_alimentos[[#This Row],[Item]],super1[Bairro],mercado7)+SUMIFS(supercb[Qtde],supercb[Item],tab_alimentos[[#This Row],[Item]],supercb[Bairro],mercado7)</f>
        <v>0</v>
      </c>
      <c r="S48" s="4">
        <f>SUMIFS(super1[Qtde],super1[Item],tab_alimentos[[#This Row],[Item]],super1[Bairro],mercado8)+SUMIFS(supercb[Qtde],supercb[Item],tab_alimentos[[#This Row],[Item]],supercb[Bairro],mercado8)</f>
        <v>0</v>
      </c>
      <c r="T48" s="4">
        <f>SUMIFS(super1[Qtde],super1[Item],tab_alimentos[[#This Row],[Item]],super1[Bairro],mercado9)+SUMIFS(supercb[Qtde],supercb[Item],tab_alimentos[[#This Row],[Item]],supercb[Bairro],mercado9)</f>
        <v>0</v>
      </c>
      <c r="U48" s="4">
        <f>SUMIFS(super1[Qtde],super1[Item],tab_alimentos[[#This Row],[Item]],super1[Bairro],mercado10)+SUMIFS(supercb[Qtde],supercb[Item],tab_alimentos[[#This Row],[Item]],supercb[Bairro],mercado10)</f>
        <v>0</v>
      </c>
      <c r="V48" s="4">
        <f>SUMIFS(super1[Qtde],super1[Item],tab_alimentos[[#This Row],[Item]],super1[Bairro],mercado11)+SUMIFS(supercb[Qtde],supercb[Item],tab_alimentos[[#This Row],[Item]],supercb[Bairro],mercado11)</f>
        <v>0</v>
      </c>
      <c r="W48" s="4">
        <f>SUMIFS(super1[Qtde],super1[Item],tab_alimentos[[#This Row],[Item]],super1[Bairro],mercado12)+SUMIFS(supercb[Qtde],supercb[Item],tab_alimentos[[#This Row],[Item]],supercb[Bairro],mercado12)</f>
        <v>0</v>
      </c>
      <c r="X48" s="4">
        <f>SUMIFS(super1[Qtde],super1[Item],tab_alimentos[[#This Row],[Item]],super1[Bairro],mercado13)+SUMIFS(supercb[Qtde],supercb[Item],tab_alimentos[[#This Row],[Item]],supercb[Bairro],mercado13)</f>
        <v>0</v>
      </c>
      <c r="Y48" s="4">
        <f>SUMIFS(super1[Qtde],super1[Item],tab_alimentos[[#This Row],[Item]],super1[Bairro],mercado14)+SUMIFS(supercb[Qtde],supercb[Item],tab_alimentos[[#This Row],[Item]],supercb[Bairro],mercado14)</f>
        <v>0</v>
      </c>
      <c r="Z48" s="4">
        <f>SUMIFS(super1[Qtde],super1[Item],tab_alimentos[[#This Row],[Item]],super1[Bairro],mercado15)+SUMIFS(supercb[Qtde],supercb[Item],tab_alimentos[[#This Row],[Item]],supercb[Bairro],mercado15)</f>
        <v>0</v>
      </c>
      <c r="AA48" s="4">
        <f>SUMIFS(super1[Qtde],super1[Item],tab_alimentos[[#This Row],[Item]],super1[Bairro],mercado16)+SUMIFS(supercb[Qtde],supercb[Item],tab_alimentos[[#This Row],[Item]],supercb[Bairro],mercado16)</f>
        <v>0</v>
      </c>
      <c r="AB48" s="4">
        <f>SUMIFS(super1[Qtde],super1[Item],tab_alimentos[[#This Row],[Item]],super1[Bairro],mercado17)+SUMIFS(supercb[Qtde],supercb[Item],tab_alimentos[[#This Row],[Item]],supercb[Bairro],mercado17)</f>
        <v>0</v>
      </c>
      <c r="AC48" s="4">
        <f>SUMIFS(super1[Qtde],super1[Item],tab_alimentos[[#This Row],[Item]],super1[Bairro],mercado18)+SUMIFS(supercb[Qtde],supercb[Item],tab_alimentos[[#This Row],[Item]],supercb[Bairro],mercado18)</f>
        <v>0</v>
      </c>
      <c r="AD48" s="4">
        <f>SUMIFS(super1[Qtde],super1[Item],tab_alimentos[[#This Row],[Item]],super1[Bairro],extras)+SUMIFS(supercb[Qtde],supercb[Item],tab_alimentos[[#This Row],[Item]],supercb[Bairro],extras)</f>
        <v>0</v>
      </c>
      <c r="AE48" s="4">
        <f t="shared" si="18"/>
        <v>0</v>
      </c>
      <c r="AF48" s="4">
        <f t="shared" si="19"/>
        <v>0</v>
      </c>
      <c r="AG48" s="6">
        <f t="shared" si="20"/>
        <v>0</v>
      </c>
      <c r="AH48" s="19" t="str">
        <f>higiene[[#This Row],[Item]]</f>
        <v>Condicionador (325mL)</v>
      </c>
      <c r="AI48" s="4">
        <f>IFERROR(higiene[[#This Row],[Kg equivalente]],0)</f>
        <v>0</v>
      </c>
      <c r="AJ48" s="4">
        <f>IFERROR(higiene[[#This Row],[Preço por produto]],0)</f>
        <v>11.99</v>
      </c>
      <c r="AK48" s="4">
        <f>SUMIFS(super1[Qtde],super1[Item],tab_higiene[[#This Row],[Item]],super1[Bairro],mercado1)+SUMIFS(supercb[Qtde],supercb[Item],tab_higiene[[#This Row],[Item]],supercb[Bairro],mercado1)</f>
        <v>0</v>
      </c>
      <c r="AL48" s="4">
        <f>SUMIFS(super1[Qtde],super1[Item],tab_higiene[[#This Row],[Item]],super1[Bairro],mercado2)+SUMIFS(supercb[Qtde],supercb[Item],tab_higiene[[#This Row],[Item]],supercb[Bairro],mercado2)</f>
        <v>0</v>
      </c>
      <c r="AM48" s="4">
        <f>SUMIFS(super1[Qtde],super1[Item],tab_higiene[[#This Row],[Item]],super1[Bairro],mercado3)+SUMIFS(supercb[Qtde],supercb[Item],tab_higiene[[#This Row],[Item]],supercb[Bairro],mercado3)</f>
        <v>0</v>
      </c>
      <c r="AN48" s="4">
        <f>SUMIFS(super1[Qtde],super1[Item],tab_higiene[[#This Row],[Item]],super1[Bairro],mercado4)+SUMIFS(supercb[Qtde],supercb[Item],tab_higiene[[#This Row],[Item]],supercb[Bairro],mercado4)</f>
        <v>0</v>
      </c>
      <c r="AO48" s="4">
        <f>SUMIFS(super1[Qtde],super1[Item],tab_higiene[[#This Row],[Item]],super1[Bairro],mercado5)+SUMIFS(supercb[Qtde],supercb[Item],tab_higiene[[#This Row],[Item]],supercb[Bairro],mercado5)</f>
        <v>0</v>
      </c>
      <c r="AP48" s="4">
        <f>SUMIFS(super1[Qtde],super1[Item],tab_higiene[[#This Row],[Item]],super1[Bairro],mercado6)+SUMIFS(supercb[Qtde],supercb[Item],tab_higiene[[#This Row],[Item]],supercb[Bairro],mercado6)</f>
        <v>0</v>
      </c>
      <c r="AQ48" s="4">
        <f>SUMIFS(super1[Qtde],super1[Item],tab_higiene[[#This Row],[Item]],super1[Bairro],mercado7)+SUMIFS(supercb[Qtde],supercb[Item],tab_higiene[[#This Row],[Item]],supercb[Bairro],mercado7)</f>
        <v>0</v>
      </c>
      <c r="AR48" s="4">
        <f>SUMIFS(super1[Qtde],super1[Item],tab_higiene[[#This Row],[Item]],super1[Bairro],mercado8)+SUMIFS(supercb[Qtde],supercb[Item],tab_higiene[[#This Row],[Item]],supercb[Bairro],mercado8)</f>
        <v>0</v>
      </c>
      <c r="AS48" s="4">
        <f>SUMIFS(super1[Qtde],super1[Item],tab_higiene[[#This Row],[Item]],super1[Bairro],mercado9)+SUMIFS(supercb[Qtde],supercb[Item],tab_higiene[[#This Row],[Item]],supercb[Bairro],mercado9)</f>
        <v>0</v>
      </c>
      <c r="AT48" s="4">
        <f>SUMIFS(super1[Qtde],super1[Item],tab_higiene[[#This Row],[Item]],super1[Bairro],mercado10)+SUMIFS(supercb[Qtde],supercb[Item],tab_higiene[[#This Row],[Item]],supercb[Bairro],mercado10)</f>
        <v>0</v>
      </c>
      <c r="AU48" s="4">
        <f>SUMIFS(super1[Qtde],super1[Item],tab_higiene[[#This Row],[Item]],super1[Bairro],mercado11)+SUMIFS(supercb[Qtde],supercb[Item],tab_higiene[[#This Row],[Item]],supercb[Bairro],mercado11)</f>
        <v>0</v>
      </c>
      <c r="AV48" s="4">
        <f>SUMIFS(super1[Qtde],super1[Item],tab_higiene[[#This Row],[Item]],super1[Bairro],mercado12)+SUMIFS(supercb[Qtde],supercb[Item],tab_higiene[[#This Row],[Item]],supercb[Bairro],mercado12)</f>
        <v>0</v>
      </c>
      <c r="AW48" s="4">
        <f>SUMIFS(super1[Qtde],super1[Item],tab_higiene[[#This Row],[Item]],super1[Bairro],mercado13)+SUMIFS(supercb[Qtde],supercb[Item],tab_higiene[[#This Row],[Item]],supercb[Bairro],mercado13)</f>
        <v>0</v>
      </c>
      <c r="AX48" s="4">
        <f>SUMIFS(super1[Qtde],super1[Item],tab_higiene[[#This Row],[Item]],super1[Bairro],mercado14)+SUMIFS(supercb[Qtde],supercb[Item],tab_higiene[[#This Row],[Item]],supercb[Bairro],mercado14)</f>
        <v>0</v>
      </c>
      <c r="AY48" s="4">
        <f>SUMIFS(super1[Qtde],super1[Item],tab_higiene[[#This Row],[Item]],super1[Bairro],mercado15)+SUMIFS(supercb[Qtde],supercb[Item],tab_higiene[[#This Row],[Item]],supercb[Bairro],mercado15)</f>
        <v>0</v>
      </c>
      <c r="AZ48" s="4">
        <f>SUMIFS(super1[Qtde],super1[Item],tab_higiene[[#This Row],[Item]],super1[Bairro],mercado16)+SUMIFS(supercb[Qtde],supercb[Item],tab_higiene[[#This Row],[Item]],supercb[Bairro],mercado16)</f>
        <v>0</v>
      </c>
      <c r="BA48" s="4">
        <f>SUMIFS(super1[Qtde],super1[Item],tab_higiene[[#This Row],[Item]],super1[Bairro],mercado17)+SUMIFS(supercb[Qtde],supercb[Item],tab_higiene[[#This Row],[Item]],supercb[Bairro],mercado17)</f>
        <v>0</v>
      </c>
      <c r="BB48" s="4">
        <f>SUMIFS(super1[Qtde],super1[Item],tab_higiene[[#This Row],[Item]],super1[Bairro],mercado18)+SUMIFS(supercb[Qtde],supercb[Item],tab_higiene[[#This Row],[Item]],supercb[Bairro],mercado18)</f>
        <v>0</v>
      </c>
      <c r="BC48" s="4">
        <f>SUMIFS(super1[Qtde],super1[Item],tab_higiene[[#This Row],[Item]],super1[Bairro],extras)+SUMIFS(supercb[Qtde],supercb[Item],tab_higiene[[#This Row],[Item]],supercb[Bairro],extras)</f>
        <v>0</v>
      </c>
      <c r="BD48" s="4">
        <f t="shared" si="21"/>
        <v>0</v>
      </c>
      <c r="BE48" s="4">
        <f t="shared" si="22"/>
        <v>0</v>
      </c>
      <c r="BF48" s="6">
        <f t="shared" si="23"/>
        <v>0</v>
      </c>
      <c r="BI48" s="1" t="str">
        <f>tab_alimentos[[#This Row],[Item]]</f>
        <v>Azeitona (100g)</v>
      </c>
      <c r="BJ48" s="1">
        <f t="shared" si="6"/>
        <v>9</v>
      </c>
      <c r="BK48" s="1" t="str">
        <f t="shared" si="7"/>
        <v>Azeitona</v>
      </c>
      <c r="BL48" s="1">
        <f>tab_alimentos[[#This Row],[kg]]</f>
        <v>0</v>
      </c>
      <c r="BM48" s="25" t="s">
        <v>278</v>
      </c>
      <c r="BN48" s="1">
        <f t="shared" si="11"/>
        <v>0</v>
      </c>
      <c r="BP48" s="1" t="str">
        <f>tab_higiene[[#This Row],[Item]]</f>
        <v>Condicionador (325mL)</v>
      </c>
      <c r="BQ48" s="1">
        <f t="shared" si="8"/>
        <v>14</v>
      </c>
      <c r="BR48" s="1" t="str">
        <f t="shared" si="9"/>
        <v>Condicionador</v>
      </c>
      <c r="BS48" s="1">
        <f>higiene[[#This Row],[Quantidade]]</f>
        <v>0.5</v>
      </c>
      <c r="BT48" s="1">
        <f>tab_higiene[[#This Row],[Qtde (tot)]]</f>
        <v>0</v>
      </c>
      <c r="BU48" s="1">
        <f t="shared" si="12"/>
        <v>0</v>
      </c>
      <c r="BV48" s="25" t="s">
        <v>274</v>
      </c>
      <c r="BW48" s="1">
        <f t="shared" si="24"/>
        <v>0</v>
      </c>
    </row>
    <row r="49" spans="9:75" x14ac:dyDescent="0.25">
      <c r="I49" s="19" t="str">
        <f>alimentos[[#This Row],[Item]]</f>
        <v>Azeitona (120g)</v>
      </c>
      <c r="J49" s="4">
        <f>IFERROR(alimentos[[#This Row],[kg/embalagem]],0)</f>
        <v>0.12</v>
      </c>
      <c r="K49" s="4">
        <f>IFERROR(alimentos[[#This Row],[Preço]],0)</f>
        <v>6.4</v>
      </c>
      <c r="L49" s="4">
        <f>SUMIFS(super1[Qtde],super1[Item],tab_alimentos[[#This Row],[Item]],super1[Bairro],mercado1)+SUMIFS(supercb[Qtde],supercb[Item],tab_alimentos[[#This Row],[Item]],supercb[Bairro],mercado1)</f>
        <v>0</v>
      </c>
      <c r="M49" s="4">
        <f>SUMIFS(super1[Qtde],super1[Item],tab_alimentos[[#This Row],[Item]],super1[Bairro],mercado2)+SUMIFS(supercb[Qtde],supercb[Item],tab_alimentos[[#This Row],[Item]],supercb[Bairro],mercado2)</f>
        <v>0</v>
      </c>
      <c r="N49" s="4">
        <f>SUMIFS(super1[Qtde],super1[Item],tab_alimentos[[#This Row],[Item]],super1[Bairro],mercado3)+SUMIFS(supercb[Qtde],supercb[Item],tab_alimentos[[#This Row],[Item]],supercb[Bairro],mercado3)</f>
        <v>0</v>
      </c>
      <c r="O49" s="4">
        <f>SUMIFS(super1[Qtde],super1[Item],tab_alimentos[[#This Row],[Item]],super1[Bairro],mercado4)+SUMIFS(supercb[Qtde],supercb[Item],tab_alimentos[[#This Row],[Item]],supercb[Bairro],mercado4)</f>
        <v>0</v>
      </c>
      <c r="P49" s="4">
        <f>SUMIFS(super1[Qtde],super1[Item],tab_alimentos[[#This Row],[Item]],super1[Bairro],mercado5)+SUMIFS(supercb[Qtde],supercb[Item],tab_alimentos[[#This Row],[Item]],supercb[Bairro],mercado5)</f>
        <v>0</v>
      </c>
      <c r="Q49" s="4">
        <f>SUMIFS(super1[Qtde],super1[Item],tab_alimentos[[#This Row],[Item]],super1[Bairro],mercado6)+SUMIFS(supercb[Qtde],supercb[Item],tab_alimentos[[#This Row],[Item]],supercb[Bairro],mercado6)</f>
        <v>0</v>
      </c>
      <c r="R49" s="4">
        <f>SUMIFS(super1[Qtde],super1[Item],tab_alimentos[[#This Row],[Item]],super1[Bairro],mercado7)+SUMIFS(supercb[Qtde],supercb[Item],tab_alimentos[[#This Row],[Item]],supercb[Bairro],mercado7)</f>
        <v>0</v>
      </c>
      <c r="S49" s="4">
        <f>SUMIFS(super1[Qtde],super1[Item],tab_alimentos[[#This Row],[Item]],super1[Bairro],mercado8)+SUMIFS(supercb[Qtde],supercb[Item],tab_alimentos[[#This Row],[Item]],supercb[Bairro],mercado8)</f>
        <v>0</v>
      </c>
      <c r="T49" s="4">
        <f>SUMIFS(super1[Qtde],super1[Item],tab_alimentos[[#This Row],[Item]],super1[Bairro],mercado9)+SUMIFS(supercb[Qtde],supercb[Item],tab_alimentos[[#This Row],[Item]],supercb[Bairro],mercado9)</f>
        <v>0</v>
      </c>
      <c r="U49" s="4">
        <f>SUMIFS(super1[Qtde],super1[Item],tab_alimentos[[#This Row],[Item]],super1[Bairro],mercado10)+SUMIFS(supercb[Qtde],supercb[Item],tab_alimentos[[#This Row],[Item]],supercb[Bairro],mercado10)</f>
        <v>0</v>
      </c>
      <c r="V49" s="4">
        <f>SUMIFS(super1[Qtde],super1[Item],tab_alimentos[[#This Row],[Item]],super1[Bairro],mercado11)+SUMIFS(supercb[Qtde],supercb[Item],tab_alimentos[[#This Row],[Item]],supercb[Bairro],mercado11)</f>
        <v>0</v>
      </c>
      <c r="W49" s="4">
        <f>SUMIFS(super1[Qtde],super1[Item],tab_alimentos[[#This Row],[Item]],super1[Bairro],mercado12)+SUMIFS(supercb[Qtde],supercb[Item],tab_alimentos[[#This Row],[Item]],supercb[Bairro],mercado12)</f>
        <v>0</v>
      </c>
      <c r="X49" s="4">
        <f>SUMIFS(super1[Qtde],super1[Item],tab_alimentos[[#This Row],[Item]],super1[Bairro],mercado13)+SUMIFS(supercb[Qtde],supercb[Item],tab_alimentos[[#This Row],[Item]],supercb[Bairro],mercado13)</f>
        <v>0</v>
      </c>
      <c r="Y49" s="4">
        <f>SUMIFS(super1[Qtde],super1[Item],tab_alimentos[[#This Row],[Item]],super1[Bairro],mercado14)+SUMIFS(supercb[Qtde],supercb[Item],tab_alimentos[[#This Row],[Item]],supercb[Bairro],mercado14)</f>
        <v>0</v>
      </c>
      <c r="Z49" s="4">
        <f>SUMIFS(super1[Qtde],super1[Item],tab_alimentos[[#This Row],[Item]],super1[Bairro],mercado15)+SUMIFS(supercb[Qtde],supercb[Item],tab_alimentos[[#This Row],[Item]],supercb[Bairro],mercado15)</f>
        <v>0</v>
      </c>
      <c r="AA49" s="4">
        <f>SUMIFS(super1[Qtde],super1[Item],tab_alimentos[[#This Row],[Item]],super1[Bairro],mercado16)+SUMIFS(supercb[Qtde],supercb[Item],tab_alimentos[[#This Row],[Item]],supercb[Bairro],mercado16)</f>
        <v>0</v>
      </c>
      <c r="AB49" s="4">
        <f>SUMIFS(super1[Qtde],super1[Item],tab_alimentos[[#This Row],[Item]],super1[Bairro],mercado17)+SUMIFS(supercb[Qtde],supercb[Item],tab_alimentos[[#This Row],[Item]],supercb[Bairro],mercado17)</f>
        <v>0</v>
      </c>
      <c r="AC49" s="4">
        <f>SUMIFS(super1[Qtde],super1[Item],tab_alimentos[[#This Row],[Item]],super1[Bairro],mercado18)+SUMIFS(supercb[Qtde],supercb[Item],tab_alimentos[[#This Row],[Item]],supercb[Bairro],mercado18)</f>
        <v>0</v>
      </c>
      <c r="AD49" s="4">
        <f>SUMIFS(super1[Qtde],super1[Item],tab_alimentos[[#This Row],[Item]],super1[Bairro],extras)+SUMIFS(supercb[Qtde],supercb[Item],tab_alimentos[[#This Row],[Item]],supercb[Bairro],extras)</f>
        <v>0</v>
      </c>
      <c r="AE49" s="4">
        <f t="shared" si="18"/>
        <v>0</v>
      </c>
      <c r="AF49" s="4">
        <f t="shared" si="19"/>
        <v>0</v>
      </c>
      <c r="AG49" s="6">
        <f t="shared" si="20"/>
        <v>0</v>
      </c>
      <c r="AH49" s="19" t="str">
        <f>higiene[[#This Row],[Item]]</f>
        <v>Condicionador (350mL)</v>
      </c>
      <c r="AI49" s="4">
        <f>IFERROR(higiene[[#This Row],[Kg equivalente]],0)</f>
        <v>0</v>
      </c>
      <c r="AJ49" s="4">
        <f>IFERROR(higiene[[#This Row],[Preço por produto]],0)</f>
        <v>39.99</v>
      </c>
      <c r="AK49" s="4">
        <f>SUMIFS(super1[Qtde],super1[Item],tab_higiene[[#This Row],[Item]],super1[Bairro],mercado1)+SUMIFS(supercb[Qtde],supercb[Item],tab_higiene[[#This Row],[Item]],supercb[Bairro],mercado1)</f>
        <v>0</v>
      </c>
      <c r="AL49" s="4">
        <f>SUMIFS(super1[Qtde],super1[Item],tab_higiene[[#This Row],[Item]],super1[Bairro],mercado2)+SUMIFS(supercb[Qtde],supercb[Item],tab_higiene[[#This Row],[Item]],supercb[Bairro],mercado2)</f>
        <v>0</v>
      </c>
      <c r="AM49" s="4">
        <f>SUMIFS(super1[Qtde],super1[Item],tab_higiene[[#This Row],[Item]],super1[Bairro],mercado3)+SUMIFS(supercb[Qtde],supercb[Item],tab_higiene[[#This Row],[Item]],supercb[Bairro],mercado3)</f>
        <v>0</v>
      </c>
      <c r="AN49" s="4">
        <f>SUMIFS(super1[Qtde],super1[Item],tab_higiene[[#This Row],[Item]],super1[Bairro],mercado4)+SUMIFS(supercb[Qtde],supercb[Item],tab_higiene[[#This Row],[Item]],supercb[Bairro],mercado4)</f>
        <v>0</v>
      </c>
      <c r="AO49" s="4">
        <f>SUMIFS(super1[Qtde],super1[Item],tab_higiene[[#This Row],[Item]],super1[Bairro],mercado5)+SUMIFS(supercb[Qtde],supercb[Item],tab_higiene[[#This Row],[Item]],supercb[Bairro],mercado5)</f>
        <v>0</v>
      </c>
      <c r="AP49" s="4">
        <f>SUMIFS(super1[Qtde],super1[Item],tab_higiene[[#This Row],[Item]],super1[Bairro],mercado6)+SUMIFS(supercb[Qtde],supercb[Item],tab_higiene[[#This Row],[Item]],supercb[Bairro],mercado6)</f>
        <v>0</v>
      </c>
      <c r="AQ49" s="4">
        <f>SUMIFS(super1[Qtde],super1[Item],tab_higiene[[#This Row],[Item]],super1[Bairro],mercado7)+SUMIFS(supercb[Qtde],supercb[Item],tab_higiene[[#This Row],[Item]],supercb[Bairro],mercado7)</f>
        <v>0</v>
      </c>
      <c r="AR49" s="4">
        <f>SUMIFS(super1[Qtde],super1[Item],tab_higiene[[#This Row],[Item]],super1[Bairro],mercado8)+SUMIFS(supercb[Qtde],supercb[Item],tab_higiene[[#This Row],[Item]],supercb[Bairro],mercado8)</f>
        <v>0</v>
      </c>
      <c r="AS49" s="4">
        <f>SUMIFS(super1[Qtde],super1[Item],tab_higiene[[#This Row],[Item]],super1[Bairro],mercado9)+SUMIFS(supercb[Qtde],supercb[Item],tab_higiene[[#This Row],[Item]],supercb[Bairro],mercado9)</f>
        <v>0</v>
      </c>
      <c r="AT49" s="4">
        <f>SUMIFS(super1[Qtde],super1[Item],tab_higiene[[#This Row],[Item]],super1[Bairro],mercado10)+SUMIFS(supercb[Qtde],supercb[Item],tab_higiene[[#This Row],[Item]],supercb[Bairro],mercado10)</f>
        <v>0</v>
      </c>
      <c r="AU49" s="4">
        <f>SUMIFS(super1[Qtde],super1[Item],tab_higiene[[#This Row],[Item]],super1[Bairro],mercado11)+SUMIFS(supercb[Qtde],supercb[Item],tab_higiene[[#This Row],[Item]],supercb[Bairro],mercado11)</f>
        <v>0</v>
      </c>
      <c r="AV49" s="4">
        <f>SUMIFS(super1[Qtde],super1[Item],tab_higiene[[#This Row],[Item]],super1[Bairro],mercado12)+SUMIFS(supercb[Qtde],supercb[Item],tab_higiene[[#This Row],[Item]],supercb[Bairro],mercado12)</f>
        <v>0</v>
      </c>
      <c r="AW49" s="4">
        <f>SUMIFS(super1[Qtde],super1[Item],tab_higiene[[#This Row],[Item]],super1[Bairro],mercado13)+SUMIFS(supercb[Qtde],supercb[Item],tab_higiene[[#This Row],[Item]],supercb[Bairro],mercado13)</f>
        <v>0</v>
      </c>
      <c r="AX49" s="4">
        <f>SUMIFS(super1[Qtde],super1[Item],tab_higiene[[#This Row],[Item]],super1[Bairro],mercado14)+SUMIFS(supercb[Qtde],supercb[Item],tab_higiene[[#This Row],[Item]],supercb[Bairro],mercado14)</f>
        <v>0</v>
      </c>
      <c r="AY49" s="4">
        <f>SUMIFS(super1[Qtde],super1[Item],tab_higiene[[#This Row],[Item]],super1[Bairro],mercado15)+SUMIFS(supercb[Qtde],supercb[Item],tab_higiene[[#This Row],[Item]],supercb[Bairro],mercado15)</f>
        <v>0</v>
      </c>
      <c r="AZ49" s="4">
        <f>SUMIFS(super1[Qtde],super1[Item],tab_higiene[[#This Row],[Item]],super1[Bairro],mercado16)+SUMIFS(supercb[Qtde],supercb[Item],tab_higiene[[#This Row],[Item]],supercb[Bairro],mercado16)</f>
        <v>0</v>
      </c>
      <c r="BA49" s="4">
        <f>SUMIFS(super1[Qtde],super1[Item],tab_higiene[[#This Row],[Item]],super1[Bairro],mercado17)+SUMIFS(supercb[Qtde],supercb[Item],tab_higiene[[#This Row],[Item]],supercb[Bairro],mercado17)</f>
        <v>0</v>
      </c>
      <c r="BB49" s="4">
        <f>SUMIFS(super1[Qtde],super1[Item],tab_higiene[[#This Row],[Item]],super1[Bairro],mercado18)+SUMIFS(supercb[Qtde],supercb[Item],tab_higiene[[#This Row],[Item]],supercb[Bairro],mercado18)</f>
        <v>0</v>
      </c>
      <c r="BC49" s="4">
        <f>SUMIFS(super1[Qtde],super1[Item],tab_higiene[[#This Row],[Item]],super1[Bairro],extras)+SUMIFS(supercb[Qtde],supercb[Item],tab_higiene[[#This Row],[Item]],supercb[Bairro],extras)</f>
        <v>0</v>
      </c>
      <c r="BD49" s="4">
        <f t="shared" si="21"/>
        <v>0</v>
      </c>
      <c r="BE49" s="4">
        <f t="shared" si="22"/>
        <v>0</v>
      </c>
      <c r="BF49" s="6">
        <f t="shared" si="23"/>
        <v>0</v>
      </c>
      <c r="BI49" s="1" t="str">
        <f>tab_alimentos[[#This Row],[Item]]</f>
        <v>Azeitona (120g)</v>
      </c>
      <c r="BJ49" s="1">
        <f t="shared" si="6"/>
        <v>9</v>
      </c>
      <c r="BK49" s="1" t="str">
        <f t="shared" si="7"/>
        <v>Azeitona</v>
      </c>
      <c r="BL49" s="1">
        <f>tab_alimentos[[#This Row],[kg]]</f>
        <v>0</v>
      </c>
      <c r="BM49" s="25" t="s">
        <v>214</v>
      </c>
      <c r="BN49" s="1">
        <f t="shared" si="11"/>
        <v>0</v>
      </c>
      <c r="BP49" s="1" t="str">
        <f>tab_higiene[[#This Row],[Item]]</f>
        <v>Condicionador (350mL)</v>
      </c>
      <c r="BQ49" s="1">
        <f t="shared" si="8"/>
        <v>14</v>
      </c>
      <c r="BR49" s="1" t="str">
        <f t="shared" si="9"/>
        <v>Condicionador</v>
      </c>
      <c r="BS49" s="1">
        <f>higiene[[#This Row],[Quantidade]]</f>
        <v>1</v>
      </c>
      <c r="BT49" s="1">
        <f>tab_higiene[[#This Row],[Qtde (tot)]]</f>
        <v>0</v>
      </c>
      <c r="BU49" s="1">
        <f t="shared" si="12"/>
        <v>0</v>
      </c>
      <c r="BV49" s="25" t="s">
        <v>71</v>
      </c>
      <c r="BW49" s="1">
        <f t="shared" si="24"/>
        <v>0</v>
      </c>
    </row>
    <row r="50" spans="9:75" x14ac:dyDescent="0.25">
      <c r="I50" s="19" t="str">
        <f>alimentos[[#This Row],[Item]]</f>
        <v>Azeitona (150g)</v>
      </c>
      <c r="J50" s="4">
        <f>IFERROR(alimentos[[#This Row],[kg/embalagem]],0)</f>
        <v>0.15</v>
      </c>
      <c r="K50" s="4">
        <f>IFERROR(alimentos[[#This Row],[Preço]],0)</f>
        <v>5.98</v>
      </c>
      <c r="L50" s="4">
        <f>SUMIFS(super1[Qtde],super1[Item],tab_alimentos[[#This Row],[Item]],super1[Bairro],mercado1)+SUMIFS(supercb[Qtde],supercb[Item],tab_alimentos[[#This Row],[Item]],supercb[Bairro],mercado1)</f>
        <v>0</v>
      </c>
      <c r="M50" s="4">
        <f>SUMIFS(super1[Qtde],super1[Item],tab_alimentos[[#This Row],[Item]],super1[Bairro],mercado2)+SUMIFS(supercb[Qtde],supercb[Item],tab_alimentos[[#This Row],[Item]],supercb[Bairro],mercado2)</f>
        <v>0</v>
      </c>
      <c r="N50" s="4">
        <f>SUMIFS(super1[Qtde],super1[Item],tab_alimentos[[#This Row],[Item]],super1[Bairro],mercado3)+SUMIFS(supercb[Qtde],supercb[Item],tab_alimentos[[#This Row],[Item]],supercb[Bairro],mercado3)</f>
        <v>0</v>
      </c>
      <c r="O50" s="4">
        <f>SUMIFS(super1[Qtde],super1[Item],tab_alimentos[[#This Row],[Item]],super1[Bairro],mercado4)+SUMIFS(supercb[Qtde],supercb[Item],tab_alimentos[[#This Row],[Item]],supercb[Bairro],mercado4)</f>
        <v>0</v>
      </c>
      <c r="P50" s="4">
        <f>SUMIFS(super1[Qtde],super1[Item],tab_alimentos[[#This Row],[Item]],super1[Bairro],mercado5)+SUMIFS(supercb[Qtde],supercb[Item],tab_alimentos[[#This Row],[Item]],supercb[Bairro],mercado5)</f>
        <v>0</v>
      </c>
      <c r="Q50" s="4">
        <f>SUMIFS(super1[Qtde],super1[Item],tab_alimentos[[#This Row],[Item]],super1[Bairro],mercado6)+SUMIFS(supercb[Qtde],supercb[Item],tab_alimentos[[#This Row],[Item]],supercb[Bairro],mercado6)</f>
        <v>0</v>
      </c>
      <c r="R50" s="4">
        <f>SUMIFS(super1[Qtde],super1[Item],tab_alimentos[[#This Row],[Item]],super1[Bairro],mercado7)+SUMIFS(supercb[Qtde],supercb[Item],tab_alimentos[[#This Row],[Item]],supercb[Bairro],mercado7)</f>
        <v>0</v>
      </c>
      <c r="S50" s="4">
        <f>SUMIFS(super1[Qtde],super1[Item],tab_alimentos[[#This Row],[Item]],super1[Bairro],mercado8)+SUMIFS(supercb[Qtde],supercb[Item],tab_alimentos[[#This Row],[Item]],supercb[Bairro],mercado8)</f>
        <v>0</v>
      </c>
      <c r="T50" s="4">
        <f>SUMIFS(super1[Qtde],super1[Item],tab_alimentos[[#This Row],[Item]],super1[Bairro],mercado9)+SUMIFS(supercb[Qtde],supercb[Item],tab_alimentos[[#This Row],[Item]],supercb[Bairro],mercado9)</f>
        <v>0</v>
      </c>
      <c r="U50" s="4">
        <f>SUMIFS(super1[Qtde],super1[Item],tab_alimentos[[#This Row],[Item]],super1[Bairro],mercado10)+SUMIFS(supercb[Qtde],supercb[Item],tab_alimentos[[#This Row],[Item]],supercb[Bairro],mercado10)</f>
        <v>0</v>
      </c>
      <c r="V50" s="4">
        <f>SUMIFS(super1[Qtde],super1[Item],tab_alimentos[[#This Row],[Item]],super1[Bairro],mercado11)+SUMIFS(supercb[Qtde],supercb[Item],tab_alimentos[[#This Row],[Item]],supercb[Bairro],mercado11)</f>
        <v>0</v>
      </c>
      <c r="W50" s="4">
        <f>SUMIFS(super1[Qtde],super1[Item],tab_alimentos[[#This Row],[Item]],super1[Bairro],mercado12)+SUMIFS(supercb[Qtde],supercb[Item],tab_alimentos[[#This Row],[Item]],supercb[Bairro],mercado12)</f>
        <v>0</v>
      </c>
      <c r="X50" s="4">
        <f>SUMIFS(super1[Qtde],super1[Item],tab_alimentos[[#This Row],[Item]],super1[Bairro],mercado13)+SUMIFS(supercb[Qtde],supercb[Item],tab_alimentos[[#This Row],[Item]],supercb[Bairro],mercado13)</f>
        <v>0</v>
      </c>
      <c r="Y50" s="4">
        <f>SUMIFS(super1[Qtde],super1[Item],tab_alimentos[[#This Row],[Item]],super1[Bairro],mercado14)+SUMIFS(supercb[Qtde],supercb[Item],tab_alimentos[[#This Row],[Item]],supercb[Bairro],mercado14)</f>
        <v>0</v>
      </c>
      <c r="Z50" s="4">
        <f>SUMIFS(super1[Qtde],super1[Item],tab_alimentos[[#This Row],[Item]],super1[Bairro],mercado15)+SUMIFS(supercb[Qtde],supercb[Item],tab_alimentos[[#This Row],[Item]],supercb[Bairro],mercado15)</f>
        <v>0</v>
      </c>
      <c r="AA50" s="4">
        <f>SUMIFS(super1[Qtde],super1[Item],tab_alimentos[[#This Row],[Item]],super1[Bairro],mercado16)+SUMIFS(supercb[Qtde],supercb[Item],tab_alimentos[[#This Row],[Item]],supercb[Bairro],mercado16)</f>
        <v>0</v>
      </c>
      <c r="AB50" s="4">
        <f>SUMIFS(super1[Qtde],super1[Item],tab_alimentos[[#This Row],[Item]],super1[Bairro],mercado17)+SUMIFS(supercb[Qtde],supercb[Item],tab_alimentos[[#This Row],[Item]],supercb[Bairro],mercado17)</f>
        <v>0</v>
      </c>
      <c r="AC50" s="4">
        <f>SUMIFS(super1[Qtde],super1[Item],tab_alimentos[[#This Row],[Item]],super1[Bairro],mercado18)+SUMIFS(supercb[Qtde],supercb[Item],tab_alimentos[[#This Row],[Item]],supercb[Bairro],mercado18)</f>
        <v>0</v>
      </c>
      <c r="AD50" s="4">
        <f>SUMIFS(super1[Qtde],super1[Item],tab_alimentos[[#This Row],[Item]],super1[Bairro],extras)+SUMIFS(supercb[Qtde],supercb[Item],tab_alimentos[[#This Row],[Item]],supercb[Bairro],extras)</f>
        <v>0</v>
      </c>
      <c r="AE50" s="4">
        <f t="shared" si="18"/>
        <v>0</v>
      </c>
      <c r="AF50" s="4">
        <f t="shared" si="19"/>
        <v>0</v>
      </c>
      <c r="AG50" s="6">
        <f t="shared" si="20"/>
        <v>0</v>
      </c>
      <c r="AH50" s="19" t="str">
        <f>higiene[[#This Row],[Item]]</f>
        <v>Condicionador (400mL)</v>
      </c>
      <c r="AI50" s="4">
        <f>IFERROR(higiene[[#This Row],[Kg equivalente]],0)</f>
        <v>0</v>
      </c>
      <c r="AJ50" s="4">
        <f>IFERROR(higiene[[#This Row],[Preço por produto]],0)</f>
        <v>29.99</v>
      </c>
      <c r="AK50" s="4">
        <f>SUMIFS(super1[Qtde],super1[Item],tab_higiene[[#This Row],[Item]],super1[Bairro],mercado1)+SUMIFS(supercb[Qtde],supercb[Item],tab_higiene[[#This Row],[Item]],supercb[Bairro],mercado1)</f>
        <v>0</v>
      </c>
      <c r="AL50" s="4">
        <f>SUMIFS(super1[Qtde],super1[Item],tab_higiene[[#This Row],[Item]],super1[Bairro],mercado2)+SUMIFS(supercb[Qtde],supercb[Item],tab_higiene[[#This Row],[Item]],supercb[Bairro],mercado2)</f>
        <v>0</v>
      </c>
      <c r="AM50" s="4">
        <f>SUMIFS(super1[Qtde],super1[Item],tab_higiene[[#This Row],[Item]],super1[Bairro],mercado3)+SUMIFS(supercb[Qtde],supercb[Item],tab_higiene[[#This Row],[Item]],supercb[Bairro],mercado3)</f>
        <v>0</v>
      </c>
      <c r="AN50" s="4">
        <f>SUMIFS(super1[Qtde],super1[Item],tab_higiene[[#This Row],[Item]],super1[Bairro],mercado4)+SUMIFS(supercb[Qtde],supercb[Item],tab_higiene[[#This Row],[Item]],supercb[Bairro],mercado4)</f>
        <v>0</v>
      </c>
      <c r="AO50" s="4">
        <f>SUMIFS(super1[Qtde],super1[Item],tab_higiene[[#This Row],[Item]],super1[Bairro],mercado5)+SUMIFS(supercb[Qtde],supercb[Item],tab_higiene[[#This Row],[Item]],supercb[Bairro],mercado5)</f>
        <v>0</v>
      </c>
      <c r="AP50" s="4">
        <f>SUMIFS(super1[Qtde],super1[Item],tab_higiene[[#This Row],[Item]],super1[Bairro],mercado6)+SUMIFS(supercb[Qtde],supercb[Item],tab_higiene[[#This Row],[Item]],supercb[Bairro],mercado6)</f>
        <v>0</v>
      </c>
      <c r="AQ50" s="4">
        <f>SUMIFS(super1[Qtde],super1[Item],tab_higiene[[#This Row],[Item]],super1[Bairro],mercado7)+SUMIFS(supercb[Qtde],supercb[Item],tab_higiene[[#This Row],[Item]],supercb[Bairro],mercado7)</f>
        <v>0</v>
      </c>
      <c r="AR50" s="4">
        <f>SUMIFS(super1[Qtde],super1[Item],tab_higiene[[#This Row],[Item]],super1[Bairro],mercado8)+SUMIFS(supercb[Qtde],supercb[Item],tab_higiene[[#This Row],[Item]],supercb[Bairro],mercado8)</f>
        <v>0</v>
      </c>
      <c r="AS50" s="4">
        <f>SUMIFS(super1[Qtde],super1[Item],tab_higiene[[#This Row],[Item]],super1[Bairro],mercado9)+SUMIFS(supercb[Qtde],supercb[Item],tab_higiene[[#This Row],[Item]],supercb[Bairro],mercado9)</f>
        <v>0</v>
      </c>
      <c r="AT50" s="4">
        <f>SUMIFS(super1[Qtde],super1[Item],tab_higiene[[#This Row],[Item]],super1[Bairro],mercado10)+SUMIFS(supercb[Qtde],supercb[Item],tab_higiene[[#This Row],[Item]],supercb[Bairro],mercado10)</f>
        <v>0</v>
      </c>
      <c r="AU50" s="4">
        <f>SUMIFS(super1[Qtde],super1[Item],tab_higiene[[#This Row],[Item]],super1[Bairro],mercado11)+SUMIFS(supercb[Qtde],supercb[Item],tab_higiene[[#This Row],[Item]],supercb[Bairro],mercado11)</f>
        <v>0</v>
      </c>
      <c r="AV50" s="4">
        <f>SUMIFS(super1[Qtde],super1[Item],tab_higiene[[#This Row],[Item]],super1[Bairro],mercado12)+SUMIFS(supercb[Qtde],supercb[Item],tab_higiene[[#This Row],[Item]],supercb[Bairro],mercado12)</f>
        <v>0</v>
      </c>
      <c r="AW50" s="4">
        <f>SUMIFS(super1[Qtde],super1[Item],tab_higiene[[#This Row],[Item]],super1[Bairro],mercado13)+SUMIFS(supercb[Qtde],supercb[Item],tab_higiene[[#This Row],[Item]],supercb[Bairro],mercado13)</f>
        <v>0</v>
      </c>
      <c r="AX50" s="4">
        <f>SUMIFS(super1[Qtde],super1[Item],tab_higiene[[#This Row],[Item]],super1[Bairro],mercado14)+SUMIFS(supercb[Qtde],supercb[Item],tab_higiene[[#This Row],[Item]],supercb[Bairro],mercado14)</f>
        <v>0</v>
      </c>
      <c r="AY50" s="4">
        <f>SUMIFS(super1[Qtde],super1[Item],tab_higiene[[#This Row],[Item]],super1[Bairro],mercado15)+SUMIFS(supercb[Qtde],supercb[Item],tab_higiene[[#This Row],[Item]],supercb[Bairro],mercado15)</f>
        <v>0</v>
      </c>
      <c r="AZ50" s="4">
        <f>SUMIFS(super1[Qtde],super1[Item],tab_higiene[[#This Row],[Item]],super1[Bairro],mercado16)+SUMIFS(supercb[Qtde],supercb[Item],tab_higiene[[#This Row],[Item]],supercb[Bairro],mercado16)</f>
        <v>0</v>
      </c>
      <c r="BA50" s="4">
        <f>SUMIFS(super1[Qtde],super1[Item],tab_higiene[[#This Row],[Item]],super1[Bairro],mercado17)+SUMIFS(supercb[Qtde],supercb[Item],tab_higiene[[#This Row],[Item]],supercb[Bairro],mercado17)</f>
        <v>0</v>
      </c>
      <c r="BB50" s="4">
        <f>SUMIFS(super1[Qtde],super1[Item],tab_higiene[[#This Row],[Item]],super1[Bairro],mercado18)+SUMIFS(supercb[Qtde],supercb[Item],tab_higiene[[#This Row],[Item]],supercb[Bairro],mercado18)</f>
        <v>0</v>
      </c>
      <c r="BC50" s="4">
        <f>SUMIFS(super1[Qtde],super1[Item],tab_higiene[[#This Row],[Item]],super1[Bairro],extras)+SUMIFS(supercb[Qtde],supercb[Item],tab_higiene[[#This Row],[Item]],supercb[Bairro],extras)</f>
        <v>0</v>
      </c>
      <c r="BD50" s="4">
        <f t="shared" si="21"/>
        <v>0</v>
      </c>
      <c r="BE50" s="4">
        <f t="shared" si="22"/>
        <v>0</v>
      </c>
      <c r="BF50" s="6">
        <f t="shared" si="23"/>
        <v>0</v>
      </c>
      <c r="BI50" s="1" t="str">
        <f>tab_alimentos[[#This Row],[Item]]</f>
        <v>Azeitona (150g)</v>
      </c>
      <c r="BJ50" s="1">
        <f t="shared" si="6"/>
        <v>9</v>
      </c>
      <c r="BK50" s="1" t="str">
        <f t="shared" si="7"/>
        <v>Azeitona</v>
      </c>
      <c r="BL50" s="1">
        <f>tab_alimentos[[#This Row],[kg]]</f>
        <v>0</v>
      </c>
      <c r="BM50" s="25" t="s">
        <v>215</v>
      </c>
      <c r="BN50" s="1">
        <f t="shared" si="11"/>
        <v>0</v>
      </c>
      <c r="BP50" s="1" t="str">
        <f>tab_higiene[[#This Row],[Item]]</f>
        <v>Condicionador (400mL)</v>
      </c>
      <c r="BQ50" s="1">
        <f t="shared" si="8"/>
        <v>14</v>
      </c>
      <c r="BR50" s="1" t="str">
        <f t="shared" si="9"/>
        <v>Condicionador</v>
      </c>
      <c r="BS50" s="1">
        <f>higiene[[#This Row],[Quantidade]]</f>
        <v>1</v>
      </c>
      <c r="BT50" s="1">
        <f>tab_higiene[[#This Row],[Qtde (tot)]]</f>
        <v>0</v>
      </c>
      <c r="BU50" s="1">
        <f t="shared" si="12"/>
        <v>0</v>
      </c>
      <c r="BV50" s="25" t="s">
        <v>72</v>
      </c>
      <c r="BW50" s="1">
        <f t="shared" si="24"/>
        <v>0</v>
      </c>
    </row>
    <row r="51" spans="9:75" x14ac:dyDescent="0.25">
      <c r="I51" s="19" t="str">
        <f>alimentos[[#This Row],[Item]]</f>
        <v>Azeitona (160g)</v>
      </c>
      <c r="J51" s="4">
        <f>IFERROR(alimentos[[#This Row],[kg/embalagem]],0)</f>
        <v>0.16</v>
      </c>
      <c r="K51" s="4">
        <f>IFERROR(alimentos[[#This Row],[Preço]],0)</f>
        <v>11.8</v>
      </c>
      <c r="L51" s="4">
        <f>SUMIFS(super1[Qtde],super1[Item],tab_alimentos[[#This Row],[Item]],super1[Bairro],mercado1)+SUMIFS(supercb[Qtde],supercb[Item],tab_alimentos[[#This Row],[Item]],supercb[Bairro],mercado1)</f>
        <v>0</v>
      </c>
      <c r="M51" s="4">
        <f>SUMIFS(super1[Qtde],super1[Item],tab_alimentos[[#This Row],[Item]],super1[Bairro],mercado2)+SUMIFS(supercb[Qtde],supercb[Item],tab_alimentos[[#This Row],[Item]],supercb[Bairro],mercado2)</f>
        <v>0</v>
      </c>
      <c r="N51" s="4">
        <f>SUMIFS(super1[Qtde],super1[Item],tab_alimentos[[#This Row],[Item]],super1[Bairro],mercado3)+SUMIFS(supercb[Qtde],supercb[Item],tab_alimentos[[#This Row],[Item]],supercb[Bairro],mercado3)</f>
        <v>0</v>
      </c>
      <c r="O51" s="4">
        <f>SUMIFS(super1[Qtde],super1[Item],tab_alimentos[[#This Row],[Item]],super1[Bairro],mercado4)+SUMIFS(supercb[Qtde],supercb[Item],tab_alimentos[[#This Row],[Item]],supercb[Bairro],mercado4)</f>
        <v>0</v>
      </c>
      <c r="P51" s="4">
        <f>SUMIFS(super1[Qtde],super1[Item],tab_alimentos[[#This Row],[Item]],super1[Bairro],mercado5)+SUMIFS(supercb[Qtde],supercb[Item],tab_alimentos[[#This Row],[Item]],supercb[Bairro],mercado5)</f>
        <v>0</v>
      </c>
      <c r="Q51" s="4">
        <f>SUMIFS(super1[Qtde],super1[Item],tab_alimentos[[#This Row],[Item]],super1[Bairro],mercado6)+SUMIFS(supercb[Qtde],supercb[Item],tab_alimentos[[#This Row],[Item]],supercb[Bairro],mercado6)</f>
        <v>0</v>
      </c>
      <c r="R51" s="4">
        <f>SUMIFS(super1[Qtde],super1[Item],tab_alimentos[[#This Row],[Item]],super1[Bairro],mercado7)+SUMIFS(supercb[Qtde],supercb[Item],tab_alimentos[[#This Row],[Item]],supercb[Bairro],mercado7)</f>
        <v>0</v>
      </c>
      <c r="S51" s="4">
        <f>SUMIFS(super1[Qtde],super1[Item],tab_alimentos[[#This Row],[Item]],super1[Bairro],mercado8)+SUMIFS(supercb[Qtde],supercb[Item],tab_alimentos[[#This Row],[Item]],supercb[Bairro],mercado8)</f>
        <v>0</v>
      </c>
      <c r="T51" s="4">
        <f>SUMIFS(super1[Qtde],super1[Item],tab_alimentos[[#This Row],[Item]],super1[Bairro],mercado9)+SUMIFS(supercb[Qtde],supercb[Item],tab_alimentos[[#This Row],[Item]],supercb[Bairro],mercado9)</f>
        <v>0</v>
      </c>
      <c r="U51" s="4">
        <f>SUMIFS(super1[Qtde],super1[Item],tab_alimentos[[#This Row],[Item]],super1[Bairro],mercado10)+SUMIFS(supercb[Qtde],supercb[Item],tab_alimentos[[#This Row],[Item]],supercb[Bairro],mercado10)</f>
        <v>0</v>
      </c>
      <c r="V51" s="4">
        <f>SUMIFS(super1[Qtde],super1[Item],tab_alimentos[[#This Row],[Item]],super1[Bairro],mercado11)+SUMIFS(supercb[Qtde],supercb[Item],tab_alimentos[[#This Row],[Item]],supercb[Bairro],mercado11)</f>
        <v>0</v>
      </c>
      <c r="W51" s="4">
        <f>SUMIFS(super1[Qtde],super1[Item],tab_alimentos[[#This Row],[Item]],super1[Bairro],mercado12)+SUMIFS(supercb[Qtde],supercb[Item],tab_alimentos[[#This Row],[Item]],supercb[Bairro],mercado12)</f>
        <v>0</v>
      </c>
      <c r="X51" s="4">
        <f>SUMIFS(super1[Qtde],super1[Item],tab_alimentos[[#This Row],[Item]],super1[Bairro],mercado13)+SUMIFS(supercb[Qtde],supercb[Item],tab_alimentos[[#This Row],[Item]],supercb[Bairro],mercado13)</f>
        <v>0</v>
      </c>
      <c r="Y51" s="4">
        <f>SUMIFS(super1[Qtde],super1[Item],tab_alimentos[[#This Row],[Item]],super1[Bairro],mercado14)+SUMIFS(supercb[Qtde],supercb[Item],tab_alimentos[[#This Row],[Item]],supercb[Bairro],mercado14)</f>
        <v>0</v>
      </c>
      <c r="Z51" s="4">
        <f>SUMIFS(super1[Qtde],super1[Item],tab_alimentos[[#This Row],[Item]],super1[Bairro],mercado15)+SUMIFS(supercb[Qtde],supercb[Item],tab_alimentos[[#This Row],[Item]],supercb[Bairro],mercado15)</f>
        <v>0</v>
      </c>
      <c r="AA51" s="4">
        <f>SUMIFS(super1[Qtde],super1[Item],tab_alimentos[[#This Row],[Item]],super1[Bairro],mercado16)+SUMIFS(supercb[Qtde],supercb[Item],tab_alimentos[[#This Row],[Item]],supercb[Bairro],mercado16)</f>
        <v>0</v>
      </c>
      <c r="AB51" s="4">
        <f>SUMIFS(super1[Qtde],super1[Item],tab_alimentos[[#This Row],[Item]],super1[Bairro],mercado17)+SUMIFS(supercb[Qtde],supercb[Item],tab_alimentos[[#This Row],[Item]],supercb[Bairro],mercado17)</f>
        <v>0</v>
      </c>
      <c r="AC51" s="4">
        <f>SUMIFS(super1[Qtde],super1[Item],tab_alimentos[[#This Row],[Item]],super1[Bairro],mercado18)+SUMIFS(supercb[Qtde],supercb[Item],tab_alimentos[[#This Row],[Item]],supercb[Bairro],mercado18)</f>
        <v>0</v>
      </c>
      <c r="AD51" s="4">
        <f>SUMIFS(super1[Qtde],super1[Item],tab_alimentos[[#This Row],[Item]],super1[Bairro],extras)+SUMIFS(supercb[Qtde],supercb[Item],tab_alimentos[[#This Row],[Item]],supercb[Bairro],extras)</f>
        <v>0</v>
      </c>
      <c r="AE51" s="4">
        <f t="shared" si="18"/>
        <v>0</v>
      </c>
      <c r="AF51" s="4">
        <f t="shared" si="19"/>
        <v>0</v>
      </c>
      <c r="AG51" s="6">
        <f t="shared" si="20"/>
        <v>0</v>
      </c>
      <c r="AH51" s="19" t="str">
        <f>higiene[[#This Row],[Item]]</f>
        <v>Condicionador (500mL)</v>
      </c>
      <c r="AI51" s="4">
        <f>IFERROR(higiene[[#This Row],[Kg equivalente]],0)</f>
        <v>0</v>
      </c>
      <c r="AJ51" s="4">
        <f>IFERROR(higiene[[#This Row],[Preço por produto]],0)</f>
        <v>7.99</v>
      </c>
      <c r="AK51" s="4">
        <f>SUMIFS(super1[Qtde],super1[Item],tab_higiene[[#This Row],[Item]],super1[Bairro],mercado1)+SUMIFS(supercb[Qtde],supercb[Item],tab_higiene[[#This Row],[Item]],supercb[Bairro],mercado1)</f>
        <v>0</v>
      </c>
      <c r="AL51" s="4">
        <f>SUMIFS(super1[Qtde],super1[Item],tab_higiene[[#This Row],[Item]],super1[Bairro],mercado2)+SUMIFS(supercb[Qtde],supercb[Item],tab_higiene[[#This Row],[Item]],supercb[Bairro],mercado2)</f>
        <v>0</v>
      </c>
      <c r="AM51" s="4">
        <f>SUMIFS(super1[Qtde],super1[Item],tab_higiene[[#This Row],[Item]],super1[Bairro],mercado3)+SUMIFS(supercb[Qtde],supercb[Item],tab_higiene[[#This Row],[Item]],supercb[Bairro],mercado3)</f>
        <v>0</v>
      </c>
      <c r="AN51" s="4">
        <f>SUMIFS(super1[Qtde],super1[Item],tab_higiene[[#This Row],[Item]],super1[Bairro],mercado4)+SUMIFS(supercb[Qtde],supercb[Item],tab_higiene[[#This Row],[Item]],supercb[Bairro],mercado4)</f>
        <v>0</v>
      </c>
      <c r="AO51" s="4">
        <f>SUMIFS(super1[Qtde],super1[Item],tab_higiene[[#This Row],[Item]],super1[Bairro],mercado5)+SUMIFS(supercb[Qtde],supercb[Item],tab_higiene[[#This Row],[Item]],supercb[Bairro],mercado5)</f>
        <v>0</v>
      </c>
      <c r="AP51" s="4">
        <f>SUMIFS(super1[Qtde],super1[Item],tab_higiene[[#This Row],[Item]],super1[Bairro],mercado6)+SUMIFS(supercb[Qtde],supercb[Item],tab_higiene[[#This Row],[Item]],supercb[Bairro],mercado6)</f>
        <v>0</v>
      </c>
      <c r="AQ51" s="4">
        <f>SUMIFS(super1[Qtde],super1[Item],tab_higiene[[#This Row],[Item]],super1[Bairro],mercado7)+SUMIFS(supercb[Qtde],supercb[Item],tab_higiene[[#This Row],[Item]],supercb[Bairro],mercado7)</f>
        <v>0</v>
      </c>
      <c r="AR51" s="4">
        <f>SUMIFS(super1[Qtde],super1[Item],tab_higiene[[#This Row],[Item]],super1[Bairro],mercado8)+SUMIFS(supercb[Qtde],supercb[Item],tab_higiene[[#This Row],[Item]],supercb[Bairro],mercado8)</f>
        <v>0</v>
      </c>
      <c r="AS51" s="4">
        <f>SUMIFS(super1[Qtde],super1[Item],tab_higiene[[#This Row],[Item]],super1[Bairro],mercado9)+SUMIFS(supercb[Qtde],supercb[Item],tab_higiene[[#This Row],[Item]],supercb[Bairro],mercado9)</f>
        <v>0</v>
      </c>
      <c r="AT51" s="4">
        <f>SUMIFS(super1[Qtde],super1[Item],tab_higiene[[#This Row],[Item]],super1[Bairro],mercado10)+SUMIFS(supercb[Qtde],supercb[Item],tab_higiene[[#This Row],[Item]],supercb[Bairro],mercado10)</f>
        <v>0</v>
      </c>
      <c r="AU51" s="4">
        <f>SUMIFS(super1[Qtde],super1[Item],tab_higiene[[#This Row],[Item]],super1[Bairro],mercado11)+SUMIFS(supercb[Qtde],supercb[Item],tab_higiene[[#This Row],[Item]],supercb[Bairro],mercado11)</f>
        <v>0</v>
      </c>
      <c r="AV51" s="4">
        <f>SUMIFS(super1[Qtde],super1[Item],tab_higiene[[#This Row],[Item]],super1[Bairro],mercado12)+SUMIFS(supercb[Qtde],supercb[Item],tab_higiene[[#This Row],[Item]],supercb[Bairro],mercado12)</f>
        <v>0</v>
      </c>
      <c r="AW51" s="4">
        <f>SUMIFS(super1[Qtde],super1[Item],tab_higiene[[#This Row],[Item]],super1[Bairro],mercado13)+SUMIFS(supercb[Qtde],supercb[Item],tab_higiene[[#This Row],[Item]],supercb[Bairro],mercado13)</f>
        <v>0</v>
      </c>
      <c r="AX51" s="4">
        <f>SUMIFS(super1[Qtde],super1[Item],tab_higiene[[#This Row],[Item]],super1[Bairro],mercado14)+SUMIFS(supercb[Qtde],supercb[Item],tab_higiene[[#This Row],[Item]],supercb[Bairro],mercado14)</f>
        <v>0</v>
      </c>
      <c r="AY51" s="4">
        <f>SUMIFS(super1[Qtde],super1[Item],tab_higiene[[#This Row],[Item]],super1[Bairro],mercado15)+SUMIFS(supercb[Qtde],supercb[Item],tab_higiene[[#This Row],[Item]],supercb[Bairro],mercado15)</f>
        <v>0</v>
      </c>
      <c r="AZ51" s="4">
        <f>SUMIFS(super1[Qtde],super1[Item],tab_higiene[[#This Row],[Item]],super1[Bairro],mercado16)+SUMIFS(supercb[Qtde],supercb[Item],tab_higiene[[#This Row],[Item]],supercb[Bairro],mercado16)</f>
        <v>0</v>
      </c>
      <c r="BA51" s="4">
        <f>SUMIFS(super1[Qtde],super1[Item],tab_higiene[[#This Row],[Item]],super1[Bairro],mercado17)+SUMIFS(supercb[Qtde],supercb[Item],tab_higiene[[#This Row],[Item]],supercb[Bairro],mercado17)</f>
        <v>0</v>
      </c>
      <c r="BB51" s="4">
        <f>SUMIFS(super1[Qtde],super1[Item],tab_higiene[[#This Row],[Item]],super1[Bairro],mercado18)+SUMIFS(supercb[Qtde],supercb[Item],tab_higiene[[#This Row],[Item]],supercb[Bairro],mercado18)</f>
        <v>0</v>
      </c>
      <c r="BC51" s="4">
        <f>SUMIFS(super1[Qtde],super1[Item],tab_higiene[[#This Row],[Item]],super1[Bairro],extras)+SUMIFS(supercb[Qtde],supercb[Item],tab_higiene[[#This Row],[Item]],supercb[Bairro],extras)</f>
        <v>0</v>
      </c>
      <c r="BD51" s="4">
        <f t="shared" si="21"/>
        <v>0</v>
      </c>
      <c r="BE51" s="4">
        <f t="shared" si="22"/>
        <v>0</v>
      </c>
      <c r="BF51" s="6">
        <f t="shared" si="23"/>
        <v>0</v>
      </c>
      <c r="BI51" s="1" t="str">
        <f>tab_alimentos[[#This Row],[Item]]</f>
        <v>Azeitona (160g)</v>
      </c>
      <c r="BJ51" s="1">
        <f t="shared" si="6"/>
        <v>9</v>
      </c>
      <c r="BK51" s="1" t="str">
        <f t="shared" si="7"/>
        <v>Azeitona</v>
      </c>
      <c r="BL51" s="1">
        <f>tab_alimentos[[#This Row],[kg]]</f>
        <v>0</v>
      </c>
      <c r="BM51" s="25" t="s">
        <v>67</v>
      </c>
      <c r="BN51" s="1">
        <f t="shared" si="11"/>
        <v>0</v>
      </c>
      <c r="BP51" s="1" t="str">
        <f>tab_higiene[[#This Row],[Item]]</f>
        <v>Condicionador (500mL)</v>
      </c>
      <c r="BQ51" s="1">
        <f t="shared" si="8"/>
        <v>14</v>
      </c>
      <c r="BR51" s="1" t="str">
        <f t="shared" si="9"/>
        <v>Condicionador</v>
      </c>
      <c r="BS51" s="1">
        <f>higiene[[#This Row],[Quantidade]]</f>
        <v>2</v>
      </c>
      <c r="BT51" s="1">
        <f>tab_higiene[[#This Row],[Qtde (tot)]]</f>
        <v>0</v>
      </c>
      <c r="BU51" s="1">
        <f t="shared" si="12"/>
        <v>0</v>
      </c>
      <c r="BV51" s="25" t="s">
        <v>283</v>
      </c>
      <c r="BW51" s="1">
        <f t="shared" si="24"/>
        <v>0</v>
      </c>
    </row>
    <row r="52" spans="9:75" x14ac:dyDescent="0.25">
      <c r="I52" s="19" t="str">
        <f>alimentos[[#This Row],[Item]]</f>
        <v>Azeitona (1kg)</v>
      </c>
      <c r="J52" s="4">
        <f>IFERROR(alimentos[[#This Row],[kg/embalagem]],0)</f>
        <v>1</v>
      </c>
      <c r="K52" s="4">
        <f>IFERROR(alimentos[[#This Row],[Preço]],0)</f>
        <v>17</v>
      </c>
      <c r="L52" s="4">
        <f>SUMIFS(super1[Qtde],super1[Item],tab_alimentos[[#This Row],[Item]],super1[Bairro],mercado1)+SUMIFS(supercb[Qtde],supercb[Item],tab_alimentos[[#This Row],[Item]],supercb[Bairro],mercado1)</f>
        <v>0</v>
      </c>
      <c r="M52" s="4">
        <f>SUMIFS(super1[Qtde],super1[Item],tab_alimentos[[#This Row],[Item]],super1[Bairro],mercado2)+SUMIFS(supercb[Qtde],supercb[Item],tab_alimentos[[#This Row],[Item]],supercb[Bairro],mercado2)</f>
        <v>0</v>
      </c>
      <c r="N52" s="4">
        <f>SUMIFS(super1[Qtde],super1[Item],tab_alimentos[[#This Row],[Item]],super1[Bairro],mercado3)+SUMIFS(supercb[Qtde],supercb[Item],tab_alimentos[[#This Row],[Item]],supercb[Bairro],mercado3)</f>
        <v>0</v>
      </c>
      <c r="O52" s="4">
        <f>SUMIFS(super1[Qtde],super1[Item],tab_alimentos[[#This Row],[Item]],super1[Bairro],mercado4)+SUMIFS(supercb[Qtde],supercb[Item],tab_alimentos[[#This Row],[Item]],supercb[Bairro],mercado4)</f>
        <v>0</v>
      </c>
      <c r="P52" s="4">
        <f>SUMIFS(super1[Qtde],super1[Item],tab_alimentos[[#This Row],[Item]],super1[Bairro],mercado5)+SUMIFS(supercb[Qtde],supercb[Item],tab_alimentos[[#This Row],[Item]],supercb[Bairro],mercado5)</f>
        <v>0</v>
      </c>
      <c r="Q52" s="4">
        <f>SUMIFS(super1[Qtde],super1[Item],tab_alimentos[[#This Row],[Item]],super1[Bairro],mercado6)+SUMIFS(supercb[Qtde],supercb[Item],tab_alimentos[[#This Row],[Item]],supercb[Bairro],mercado6)</f>
        <v>0</v>
      </c>
      <c r="R52" s="4">
        <f>SUMIFS(super1[Qtde],super1[Item],tab_alimentos[[#This Row],[Item]],super1[Bairro],mercado7)+SUMIFS(supercb[Qtde],supercb[Item],tab_alimentos[[#This Row],[Item]],supercb[Bairro],mercado7)</f>
        <v>0</v>
      </c>
      <c r="S52" s="4">
        <f>SUMIFS(super1[Qtde],super1[Item],tab_alimentos[[#This Row],[Item]],super1[Bairro],mercado8)+SUMIFS(supercb[Qtde],supercb[Item],tab_alimentos[[#This Row],[Item]],supercb[Bairro],mercado8)</f>
        <v>0</v>
      </c>
      <c r="T52" s="4">
        <f>SUMIFS(super1[Qtde],super1[Item],tab_alimentos[[#This Row],[Item]],super1[Bairro],mercado9)+SUMIFS(supercb[Qtde],supercb[Item],tab_alimentos[[#This Row],[Item]],supercb[Bairro],mercado9)</f>
        <v>0</v>
      </c>
      <c r="U52" s="4">
        <f>SUMIFS(super1[Qtde],super1[Item],tab_alimentos[[#This Row],[Item]],super1[Bairro],mercado10)+SUMIFS(supercb[Qtde],supercb[Item],tab_alimentos[[#This Row],[Item]],supercb[Bairro],mercado10)</f>
        <v>0</v>
      </c>
      <c r="V52" s="4">
        <f>SUMIFS(super1[Qtde],super1[Item],tab_alimentos[[#This Row],[Item]],super1[Bairro],mercado11)+SUMIFS(supercb[Qtde],supercb[Item],tab_alimentos[[#This Row],[Item]],supercb[Bairro],mercado11)</f>
        <v>0</v>
      </c>
      <c r="W52" s="4">
        <f>SUMIFS(super1[Qtde],super1[Item],tab_alimentos[[#This Row],[Item]],super1[Bairro],mercado12)+SUMIFS(supercb[Qtde],supercb[Item],tab_alimentos[[#This Row],[Item]],supercb[Bairro],mercado12)</f>
        <v>0</v>
      </c>
      <c r="X52" s="4">
        <f>SUMIFS(super1[Qtde],super1[Item],tab_alimentos[[#This Row],[Item]],super1[Bairro],mercado13)+SUMIFS(supercb[Qtde],supercb[Item],tab_alimentos[[#This Row],[Item]],supercb[Bairro],mercado13)</f>
        <v>0</v>
      </c>
      <c r="Y52" s="4">
        <f>SUMIFS(super1[Qtde],super1[Item],tab_alimentos[[#This Row],[Item]],super1[Bairro],mercado14)+SUMIFS(supercb[Qtde],supercb[Item],tab_alimentos[[#This Row],[Item]],supercb[Bairro],mercado14)</f>
        <v>0</v>
      </c>
      <c r="Z52" s="4">
        <f>SUMIFS(super1[Qtde],super1[Item],tab_alimentos[[#This Row],[Item]],super1[Bairro],mercado15)+SUMIFS(supercb[Qtde],supercb[Item],tab_alimentos[[#This Row],[Item]],supercb[Bairro],mercado15)</f>
        <v>0</v>
      </c>
      <c r="AA52" s="4">
        <f>SUMIFS(super1[Qtde],super1[Item],tab_alimentos[[#This Row],[Item]],super1[Bairro],mercado16)+SUMIFS(supercb[Qtde],supercb[Item],tab_alimentos[[#This Row],[Item]],supercb[Bairro],mercado16)</f>
        <v>0</v>
      </c>
      <c r="AB52" s="4">
        <f>SUMIFS(super1[Qtde],super1[Item],tab_alimentos[[#This Row],[Item]],super1[Bairro],mercado17)+SUMIFS(supercb[Qtde],supercb[Item],tab_alimentos[[#This Row],[Item]],supercb[Bairro],mercado17)</f>
        <v>0</v>
      </c>
      <c r="AC52" s="4">
        <f>SUMIFS(super1[Qtde],super1[Item],tab_alimentos[[#This Row],[Item]],super1[Bairro],mercado18)+SUMIFS(supercb[Qtde],supercb[Item],tab_alimentos[[#This Row],[Item]],supercb[Bairro],mercado18)</f>
        <v>0</v>
      </c>
      <c r="AD52" s="4">
        <f>SUMIFS(super1[Qtde],super1[Item],tab_alimentos[[#This Row],[Item]],super1[Bairro],extras)+SUMIFS(supercb[Qtde],supercb[Item],tab_alimentos[[#This Row],[Item]],supercb[Bairro],extras)</f>
        <v>0</v>
      </c>
      <c r="AE52" s="4">
        <f t="shared" si="18"/>
        <v>0</v>
      </c>
      <c r="AF52" s="4">
        <f t="shared" si="19"/>
        <v>0</v>
      </c>
      <c r="AG52" s="6">
        <f t="shared" si="20"/>
        <v>0</v>
      </c>
      <c r="AH52" s="19" t="str">
        <f>higiene[[#This Row],[Item]]</f>
        <v>Creme (400mL)</v>
      </c>
      <c r="AI52" s="4">
        <f>IFERROR(higiene[[#This Row],[Kg equivalente]],0)</f>
        <v>0</v>
      </c>
      <c r="AJ52" s="4">
        <f>IFERROR(higiene[[#This Row],[Preço por produto]],0)</f>
        <v>18.899999999999999</v>
      </c>
      <c r="AK52" s="4">
        <f>SUMIFS(super1[Qtde],super1[Item],tab_higiene[[#This Row],[Item]],super1[Bairro],mercado1)+SUMIFS(supercb[Qtde],supercb[Item],tab_higiene[[#This Row],[Item]],supercb[Bairro],mercado1)</f>
        <v>0</v>
      </c>
      <c r="AL52" s="4">
        <f>SUMIFS(super1[Qtde],super1[Item],tab_higiene[[#This Row],[Item]],super1[Bairro],mercado2)+SUMIFS(supercb[Qtde],supercb[Item],tab_higiene[[#This Row],[Item]],supercb[Bairro],mercado2)</f>
        <v>0</v>
      </c>
      <c r="AM52" s="4">
        <f>SUMIFS(super1[Qtde],super1[Item],tab_higiene[[#This Row],[Item]],super1[Bairro],mercado3)+SUMIFS(supercb[Qtde],supercb[Item],tab_higiene[[#This Row],[Item]],supercb[Bairro],mercado3)</f>
        <v>0</v>
      </c>
      <c r="AN52" s="4">
        <f>SUMIFS(super1[Qtde],super1[Item],tab_higiene[[#This Row],[Item]],super1[Bairro],mercado4)+SUMIFS(supercb[Qtde],supercb[Item],tab_higiene[[#This Row],[Item]],supercb[Bairro],mercado4)</f>
        <v>0</v>
      </c>
      <c r="AO52" s="4">
        <f>SUMIFS(super1[Qtde],super1[Item],tab_higiene[[#This Row],[Item]],super1[Bairro],mercado5)+SUMIFS(supercb[Qtde],supercb[Item],tab_higiene[[#This Row],[Item]],supercb[Bairro],mercado5)</f>
        <v>0</v>
      </c>
      <c r="AP52" s="4">
        <f>SUMIFS(super1[Qtde],super1[Item],tab_higiene[[#This Row],[Item]],super1[Bairro],mercado6)+SUMIFS(supercb[Qtde],supercb[Item],tab_higiene[[#This Row],[Item]],supercb[Bairro],mercado6)</f>
        <v>0</v>
      </c>
      <c r="AQ52" s="4">
        <f>SUMIFS(super1[Qtde],super1[Item],tab_higiene[[#This Row],[Item]],super1[Bairro],mercado7)+SUMIFS(supercb[Qtde],supercb[Item],tab_higiene[[#This Row],[Item]],supercb[Bairro],mercado7)</f>
        <v>0</v>
      </c>
      <c r="AR52" s="4">
        <f>SUMIFS(super1[Qtde],super1[Item],tab_higiene[[#This Row],[Item]],super1[Bairro],mercado8)+SUMIFS(supercb[Qtde],supercb[Item],tab_higiene[[#This Row],[Item]],supercb[Bairro],mercado8)</f>
        <v>0</v>
      </c>
      <c r="AS52" s="4">
        <f>SUMIFS(super1[Qtde],super1[Item],tab_higiene[[#This Row],[Item]],super1[Bairro],mercado9)+SUMIFS(supercb[Qtde],supercb[Item],tab_higiene[[#This Row],[Item]],supercb[Bairro],mercado9)</f>
        <v>0</v>
      </c>
      <c r="AT52" s="4">
        <f>SUMIFS(super1[Qtde],super1[Item],tab_higiene[[#This Row],[Item]],super1[Bairro],mercado10)+SUMIFS(supercb[Qtde],supercb[Item],tab_higiene[[#This Row],[Item]],supercb[Bairro],mercado10)</f>
        <v>0</v>
      </c>
      <c r="AU52" s="4">
        <f>SUMIFS(super1[Qtde],super1[Item],tab_higiene[[#This Row],[Item]],super1[Bairro],mercado11)+SUMIFS(supercb[Qtde],supercb[Item],tab_higiene[[#This Row],[Item]],supercb[Bairro],mercado11)</f>
        <v>0</v>
      </c>
      <c r="AV52" s="4">
        <f>SUMIFS(super1[Qtde],super1[Item],tab_higiene[[#This Row],[Item]],super1[Bairro],mercado12)+SUMIFS(supercb[Qtde],supercb[Item],tab_higiene[[#This Row],[Item]],supercb[Bairro],mercado12)</f>
        <v>0</v>
      </c>
      <c r="AW52" s="4">
        <f>SUMIFS(super1[Qtde],super1[Item],tab_higiene[[#This Row],[Item]],super1[Bairro],mercado13)+SUMIFS(supercb[Qtde],supercb[Item],tab_higiene[[#This Row],[Item]],supercb[Bairro],mercado13)</f>
        <v>0</v>
      </c>
      <c r="AX52" s="4">
        <f>SUMIFS(super1[Qtde],super1[Item],tab_higiene[[#This Row],[Item]],super1[Bairro],mercado14)+SUMIFS(supercb[Qtde],supercb[Item],tab_higiene[[#This Row],[Item]],supercb[Bairro],mercado14)</f>
        <v>0</v>
      </c>
      <c r="AY52" s="4">
        <f>SUMIFS(super1[Qtde],super1[Item],tab_higiene[[#This Row],[Item]],super1[Bairro],mercado15)+SUMIFS(supercb[Qtde],supercb[Item],tab_higiene[[#This Row],[Item]],supercb[Bairro],mercado15)</f>
        <v>0</v>
      </c>
      <c r="AZ52" s="4">
        <f>SUMIFS(super1[Qtde],super1[Item],tab_higiene[[#This Row],[Item]],super1[Bairro],mercado16)+SUMIFS(supercb[Qtde],supercb[Item],tab_higiene[[#This Row],[Item]],supercb[Bairro],mercado16)</f>
        <v>0</v>
      </c>
      <c r="BA52" s="4">
        <f>SUMIFS(super1[Qtde],super1[Item],tab_higiene[[#This Row],[Item]],super1[Bairro],mercado17)+SUMIFS(supercb[Qtde],supercb[Item],tab_higiene[[#This Row],[Item]],supercb[Bairro],mercado17)</f>
        <v>0</v>
      </c>
      <c r="BB52" s="4">
        <f>SUMIFS(super1[Qtde],super1[Item],tab_higiene[[#This Row],[Item]],super1[Bairro],mercado18)+SUMIFS(supercb[Qtde],supercb[Item],tab_higiene[[#This Row],[Item]],supercb[Bairro],mercado18)</f>
        <v>0</v>
      </c>
      <c r="BC52" s="4">
        <f>SUMIFS(super1[Qtde],super1[Item],tab_higiene[[#This Row],[Item]],super1[Bairro],extras)+SUMIFS(supercb[Qtde],supercb[Item],tab_higiene[[#This Row],[Item]],supercb[Bairro],extras)</f>
        <v>0</v>
      </c>
      <c r="BD52" s="4">
        <f t="shared" si="21"/>
        <v>0</v>
      </c>
      <c r="BE52" s="4">
        <f t="shared" si="22"/>
        <v>0</v>
      </c>
      <c r="BF52" s="6">
        <f t="shared" si="23"/>
        <v>0</v>
      </c>
      <c r="BI52" s="1" t="str">
        <f>tab_alimentos[[#This Row],[Item]]</f>
        <v>Azeitona (1kg)</v>
      </c>
      <c r="BJ52" s="1">
        <f t="shared" si="6"/>
        <v>9</v>
      </c>
      <c r="BK52" s="1" t="str">
        <f t="shared" si="7"/>
        <v>Azeitona</v>
      </c>
      <c r="BL52" s="1">
        <f>tab_alimentos[[#This Row],[kg]]</f>
        <v>0</v>
      </c>
      <c r="BM52" s="25" t="s">
        <v>216</v>
      </c>
      <c r="BN52" s="1">
        <f t="shared" si="11"/>
        <v>0</v>
      </c>
      <c r="BP52" s="1" t="str">
        <f>tab_higiene[[#This Row],[Item]]</f>
        <v>Creme (400mL)</v>
      </c>
      <c r="BQ52" s="1">
        <f t="shared" si="8"/>
        <v>6</v>
      </c>
      <c r="BR52" s="1" t="str">
        <f t="shared" si="9"/>
        <v>Creme</v>
      </c>
      <c r="BS52" s="1">
        <f>higiene[[#This Row],[Quantidade]]</f>
        <v>1</v>
      </c>
      <c r="BT52" s="1">
        <f>tab_higiene[[#This Row],[Qtde (tot)]]</f>
        <v>0</v>
      </c>
      <c r="BU52" s="1">
        <f t="shared" si="12"/>
        <v>0</v>
      </c>
      <c r="BV52" s="25" t="s">
        <v>73</v>
      </c>
      <c r="BW52" s="1">
        <f t="shared" si="24"/>
        <v>0</v>
      </c>
    </row>
    <row r="53" spans="9:75" x14ac:dyDescent="0.25">
      <c r="I53" s="19" t="str">
        <f>alimentos[[#This Row],[Item]]</f>
        <v>Azeitona (270g)</v>
      </c>
      <c r="J53" s="4">
        <f>IFERROR(alimentos[[#This Row],[kg/embalagem]],0)</f>
        <v>0.27</v>
      </c>
      <c r="K53" s="4">
        <f>IFERROR(alimentos[[#This Row],[Preço]],0)</f>
        <v>21</v>
      </c>
      <c r="L53" s="4">
        <f>SUMIFS(super1[Qtde],super1[Item],tab_alimentos[[#This Row],[Item]],super1[Bairro],mercado1)+SUMIFS(supercb[Qtde],supercb[Item],tab_alimentos[[#This Row],[Item]],supercb[Bairro],mercado1)</f>
        <v>0</v>
      </c>
      <c r="M53" s="4">
        <f>SUMIFS(super1[Qtde],super1[Item],tab_alimentos[[#This Row],[Item]],super1[Bairro],mercado2)+SUMIFS(supercb[Qtde],supercb[Item],tab_alimentos[[#This Row],[Item]],supercb[Bairro],mercado2)</f>
        <v>0</v>
      </c>
      <c r="N53" s="4">
        <f>SUMIFS(super1[Qtde],super1[Item],tab_alimentos[[#This Row],[Item]],super1[Bairro],mercado3)+SUMIFS(supercb[Qtde],supercb[Item],tab_alimentos[[#This Row],[Item]],supercb[Bairro],mercado3)</f>
        <v>0</v>
      </c>
      <c r="O53" s="4">
        <f>SUMIFS(super1[Qtde],super1[Item],tab_alimentos[[#This Row],[Item]],super1[Bairro],mercado4)+SUMIFS(supercb[Qtde],supercb[Item],tab_alimentos[[#This Row],[Item]],supercb[Bairro],mercado4)</f>
        <v>0</v>
      </c>
      <c r="P53" s="4">
        <f>SUMIFS(super1[Qtde],super1[Item],tab_alimentos[[#This Row],[Item]],super1[Bairro],mercado5)+SUMIFS(supercb[Qtde],supercb[Item],tab_alimentos[[#This Row],[Item]],supercb[Bairro],mercado5)</f>
        <v>0</v>
      </c>
      <c r="Q53" s="4">
        <f>SUMIFS(super1[Qtde],super1[Item],tab_alimentos[[#This Row],[Item]],super1[Bairro],mercado6)+SUMIFS(supercb[Qtde],supercb[Item],tab_alimentos[[#This Row],[Item]],supercb[Bairro],mercado6)</f>
        <v>0</v>
      </c>
      <c r="R53" s="4">
        <f>SUMIFS(super1[Qtde],super1[Item],tab_alimentos[[#This Row],[Item]],super1[Bairro],mercado7)+SUMIFS(supercb[Qtde],supercb[Item],tab_alimentos[[#This Row],[Item]],supercb[Bairro],mercado7)</f>
        <v>0</v>
      </c>
      <c r="S53" s="4">
        <f>SUMIFS(super1[Qtde],super1[Item],tab_alimentos[[#This Row],[Item]],super1[Bairro],mercado8)+SUMIFS(supercb[Qtde],supercb[Item],tab_alimentos[[#This Row],[Item]],supercb[Bairro],mercado8)</f>
        <v>0</v>
      </c>
      <c r="T53" s="4">
        <f>SUMIFS(super1[Qtde],super1[Item],tab_alimentos[[#This Row],[Item]],super1[Bairro],mercado9)+SUMIFS(supercb[Qtde],supercb[Item],tab_alimentos[[#This Row],[Item]],supercb[Bairro],mercado9)</f>
        <v>0</v>
      </c>
      <c r="U53" s="4">
        <f>SUMIFS(super1[Qtde],super1[Item],tab_alimentos[[#This Row],[Item]],super1[Bairro],mercado10)+SUMIFS(supercb[Qtde],supercb[Item],tab_alimentos[[#This Row],[Item]],supercb[Bairro],mercado10)</f>
        <v>0</v>
      </c>
      <c r="V53" s="4">
        <f>SUMIFS(super1[Qtde],super1[Item],tab_alimentos[[#This Row],[Item]],super1[Bairro],mercado11)+SUMIFS(supercb[Qtde],supercb[Item],tab_alimentos[[#This Row],[Item]],supercb[Bairro],mercado11)</f>
        <v>0</v>
      </c>
      <c r="W53" s="4">
        <f>SUMIFS(super1[Qtde],super1[Item],tab_alimentos[[#This Row],[Item]],super1[Bairro],mercado12)+SUMIFS(supercb[Qtde],supercb[Item],tab_alimentos[[#This Row],[Item]],supercb[Bairro],mercado12)</f>
        <v>0</v>
      </c>
      <c r="X53" s="4">
        <f>SUMIFS(super1[Qtde],super1[Item],tab_alimentos[[#This Row],[Item]],super1[Bairro],mercado13)+SUMIFS(supercb[Qtde],supercb[Item],tab_alimentos[[#This Row],[Item]],supercb[Bairro],mercado13)</f>
        <v>0</v>
      </c>
      <c r="Y53" s="4">
        <f>SUMIFS(super1[Qtde],super1[Item],tab_alimentos[[#This Row],[Item]],super1[Bairro],mercado14)+SUMIFS(supercb[Qtde],supercb[Item],tab_alimentos[[#This Row],[Item]],supercb[Bairro],mercado14)</f>
        <v>0</v>
      </c>
      <c r="Z53" s="4">
        <f>SUMIFS(super1[Qtde],super1[Item],tab_alimentos[[#This Row],[Item]],super1[Bairro],mercado15)+SUMIFS(supercb[Qtde],supercb[Item],tab_alimentos[[#This Row],[Item]],supercb[Bairro],mercado15)</f>
        <v>0</v>
      </c>
      <c r="AA53" s="4">
        <f>SUMIFS(super1[Qtde],super1[Item],tab_alimentos[[#This Row],[Item]],super1[Bairro],mercado16)+SUMIFS(supercb[Qtde],supercb[Item],tab_alimentos[[#This Row],[Item]],supercb[Bairro],mercado16)</f>
        <v>0</v>
      </c>
      <c r="AB53" s="4">
        <f>SUMIFS(super1[Qtde],super1[Item],tab_alimentos[[#This Row],[Item]],super1[Bairro],mercado17)+SUMIFS(supercb[Qtde],supercb[Item],tab_alimentos[[#This Row],[Item]],supercb[Bairro],mercado17)</f>
        <v>0</v>
      </c>
      <c r="AC53" s="4">
        <f>SUMIFS(super1[Qtde],super1[Item],tab_alimentos[[#This Row],[Item]],super1[Bairro],mercado18)+SUMIFS(supercb[Qtde],supercb[Item],tab_alimentos[[#This Row],[Item]],supercb[Bairro],mercado18)</f>
        <v>0</v>
      </c>
      <c r="AD53" s="4">
        <f>SUMIFS(super1[Qtde],super1[Item],tab_alimentos[[#This Row],[Item]],super1[Bairro],extras)+SUMIFS(supercb[Qtde],supercb[Item],tab_alimentos[[#This Row],[Item]],supercb[Bairro],extras)</f>
        <v>0</v>
      </c>
      <c r="AE53" s="4">
        <f t="shared" si="18"/>
        <v>0</v>
      </c>
      <c r="AF53" s="4">
        <f t="shared" si="19"/>
        <v>0</v>
      </c>
      <c r="AG53" s="6">
        <f t="shared" si="20"/>
        <v>0</v>
      </c>
      <c r="AH53" s="19" t="str">
        <f>higiene[[#This Row],[Item]]</f>
        <v>D</v>
      </c>
      <c r="AI53" s="4">
        <f>IFERROR(higiene[[#This Row],[Kg equivalente]],0)</f>
        <v>0</v>
      </c>
      <c r="AJ53" s="4">
        <f>IFERROR(higiene[[#This Row],[Preço por produto]],0)</f>
        <v>0</v>
      </c>
      <c r="AK53" s="4">
        <f>SUMIFS(super1[Qtde],super1[Item],tab_higiene[[#This Row],[Item]],super1[Bairro],mercado1)+SUMIFS(supercb[Qtde],supercb[Item],tab_higiene[[#This Row],[Item]],supercb[Bairro],mercado1)</f>
        <v>0</v>
      </c>
      <c r="AL53" s="4">
        <f>SUMIFS(super1[Qtde],super1[Item],tab_higiene[[#This Row],[Item]],super1[Bairro],mercado2)+SUMIFS(supercb[Qtde],supercb[Item],tab_higiene[[#This Row],[Item]],supercb[Bairro],mercado2)</f>
        <v>0</v>
      </c>
      <c r="AM53" s="4">
        <f>SUMIFS(super1[Qtde],super1[Item],tab_higiene[[#This Row],[Item]],super1[Bairro],mercado3)+SUMIFS(supercb[Qtde],supercb[Item],tab_higiene[[#This Row],[Item]],supercb[Bairro],mercado3)</f>
        <v>0</v>
      </c>
      <c r="AN53" s="4">
        <f>SUMIFS(super1[Qtde],super1[Item],tab_higiene[[#This Row],[Item]],super1[Bairro],mercado4)+SUMIFS(supercb[Qtde],supercb[Item],tab_higiene[[#This Row],[Item]],supercb[Bairro],mercado4)</f>
        <v>0</v>
      </c>
      <c r="AO53" s="4">
        <f>SUMIFS(super1[Qtde],super1[Item],tab_higiene[[#This Row],[Item]],super1[Bairro],mercado5)+SUMIFS(supercb[Qtde],supercb[Item],tab_higiene[[#This Row],[Item]],supercb[Bairro],mercado5)</f>
        <v>0</v>
      </c>
      <c r="AP53" s="4">
        <f>SUMIFS(super1[Qtde],super1[Item],tab_higiene[[#This Row],[Item]],super1[Bairro],mercado6)+SUMIFS(supercb[Qtde],supercb[Item],tab_higiene[[#This Row],[Item]],supercb[Bairro],mercado6)</f>
        <v>0</v>
      </c>
      <c r="AQ53" s="4">
        <f>SUMIFS(super1[Qtde],super1[Item],tab_higiene[[#This Row],[Item]],super1[Bairro],mercado7)+SUMIFS(supercb[Qtde],supercb[Item],tab_higiene[[#This Row],[Item]],supercb[Bairro],mercado7)</f>
        <v>0</v>
      </c>
      <c r="AR53" s="4">
        <f>SUMIFS(super1[Qtde],super1[Item],tab_higiene[[#This Row],[Item]],super1[Bairro],mercado8)+SUMIFS(supercb[Qtde],supercb[Item],tab_higiene[[#This Row],[Item]],supercb[Bairro],mercado8)</f>
        <v>0</v>
      </c>
      <c r="AS53" s="4">
        <f>SUMIFS(super1[Qtde],super1[Item],tab_higiene[[#This Row],[Item]],super1[Bairro],mercado9)+SUMIFS(supercb[Qtde],supercb[Item],tab_higiene[[#This Row],[Item]],supercb[Bairro],mercado9)</f>
        <v>0</v>
      </c>
      <c r="AT53" s="4">
        <f>SUMIFS(super1[Qtde],super1[Item],tab_higiene[[#This Row],[Item]],super1[Bairro],mercado10)+SUMIFS(supercb[Qtde],supercb[Item],tab_higiene[[#This Row],[Item]],supercb[Bairro],mercado10)</f>
        <v>0</v>
      </c>
      <c r="AU53" s="4">
        <f>SUMIFS(super1[Qtde],super1[Item],tab_higiene[[#This Row],[Item]],super1[Bairro],mercado11)+SUMIFS(supercb[Qtde],supercb[Item],tab_higiene[[#This Row],[Item]],supercb[Bairro],mercado11)</f>
        <v>0</v>
      </c>
      <c r="AV53" s="4">
        <f>SUMIFS(super1[Qtde],super1[Item],tab_higiene[[#This Row],[Item]],super1[Bairro],mercado12)+SUMIFS(supercb[Qtde],supercb[Item],tab_higiene[[#This Row],[Item]],supercb[Bairro],mercado12)</f>
        <v>0</v>
      </c>
      <c r="AW53" s="4">
        <f>SUMIFS(super1[Qtde],super1[Item],tab_higiene[[#This Row],[Item]],super1[Bairro],mercado13)+SUMIFS(supercb[Qtde],supercb[Item],tab_higiene[[#This Row],[Item]],supercb[Bairro],mercado13)</f>
        <v>0</v>
      </c>
      <c r="AX53" s="4">
        <f>SUMIFS(super1[Qtde],super1[Item],tab_higiene[[#This Row],[Item]],super1[Bairro],mercado14)+SUMIFS(supercb[Qtde],supercb[Item],tab_higiene[[#This Row],[Item]],supercb[Bairro],mercado14)</f>
        <v>0</v>
      </c>
      <c r="AY53" s="4">
        <f>SUMIFS(super1[Qtde],super1[Item],tab_higiene[[#This Row],[Item]],super1[Bairro],mercado15)+SUMIFS(supercb[Qtde],supercb[Item],tab_higiene[[#This Row],[Item]],supercb[Bairro],mercado15)</f>
        <v>0</v>
      </c>
      <c r="AZ53" s="4">
        <f>SUMIFS(super1[Qtde],super1[Item],tab_higiene[[#This Row],[Item]],super1[Bairro],mercado16)+SUMIFS(supercb[Qtde],supercb[Item],tab_higiene[[#This Row],[Item]],supercb[Bairro],mercado16)</f>
        <v>0</v>
      </c>
      <c r="BA53" s="4">
        <f>SUMIFS(super1[Qtde],super1[Item],tab_higiene[[#This Row],[Item]],super1[Bairro],mercado17)+SUMIFS(supercb[Qtde],supercb[Item],tab_higiene[[#This Row],[Item]],supercb[Bairro],mercado17)</f>
        <v>0</v>
      </c>
      <c r="BB53" s="4">
        <f>SUMIFS(super1[Qtde],super1[Item],tab_higiene[[#This Row],[Item]],super1[Bairro],mercado18)+SUMIFS(supercb[Qtde],supercb[Item],tab_higiene[[#This Row],[Item]],supercb[Bairro],mercado18)</f>
        <v>0</v>
      </c>
      <c r="BC53" s="4">
        <f>SUMIFS(super1[Qtde],super1[Item],tab_higiene[[#This Row],[Item]],super1[Bairro],extras)+SUMIFS(supercb[Qtde],supercb[Item],tab_higiene[[#This Row],[Item]],supercb[Bairro],extras)</f>
        <v>0</v>
      </c>
      <c r="BD53" s="4">
        <f t="shared" si="21"/>
        <v>0</v>
      </c>
      <c r="BE53" s="4">
        <f t="shared" si="22"/>
        <v>0</v>
      </c>
      <c r="BF53" s="6">
        <f t="shared" si="23"/>
        <v>0</v>
      </c>
      <c r="BI53" s="1" t="str">
        <f>tab_alimentos[[#This Row],[Item]]</f>
        <v>Azeitona (270g)</v>
      </c>
      <c r="BJ53" s="1">
        <f t="shared" si="6"/>
        <v>9</v>
      </c>
      <c r="BK53" s="1" t="str">
        <f t="shared" si="7"/>
        <v>Azeitona</v>
      </c>
      <c r="BL53" s="1">
        <f>tab_alimentos[[#This Row],[kg]]</f>
        <v>0</v>
      </c>
      <c r="BM53" s="25" t="s">
        <v>217</v>
      </c>
      <c r="BN53" s="1">
        <f t="shared" si="11"/>
        <v>0</v>
      </c>
      <c r="BP53" s="1" t="str">
        <f>tab_higiene[[#This Row],[Item]]</f>
        <v>D</v>
      </c>
      <c r="BQ53" s="1">
        <f t="shared" si="8"/>
        <v>0</v>
      </c>
      <c r="BR53" s="1" t="str">
        <f t="shared" si="9"/>
        <v>D</v>
      </c>
      <c r="BS53" s="1">
        <f>higiene[[#This Row],[Quantidade]]</f>
        <v>0</v>
      </c>
      <c r="BT53" s="1">
        <f>tab_higiene[[#This Row],[Qtde (tot)]]</f>
        <v>0</v>
      </c>
      <c r="BU53" s="1">
        <f t="shared" si="12"/>
        <v>0</v>
      </c>
      <c r="BV53" s="25" t="s">
        <v>252</v>
      </c>
      <c r="BW53" s="1">
        <f t="shared" si="24"/>
        <v>0</v>
      </c>
    </row>
    <row r="54" spans="9:75" x14ac:dyDescent="0.25">
      <c r="I54" s="19" t="str">
        <f>alimentos[[#This Row],[Item]]</f>
        <v>Azeitona (280g)</v>
      </c>
      <c r="J54" s="4">
        <f>IFERROR(alimentos[[#This Row],[kg/embalagem]],0)</f>
        <v>0.28000000000000003</v>
      </c>
      <c r="K54" s="4">
        <f>IFERROR(alimentos[[#This Row],[Preço]],0)</f>
        <v>4.8899999999999997</v>
      </c>
      <c r="L54" s="4">
        <f>SUMIFS(super1[Qtde],super1[Item],tab_alimentos[[#This Row],[Item]],super1[Bairro],mercado1)+SUMIFS(supercb[Qtde],supercb[Item],tab_alimentos[[#This Row],[Item]],supercb[Bairro],mercado1)</f>
        <v>0</v>
      </c>
      <c r="M54" s="4">
        <f>SUMIFS(super1[Qtde],super1[Item],tab_alimentos[[#This Row],[Item]],super1[Bairro],mercado2)+SUMIFS(supercb[Qtde],supercb[Item],tab_alimentos[[#This Row],[Item]],supercb[Bairro],mercado2)</f>
        <v>0</v>
      </c>
      <c r="N54" s="4">
        <f>SUMIFS(super1[Qtde],super1[Item],tab_alimentos[[#This Row],[Item]],super1[Bairro],mercado3)+SUMIFS(supercb[Qtde],supercb[Item],tab_alimentos[[#This Row],[Item]],supercb[Bairro],mercado3)</f>
        <v>0</v>
      </c>
      <c r="O54" s="4">
        <f>SUMIFS(super1[Qtde],super1[Item],tab_alimentos[[#This Row],[Item]],super1[Bairro],mercado4)+SUMIFS(supercb[Qtde],supercb[Item],tab_alimentos[[#This Row],[Item]],supercb[Bairro],mercado4)</f>
        <v>0</v>
      </c>
      <c r="P54" s="4">
        <f>SUMIFS(super1[Qtde],super1[Item],tab_alimentos[[#This Row],[Item]],super1[Bairro],mercado5)+SUMIFS(supercb[Qtde],supercb[Item],tab_alimentos[[#This Row],[Item]],supercb[Bairro],mercado5)</f>
        <v>0</v>
      </c>
      <c r="Q54" s="4">
        <f>SUMIFS(super1[Qtde],super1[Item],tab_alimentos[[#This Row],[Item]],super1[Bairro],mercado6)+SUMIFS(supercb[Qtde],supercb[Item],tab_alimentos[[#This Row],[Item]],supercb[Bairro],mercado6)</f>
        <v>0</v>
      </c>
      <c r="R54" s="4">
        <f>SUMIFS(super1[Qtde],super1[Item],tab_alimentos[[#This Row],[Item]],super1[Bairro],mercado7)+SUMIFS(supercb[Qtde],supercb[Item],tab_alimentos[[#This Row],[Item]],supercb[Bairro],mercado7)</f>
        <v>0</v>
      </c>
      <c r="S54" s="4">
        <f>SUMIFS(super1[Qtde],super1[Item],tab_alimentos[[#This Row],[Item]],super1[Bairro],mercado8)+SUMIFS(supercb[Qtde],supercb[Item],tab_alimentos[[#This Row],[Item]],supercb[Bairro],mercado8)</f>
        <v>0</v>
      </c>
      <c r="T54" s="4">
        <f>SUMIFS(super1[Qtde],super1[Item],tab_alimentos[[#This Row],[Item]],super1[Bairro],mercado9)+SUMIFS(supercb[Qtde],supercb[Item],tab_alimentos[[#This Row],[Item]],supercb[Bairro],mercado9)</f>
        <v>0</v>
      </c>
      <c r="U54" s="4">
        <f>SUMIFS(super1[Qtde],super1[Item],tab_alimentos[[#This Row],[Item]],super1[Bairro],mercado10)+SUMIFS(supercb[Qtde],supercb[Item],tab_alimentos[[#This Row],[Item]],supercb[Bairro],mercado10)</f>
        <v>0</v>
      </c>
      <c r="V54" s="4">
        <f>SUMIFS(super1[Qtde],super1[Item],tab_alimentos[[#This Row],[Item]],super1[Bairro],mercado11)+SUMIFS(supercb[Qtde],supercb[Item],tab_alimentos[[#This Row],[Item]],supercb[Bairro],mercado11)</f>
        <v>0</v>
      </c>
      <c r="W54" s="4">
        <f>SUMIFS(super1[Qtde],super1[Item],tab_alimentos[[#This Row],[Item]],super1[Bairro],mercado12)+SUMIFS(supercb[Qtde],supercb[Item],tab_alimentos[[#This Row],[Item]],supercb[Bairro],mercado12)</f>
        <v>0</v>
      </c>
      <c r="X54" s="4">
        <f>SUMIFS(super1[Qtde],super1[Item],tab_alimentos[[#This Row],[Item]],super1[Bairro],mercado13)+SUMIFS(supercb[Qtde],supercb[Item],tab_alimentos[[#This Row],[Item]],supercb[Bairro],mercado13)</f>
        <v>0</v>
      </c>
      <c r="Y54" s="4">
        <f>SUMIFS(super1[Qtde],super1[Item],tab_alimentos[[#This Row],[Item]],super1[Bairro],mercado14)+SUMIFS(supercb[Qtde],supercb[Item],tab_alimentos[[#This Row],[Item]],supercb[Bairro],mercado14)</f>
        <v>0</v>
      </c>
      <c r="Z54" s="4">
        <f>SUMIFS(super1[Qtde],super1[Item],tab_alimentos[[#This Row],[Item]],super1[Bairro],mercado15)+SUMIFS(supercb[Qtde],supercb[Item],tab_alimentos[[#This Row],[Item]],supercb[Bairro],mercado15)</f>
        <v>0</v>
      </c>
      <c r="AA54" s="4">
        <f>SUMIFS(super1[Qtde],super1[Item],tab_alimentos[[#This Row],[Item]],super1[Bairro],mercado16)+SUMIFS(supercb[Qtde],supercb[Item],tab_alimentos[[#This Row],[Item]],supercb[Bairro],mercado16)</f>
        <v>0</v>
      </c>
      <c r="AB54" s="4">
        <f>SUMIFS(super1[Qtde],super1[Item],tab_alimentos[[#This Row],[Item]],super1[Bairro],mercado17)+SUMIFS(supercb[Qtde],supercb[Item],tab_alimentos[[#This Row],[Item]],supercb[Bairro],mercado17)</f>
        <v>0</v>
      </c>
      <c r="AC54" s="4">
        <f>SUMIFS(super1[Qtde],super1[Item],tab_alimentos[[#This Row],[Item]],super1[Bairro],mercado18)+SUMIFS(supercb[Qtde],supercb[Item],tab_alimentos[[#This Row],[Item]],supercb[Bairro],mercado18)</f>
        <v>0</v>
      </c>
      <c r="AD54" s="4">
        <f>SUMIFS(super1[Qtde],super1[Item],tab_alimentos[[#This Row],[Item]],super1[Bairro],extras)+SUMIFS(supercb[Qtde],supercb[Item],tab_alimentos[[#This Row],[Item]],supercb[Bairro],extras)</f>
        <v>0</v>
      </c>
      <c r="AE54" s="4">
        <f t="shared" si="18"/>
        <v>0</v>
      </c>
      <c r="AF54" s="4">
        <f t="shared" si="19"/>
        <v>0</v>
      </c>
      <c r="AG54" s="6">
        <f t="shared" si="20"/>
        <v>0</v>
      </c>
      <c r="AH54" s="19" t="str">
        <f>higiene[[#This Row],[Item]]</f>
        <v>Desengordurante (500mL)</v>
      </c>
      <c r="AI54" s="4">
        <f>IFERROR(higiene[[#This Row],[Kg equivalente]],0)</f>
        <v>0</v>
      </c>
      <c r="AJ54" s="4">
        <f>IFERROR(higiene[[#This Row],[Preço por produto]],0)</f>
        <v>17.98</v>
      </c>
      <c r="AK54" s="4">
        <f>SUMIFS(super1[Qtde],super1[Item],tab_higiene[[#This Row],[Item]],super1[Bairro],mercado1)+SUMIFS(supercb[Qtde],supercb[Item],tab_higiene[[#This Row],[Item]],supercb[Bairro],mercado1)</f>
        <v>0</v>
      </c>
      <c r="AL54" s="4">
        <f>SUMIFS(super1[Qtde],super1[Item],tab_higiene[[#This Row],[Item]],super1[Bairro],mercado2)+SUMIFS(supercb[Qtde],supercb[Item],tab_higiene[[#This Row],[Item]],supercb[Bairro],mercado2)</f>
        <v>0</v>
      </c>
      <c r="AM54" s="4">
        <f>SUMIFS(super1[Qtde],super1[Item],tab_higiene[[#This Row],[Item]],super1[Bairro],mercado3)+SUMIFS(supercb[Qtde],supercb[Item],tab_higiene[[#This Row],[Item]],supercb[Bairro],mercado3)</f>
        <v>0</v>
      </c>
      <c r="AN54" s="4">
        <f>SUMIFS(super1[Qtde],super1[Item],tab_higiene[[#This Row],[Item]],super1[Bairro],mercado4)+SUMIFS(supercb[Qtde],supercb[Item],tab_higiene[[#This Row],[Item]],supercb[Bairro],mercado4)</f>
        <v>0</v>
      </c>
      <c r="AO54" s="4">
        <f>SUMIFS(super1[Qtde],super1[Item],tab_higiene[[#This Row],[Item]],super1[Bairro],mercado5)+SUMIFS(supercb[Qtde],supercb[Item],tab_higiene[[#This Row],[Item]],supercb[Bairro],mercado5)</f>
        <v>0</v>
      </c>
      <c r="AP54" s="4">
        <f>SUMIFS(super1[Qtde],super1[Item],tab_higiene[[#This Row],[Item]],super1[Bairro],mercado6)+SUMIFS(supercb[Qtde],supercb[Item],tab_higiene[[#This Row],[Item]],supercb[Bairro],mercado6)</f>
        <v>0</v>
      </c>
      <c r="AQ54" s="4">
        <f>SUMIFS(super1[Qtde],super1[Item],tab_higiene[[#This Row],[Item]],super1[Bairro],mercado7)+SUMIFS(supercb[Qtde],supercb[Item],tab_higiene[[#This Row],[Item]],supercb[Bairro],mercado7)</f>
        <v>0</v>
      </c>
      <c r="AR54" s="4">
        <f>SUMIFS(super1[Qtde],super1[Item],tab_higiene[[#This Row],[Item]],super1[Bairro],mercado8)+SUMIFS(supercb[Qtde],supercb[Item],tab_higiene[[#This Row],[Item]],supercb[Bairro],mercado8)</f>
        <v>0</v>
      </c>
      <c r="AS54" s="4">
        <f>SUMIFS(super1[Qtde],super1[Item],tab_higiene[[#This Row],[Item]],super1[Bairro],mercado9)+SUMIFS(supercb[Qtde],supercb[Item],tab_higiene[[#This Row],[Item]],supercb[Bairro],mercado9)</f>
        <v>0</v>
      </c>
      <c r="AT54" s="4">
        <f>SUMIFS(super1[Qtde],super1[Item],tab_higiene[[#This Row],[Item]],super1[Bairro],mercado10)+SUMIFS(supercb[Qtde],supercb[Item],tab_higiene[[#This Row],[Item]],supercb[Bairro],mercado10)</f>
        <v>0</v>
      </c>
      <c r="AU54" s="4">
        <f>SUMIFS(super1[Qtde],super1[Item],tab_higiene[[#This Row],[Item]],super1[Bairro],mercado11)+SUMIFS(supercb[Qtde],supercb[Item],tab_higiene[[#This Row],[Item]],supercb[Bairro],mercado11)</f>
        <v>0</v>
      </c>
      <c r="AV54" s="4">
        <f>SUMIFS(super1[Qtde],super1[Item],tab_higiene[[#This Row],[Item]],super1[Bairro],mercado12)+SUMIFS(supercb[Qtde],supercb[Item],tab_higiene[[#This Row],[Item]],supercb[Bairro],mercado12)</f>
        <v>0</v>
      </c>
      <c r="AW54" s="4">
        <f>SUMIFS(super1[Qtde],super1[Item],tab_higiene[[#This Row],[Item]],super1[Bairro],mercado13)+SUMIFS(supercb[Qtde],supercb[Item],tab_higiene[[#This Row],[Item]],supercb[Bairro],mercado13)</f>
        <v>0</v>
      </c>
      <c r="AX54" s="4">
        <f>SUMIFS(super1[Qtde],super1[Item],tab_higiene[[#This Row],[Item]],super1[Bairro],mercado14)+SUMIFS(supercb[Qtde],supercb[Item],tab_higiene[[#This Row],[Item]],supercb[Bairro],mercado14)</f>
        <v>0</v>
      </c>
      <c r="AY54" s="4">
        <f>SUMIFS(super1[Qtde],super1[Item],tab_higiene[[#This Row],[Item]],super1[Bairro],mercado15)+SUMIFS(supercb[Qtde],supercb[Item],tab_higiene[[#This Row],[Item]],supercb[Bairro],mercado15)</f>
        <v>0</v>
      </c>
      <c r="AZ54" s="4">
        <f>SUMIFS(super1[Qtde],super1[Item],tab_higiene[[#This Row],[Item]],super1[Bairro],mercado16)+SUMIFS(supercb[Qtde],supercb[Item],tab_higiene[[#This Row],[Item]],supercb[Bairro],mercado16)</f>
        <v>0</v>
      </c>
      <c r="BA54" s="4">
        <f>SUMIFS(super1[Qtde],super1[Item],tab_higiene[[#This Row],[Item]],super1[Bairro],mercado17)+SUMIFS(supercb[Qtde],supercb[Item],tab_higiene[[#This Row],[Item]],supercb[Bairro],mercado17)</f>
        <v>0</v>
      </c>
      <c r="BB54" s="4">
        <f>SUMIFS(super1[Qtde],super1[Item],tab_higiene[[#This Row],[Item]],super1[Bairro],mercado18)+SUMIFS(supercb[Qtde],supercb[Item],tab_higiene[[#This Row],[Item]],supercb[Bairro],mercado18)</f>
        <v>0</v>
      </c>
      <c r="BC54" s="4">
        <f>SUMIFS(super1[Qtde],super1[Item],tab_higiene[[#This Row],[Item]],super1[Bairro],extras)+SUMIFS(supercb[Qtde],supercb[Item],tab_higiene[[#This Row],[Item]],supercb[Bairro],extras)</f>
        <v>0</v>
      </c>
      <c r="BD54" s="4">
        <f t="shared" si="21"/>
        <v>0</v>
      </c>
      <c r="BE54" s="4">
        <f t="shared" si="22"/>
        <v>0</v>
      </c>
      <c r="BF54" s="6">
        <f t="shared" si="23"/>
        <v>0</v>
      </c>
      <c r="BI54" s="1" t="str">
        <f>tab_alimentos[[#This Row],[Item]]</f>
        <v>Azeitona (280g)</v>
      </c>
      <c r="BJ54" s="1">
        <f t="shared" si="6"/>
        <v>9</v>
      </c>
      <c r="BK54" s="1" t="str">
        <f t="shared" si="7"/>
        <v>Azeitona</v>
      </c>
      <c r="BL54" s="1">
        <f>tab_alimentos[[#This Row],[kg]]</f>
        <v>0</v>
      </c>
      <c r="BM54" s="25" t="s">
        <v>218</v>
      </c>
      <c r="BN54" s="1">
        <f t="shared" si="11"/>
        <v>0</v>
      </c>
      <c r="BP54" s="1" t="str">
        <f>tab_higiene[[#This Row],[Item]]</f>
        <v>Desengordurante (500mL)</v>
      </c>
      <c r="BQ54" s="1">
        <f t="shared" si="8"/>
        <v>16</v>
      </c>
      <c r="BR54" s="1" t="str">
        <f t="shared" si="9"/>
        <v>Desengordurante</v>
      </c>
      <c r="BS54" s="1">
        <f>higiene[[#This Row],[Quantidade]]</f>
        <v>0.25</v>
      </c>
      <c r="BT54" s="1">
        <f>tab_higiene[[#This Row],[Qtde (tot)]]</f>
        <v>0</v>
      </c>
      <c r="BU54" s="1">
        <f t="shared" si="12"/>
        <v>0</v>
      </c>
      <c r="BV54" s="25" t="s">
        <v>253</v>
      </c>
      <c r="BW54" s="1">
        <f t="shared" si="24"/>
        <v>0</v>
      </c>
    </row>
    <row r="55" spans="9:75" x14ac:dyDescent="0.25">
      <c r="I55" s="19" t="str">
        <f>alimentos[[#This Row],[Item]]</f>
        <v>Azeitona (50g)</v>
      </c>
      <c r="J55" s="4">
        <f>IFERROR(alimentos[[#This Row],[kg/embalagem]],0)</f>
        <v>0.05</v>
      </c>
      <c r="K55" s="4">
        <f>IFERROR(alimentos[[#This Row],[Preço]],0)</f>
        <v>2.09</v>
      </c>
      <c r="L55" s="4">
        <f>SUMIFS(super1[Qtde],super1[Item],tab_alimentos[[#This Row],[Item]],super1[Bairro],mercado1)+SUMIFS(supercb[Qtde],supercb[Item],tab_alimentos[[#This Row],[Item]],supercb[Bairro],mercado1)</f>
        <v>0</v>
      </c>
      <c r="M55" s="4">
        <f>SUMIFS(super1[Qtde],super1[Item],tab_alimentos[[#This Row],[Item]],super1[Bairro],mercado2)+SUMIFS(supercb[Qtde],supercb[Item],tab_alimentos[[#This Row],[Item]],supercb[Bairro],mercado2)</f>
        <v>0</v>
      </c>
      <c r="N55" s="4">
        <f>SUMIFS(super1[Qtde],super1[Item],tab_alimentos[[#This Row],[Item]],super1[Bairro],mercado3)+SUMIFS(supercb[Qtde],supercb[Item],tab_alimentos[[#This Row],[Item]],supercb[Bairro],mercado3)</f>
        <v>0</v>
      </c>
      <c r="O55" s="4">
        <f>SUMIFS(super1[Qtde],super1[Item],tab_alimentos[[#This Row],[Item]],super1[Bairro],mercado4)+SUMIFS(supercb[Qtde],supercb[Item],tab_alimentos[[#This Row],[Item]],supercb[Bairro],mercado4)</f>
        <v>0</v>
      </c>
      <c r="P55" s="4">
        <f>SUMIFS(super1[Qtde],super1[Item],tab_alimentos[[#This Row],[Item]],super1[Bairro],mercado5)+SUMIFS(supercb[Qtde],supercb[Item],tab_alimentos[[#This Row],[Item]],supercb[Bairro],mercado5)</f>
        <v>0</v>
      </c>
      <c r="Q55" s="4">
        <f>SUMIFS(super1[Qtde],super1[Item],tab_alimentos[[#This Row],[Item]],super1[Bairro],mercado6)+SUMIFS(supercb[Qtde],supercb[Item],tab_alimentos[[#This Row],[Item]],supercb[Bairro],mercado6)</f>
        <v>0</v>
      </c>
      <c r="R55" s="4">
        <f>SUMIFS(super1[Qtde],super1[Item],tab_alimentos[[#This Row],[Item]],super1[Bairro],mercado7)+SUMIFS(supercb[Qtde],supercb[Item],tab_alimentos[[#This Row],[Item]],supercb[Bairro],mercado7)</f>
        <v>0</v>
      </c>
      <c r="S55" s="4">
        <f>SUMIFS(super1[Qtde],super1[Item],tab_alimentos[[#This Row],[Item]],super1[Bairro],mercado8)+SUMIFS(supercb[Qtde],supercb[Item],tab_alimentos[[#This Row],[Item]],supercb[Bairro],mercado8)</f>
        <v>0</v>
      </c>
      <c r="T55" s="4">
        <f>SUMIFS(super1[Qtde],super1[Item],tab_alimentos[[#This Row],[Item]],super1[Bairro],mercado9)+SUMIFS(supercb[Qtde],supercb[Item],tab_alimentos[[#This Row],[Item]],supercb[Bairro],mercado9)</f>
        <v>0</v>
      </c>
      <c r="U55" s="4">
        <f>SUMIFS(super1[Qtde],super1[Item],tab_alimentos[[#This Row],[Item]],super1[Bairro],mercado10)+SUMIFS(supercb[Qtde],supercb[Item],tab_alimentos[[#This Row],[Item]],supercb[Bairro],mercado10)</f>
        <v>0</v>
      </c>
      <c r="V55" s="4">
        <f>SUMIFS(super1[Qtde],super1[Item],tab_alimentos[[#This Row],[Item]],super1[Bairro],mercado11)+SUMIFS(supercb[Qtde],supercb[Item],tab_alimentos[[#This Row],[Item]],supercb[Bairro],mercado11)</f>
        <v>0</v>
      </c>
      <c r="W55" s="4">
        <f>SUMIFS(super1[Qtde],super1[Item],tab_alimentos[[#This Row],[Item]],super1[Bairro],mercado12)+SUMIFS(supercb[Qtde],supercb[Item],tab_alimentos[[#This Row],[Item]],supercb[Bairro],mercado12)</f>
        <v>0</v>
      </c>
      <c r="X55" s="4">
        <f>SUMIFS(super1[Qtde],super1[Item],tab_alimentos[[#This Row],[Item]],super1[Bairro],mercado13)+SUMIFS(supercb[Qtde],supercb[Item],tab_alimentos[[#This Row],[Item]],supercb[Bairro],mercado13)</f>
        <v>0</v>
      </c>
      <c r="Y55" s="4">
        <f>SUMIFS(super1[Qtde],super1[Item],tab_alimentos[[#This Row],[Item]],super1[Bairro],mercado14)+SUMIFS(supercb[Qtde],supercb[Item],tab_alimentos[[#This Row],[Item]],supercb[Bairro],mercado14)</f>
        <v>0</v>
      </c>
      <c r="Z55" s="4">
        <f>SUMIFS(super1[Qtde],super1[Item],tab_alimentos[[#This Row],[Item]],super1[Bairro],mercado15)+SUMIFS(supercb[Qtde],supercb[Item],tab_alimentos[[#This Row],[Item]],supercb[Bairro],mercado15)</f>
        <v>0</v>
      </c>
      <c r="AA55" s="4">
        <f>SUMIFS(super1[Qtde],super1[Item],tab_alimentos[[#This Row],[Item]],super1[Bairro],mercado16)+SUMIFS(supercb[Qtde],supercb[Item],tab_alimentos[[#This Row],[Item]],supercb[Bairro],mercado16)</f>
        <v>0</v>
      </c>
      <c r="AB55" s="4">
        <f>SUMIFS(super1[Qtde],super1[Item],tab_alimentos[[#This Row],[Item]],super1[Bairro],mercado17)+SUMIFS(supercb[Qtde],supercb[Item],tab_alimentos[[#This Row],[Item]],supercb[Bairro],mercado17)</f>
        <v>0</v>
      </c>
      <c r="AC55" s="4">
        <f>SUMIFS(super1[Qtde],super1[Item],tab_alimentos[[#This Row],[Item]],super1[Bairro],mercado18)+SUMIFS(supercb[Qtde],supercb[Item],tab_alimentos[[#This Row],[Item]],supercb[Bairro],mercado18)</f>
        <v>0</v>
      </c>
      <c r="AD55" s="4">
        <f>SUMIFS(super1[Qtde],super1[Item],tab_alimentos[[#This Row],[Item]],super1[Bairro],extras)+SUMIFS(supercb[Qtde],supercb[Item],tab_alimentos[[#This Row],[Item]],supercb[Bairro],extras)</f>
        <v>0</v>
      </c>
      <c r="AE55" s="4">
        <f t="shared" si="18"/>
        <v>0</v>
      </c>
      <c r="AF55" s="4">
        <f t="shared" si="19"/>
        <v>0</v>
      </c>
      <c r="AG55" s="6">
        <f t="shared" si="20"/>
        <v>0</v>
      </c>
      <c r="AH55" s="19" t="str">
        <f>higiene[[#This Row],[Item]]</f>
        <v>Desinfetante (1,75L)</v>
      </c>
      <c r="AI55" s="4">
        <f>IFERROR(higiene[[#This Row],[Kg equivalente]],0)</f>
        <v>0</v>
      </c>
      <c r="AJ55" s="4">
        <f>IFERROR(higiene[[#This Row],[Preço por produto]],0)</f>
        <v>18.600000000000001</v>
      </c>
      <c r="AK55" s="4">
        <f>SUMIFS(super1[Qtde],super1[Item],tab_higiene[[#This Row],[Item]],super1[Bairro],mercado1)+SUMIFS(supercb[Qtde],supercb[Item],tab_higiene[[#This Row],[Item]],supercb[Bairro],mercado1)</f>
        <v>0</v>
      </c>
      <c r="AL55" s="4">
        <f>SUMIFS(super1[Qtde],super1[Item],tab_higiene[[#This Row],[Item]],super1[Bairro],mercado2)+SUMIFS(supercb[Qtde],supercb[Item],tab_higiene[[#This Row],[Item]],supercb[Bairro],mercado2)</f>
        <v>0</v>
      </c>
      <c r="AM55" s="4">
        <f>SUMIFS(super1[Qtde],super1[Item],tab_higiene[[#This Row],[Item]],super1[Bairro],mercado3)+SUMIFS(supercb[Qtde],supercb[Item],tab_higiene[[#This Row],[Item]],supercb[Bairro],mercado3)</f>
        <v>0</v>
      </c>
      <c r="AN55" s="4">
        <f>SUMIFS(super1[Qtde],super1[Item],tab_higiene[[#This Row],[Item]],super1[Bairro],mercado4)+SUMIFS(supercb[Qtde],supercb[Item],tab_higiene[[#This Row],[Item]],supercb[Bairro],mercado4)</f>
        <v>0</v>
      </c>
      <c r="AO55" s="4">
        <f>SUMIFS(super1[Qtde],super1[Item],tab_higiene[[#This Row],[Item]],super1[Bairro],mercado5)+SUMIFS(supercb[Qtde],supercb[Item],tab_higiene[[#This Row],[Item]],supercb[Bairro],mercado5)</f>
        <v>0</v>
      </c>
      <c r="AP55" s="4">
        <f>SUMIFS(super1[Qtde],super1[Item],tab_higiene[[#This Row],[Item]],super1[Bairro],mercado6)+SUMIFS(supercb[Qtde],supercb[Item],tab_higiene[[#This Row],[Item]],supercb[Bairro],mercado6)</f>
        <v>0</v>
      </c>
      <c r="AQ55" s="4">
        <f>SUMIFS(super1[Qtde],super1[Item],tab_higiene[[#This Row],[Item]],super1[Bairro],mercado7)+SUMIFS(supercb[Qtde],supercb[Item],tab_higiene[[#This Row],[Item]],supercb[Bairro],mercado7)</f>
        <v>0</v>
      </c>
      <c r="AR55" s="4">
        <f>SUMIFS(super1[Qtde],super1[Item],tab_higiene[[#This Row],[Item]],super1[Bairro],mercado8)+SUMIFS(supercb[Qtde],supercb[Item],tab_higiene[[#This Row],[Item]],supercb[Bairro],mercado8)</f>
        <v>0</v>
      </c>
      <c r="AS55" s="4">
        <f>SUMIFS(super1[Qtde],super1[Item],tab_higiene[[#This Row],[Item]],super1[Bairro],mercado9)+SUMIFS(supercb[Qtde],supercb[Item],tab_higiene[[#This Row],[Item]],supercb[Bairro],mercado9)</f>
        <v>0</v>
      </c>
      <c r="AT55" s="4">
        <f>SUMIFS(super1[Qtde],super1[Item],tab_higiene[[#This Row],[Item]],super1[Bairro],mercado10)+SUMIFS(supercb[Qtde],supercb[Item],tab_higiene[[#This Row],[Item]],supercb[Bairro],mercado10)</f>
        <v>0</v>
      </c>
      <c r="AU55" s="4">
        <f>SUMIFS(super1[Qtde],super1[Item],tab_higiene[[#This Row],[Item]],super1[Bairro],mercado11)+SUMIFS(supercb[Qtde],supercb[Item],tab_higiene[[#This Row],[Item]],supercb[Bairro],mercado11)</f>
        <v>0</v>
      </c>
      <c r="AV55" s="4">
        <f>SUMIFS(super1[Qtde],super1[Item],tab_higiene[[#This Row],[Item]],super1[Bairro],mercado12)+SUMIFS(supercb[Qtde],supercb[Item],tab_higiene[[#This Row],[Item]],supercb[Bairro],mercado12)</f>
        <v>0</v>
      </c>
      <c r="AW55" s="4">
        <f>SUMIFS(super1[Qtde],super1[Item],tab_higiene[[#This Row],[Item]],super1[Bairro],mercado13)+SUMIFS(supercb[Qtde],supercb[Item],tab_higiene[[#This Row],[Item]],supercb[Bairro],mercado13)</f>
        <v>0</v>
      </c>
      <c r="AX55" s="4">
        <f>SUMIFS(super1[Qtde],super1[Item],tab_higiene[[#This Row],[Item]],super1[Bairro],mercado14)+SUMIFS(supercb[Qtde],supercb[Item],tab_higiene[[#This Row],[Item]],supercb[Bairro],mercado14)</f>
        <v>0</v>
      </c>
      <c r="AY55" s="4">
        <f>SUMIFS(super1[Qtde],super1[Item],tab_higiene[[#This Row],[Item]],super1[Bairro],mercado15)+SUMIFS(supercb[Qtde],supercb[Item],tab_higiene[[#This Row],[Item]],supercb[Bairro],mercado15)</f>
        <v>0</v>
      </c>
      <c r="AZ55" s="4">
        <f>SUMIFS(super1[Qtde],super1[Item],tab_higiene[[#This Row],[Item]],super1[Bairro],mercado16)+SUMIFS(supercb[Qtde],supercb[Item],tab_higiene[[#This Row],[Item]],supercb[Bairro],mercado16)</f>
        <v>0</v>
      </c>
      <c r="BA55" s="4">
        <f>SUMIFS(super1[Qtde],super1[Item],tab_higiene[[#This Row],[Item]],super1[Bairro],mercado17)+SUMIFS(supercb[Qtde],supercb[Item],tab_higiene[[#This Row],[Item]],supercb[Bairro],mercado17)</f>
        <v>0</v>
      </c>
      <c r="BB55" s="4">
        <f>SUMIFS(super1[Qtde],super1[Item],tab_higiene[[#This Row],[Item]],super1[Bairro],mercado18)+SUMIFS(supercb[Qtde],supercb[Item],tab_higiene[[#This Row],[Item]],supercb[Bairro],mercado18)</f>
        <v>0</v>
      </c>
      <c r="BC55" s="4">
        <f>SUMIFS(super1[Qtde],super1[Item],tab_higiene[[#This Row],[Item]],super1[Bairro],extras)+SUMIFS(supercb[Qtde],supercb[Item],tab_higiene[[#This Row],[Item]],supercb[Bairro],extras)</f>
        <v>0</v>
      </c>
      <c r="BD55" s="4">
        <f t="shared" si="21"/>
        <v>0</v>
      </c>
      <c r="BE55" s="4">
        <f t="shared" si="22"/>
        <v>0</v>
      </c>
      <c r="BF55" s="6">
        <f t="shared" si="23"/>
        <v>0</v>
      </c>
      <c r="BI55" s="1" t="str">
        <f>tab_alimentos[[#This Row],[Item]]</f>
        <v>Azeitona (50g)</v>
      </c>
      <c r="BJ55" s="1">
        <f t="shared" si="6"/>
        <v>9</v>
      </c>
      <c r="BK55" s="1" t="str">
        <f t="shared" si="7"/>
        <v>Azeitona</v>
      </c>
      <c r="BL55" s="1">
        <f>tab_alimentos[[#This Row],[kg]]</f>
        <v>0</v>
      </c>
      <c r="BM55" s="25" t="s">
        <v>219</v>
      </c>
      <c r="BN55" s="1">
        <f t="shared" si="11"/>
        <v>0</v>
      </c>
      <c r="BP55" s="1" t="str">
        <f>tab_higiene[[#This Row],[Item]]</f>
        <v>Desinfetante (1,75L)</v>
      </c>
      <c r="BQ55" s="1">
        <f t="shared" si="8"/>
        <v>13</v>
      </c>
      <c r="BR55" s="1" t="str">
        <f t="shared" si="9"/>
        <v>Desinfetante</v>
      </c>
      <c r="BS55" s="1">
        <f>higiene[[#This Row],[Quantidade]]</f>
        <v>1.75</v>
      </c>
      <c r="BT55" s="1">
        <f>tab_higiene[[#This Row],[Qtde (tot)]]</f>
        <v>0</v>
      </c>
      <c r="BU55" s="1">
        <f t="shared" si="12"/>
        <v>0</v>
      </c>
      <c r="BV55" s="25" t="s">
        <v>254</v>
      </c>
      <c r="BW55" s="1">
        <f t="shared" si="24"/>
        <v>0</v>
      </c>
    </row>
    <row r="56" spans="9:75" x14ac:dyDescent="0.25">
      <c r="I56" s="19" t="str">
        <f>alimentos[[#This Row],[Item]]</f>
        <v>B</v>
      </c>
      <c r="J56" s="4">
        <f>IFERROR(alimentos[[#This Row],[kg/embalagem]],0)</f>
        <v>0</v>
      </c>
      <c r="K56" s="4">
        <f>IFERROR(alimentos[[#This Row],[Preço]],0)</f>
        <v>0</v>
      </c>
      <c r="L56" s="4">
        <f>SUMIFS(super1[Qtde],super1[Item],tab_alimentos[[#This Row],[Item]],super1[Bairro],mercado1)+SUMIFS(supercb[Qtde],supercb[Item],tab_alimentos[[#This Row],[Item]],supercb[Bairro],mercado1)</f>
        <v>0</v>
      </c>
      <c r="M56" s="4">
        <f>SUMIFS(super1[Qtde],super1[Item],tab_alimentos[[#This Row],[Item]],super1[Bairro],mercado2)+SUMIFS(supercb[Qtde],supercb[Item],tab_alimentos[[#This Row],[Item]],supercb[Bairro],mercado2)</f>
        <v>0</v>
      </c>
      <c r="N56" s="4">
        <f>SUMIFS(super1[Qtde],super1[Item],tab_alimentos[[#This Row],[Item]],super1[Bairro],mercado3)+SUMIFS(supercb[Qtde],supercb[Item],tab_alimentos[[#This Row],[Item]],supercb[Bairro],mercado3)</f>
        <v>0</v>
      </c>
      <c r="O56" s="4">
        <f>SUMIFS(super1[Qtde],super1[Item],tab_alimentos[[#This Row],[Item]],super1[Bairro],mercado4)+SUMIFS(supercb[Qtde],supercb[Item],tab_alimentos[[#This Row],[Item]],supercb[Bairro],mercado4)</f>
        <v>0</v>
      </c>
      <c r="P56" s="4">
        <f>SUMIFS(super1[Qtde],super1[Item],tab_alimentos[[#This Row],[Item]],super1[Bairro],mercado5)+SUMIFS(supercb[Qtde],supercb[Item],tab_alimentos[[#This Row],[Item]],supercb[Bairro],mercado5)</f>
        <v>0</v>
      </c>
      <c r="Q56" s="4">
        <f>SUMIFS(super1[Qtde],super1[Item],tab_alimentos[[#This Row],[Item]],super1[Bairro],mercado6)+SUMIFS(supercb[Qtde],supercb[Item],tab_alimentos[[#This Row],[Item]],supercb[Bairro],mercado6)</f>
        <v>0</v>
      </c>
      <c r="R56" s="4">
        <f>SUMIFS(super1[Qtde],super1[Item],tab_alimentos[[#This Row],[Item]],super1[Bairro],mercado7)+SUMIFS(supercb[Qtde],supercb[Item],tab_alimentos[[#This Row],[Item]],supercb[Bairro],mercado7)</f>
        <v>0</v>
      </c>
      <c r="S56" s="4">
        <f>SUMIFS(super1[Qtde],super1[Item],tab_alimentos[[#This Row],[Item]],super1[Bairro],mercado8)+SUMIFS(supercb[Qtde],supercb[Item],tab_alimentos[[#This Row],[Item]],supercb[Bairro],mercado8)</f>
        <v>0</v>
      </c>
      <c r="T56" s="4">
        <f>SUMIFS(super1[Qtde],super1[Item],tab_alimentos[[#This Row],[Item]],super1[Bairro],mercado9)+SUMIFS(supercb[Qtde],supercb[Item],tab_alimentos[[#This Row],[Item]],supercb[Bairro],mercado9)</f>
        <v>0</v>
      </c>
      <c r="U56" s="4">
        <f>SUMIFS(super1[Qtde],super1[Item],tab_alimentos[[#This Row],[Item]],super1[Bairro],mercado10)+SUMIFS(supercb[Qtde],supercb[Item],tab_alimentos[[#This Row],[Item]],supercb[Bairro],mercado10)</f>
        <v>0</v>
      </c>
      <c r="V56" s="4">
        <f>SUMIFS(super1[Qtde],super1[Item],tab_alimentos[[#This Row],[Item]],super1[Bairro],mercado11)+SUMIFS(supercb[Qtde],supercb[Item],tab_alimentos[[#This Row],[Item]],supercb[Bairro],mercado11)</f>
        <v>0</v>
      </c>
      <c r="W56" s="4">
        <f>SUMIFS(super1[Qtde],super1[Item],tab_alimentos[[#This Row],[Item]],super1[Bairro],mercado12)+SUMIFS(supercb[Qtde],supercb[Item],tab_alimentos[[#This Row],[Item]],supercb[Bairro],mercado12)</f>
        <v>0</v>
      </c>
      <c r="X56" s="4">
        <f>SUMIFS(super1[Qtde],super1[Item],tab_alimentos[[#This Row],[Item]],super1[Bairro],mercado13)+SUMIFS(supercb[Qtde],supercb[Item],tab_alimentos[[#This Row],[Item]],supercb[Bairro],mercado13)</f>
        <v>0</v>
      </c>
      <c r="Y56" s="4">
        <f>SUMIFS(super1[Qtde],super1[Item],tab_alimentos[[#This Row],[Item]],super1[Bairro],mercado14)+SUMIFS(supercb[Qtde],supercb[Item],tab_alimentos[[#This Row],[Item]],supercb[Bairro],mercado14)</f>
        <v>0</v>
      </c>
      <c r="Z56" s="4">
        <f>SUMIFS(super1[Qtde],super1[Item],tab_alimentos[[#This Row],[Item]],super1[Bairro],mercado15)+SUMIFS(supercb[Qtde],supercb[Item],tab_alimentos[[#This Row],[Item]],supercb[Bairro],mercado15)</f>
        <v>0</v>
      </c>
      <c r="AA56" s="4">
        <f>SUMIFS(super1[Qtde],super1[Item],tab_alimentos[[#This Row],[Item]],super1[Bairro],mercado16)+SUMIFS(supercb[Qtde],supercb[Item],tab_alimentos[[#This Row],[Item]],supercb[Bairro],mercado16)</f>
        <v>0</v>
      </c>
      <c r="AB56" s="4">
        <f>SUMIFS(super1[Qtde],super1[Item],tab_alimentos[[#This Row],[Item]],super1[Bairro],mercado17)+SUMIFS(supercb[Qtde],supercb[Item],tab_alimentos[[#This Row],[Item]],supercb[Bairro],mercado17)</f>
        <v>0</v>
      </c>
      <c r="AC56" s="4">
        <f>SUMIFS(super1[Qtde],super1[Item],tab_alimentos[[#This Row],[Item]],super1[Bairro],mercado18)+SUMIFS(supercb[Qtde],supercb[Item],tab_alimentos[[#This Row],[Item]],supercb[Bairro],mercado18)</f>
        <v>0</v>
      </c>
      <c r="AD56" s="4">
        <f>SUMIFS(super1[Qtde],super1[Item],tab_alimentos[[#This Row],[Item]],super1[Bairro],extras)+SUMIFS(supercb[Qtde],supercb[Item],tab_alimentos[[#This Row],[Item]],supercb[Bairro],extras)</f>
        <v>0</v>
      </c>
      <c r="AE56" s="4">
        <f t="shared" si="18"/>
        <v>0</v>
      </c>
      <c r="AF56" s="4">
        <f t="shared" si="19"/>
        <v>0</v>
      </c>
      <c r="AG56" s="6">
        <f t="shared" si="20"/>
        <v>0</v>
      </c>
      <c r="AH56" s="19" t="str">
        <f>higiene[[#This Row],[Item]]</f>
        <v>Desinfetante (1L)</v>
      </c>
      <c r="AI56" s="4">
        <f>IFERROR(higiene[[#This Row],[Kg equivalente]],0)</f>
        <v>0</v>
      </c>
      <c r="AJ56" s="4">
        <f>IFERROR(higiene[[#This Row],[Preço por produto]],0)</f>
        <v>18.989999999999998</v>
      </c>
      <c r="AK56" s="4">
        <f>SUMIFS(super1[Qtde],super1[Item],tab_higiene[[#This Row],[Item]],super1[Bairro],mercado1)+SUMIFS(supercb[Qtde],supercb[Item],tab_higiene[[#This Row],[Item]],supercb[Bairro],mercado1)</f>
        <v>0</v>
      </c>
      <c r="AL56" s="4">
        <f>SUMIFS(super1[Qtde],super1[Item],tab_higiene[[#This Row],[Item]],super1[Bairro],mercado2)+SUMIFS(supercb[Qtde],supercb[Item],tab_higiene[[#This Row],[Item]],supercb[Bairro],mercado2)</f>
        <v>0</v>
      </c>
      <c r="AM56" s="4">
        <f>SUMIFS(super1[Qtde],super1[Item],tab_higiene[[#This Row],[Item]],super1[Bairro],mercado3)+SUMIFS(supercb[Qtde],supercb[Item],tab_higiene[[#This Row],[Item]],supercb[Bairro],mercado3)</f>
        <v>0</v>
      </c>
      <c r="AN56" s="4">
        <f>SUMIFS(super1[Qtde],super1[Item],tab_higiene[[#This Row],[Item]],super1[Bairro],mercado4)+SUMIFS(supercb[Qtde],supercb[Item],tab_higiene[[#This Row],[Item]],supercb[Bairro],mercado4)</f>
        <v>0</v>
      </c>
      <c r="AO56" s="4">
        <f>SUMIFS(super1[Qtde],super1[Item],tab_higiene[[#This Row],[Item]],super1[Bairro],mercado5)+SUMIFS(supercb[Qtde],supercb[Item],tab_higiene[[#This Row],[Item]],supercb[Bairro],mercado5)</f>
        <v>0</v>
      </c>
      <c r="AP56" s="4">
        <f>SUMIFS(super1[Qtde],super1[Item],tab_higiene[[#This Row],[Item]],super1[Bairro],mercado6)+SUMIFS(supercb[Qtde],supercb[Item],tab_higiene[[#This Row],[Item]],supercb[Bairro],mercado6)</f>
        <v>0</v>
      </c>
      <c r="AQ56" s="4">
        <f>SUMIFS(super1[Qtde],super1[Item],tab_higiene[[#This Row],[Item]],super1[Bairro],mercado7)+SUMIFS(supercb[Qtde],supercb[Item],tab_higiene[[#This Row],[Item]],supercb[Bairro],mercado7)</f>
        <v>0</v>
      </c>
      <c r="AR56" s="4">
        <f>SUMIFS(super1[Qtde],super1[Item],tab_higiene[[#This Row],[Item]],super1[Bairro],mercado8)+SUMIFS(supercb[Qtde],supercb[Item],tab_higiene[[#This Row],[Item]],supercb[Bairro],mercado8)</f>
        <v>0</v>
      </c>
      <c r="AS56" s="4">
        <f>SUMIFS(super1[Qtde],super1[Item],tab_higiene[[#This Row],[Item]],super1[Bairro],mercado9)+SUMIFS(supercb[Qtde],supercb[Item],tab_higiene[[#This Row],[Item]],supercb[Bairro],mercado9)</f>
        <v>0</v>
      </c>
      <c r="AT56" s="4">
        <f>SUMIFS(super1[Qtde],super1[Item],tab_higiene[[#This Row],[Item]],super1[Bairro],mercado10)+SUMIFS(supercb[Qtde],supercb[Item],tab_higiene[[#This Row],[Item]],supercb[Bairro],mercado10)</f>
        <v>0</v>
      </c>
      <c r="AU56" s="4">
        <f>SUMIFS(super1[Qtde],super1[Item],tab_higiene[[#This Row],[Item]],super1[Bairro],mercado11)+SUMIFS(supercb[Qtde],supercb[Item],tab_higiene[[#This Row],[Item]],supercb[Bairro],mercado11)</f>
        <v>0</v>
      </c>
      <c r="AV56" s="4">
        <f>SUMIFS(super1[Qtde],super1[Item],tab_higiene[[#This Row],[Item]],super1[Bairro],mercado12)+SUMIFS(supercb[Qtde],supercb[Item],tab_higiene[[#This Row],[Item]],supercb[Bairro],mercado12)</f>
        <v>0</v>
      </c>
      <c r="AW56" s="4">
        <f>SUMIFS(super1[Qtde],super1[Item],tab_higiene[[#This Row],[Item]],super1[Bairro],mercado13)+SUMIFS(supercb[Qtde],supercb[Item],tab_higiene[[#This Row],[Item]],supercb[Bairro],mercado13)</f>
        <v>0</v>
      </c>
      <c r="AX56" s="4">
        <f>SUMIFS(super1[Qtde],super1[Item],tab_higiene[[#This Row],[Item]],super1[Bairro],mercado14)+SUMIFS(supercb[Qtde],supercb[Item],tab_higiene[[#This Row],[Item]],supercb[Bairro],mercado14)</f>
        <v>0</v>
      </c>
      <c r="AY56" s="4">
        <f>SUMIFS(super1[Qtde],super1[Item],tab_higiene[[#This Row],[Item]],super1[Bairro],mercado15)+SUMIFS(supercb[Qtde],supercb[Item],tab_higiene[[#This Row],[Item]],supercb[Bairro],mercado15)</f>
        <v>0</v>
      </c>
      <c r="AZ56" s="4">
        <f>SUMIFS(super1[Qtde],super1[Item],tab_higiene[[#This Row],[Item]],super1[Bairro],mercado16)+SUMIFS(supercb[Qtde],supercb[Item],tab_higiene[[#This Row],[Item]],supercb[Bairro],mercado16)</f>
        <v>0</v>
      </c>
      <c r="BA56" s="4">
        <f>SUMIFS(super1[Qtde],super1[Item],tab_higiene[[#This Row],[Item]],super1[Bairro],mercado17)+SUMIFS(supercb[Qtde],supercb[Item],tab_higiene[[#This Row],[Item]],supercb[Bairro],mercado17)</f>
        <v>0</v>
      </c>
      <c r="BB56" s="4">
        <f>SUMIFS(super1[Qtde],super1[Item],tab_higiene[[#This Row],[Item]],super1[Bairro],mercado18)+SUMIFS(supercb[Qtde],supercb[Item],tab_higiene[[#This Row],[Item]],supercb[Bairro],mercado18)</f>
        <v>0</v>
      </c>
      <c r="BC56" s="4">
        <f>SUMIFS(super1[Qtde],super1[Item],tab_higiene[[#This Row],[Item]],super1[Bairro],extras)+SUMIFS(supercb[Qtde],supercb[Item],tab_higiene[[#This Row],[Item]],supercb[Bairro],extras)</f>
        <v>0</v>
      </c>
      <c r="BD56" s="4">
        <f t="shared" si="21"/>
        <v>0</v>
      </c>
      <c r="BE56" s="4">
        <f t="shared" si="22"/>
        <v>0</v>
      </c>
      <c r="BF56" s="6">
        <f t="shared" si="23"/>
        <v>0</v>
      </c>
      <c r="BI56" s="1" t="str">
        <f>tab_alimentos[[#This Row],[Item]]</f>
        <v>B</v>
      </c>
      <c r="BJ56" s="1">
        <f t="shared" si="6"/>
        <v>0</v>
      </c>
      <c r="BK56" s="1" t="str">
        <f t="shared" si="7"/>
        <v>B</v>
      </c>
      <c r="BL56" s="1">
        <f>tab_alimentos[[#This Row],[kg]]</f>
        <v>0</v>
      </c>
      <c r="BM56" s="25" t="s">
        <v>117</v>
      </c>
      <c r="BN56" s="1">
        <f t="shared" si="11"/>
        <v>0</v>
      </c>
      <c r="BP56" s="1" t="str">
        <f>tab_higiene[[#This Row],[Item]]</f>
        <v>Desinfetante (1L)</v>
      </c>
      <c r="BQ56" s="1">
        <f t="shared" si="8"/>
        <v>13</v>
      </c>
      <c r="BR56" s="1" t="str">
        <f t="shared" si="9"/>
        <v>Desinfetante</v>
      </c>
      <c r="BS56" s="1">
        <f>higiene[[#This Row],[Quantidade]]</f>
        <v>1</v>
      </c>
      <c r="BT56" s="1">
        <f>tab_higiene[[#This Row],[Qtde (tot)]]</f>
        <v>0</v>
      </c>
      <c r="BU56" s="1">
        <f t="shared" si="12"/>
        <v>0</v>
      </c>
      <c r="BV56" s="25" t="s">
        <v>284</v>
      </c>
      <c r="BW56" s="1">
        <f t="shared" si="24"/>
        <v>0</v>
      </c>
    </row>
    <row r="57" spans="9:75" x14ac:dyDescent="0.25">
      <c r="I57" s="19" t="str">
        <f>alimentos[[#This Row],[Item]]</f>
        <v>Bala de Goma (20g)</v>
      </c>
      <c r="J57" s="4">
        <f>IFERROR(alimentos[[#This Row],[kg/embalagem]],0)</f>
        <v>0.02</v>
      </c>
      <c r="K57" s="4">
        <f>IFERROR(alimentos[[#This Row],[Preço]],0)</f>
        <v>2.99</v>
      </c>
      <c r="L57" s="4">
        <f>SUMIFS(super1[Qtde],super1[Item],tab_alimentos[[#This Row],[Item]],super1[Bairro],mercado1)+SUMIFS(supercb[Qtde],supercb[Item],tab_alimentos[[#This Row],[Item]],supercb[Bairro],mercado1)</f>
        <v>0</v>
      </c>
      <c r="M57" s="4">
        <f>SUMIFS(super1[Qtde],super1[Item],tab_alimentos[[#This Row],[Item]],super1[Bairro],mercado2)+SUMIFS(supercb[Qtde],supercb[Item],tab_alimentos[[#This Row],[Item]],supercb[Bairro],mercado2)</f>
        <v>0</v>
      </c>
      <c r="N57" s="4">
        <f>SUMIFS(super1[Qtde],super1[Item],tab_alimentos[[#This Row],[Item]],super1[Bairro],mercado3)+SUMIFS(supercb[Qtde],supercb[Item],tab_alimentos[[#This Row],[Item]],supercb[Bairro],mercado3)</f>
        <v>0</v>
      </c>
      <c r="O57" s="4">
        <f>SUMIFS(super1[Qtde],super1[Item],tab_alimentos[[#This Row],[Item]],super1[Bairro],mercado4)+SUMIFS(supercb[Qtde],supercb[Item],tab_alimentos[[#This Row],[Item]],supercb[Bairro],mercado4)</f>
        <v>0</v>
      </c>
      <c r="P57" s="4">
        <f>SUMIFS(super1[Qtde],super1[Item],tab_alimentos[[#This Row],[Item]],super1[Bairro],mercado5)+SUMIFS(supercb[Qtde],supercb[Item],tab_alimentos[[#This Row],[Item]],supercb[Bairro],mercado5)</f>
        <v>0</v>
      </c>
      <c r="Q57" s="4">
        <f>SUMIFS(super1[Qtde],super1[Item],tab_alimentos[[#This Row],[Item]],super1[Bairro],mercado6)+SUMIFS(supercb[Qtde],supercb[Item],tab_alimentos[[#This Row],[Item]],supercb[Bairro],mercado6)</f>
        <v>0</v>
      </c>
      <c r="R57" s="4">
        <f>SUMIFS(super1[Qtde],super1[Item],tab_alimentos[[#This Row],[Item]],super1[Bairro],mercado7)+SUMIFS(supercb[Qtde],supercb[Item],tab_alimentos[[#This Row],[Item]],supercb[Bairro],mercado7)</f>
        <v>0</v>
      </c>
      <c r="S57" s="4">
        <f>SUMIFS(super1[Qtde],super1[Item],tab_alimentos[[#This Row],[Item]],super1[Bairro],mercado8)+SUMIFS(supercb[Qtde],supercb[Item],tab_alimentos[[#This Row],[Item]],supercb[Bairro],mercado8)</f>
        <v>0</v>
      </c>
      <c r="T57" s="4">
        <f>SUMIFS(super1[Qtde],super1[Item],tab_alimentos[[#This Row],[Item]],super1[Bairro],mercado9)+SUMIFS(supercb[Qtde],supercb[Item],tab_alimentos[[#This Row],[Item]],supercb[Bairro],mercado9)</f>
        <v>0</v>
      </c>
      <c r="U57" s="4">
        <f>SUMIFS(super1[Qtde],super1[Item],tab_alimentos[[#This Row],[Item]],super1[Bairro],mercado10)+SUMIFS(supercb[Qtde],supercb[Item],tab_alimentos[[#This Row],[Item]],supercb[Bairro],mercado10)</f>
        <v>0</v>
      </c>
      <c r="V57" s="4">
        <f>SUMIFS(super1[Qtde],super1[Item],tab_alimentos[[#This Row],[Item]],super1[Bairro],mercado11)+SUMIFS(supercb[Qtde],supercb[Item],tab_alimentos[[#This Row],[Item]],supercb[Bairro],mercado11)</f>
        <v>0</v>
      </c>
      <c r="W57" s="4">
        <f>SUMIFS(super1[Qtde],super1[Item],tab_alimentos[[#This Row],[Item]],super1[Bairro],mercado12)+SUMIFS(supercb[Qtde],supercb[Item],tab_alimentos[[#This Row],[Item]],supercb[Bairro],mercado12)</f>
        <v>0</v>
      </c>
      <c r="X57" s="4">
        <f>SUMIFS(super1[Qtde],super1[Item],tab_alimentos[[#This Row],[Item]],super1[Bairro],mercado13)+SUMIFS(supercb[Qtde],supercb[Item],tab_alimentos[[#This Row],[Item]],supercb[Bairro],mercado13)</f>
        <v>0</v>
      </c>
      <c r="Y57" s="4">
        <f>SUMIFS(super1[Qtde],super1[Item],tab_alimentos[[#This Row],[Item]],super1[Bairro],mercado14)+SUMIFS(supercb[Qtde],supercb[Item],tab_alimentos[[#This Row],[Item]],supercb[Bairro],mercado14)</f>
        <v>0</v>
      </c>
      <c r="Z57" s="4">
        <f>SUMIFS(super1[Qtde],super1[Item],tab_alimentos[[#This Row],[Item]],super1[Bairro],mercado15)+SUMIFS(supercb[Qtde],supercb[Item],tab_alimentos[[#This Row],[Item]],supercb[Bairro],mercado15)</f>
        <v>0</v>
      </c>
      <c r="AA57" s="4">
        <f>SUMIFS(super1[Qtde],super1[Item],tab_alimentos[[#This Row],[Item]],super1[Bairro],mercado16)+SUMIFS(supercb[Qtde],supercb[Item],tab_alimentos[[#This Row],[Item]],supercb[Bairro],mercado16)</f>
        <v>0</v>
      </c>
      <c r="AB57" s="4">
        <f>SUMIFS(super1[Qtde],super1[Item],tab_alimentos[[#This Row],[Item]],super1[Bairro],mercado17)+SUMIFS(supercb[Qtde],supercb[Item],tab_alimentos[[#This Row],[Item]],supercb[Bairro],mercado17)</f>
        <v>0</v>
      </c>
      <c r="AC57" s="4">
        <f>SUMIFS(super1[Qtde],super1[Item],tab_alimentos[[#This Row],[Item]],super1[Bairro],mercado18)+SUMIFS(supercb[Qtde],supercb[Item],tab_alimentos[[#This Row],[Item]],supercb[Bairro],mercado18)</f>
        <v>0</v>
      </c>
      <c r="AD57" s="4">
        <f>SUMIFS(super1[Qtde],super1[Item],tab_alimentos[[#This Row],[Item]],super1[Bairro],extras)+SUMIFS(supercb[Qtde],supercb[Item],tab_alimentos[[#This Row],[Item]],supercb[Bairro],extras)</f>
        <v>0</v>
      </c>
      <c r="AE57" s="4">
        <f t="shared" si="18"/>
        <v>0</v>
      </c>
      <c r="AF57" s="4">
        <f t="shared" si="19"/>
        <v>0</v>
      </c>
      <c r="AG57" s="6">
        <f t="shared" si="20"/>
        <v>0</v>
      </c>
      <c r="AH57" s="19" t="str">
        <f>higiene[[#This Row],[Item]]</f>
        <v>Desinfetante (2L)</v>
      </c>
      <c r="AI57" s="4">
        <f>IFERROR(higiene[[#This Row],[Kg equivalente]],0)</f>
        <v>0</v>
      </c>
      <c r="AJ57" s="4">
        <f>IFERROR(higiene[[#This Row],[Preço por produto]],0)</f>
        <v>5.99</v>
      </c>
      <c r="AK57" s="4">
        <f>SUMIFS(super1[Qtde],super1[Item],tab_higiene[[#This Row],[Item]],super1[Bairro],mercado1)+SUMIFS(supercb[Qtde],supercb[Item],tab_higiene[[#This Row],[Item]],supercb[Bairro],mercado1)</f>
        <v>0</v>
      </c>
      <c r="AL57" s="4">
        <f>SUMIFS(super1[Qtde],super1[Item],tab_higiene[[#This Row],[Item]],super1[Bairro],mercado2)+SUMIFS(supercb[Qtde],supercb[Item],tab_higiene[[#This Row],[Item]],supercb[Bairro],mercado2)</f>
        <v>0</v>
      </c>
      <c r="AM57" s="4">
        <f>SUMIFS(super1[Qtde],super1[Item],tab_higiene[[#This Row],[Item]],super1[Bairro],mercado3)+SUMIFS(supercb[Qtde],supercb[Item],tab_higiene[[#This Row],[Item]],supercb[Bairro],mercado3)</f>
        <v>0</v>
      </c>
      <c r="AN57" s="4">
        <f>SUMIFS(super1[Qtde],super1[Item],tab_higiene[[#This Row],[Item]],super1[Bairro],mercado4)+SUMIFS(supercb[Qtde],supercb[Item],tab_higiene[[#This Row],[Item]],supercb[Bairro],mercado4)</f>
        <v>0</v>
      </c>
      <c r="AO57" s="4">
        <f>SUMIFS(super1[Qtde],super1[Item],tab_higiene[[#This Row],[Item]],super1[Bairro],mercado5)+SUMIFS(supercb[Qtde],supercb[Item],tab_higiene[[#This Row],[Item]],supercb[Bairro],mercado5)</f>
        <v>0</v>
      </c>
      <c r="AP57" s="4">
        <f>SUMIFS(super1[Qtde],super1[Item],tab_higiene[[#This Row],[Item]],super1[Bairro],mercado6)+SUMIFS(supercb[Qtde],supercb[Item],tab_higiene[[#This Row],[Item]],supercb[Bairro],mercado6)</f>
        <v>0</v>
      </c>
      <c r="AQ57" s="4">
        <f>SUMIFS(super1[Qtde],super1[Item],tab_higiene[[#This Row],[Item]],super1[Bairro],mercado7)+SUMIFS(supercb[Qtde],supercb[Item],tab_higiene[[#This Row],[Item]],supercb[Bairro],mercado7)</f>
        <v>0</v>
      </c>
      <c r="AR57" s="4">
        <f>SUMIFS(super1[Qtde],super1[Item],tab_higiene[[#This Row],[Item]],super1[Bairro],mercado8)+SUMIFS(supercb[Qtde],supercb[Item],tab_higiene[[#This Row],[Item]],supercb[Bairro],mercado8)</f>
        <v>0</v>
      </c>
      <c r="AS57" s="4">
        <f>SUMIFS(super1[Qtde],super1[Item],tab_higiene[[#This Row],[Item]],super1[Bairro],mercado9)+SUMIFS(supercb[Qtde],supercb[Item],tab_higiene[[#This Row],[Item]],supercb[Bairro],mercado9)</f>
        <v>0</v>
      </c>
      <c r="AT57" s="4">
        <f>SUMIFS(super1[Qtde],super1[Item],tab_higiene[[#This Row],[Item]],super1[Bairro],mercado10)+SUMIFS(supercb[Qtde],supercb[Item],tab_higiene[[#This Row],[Item]],supercb[Bairro],mercado10)</f>
        <v>0</v>
      </c>
      <c r="AU57" s="4">
        <f>SUMIFS(super1[Qtde],super1[Item],tab_higiene[[#This Row],[Item]],super1[Bairro],mercado11)+SUMIFS(supercb[Qtde],supercb[Item],tab_higiene[[#This Row],[Item]],supercb[Bairro],mercado11)</f>
        <v>0</v>
      </c>
      <c r="AV57" s="4">
        <f>SUMIFS(super1[Qtde],super1[Item],tab_higiene[[#This Row],[Item]],super1[Bairro],mercado12)+SUMIFS(supercb[Qtde],supercb[Item],tab_higiene[[#This Row],[Item]],supercb[Bairro],mercado12)</f>
        <v>0</v>
      </c>
      <c r="AW57" s="4">
        <f>SUMIFS(super1[Qtde],super1[Item],tab_higiene[[#This Row],[Item]],super1[Bairro],mercado13)+SUMIFS(supercb[Qtde],supercb[Item],tab_higiene[[#This Row],[Item]],supercb[Bairro],mercado13)</f>
        <v>0</v>
      </c>
      <c r="AX57" s="4">
        <f>SUMIFS(super1[Qtde],super1[Item],tab_higiene[[#This Row],[Item]],super1[Bairro],mercado14)+SUMIFS(supercb[Qtde],supercb[Item],tab_higiene[[#This Row],[Item]],supercb[Bairro],mercado14)</f>
        <v>0</v>
      </c>
      <c r="AY57" s="4">
        <f>SUMIFS(super1[Qtde],super1[Item],tab_higiene[[#This Row],[Item]],super1[Bairro],mercado15)+SUMIFS(supercb[Qtde],supercb[Item],tab_higiene[[#This Row],[Item]],supercb[Bairro],mercado15)</f>
        <v>0</v>
      </c>
      <c r="AZ57" s="4">
        <f>SUMIFS(super1[Qtde],super1[Item],tab_higiene[[#This Row],[Item]],super1[Bairro],mercado16)+SUMIFS(supercb[Qtde],supercb[Item],tab_higiene[[#This Row],[Item]],supercb[Bairro],mercado16)</f>
        <v>0</v>
      </c>
      <c r="BA57" s="4">
        <f>SUMIFS(super1[Qtde],super1[Item],tab_higiene[[#This Row],[Item]],super1[Bairro],mercado17)+SUMIFS(supercb[Qtde],supercb[Item],tab_higiene[[#This Row],[Item]],supercb[Bairro],mercado17)</f>
        <v>0</v>
      </c>
      <c r="BB57" s="4">
        <f>SUMIFS(super1[Qtde],super1[Item],tab_higiene[[#This Row],[Item]],super1[Bairro],mercado18)+SUMIFS(supercb[Qtde],supercb[Item],tab_higiene[[#This Row],[Item]],supercb[Bairro],mercado18)</f>
        <v>0</v>
      </c>
      <c r="BC57" s="4">
        <f>SUMIFS(super1[Qtde],super1[Item],tab_higiene[[#This Row],[Item]],super1[Bairro],extras)+SUMIFS(supercb[Qtde],supercb[Item],tab_higiene[[#This Row],[Item]],supercb[Bairro],extras)</f>
        <v>0</v>
      </c>
      <c r="BD57" s="4">
        <f t="shared" si="21"/>
        <v>0</v>
      </c>
      <c r="BE57" s="4">
        <f t="shared" si="22"/>
        <v>0</v>
      </c>
      <c r="BF57" s="6">
        <f t="shared" si="23"/>
        <v>0</v>
      </c>
      <c r="BI57" s="1" t="str">
        <f>tab_alimentos[[#This Row],[Item]]</f>
        <v>Bala de Goma (20g)</v>
      </c>
      <c r="BJ57" s="1">
        <f t="shared" si="6"/>
        <v>13</v>
      </c>
      <c r="BK57" s="1" t="str">
        <f t="shared" si="7"/>
        <v>Bala de Goma</v>
      </c>
      <c r="BL57" s="1">
        <f>tab_alimentos[[#This Row],[kg]]</f>
        <v>0</v>
      </c>
      <c r="BM57" s="25" t="s">
        <v>220</v>
      </c>
      <c r="BN57" s="1">
        <f t="shared" si="11"/>
        <v>0</v>
      </c>
      <c r="BP57" s="1" t="str">
        <f>tab_higiene[[#This Row],[Item]]</f>
        <v>Desinfetante (2L)</v>
      </c>
      <c r="BQ57" s="1">
        <f t="shared" si="8"/>
        <v>13</v>
      </c>
      <c r="BR57" s="1" t="str">
        <f t="shared" si="9"/>
        <v>Desinfetante</v>
      </c>
      <c r="BS57" s="1">
        <f>higiene[[#This Row],[Quantidade]]</f>
        <v>2</v>
      </c>
      <c r="BT57" s="1">
        <f>tab_higiene[[#This Row],[Qtde (tot)]]</f>
        <v>0</v>
      </c>
      <c r="BU57" s="1">
        <f t="shared" si="12"/>
        <v>0</v>
      </c>
      <c r="BV57" s="25" t="s">
        <v>255</v>
      </c>
      <c r="BW57" s="1">
        <f t="shared" si="24"/>
        <v>0</v>
      </c>
    </row>
    <row r="58" spans="9:75" x14ac:dyDescent="0.25">
      <c r="I58" s="19" t="str">
        <f>alimentos[[#This Row],[Item]]</f>
        <v>Bala Pacote (150g)</v>
      </c>
      <c r="J58" s="4">
        <f>IFERROR(alimentos[[#This Row],[kg/embalagem]],0)</f>
        <v>0.15</v>
      </c>
      <c r="K58" s="4">
        <f>IFERROR(alimentos[[#This Row],[Preço]],0)</f>
        <v>3.99</v>
      </c>
      <c r="L58" s="4">
        <f>SUMIFS(super1[Qtde],super1[Item],tab_alimentos[[#This Row],[Item]],super1[Bairro],mercado1)+SUMIFS(supercb[Qtde],supercb[Item],tab_alimentos[[#This Row],[Item]],supercb[Bairro],mercado1)</f>
        <v>0</v>
      </c>
      <c r="M58" s="4">
        <f>SUMIFS(super1[Qtde],super1[Item],tab_alimentos[[#This Row],[Item]],super1[Bairro],mercado2)+SUMIFS(supercb[Qtde],supercb[Item],tab_alimentos[[#This Row],[Item]],supercb[Bairro],mercado2)</f>
        <v>0</v>
      </c>
      <c r="N58" s="4">
        <f>SUMIFS(super1[Qtde],super1[Item],tab_alimentos[[#This Row],[Item]],super1[Bairro],mercado3)+SUMIFS(supercb[Qtde],supercb[Item],tab_alimentos[[#This Row],[Item]],supercb[Bairro],mercado3)</f>
        <v>0</v>
      </c>
      <c r="O58" s="4">
        <f>SUMIFS(super1[Qtde],super1[Item],tab_alimentos[[#This Row],[Item]],super1[Bairro],mercado4)+SUMIFS(supercb[Qtde],supercb[Item],tab_alimentos[[#This Row],[Item]],supercb[Bairro],mercado4)</f>
        <v>0</v>
      </c>
      <c r="P58" s="4">
        <f>SUMIFS(super1[Qtde],super1[Item],tab_alimentos[[#This Row],[Item]],super1[Bairro],mercado5)+SUMIFS(supercb[Qtde],supercb[Item],tab_alimentos[[#This Row],[Item]],supercb[Bairro],mercado5)</f>
        <v>0</v>
      </c>
      <c r="Q58" s="4">
        <f>SUMIFS(super1[Qtde],super1[Item],tab_alimentos[[#This Row],[Item]],super1[Bairro],mercado6)+SUMIFS(supercb[Qtde],supercb[Item],tab_alimentos[[#This Row],[Item]],supercb[Bairro],mercado6)</f>
        <v>0</v>
      </c>
      <c r="R58" s="4">
        <f>SUMIFS(super1[Qtde],super1[Item],tab_alimentos[[#This Row],[Item]],super1[Bairro],mercado7)+SUMIFS(supercb[Qtde],supercb[Item],tab_alimentos[[#This Row],[Item]],supercb[Bairro],mercado7)</f>
        <v>0</v>
      </c>
      <c r="S58" s="4">
        <f>SUMIFS(super1[Qtde],super1[Item],tab_alimentos[[#This Row],[Item]],super1[Bairro],mercado8)+SUMIFS(supercb[Qtde],supercb[Item],tab_alimentos[[#This Row],[Item]],supercb[Bairro],mercado8)</f>
        <v>0</v>
      </c>
      <c r="T58" s="4">
        <f>SUMIFS(super1[Qtde],super1[Item],tab_alimentos[[#This Row],[Item]],super1[Bairro],mercado9)+SUMIFS(supercb[Qtde],supercb[Item],tab_alimentos[[#This Row],[Item]],supercb[Bairro],mercado9)</f>
        <v>0</v>
      </c>
      <c r="U58" s="4">
        <f>SUMIFS(super1[Qtde],super1[Item],tab_alimentos[[#This Row],[Item]],super1[Bairro],mercado10)+SUMIFS(supercb[Qtde],supercb[Item],tab_alimentos[[#This Row],[Item]],supercb[Bairro],mercado10)</f>
        <v>0</v>
      </c>
      <c r="V58" s="4">
        <f>SUMIFS(super1[Qtde],super1[Item],tab_alimentos[[#This Row],[Item]],super1[Bairro],mercado11)+SUMIFS(supercb[Qtde],supercb[Item],tab_alimentos[[#This Row],[Item]],supercb[Bairro],mercado11)</f>
        <v>0</v>
      </c>
      <c r="W58" s="4">
        <f>SUMIFS(super1[Qtde],super1[Item],tab_alimentos[[#This Row],[Item]],super1[Bairro],mercado12)+SUMIFS(supercb[Qtde],supercb[Item],tab_alimentos[[#This Row],[Item]],supercb[Bairro],mercado12)</f>
        <v>0</v>
      </c>
      <c r="X58" s="4">
        <f>SUMIFS(super1[Qtde],super1[Item],tab_alimentos[[#This Row],[Item]],super1[Bairro],mercado13)+SUMIFS(supercb[Qtde],supercb[Item],tab_alimentos[[#This Row],[Item]],supercb[Bairro],mercado13)</f>
        <v>0</v>
      </c>
      <c r="Y58" s="4">
        <f>SUMIFS(super1[Qtde],super1[Item],tab_alimentos[[#This Row],[Item]],super1[Bairro],mercado14)+SUMIFS(supercb[Qtde],supercb[Item],tab_alimentos[[#This Row],[Item]],supercb[Bairro],mercado14)</f>
        <v>0</v>
      </c>
      <c r="Z58" s="4">
        <f>SUMIFS(super1[Qtde],super1[Item],tab_alimentos[[#This Row],[Item]],super1[Bairro],mercado15)+SUMIFS(supercb[Qtde],supercb[Item],tab_alimentos[[#This Row],[Item]],supercb[Bairro],mercado15)</f>
        <v>0</v>
      </c>
      <c r="AA58" s="4">
        <f>SUMIFS(super1[Qtde],super1[Item],tab_alimentos[[#This Row],[Item]],super1[Bairro],mercado16)+SUMIFS(supercb[Qtde],supercb[Item],tab_alimentos[[#This Row],[Item]],supercb[Bairro],mercado16)</f>
        <v>0</v>
      </c>
      <c r="AB58" s="4">
        <f>SUMIFS(super1[Qtde],super1[Item],tab_alimentos[[#This Row],[Item]],super1[Bairro],mercado17)+SUMIFS(supercb[Qtde],supercb[Item],tab_alimentos[[#This Row],[Item]],supercb[Bairro],mercado17)</f>
        <v>0</v>
      </c>
      <c r="AC58" s="4">
        <f>SUMIFS(super1[Qtde],super1[Item],tab_alimentos[[#This Row],[Item]],super1[Bairro],mercado18)+SUMIFS(supercb[Qtde],supercb[Item],tab_alimentos[[#This Row],[Item]],supercb[Bairro],mercado18)</f>
        <v>0</v>
      </c>
      <c r="AD58" s="4">
        <f>SUMIFS(super1[Qtde],super1[Item],tab_alimentos[[#This Row],[Item]],super1[Bairro],extras)+SUMIFS(supercb[Qtde],supercb[Item],tab_alimentos[[#This Row],[Item]],supercb[Bairro],extras)</f>
        <v>0</v>
      </c>
      <c r="AE58" s="4">
        <f t="shared" si="18"/>
        <v>0</v>
      </c>
      <c r="AF58" s="4">
        <f t="shared" si="19"/>
        <v>0</v>
      </c>
      <c r="AG58" s="6">
        <f t="shared" si="20"/>
        <v>0</v>
      </c>
      <c r="AH58" s="19" t="str">
        <f>higiene[[#This Row],[Item]]</f>
        <v>Desinfetante (300mL)</v>
      </c>
      <c r="AI58" s="4">
        <f>IFERROR(higiene[[#This Row],[Kg equivalente]],0)</f>
        <v>0</v>
      </c>
      <c r="AJ58" s="4">
        <f>IFERROR(higiene[[#This Row],[Preço por produto]],0)</f>
        <v>7.96</v>
      </c>
      <c r="AK58" s="4">
        <f>SUMIFS(super1[Qtde],super1[Item],tab_higiene[[#This Row],[Item]],super1[Bairro],mercado1)+SUMIFS(supercb[Qtde],supercb[Item],tab_higiene[[#This Row],[Item]],supercb[Bairro],mercado1)</f>
        <v>0</v>
      </c>
      <c r="AL58" s="4">
        <f>SUMIFS(super1[Qtde],super1[Item],tab_higiene[[#This Row],[Item]],super1[Bairro],mercado2)+SUMIFS(supercb[Qtde],supercb[Item],tab_higiene[[#This Row],[Item]],supercb[Bairro],mercado2)</f>
        <v>0</v>
      </c>
      <c r="AM58" s="4">
        <f>SUMIFS(super1[Qtde],super1[Item],tab_higiene[[#This Row],[Item]],super1[Bairro],mercado3)+SUMIFS(supercb[Qtde],supercb[Item],tab_higiene[[#This Row],[Item]],supercb[Bairro],mercado3)</f>
        <v>0</v>
      </c>
      <c r="AN58" s="4">
        <f>SUMIFS(super1[Qtde],super1[Item],tab_higiene[[#This Row],[Item]],super1[Bairro],mercado4)+SUMIFS(supercb[Qtde],supercb[Item],tab_higiene[[#This Row],[Item]],supercb[Bairro],mercado4)</f>
        <v>0</v>
      </c>
      <c r="AO58" s="4">
        <f>SUMIFS(super1[Qtde],super1[Item],tab_higiene[[#This Row],[Item]],super1[Bairro],mercado5)+SUMIFS(supercb[Qtde],supercb[Item],tab_higiene[[#This Row],[Item]],supercb[Bairro],mercado5)</f>
        <v>0</v>
      </c>
      <c r="AP58" s="4">
        <f>SUMIFS(super1[Qtde],super1[Item],tab_higiene[[#This Row],[Item]],super1[Bairro],mercado6)+SUMIFS(supercb[Qtde],supercb[Item],tab_higiene[[#This Row],[Item]],supercb[Bairro],mercado6)</f>
        <v>0</v>
      </c>
      <c r="AQ58" s="4">
        <f>SUMIFS(super1[Qtde],super1[Item],tab_higiene[[#This Row],[Item]],super1[Bairro],mercado7)+SUMIFS(supercb[Qtde],supercb[Item],tab_higiene[[#This Row],[Item]],supercb[Bairro],mercado7)</f>
        <v>0</v>
      </c>
      <c r="AR58" s="4">
        <f>SUMIFS(super1[Qtde],super1[Item],tab_higiene[[#This Row],[Item]],super1[Bairro],mercado8)+SUMIFS(supercb[Qtde],supercb[Item],tab_higiene[[#This Row],[Item]],supercb[Bairro],mercado8)</f>
        <v>0</v>
      </c>
      <c r="AS58" s="4">
        <f>SUMIFS(super1[Qtde],super1[Item],tab_higiene[[#This Row],[Item]],super1[Bairro],mercado9)+SUMIFS(supercb[Qtde],supercb[Item],tab_higiene[[#This Row],[Item]],supercb[Bairro],mercado9)</f>
        <v>0</v>
      </c>
      <c r="AT58" s="4">
        <f>SUMIFS(super1[Qtde],super1[Item],tab_higiene[[#This Row],[Item]],super1[Bairro],mercado10)+SUMIFS(supercb[Qtde],supercb[Item],tab_higiene[[#This Row],[Item]],supercb[Bairro],mercado10)</f>
        <v>0</v>
      </c>
      <c r="AU58" s="4">
        <f>SUMIFS(super1[Qtde],super1[Item],tab_higiene[[#This Row],[Item]],super1[Bairro],mercado11)+SUMIFS(supercb[Qtde],supercb[Item],tab_higiene[[#This Row],[Item]],supercb[Bairro],mercado11)</f>
        <v>0</v>
      </c>
      <c r="AV58" s="4">
        <f>SUMIFS(super1[Qtde],super1[Item],tab_higiene[[#This Row],[Item]],super1[Bairro],mercado12)+SUMIFS(supercb[Qtde],supercb[Item],tab_higiene[[#This Row],[Item]],supercb[Bairro],mercado12)</f>
        <v>0</v>
      </c>
      <c r="AW58" s="4">
        <f>SUMIFS(super1[Qtde],super1[Item],tab_higiene[[#This Row],[Item]],super1[Bairro],mercado13)+SUMIFS(supercb[Qtde],supercb[Item],tab_higiene[[#This Row],[Item]],supercb[Bairro],mercado13)</f>
        <v>0</v>
      </c>
      <c r="AX58" s="4">
        <f>SUMIFS(super1[Qtde],super1[Item],tab_higiene[[#This Row],[Item]],super1[Bairro],mercado14)+SUMIFS(supercb[Qtde],supercb[Item],tab_higiene[[#This Row],[Item]],supercb[Bairro],mercado14)</f>
        <v>0</v>
      </c>
      <c r="AY58" s="4">
        <f>SUMIFS(super1[Qtde],super1[Item],tab_higiene[[#This Row],[Item]],super1[Bairro],mercado15)+SUMIFS(supercb[Qtde],supercb[Item],tab_higiene[[#This Row],[Item]],supercb[Bairro],mercado15)</f>
        <v>0</v>
      </c>
      <c r="AZ58" s="4">
        <f>SUMIFS(super1[Qtde],super1[Item],tab_higiene[[#This Row],[Item]],super1[Bairro],mercado16)+SUMIFS(supercb[Qtde],supercb[Item],tab_higiene[[#This Row],[Item]],supercb[Bairro],mercado16)</f>
        <v>0</v>
      </c>
      <c r="BA58" s="4">
        <f>SUMIFS(super1[Qtde],super1[Item],tab_higiene[[#This Row],[Item]],super1[Bairro],mercado17)+SUMIFS(supercb[Qtde],supercb[Item],tab_higiene[[#This Row],[Item]],supercb[Bairro],mercado17)</f>
        <v>0</v>
      </c>
      <c r="BB58" s="4">
        <f>SUMIFS(super1[Qtde],super1[Item],tab_higiene[[#This Row],[Item]],super1[Bairro],mercado18)+SUMIFS(supercb[Qtde],supercb[Item],tab_higiene[[#This Row],[Item]],supercb[Bairro],mercado18)</f>
        <v>0</v>
      </c>
      <c r="BC58" s="4">
        <f>SUMIFS(super1[Qtde],super1[Item],tab_higiene[[#This Row],[Item]],super1[Bairro],extras)+SUMIFS(supercb[Qtde],supercb[Item],tab_higiene[[#This Row],[Item]],supercb[Bairro],extras)</f>
        <v>0</v>
      </c>
      <c r="BD58" s="4">
        <f t="shared" si="21"/>
        <v>0</v>
      </c>
      <c r="BE58" s="4">
        <f t="shared" si="22"/>
        <v>0</v>
      </c>
      <c r="BF58" s="6">
        <f t="shared" si="23"/>
        <v>0</v>
      </c>
      <c r="BI58" s="1" t="str">
        <f>tab_alimentos[[#This Row],[Item]]</f>
        <v>Bala Pacote (150g)</v>
      </c>
      <c r="BJ58" s="1">
        <f t="shared" si="6"/>
        <v>12</v>
      </c>
      <c r="BK58" s="1" t="str">
        <f t="shared" si="7"/>
        <v>Bala Pacote</v>
      </c>
      <c r="BL58" s="1">
        <f>tab_alimentos[[#This Row],[kg]]</f>
        <v>0</v>
      </c>
      <c r="BM58" s="25" t="s">
        <v>116</v>
      </c>
      <c r="BN58" s="1">
        <f t="shared" si="11"/>
        <v>0</v>
      </c>
      <c r="BP58" s="1" t="str">
        <f>tab_higiene[[#This Row],[Item]]</f>
        <v>Desinfetante (300mL)</v>
      </c>
      <c r="BQ58" s="1">
        <f t="shared" si="8"/>
        <v>13</v>
      </c>
      <c r="BR58" s="1" t="str">
        <f t="shared" si="9"/>
        <v>Desinfetante</v>
      </c>
      <c r="BS58" s="1">
        <f>higiene[[#This Row],[Quantidade]]</f>
        <v>3</v>
      </c>
      <c r="BT58" s="1">
        <f>tab_higiene[[#This Row],[Qtde (tot)]]</f>
        <v>0</v>
      </c>
      <c r="BU58" s="1">
        <f t="shared" si="12"/>
        <v>0</v>
      </c>
      <c r="BV58" s="25" t="s">
        <v>256</v>
      </c>
      <c r="BW58" s="1">
        <f t="shared" si="24"/>
        <v>0</v>
      </c>
    </row>
    <row r="59" spans="9:75" x14ac:dyDescent="0.25">
      <c r="I59" s="19" t="str">
        <f>alimentos[[#This Row],[Item]]</f>
        <v>Bala Pacote (200g)</v>
      </c>
      <c r="J59" s="4">
        <f>IFERROR(alimentos[[#This Row],[kg/embalagem]],0)</f>
        <v>0.2</v>
      </c>
      <c r="K59" s="4">
        <f>IFERROR(alimentos[[#This Row],[Preço]],0)</f>
        <v>6.99</v>
      </c>
      <c r="L59" s="4">
        <f>SUMIFS(super1[Qtde],super1[Item],tab_alimentos[[#This Row],[Item]],super1[Bairro],mercado1)+SUMIFS(supercb[Qtde],supercb[Item],tab_alimentos[[#This Row],[Item]],supercb[Bairro],mercado1)</f>
        <v>0</v>
      </c>
      <c r="M59" s="4">
        <f>SUMIFS(super1[Qtde],super1[Item],tab_alimentos[[#This Row],[Item]],super1[Bairro],mercado2)+SUMIFS(supercb[Qtde],supercb[Item],tab_alimentos[[#This Row],[Item]],supercb[Bairro],mercado2)</f>
        <v>0</v>
      </c>
      <c r="N59" s="4">
        <f>SUMIFS(super1[Qtde],super1[Item],tab_alimentos[[#This Row],[Item]],super1[Bairro],mercado3)+SUMIFS(supercb[Qtde],supercb[Item],tab_alimentos[[#This Row],[Item]],supercb[Bairro],mercado3)</f>
        <v>0</v>
      </c>
      <c r="O59" s="4">
        <f>SUMIFS(super1[Qtde],super1[Item],tab_alimentos[[#This Row],[Item]],super1[Bairro],mercado4)+SUMIFS(supercb[Qtde],supercb[Item],tab_alimentos[[#This Row],[Item]],supercb[Bairro],mercado4)</f>
        <v>0</v>
      </c>
      <c r="P59" s="4">
        <f>SUMIFS(super1[Qtde],super1[Item],tab_alimentos[[#This Row],[Item]],super1[Bairro],mercado5)+SUMIFS(supercb[Qtde],supercb[Item],tab_alimentos[[#This Row],[Item]],supercb[Bairro],mercado5)</f>
        <v>0</v>
      </c>
      <c r="Q59" s="4">
        <f>SUMIFS(super1[Qtde],super1[Item],tab_alimentos[[#This Row],[Item]],super1[Bairro],mercado6)+SUMIFS(supercb[Qtde],supercb[Item],tab_alimentos[[#This Row],[Item]],supercb[Bairro],mercado6)</f>
        <v>0</v>
      </c>
      <c r="R59" s="4">
        <f>SUMIFS(super1[Qtde],super1[Item],tab_alimentos[[#This Row],[Item]],super1[Bairro],mercado7)+SUMIFS(supercb[Qtde],supercb[Item],tab_alimentos[[#This Row],[Item]],supercb[Bairro],mercado7)</f>
        <v>0</v>
      </c>
      <c r="S59" s="4">
        <f>SUMIFS(super1[Qtde],super1[Item],tab_alimentos[[#This Row],[Item]],super1[Bairro],mercado8)+SUMIFS(supercb[Qtde],supercb[Item],tab_alimentos[[#This Row],[Item]],supercb[Bairro],mercado8)</f>
        <v>0</v>
      </c>
      <c r="T59" s="4">
        <f>SUMIFS(super1[Qtde],super1[Item],tab_alimentos[[#This Row],[Item]],super1[Bairro],mercado9)+SUMIFS(supercb[Qtde],supercb[Item],tab_alimentos[[#This Row],[Item]],supercb[Bairro],mercado9)</f>
        <v>0</v>
      </c>
      <c r="U59" s="4">
        <f>SUMIFS(super1[Qtde],super1[Item],tab_alimentos[[#This Row],[Item]],super1[Bairro],mercado10)+SUMIFS(supercb[Qtde],supercb[Item],tab_alimentos[[#This Row],[Item]],supercb[Bairro],mercado10)</f>
        <v>0</v>
      </c>
      <c r="V59" s="4">
        <f>SUMIFS(super1[Qtde],super1[Item],tab_alimentos[[#This Row],[Item]],super1[Bairro],mercado11)+SUMIFS(supercb[Qtde],supercb[Item],tab_alimentos[[#This Row],[Item]],supercb[Bairro],mercado11)</f>
        <v>0</v>
      </c>
      <c r="W59" s="4">
        <f>SUMIFS(super1[Qtde],super1[Item],tab_alimentos[[#This Row],[Item]],super1[Bairro],mercado12)+SUMIFS(supercb[Qtde],supercb[Item],tab_alimentos[[#This Row],[Item]],supercb[Bairro],mercado12)</f>
        <v>0</v>
      </c>
      <c r="X59" s="4">
        <f>SUMIFS(super1[Qtde],super1[Item],tab_alimentos[[#This Row],[Item]],super1[Bairro],mercado13)+SUMIFS(supercb[Qtde],supercb[Item],tab_alimentos[[#This Row],[Item]],supercb[Bairro],mercado13)</f>
        <v>0</v>
      </c>
      <c r="Y59" s="4">
        <f>SUMIFS(super1[Qtde],super1[Item],tab_alimentos[[#This Row],[Item]],super1[Bairro],mercado14)+SUMIFS(supercb[Qtde],supercb[Item],tab_alimentos[[#This Row],[Item]],supercb[Bairro],mercado14)</f>
        <v>0</v>
      </c>
      <c r="Z59" s="4">
        <f>SUMIFS(super1[Qtde],super1[Item],tab_alimentos[[#This Row],[Item]],super1[Bairro],mercado15)+SUMIFS(supercb[Qtde],supercb[Item],tab_alimentos[[#This Row],[Item]],supercb[Bairro],mercado15)</f>
        <v>0</v>
      </c>
      <c r="AA59" s="4">
        <f>SUMIFS(super1[Qtde],super1[Item],tab_alimentos[[#This Row],[Item]],super1[Bairro],mercado16)+SUMIFS(supercb[Qtde],supercb[Item],tab_alimentos[[#This Row],[Item]],supercb[Bairro],mercado16)</f>
        <v>0</v>
      </c>
      <c r="AB59" s="4">
        <f>SUMIFS(super1[Qtde],super1[Item],tab_alimentos[[#This Row],[Item]],super1[Bairro],mercado17)+SUMIFS(supercb[Qtde],supercb[Item],tab_alimentos[[#This Row],[Item]],supercb[Bairro],mercado17)</f>
        <v>0</v>
      </c>
      <c r="AC59" s="4">
        <f>SUMIFS(super1[Qtde],super1[Item],tab_alimentos[[#This Row],[Item]],super1[Bairro],mercado18)+SUMIFS(supercb[Qtde],supercb[Item],tab_alimentos[[#This Row],[Item]],supercb[Bairro],mercado18)</f>
        <v>0</v>
      </c>
      <c r="AD59" s="4">
        <f>SUMIFS(super1[Qtde],super1[Item],tab_alimentos[[#This Row],[Item]],super1[Bairro],extras)+SUMIFS(supercb[Qtde],supercb[Item],tab_alimentos[[#This Row],[Item]],supercb[Bairro],extras)</f>
        <v>0</v>
      </c>
      <c r="AE59" s="4">
        <f t="shared" si="18"/>
        <v>0</v>
      </c>
      <c r="AF59" s="4">
        <f t="shared" si="19"/>
        <v>0</v>
      </c>
      <c r="AG59" s="6">
        <f t="shared" si="20"/>
        <v>0</v>
      </c>
      <c r="AH59" s="19" t="str">
        <f>higiene[[#This Row],[Item]]</f>
        <v>Desinfetante (500mL)</v>
      </c>
      <c r="AI59" s="4">
        <f>IFERROR(higiene[[#This Row],[Kg equivalente]],0)</f>
        <v>0</v>
      </c>
      <c r="AJ59" s="4">
        <f>IFERROR(higiene[[#This Row],[Preço por produto]],0)</f>
        <v>16.899999999999999</v>
      </c>
      <c r="AK59" s="4">
        <f>SUMIFS(super1[Qtde],super1[Item],tab_higiene[[#This Row],[Item]],super1[Bairro],mercado1)+SUMIFS(supercb[Qtde],supercb[Item],tab_higiene[[#This Row],[Item]],supercb[Bairro],mercado1)</f>
        <v>0</v>
      </c>
      <c r="AL59" s="4">
        <f>SUMIFS(super1[Qtde],super1[Item],tab_higiene[[#This Row],[Item]],super1[Bairro],mercado2)+SUMIFS(supercb[Qtde],supercb[Item],tab_higiene[[#This Row],[Item]],supercb[Bairro],mercado2)</f>
        <v>0</v>
      </c>
      <c r="AM59" s="4">
        <f>SUMIFS(super1[Qtde],super1[Item],tab_higiene[[#This Row],[Item]],super1[Bairro],mercado3)+SUMIFS(supercb[Qtde],supercb[Item],tab_higiene[[#This Row],[Item]],supercb[Bairro],mercado3)</f>
        <v>0</v>
      </c>
      <c r="AN59" s="4">
        <f>SUMIFS(super1[Qtde],super1[Item],tab_higiene[[#This Row],[Item]],super1[Bairro],mercado4)+SUMIFS(supercb[Qtde],supercb[Item],tab_higiene[[#This Row],[Item]],supercb[Bairro],mercado4)</f>
        <v>0</v>
      </c>
      <c r="AO59" s="4">
        <f>SUMIFS(super1[Qtde],super1[Item],tab_higiene[[#This Row],[Item]],super1[Bairro],mercado5)+SUMIFS(supercb[Qtde],supercb[Item],tab_higiene[[#This Row],[Item]],supercb[Bairro],mercado5)</f>
        <v>0</v>
      </c>
      <c r="AP59" s="4">
        <f>SUMIFS(super1[Qtde],super1[Item],tab_higiene[[#This Row],[Item]],super1[Bairro],mercado6)+SUMIFS(supercb[Qtde],supercb[Item],tab_higiene[[#This Row],[Item]],supercb[Bairro],mercado6)</f>
        <v>0</v>
      </c>
      <c r="AQ59" s="4">
        <f>SUMIFS(super1[Qtde],super1[Item],tab_higiene[[#This Row],[Item]],super1[Bairro],mercado7)+SUMIFS(supercb[Qtde],supercb[Item],tab_higiene[[#This Row],[Item]],supercb[Bairro],mercado7)</f>
        <v>0</v>
      </c>
      <c r="AR59" s="4">
        <f>SUMIFS(super1[Qtde],super1[Item],tab_higiene[[#This Row],[Item]],super1[Bairro],mercado8)+SUMIFS(supercb[Qtde],supercb[Item],tab_higiene[[#This Row],[Item]],supercb[Bairro],mercado8)</f>
        <v>0</v>
      </c>
      <c r="AS59" s="4">
        <f>SUMIFS(super1[Qtde],super1[Item],tab_higiene[[#This Row],[Item]],super1[Bairro],mercado9)+SUMIFS(supercb[Qtde],supercb[Item],tab_higiene[[#This Row],[Item]],supercb[Bairro],mercado9)</f>
        <v>0</v>
      </c>
      <c r="AT59" s="4">
        <f>SUMIFS(super1[Qtde],super1[Item],tab_higiene[[#This Row],[Item]],super1[Bairro],mercado10)+SUMIFS(supercb[Qtde],supercb[Item],tab_higiene[[#This Row],[Item]],supercb[Bairro],mercado10)</f>
        <v>0</v>
      </c>
      <c r="AU59" s="4">
        <f>SUMIFS(super1[Qtde],super1[Item],tab_higiene[[#This Row],[Item]],super1[Bairro],mercado11)+SUMIFS(supercb[Qtde],supercb[Item],tab_higiene[[#This Row],[Item]],supercb[Bairro],mercado11)</f>
        <v>0</v>
      </c>
      <c r="AV59" s="4">
        <f>SUMIFS(super1[Qtde],super1[Item],tab_higiene[[#This Row],[Item]],super1[Bairro],mercado12)+SUMIFS(supercb[Qtde],supercb[Item],tab_higiene[[#This Row],[Item]],supercb[Bairro],mercado12)</f>
        <v>0</v>
      </c>
      <c r="AW59" s="4">
        <f>SUMIFS(super1[Qtde],super1[Item],tab_higiene[[#This Row],[Item]],super1[Bairro],mercado13)+SUMIFS(supercb[Qtde],supercb[Item],tab_higiene[[#This Row],[Item]],supercb[Bairro],mercado13)</f>
        <v>0</v>
      </c>
      <c r="AX59" s="4">
        <f>SUMIFS(super1[Qtde],super1[Item],tab_higiene[[#This Row],[Item]],super1[Bairro],mercado14)+SUMIFS(supercb[Qtde],supercb[Item],tab_higiene[[#This Row],[Item]],supercb[Bairro],mercado14)</f>
        <v>0</v>
      </c>
      <c r="AY59" s="4">
        <f>SUMIFS(super1[Qtde],super1[Item],tab_higiene[[#This Row],[Item]],super1[Bairro],mercado15)+SUMIFS(supercb[Qtde],supercb[Item],tab_higiene[[#This Row],[Item]],supercb[Bairro],mercado15)</f>
        <v>0</v>
      </c>
      <c r="AZ59" s="4">
        <f>SUMIFS(super1[Qtde],super1[Item],tab_higiene[[#This Row],[Item]],super1[Bairro],mercado16)+SUMIFS(supercb[Qtde],supercb[Item],tab_higiene[[#This Row],[Item]],supercb[Bairro],mercado16)</f>
        <v>0</v>
      </c>
      <c r="BA59" s="4">
        <f>SUMIFS(super1[Qtde],super1[Item],tab_higiene[[#This Row],[Item]],super1[Bairro],mercado17)+SUMIFS(supercb[Qtde],supercb[Item],tab_higiene[[#This Row],[Item]],supercb[Bairro],mercado17)</f>
        <v>0</v>
      </c>
      <c r="BB59" s="4">
        <f>SUMIFS(super1[Qtde],super1[Item],tab_higiene[[#This Row],[Item]],super1[Bairro],mercado18)+SUMIFS(supercb[Qtde],supercb[Item],tab_higiene[[#This Row],[Item]],supercb[Bairro],mercado18)</f>
        <v>0</v>
      </c>
      <c r="BC59" s="4">
        <f>SUMIFS(super1[Qtde],super1[Item],tab_higiene[[#This Row],[Item]],super1[Bairro],extras)+SUMIFS(supercb[Qtde],supercb[Item],tab_higiene[[#This Row],[Item]],supercb[Bairro],extras)</f>
        <v>0</v>
      </c>
      <c r="BD59" s="4">
        <f t="shared" si="21"/>
        <v>0</v>
      </c>
      <c r="BE59" s="4">
        <f t="shared" si="22"/>
        <v>0</v>
      </c>
      <c r="BF59" s="6">
        <f t="shared" si="23"/>
        <v>0</v>
      </c>
      <c r="BI59" s="1" t="str">
        <f>tab_alimentos[[#This Row],[Item]]</f>
        <v>Bala Pacote (200g)</v>
      </c>
      <c r="BJ59" s="1">
        <f t="shared" si="6"/>
        <v>12</v>
      </c>
      <c r="BK59" s="1" t="str">
        <f t="shared" si="7"/>
        <v>Bala Pacote</v>
      </c>
      <c r="BL59" s="1">
        <f>tab_alimentos[[#This Row],[kg]]</f>
        <v>0</v>
      </c>
      <c r="BM59" s="25" t="s">
        <v>118</v>
      </c>
      <c r="BN59" s="1">
        <f t="shared" si="11"/>
        <v>0</v>
      </c>
      <c r="BP59" s="1" t="str">
        <f>tab_higiene[[#This Row],[Item]]</f>
        <v>Desinfetante (500mL)</v>
      </c>
      <c r="BQ59" s="1">
        <f t="shared" si="8"/>
        <v>13</v>
      </c>
      <c r="BR59" s="1" t="str">
        <f t="shared" si="9"/>
        <v>Desinfetante</v>
      </c>
      <c r="BS59" s="1">
        <f>higiene[[#This Row],[Quantidade]]</f>
        <v>1</v>
      </c>
      <c r="BT59" s="1">
        <f>tab_higiene[[#This Row],[Qtde (tot)]]</f>
        <v>0</v>
      </c>
      <c r="BU59" s="1">
        <f t="shared" si="12"/>
        <v>0</v>
      </c>
      <c r="BV59" s="25" t="s">
        <v>257</v>
      </c>
      <c r="BW59" s="1">
        <f t="shared" si="24"/>
        <v>0</v>
      </c>
    </row>
    <row r="60" spans="9:75" x14ac:dyDescent="0.25">
      <c r="I60" s="19" t="str">
        <f>alimentos[[#This Row],[Item]]</f>
        <v>Bala Pacote (250g)</v>
      </c>
      <c r="J60" s="4">
        <f>IFERROR(alimentos[[#This Row],[kg/embalagem]],0)</f>
        <v>0.25</v>
      </c>
      <c r="K60" s="4">
        <f>IFERROR(alimentos[[#This Row],[Preço]],0)</f>
        <v>12.9</v>
      </c>
      <c r="L60" s="4">
        <f>SUMIFS(super1[Qtde],super1[Item],tab_alimentos[[#This Row],[Item]],super1[Bairro],mercado1)+SUMIFS(supercb[Qtde],supercb[Item],tab_alimentos[[#This Row],[Item]],supercb[Bairro],mercado1)</f>
        <v>0</v>
      </c>
      <c r="M60" s="4">
        <f>SUMIFS(super1[Qtde],super1[Item],tab_alimentos[[#This Row],[Item]],super1[Bairro],mercado2)+SUMIFS(supercb[Qtde],supercb[Item],tab_alimentos[[#This Row],[Item]],supercb[Bairro],mercado2)</f>
        <v>0</v>
      </c>
      <c r="N60" s="4">
        <f>SUMIFS(super1[Qtde],super1[Item],tab_alimentos[[#This Row],[Item]],super1[Bairro],mercado3)+SUMIFS(supercb[Qtde],supercb[Item],tab_alimentos[[#This Row],[Item]],supercb[Bairro],mercado3)</f>
        <v>0</v>
      </c>
      <c r="O60" s="4">
        <f>SUMIFS(super1[Qtde],super1[Item],tab_alimentos[[#This Row],[Item]],super1[Bairro],mercado4)+SUMIFS(supercb[Qtde],supercb[Item],tab_alimentos[[#This Row],[Item]],supercb[Bairro],mercado4)</f>
        <v>0</v>
      </c>
      <c r="P60" s="4">
        <f>SUMIFS(super1[Qtde],super1[Item],tab_alimentos[[#This Row],[Item]],super1[Bairro],mercado5)+SUMIFS(supercb[Qtde],supercb[Item],tab_alimentos[[#This Row],[Item]],supercb[Bairro],mercado5)</f>
        <v>0</v>
      </c>
      <c r="Q60" s="4">
        <f>SUMIFS(super1[Qtde],super1[Item],tab_alimentos[[#This Row],[Item]],super1[Bairro],mercado6)+SUMIFS(supercb[Qtde],supercb[Item],tab_alimentos[[#This Row],[Item]],supercb[Bairro],mercado6)</f>
        <v>0</v>
      </c>
      <c r="R60" s="4">
        <f>SUMIFS(super1[Qtde],super1[Item],tab_alimentos[[#This Row],[Item]],super1[Bairro],mercado7)+SUMIFS(supercb[Qtde],supercb[Item],tab_alimentos[[#This Row],[Item]],supercb[Bairro],mercado7)</f>
        <v>0</v>
      </c>
      <c r="S60" s="4">
        <f>SUMIFS(super1[Qtde],super1[Item],tab_alimentos[[#This Row],[Item]],super1[Bairro],mercado8)+SUMIFS(supercb[Qtde],supercb[Item],tab_alimentos[[#This Row],[Item]],supercb[Bairro],mercado8)</f>
        <v>0</v>
      </c>
      <c r="T60" s="4">
        <f>SUMIFS(super1[Qtde],super1[Item],tab_alimentos[[#This Row],[Item]],super1[Bairro],mercado9)+SUMIFS(supercb[Qtde],supercb[Item],tab_alimentos[[#This Row],[Item]],supercb[Bairro],mercado9)</f>
        <v>0</v>
      </c>
      <c r="U60" s="4">
        <f>SUMIFS(super1[Qtde],super1[Item],tab_alimentos[[#This Row],[Item]],super1[Bairro],mercado10)+SUMIFS(supercb[Qtde],supercb[Item],tab_alimentos[[#This Row],[Item]],supercb[Bairro],mercado10)</f>
        <v>0</v>
      </c>
      <c r="V60" s="4">
        <f>SUMIFS(super1[Qtde],super1[Item],tab_alimentos[[#This Row],[Item]],super1[Bairro],mercado11)+SUMIFS(supercb[Qtde],supercb[Item],tab_alimentos[[#This Row],[Item]],supercb[Bairro],mercado11)</f>
        <v>0</v>
      </c>
      <c r="W60" s="4">
        <f>SUMIFS(super1[Qtde],super1[Item],tab_alimentos[[#This Row],[Item]],super1[Bairro],mercado12)+SUMIFS(supercb[Qtde],supercb[Item],tab_alimentos[[#This Row],[Item]],supercb[Bairro],mercado12)</f>
        <v>0</v>
      </c>
      <c r="X60" s="4">
        <f>SUMIFS(super1[Qtde],super1[Item],tab_alimentos[[#This Row],[Item]],super1[Bairro],mercado13)+SUMIFS(supercb[Qtde],supercb[Item],tab_alimentos[[#This Row],[Item]],supercb[Bairro],mercado13)</f>
        <v>0</v>
      </c>
      <c r="Y60" s="4">
        <f>SUMIFS(super1[Qtde],super1[Item],tab_alimentos[[#This Row],[Item]],super1[Bairro],mercado14)+SUMIFS(supercb[Qtde],supercb[Item],tab_alimentos[[#This Row],[Item]],supercb[Bairro],mercado14)</f>
        <v>0</v>
      </c>
      <c r="Z60" s="4">
        <f>SUMIFS(super1[Qtde],super1[Item],tab_alimentos[[#This Row],[Item]],super1[Bairro],mercado15)+SUMIFS(supercb[Qtde],supercb[Item],tab_alimentos[[#This Row],[Item]],supercb[Bairro],mercado15)</f>
        <v>0</v>
      </c>
      <c r="AA60" s="4">
        <f>SUMIFS(super1[Qtde],super1[Item],tab_alimentos[[#This Row],[Item]],super1[Bairro],mercado16)+SUMIFS(supercb[Qtde],supercb[Item],tab_alimentos[[#This Row],[Item]],supercb[Bairro],mercado16)</f>
        <v>0</v>
      </c>
      <c r="AB60" s="4">
        <f>SUMIFS(super1[Qtde],super1[Item],tab_alimentos[[#This Row],[Item]],super1[Bairro],mercado17)+SUMIFS(supercb[Qtde],supercb[Item],tab_alimentos[[#This Row],[Item]],supercb[Bairro],mercado17)</f>
        <v>0</v>
      </c>
      <c r="AC60" s="4">
        <f>SUMIFS(super1[Qtde],super1[Item],tab_alimentos[[#This Row],[Item]],super1[Bairro],mercado18)+SUMIFS(supercb[Qtde],supercb[Item],tab_alimentos[[#This Row],[Item]],supercb[Bairro],mercado18)</f>
        <v>0</v>
      </c>
      <c r="AD60" s="4">
        <f>SUMIFS(super1[Qtde],super1[Item],tab_alimentos[[#This Row],[Item]],super1[Bairro],extras)+SUMIFS(supercb[Qtde],supercb[Item],tab_alimentos[[#This Row],[Item]],supercb[Bairro],extras)</f>
        <v>0</v>
      </c>
      <c r="AE60" s="4">
        <f t="shared" si="18"/>
        <v>0</v>
      </c>
      <c r="AF60" s="4">
        <f t="shared" si="19"/>
        <v>0</v>
      </c>
      <c r="AG60" s="6">
        <f t="shared" si="20"/>
        <v>0</v>
      </c>
      <c r="AH60" s="19" t="str">
        <f>higiene[[#This Row],[Item]]</f>
        <v>Desinfetante (5L)</v>
      </c>
      <c r="AI60" s="4">
        <f>IFERROR(higiene[[#This Row],[Kg equivalente]],0)</f>
        <v>0</v>
      </c>
      <c r="AJ60" s="4">
        <f>IFERROR(higiene[[#This Row],[Preço por produto]],0)</f>
        <v>15</v>
      </c>
      <c r="AK60" s="4">
        <f>SUMIFS(super1[Qtde],super1[Item],tab_higiene[[#This Row],[Item]],super1[Bairro],mercado1)+SUMIFS(supercb[Qtde],supercb[Item],tab_higiene[[#This Row],[Item]],supercb[Bairro],mercado1)</f>
        <v>0</v>
      </c>
      <c r="AL60" s="4">
        <f>SUMIFS(super1[Qtde],super1[Item],tab_higiene[[#This Row],[Item]],super1[Bairro],mercado2)+SUMIFS(supercb[Qtde],supercb[Item],tab_higiene[[#This Row],[Item]],supercb[Bairro],mercado2)</f>
        <v>0</v>
      </c>
      <c r="AM60" s="4">
        <f>SUMIFS(super1[Qtde],super1[Item],tab_higiene[[#This Row],[Item]],super1[Bairro],mercado3)+SUMIFS(supercb[Qtde],supercb[Item],tab_higiene[[#This Row],[Item]],supercb[Bairro],mercado3)</f>
        <v>0</v>
      </c>
      <c r="AN60" s="4">
        <f>SUMIFS(super1[Qtde],super1[Item],tab_higiene[[#This Row],[Item]],super1[Bairro],mercado4)+SUMIFS(supercb[Qtde],supercb[Item],tab_higiene[[#This Row],[Item]],supercb[Bairro],mercado4)</f>
        <v>0</v>
      </c>
      <c r="AO60" s="4">
        <f>SUMIFS(super1[Qtde],super1[Item],tab_higiene[[#This Row],[Item]],super1[Bairro],mercado5)+SUMIFS(supercb[Qtde],supercb[Item],tab_higiene[[#This Row],[Item]],supercb[Bairro],mercado5)</f>
        <v>0</v>
      </c>
      <c r="AP60" s="4">
        <f>SUMIFS(super1[Qtde],super1[Item],tab_higiene[[#This Row],[Item]],super1[Bairro],mercado6)+SUMIFS(supercb[Qtde],supercb[Item],tab_higiene[[#This Row],[Item]],supercb[Bairro],mercado6)</f>
        <v>0</v>
      </c>
      <c r="AQ60" s="4">
        <f>SUMIFS(super1[Qtde],super1[Item],tab_higiene[[#This Row],[Item]],super1[Bairro],mercado7)+SUMIFS(supercb[Qtde],supercb[Item],tab_higiene[[#This Row],[Item]],supercb[Bairro],mercado7)</f>
        <v>0</v>
      </c>
      <c r="AR60" s="4">
        <f>SUMIFS(super1[Qtde],super1[Item],tab_higiene[[#This Row],[Item]],super1[Bairro],mercado8)+SUMIFS(supercb[Qtde],supercb[Item],tab_higiene[[#This Row],[Item]],supercb[Bairro],mercado8)</f>
        <v>0</v>
      </c>
      <c r="AS60" s="4">
        <f>SUMIFS(super1[Qtde],super1[Item],tab_higiene[[#This Row],[Item]],super1[Bairro],mercado9)+SUMIFS(supercb[Qtde],supercb[Item],tab_higiene[[#This Row],[Item]],supercb[Bairro],mercado9)</f>
        <v>0</v>
      </c>
      <c r="AT60" s="4">
        <f>SUMIFS(super1[Qtde],super1[Item],tab_higiene[[#This Row],[Item]],super1[Bairro],mercado10)+SUMIFS(supercb[Qtde],supercb[Item],tab_higiene[[#This Row],[Item]],supercb[Bairro],mercado10)</f>
        <v>0</v>
      </c>
      <c r="AU60" s="4">
        <f>SUMIFS(super1[Qtde],super1[Item],tab_higiene[[#This Row],[Item]],super1[Bairro],mercado11)+SUMIFS(supercb[Qtde],supercb[Item],tab_higiene[[#This Row],[Item]],supercb[Bairro],mercado11)</f>
        <v>0</v>
      </c>
      <c r="AV60" s="4">
        <f>SUMIFS(super1[Qtde],super1[Item],tab_higiene[[#This Row],[Item]],super1[Bairro],mercado12)+SUMIFS(supercb[Qtde],supercb[Item],tab_higiene[[#This Row],[Item]],supercb[Bairro],mercado12)</f>
        <v>0</v>
      </c>
      <c r="AW60" s="4">
        <f>SUMIFS(super1[Qtde],super1[Item],tab_higiene[[#This Row],[Item]],super1[Bairro],mercado13)+SUMIFS(supercb[Qtde],supercb[Item],tab_higiene[[#This Row],[Item]],supercb[Bairro],mercado13)</f>
        <v>0</v>
      </c>
      <c r="AX60" s="4">
        <f>SUMIFS(super1[Qtde],super1[Item],tab_higiene[[#This Row],[Item]],super1[Bairro],mercado14)+SUMIFS(supercb[Qtde],supercb[Item],tab_higiene[[#This Row],[Item]],supercb[Bairro],mercado14)</f>
        <v>0</v>
      </c>
      <c r="AY60" s="4">
        <f>SUMIFS(super1[Qtde],super1[Item],tab_higiene[[#This Row],[Item]],super1[Bairro],mercado15)+SUMIFS(supercb[Qtde],supercb[Item],tab_higiene[[#This Row],[Item]],supercb[Bairro],mercado15)</f>
        <v>0</v>
      </c>
      <c r="AZ60" s="4">
        <f>SUMIFS(super1[Qtde],super1[Item],tab_higiene[[#This Row],[Item]],super1[Bairro],mercado16)+SUMIFS(supercb[Qtde],supercb[Item],tab_higiene[[#This Row],[Item]],supercb[Bairro],mercado16)</f>
        <v>0</v>
      </c>
      <c r="BA60" s="4">
        <f>SUMIFS(super1[Qtde],super1[Item],tab_higiene[[#This Row],[Item]],super1[Bairro],mercado17)+SUMIFS(supercb[Qtde],supercb[Item],tab_higiene[[#This Row],[Item]],supercb[Bairro],mercado17)</f>
        <v>0</v>
      </c>
      <c r="BB60" s="4">
        <f>SUMIFS(super1[Qtde],super1[Item],tab_higiene[[#This Row],[Item]],super1[Bairro],mercado18)+SUMIFS(supercb[Qtde],supercb[Item],tab_higiene[[#This Row],[Item]],supercb[Bairro],mercado18)</f>
        <v>0</v>
      </c>
      <c r="BC60" s="4">
        <f>SUMIFS(super1[Qtde],super1[Item],tab_higiene[[#This Row],[Item]],super1[Bairro],extras)+SUMIFS(supercb[Qtde],supercb[Item],tab_higiene[[#This Row],[Item]],supercb[Bairro],extras)</f>
        <v>0</v>
      </c>
      <c r="BD60" s="4">
        <f t="shared" si="21"/>
        <v>0</v>
      </c>
      <c r="BE60" s="4">
        <f t="shared" si="22"/>
        <v>0</v>
      </c>
      <c r="BF60" s="6">
        <f t="shared" si="23"/>
        <v>0</v>
      </c>
      <c r="BI60" s="1" t="str">
        <f>tab_alimentos[[#This Row],[Item]]</f>
        <v>Bala Pacote (250g)</v>
      </c>
      <c r="BJ60" s="1">
        <f t="shared" si="6"/>
        <v>12</v>
      </c>
      <c r="BK60" s="1" t="str">
        <f t="shared" si="7"/>
        <v>Bala Pacote</v>
      </c>
      <c r="BL60" s="1">
        <f>tab_alimentos[[#This Row],[kg]]</f>
        <v>0</v>
      </c>
      <c r="BM60" s="25" t="s">
        <v>13</v>
      </c>
      <c r="BN60" s="1">
        <f t="shared" si="11"/>
        <v>0</v>
      </c>
      <c r="BP60" s="1" t="str">
        <f>tab_higiene[[#This Row],[Item]]</f>
        <v>Desinfetante (5L)</v>
      </c>
      <c r="BQ60" s="1">
        <f t="shared" si="8"/>
        <v>13</v>
      </c>
      <c r="BR60" s="1" t="str">
        <f t="shared" si="9"/>
        <v>Desinfetante</v>
      </c>
      <c r="BS60" s="1">
        <f>higiene[[#This Row],[Quantidade]]</f>
        <v>1</v>
      </c>
      <c r="BT60" s="1">
        <f>tab_higiene[[#This Row],[Qtde (tot)]]</f>
        <v>0</v>
      </c>
      <c r="BU60" s="1">
        <f t="shared" si="12"/>
        <v>0</v>
      </c>
      <c r="BV60" s="25" t="s">
        <v>169</v>
      </c>
      <c r="BW60" s="1">
        <f t="shared" si="24"/>
        <v>0</v>
      </c>
    </row>
    <row r="61" spans="9:75" x14ac:dyDescent="0.25">
      <c r="I61" s="19" t="str">
        <f>alimentos[[#This Row],[Item]]</f>
        <v>Bala Pacote (300g)</v>
      </c>
      <c r="J61" s="4">
        <f>IFERROR(alimentos[[#This Row],[kg/embalagem]],0)</f>
        <v>0.3</v>
      </c>
      <c r="K61" s="4">
        <f>IFERROR(alimentos[[#This Row],[Preço]],0)</f>
        <v>5.9</v>
      </c>
      <c r="L61" s="4">
        <f>SUMIFS(super1[Qtde],super1[Item],tab_alimentos[[#This Row],[Item]],super1[Bairro],mercado1)+SUMIFS(supercb[Qtde],supercb[Item],tab_alimentos[[#This Row],[Item]],supercb[Bairro],mercado1)</f>
        <v>0</v>
      </c>
      <c r="M61" s="4">
        <f>SUMIFS(super1[Qtde],super1[Item],tab_alimentos[[#This Row],[Item]],super1[Bairro],mercado2)+SUMIFS(supercb[Qtde],supercb[Item],tab_alimentos[[#This Row],[Item]],supercb[Bairro],mercado2)</f>
        <v>0</v>
      </c>
      <c r="N61" s="4">
        <f>SUMIFS(super1[Qtde],super1[Item],tab_alimentos[[#This Row],[Item]],super1[Bairro],mercado3)+SUMIFS(supercb[Qtde],supercb[Item],tab_alimentos[[#This Row],[Item]],supercb[Bairro],mercado3)</f>
        <v>0</v>
      </c>
      <c r="O61" s="4">
        <f>SUMIFS(super1[Qtde],super1[Item],tab_alimentos[[#This Row],[Item]],super1[Bairro],mercado4)+SUMIFS(supercb[Qtde],supercb[Item],tab_alimentos[[#This Row],[Item]],supercb[Bairro],mercado4)</f>
        <v>0</v>
      </c>
      <c r="P61" s="4">
        <f>SUMIFS(super1[Qtde],super1[Item],tab_alimentos[[#This Row],[Item]],super1[Bairro],mercado5)+SUMIFS(supercb[Qtde],supercb[Item],tab_alimentos[[#This Row],[Item]],supercb[Bairro],mercado5)</f>
        <v>0</v>
      </c>
      <c r="Q61" s="4">
        <f>SUMIFS(super1[Qtde],super1[Item],tab_alimentos[[#This Row],[Item]],super1[Bairro],mercado6)+SUMIFS(supercb[Qtde],supercb[Item],tab_alimentos[[#This Row],[Item]],supercb[Bairro],mercado6)</f>
        <v>0</v>
      </c>
      <c r="R61" s="4">
        <f>SUMIFS(super1[Qtde],super1[Item],tab_alimentos[[#This Row],[Item]],super1[Bairro],mercado7)+SUMIFS(supercb[Qtde],supercb[Item],tab_alimentos[[#This Row],[Item]],supercb[Bairro],mercado7)</f>
        <v>0</v>
      </c>
      <c r="S61" s="4">
        <f>SUMIFS(super1[Qtde],super1[Item],tab_alimentos[[#This Row],[Item]],super1[Bairro],mercado8)+SUMIFS(supercb[Qtde],supercb[Item],tab_alimentos[[#This Row],[Item]],supercb[Bairro],mercado8)</f>
        <v>0</v>
      </c>
      <c r="T61" s="4">
        <f>SUMIFS(super1[Qtde],super1[Item],tab_alimentos[[#This Row],[Item]],super1[Bairro],mercado9)+SUMIFS(supercb[Qtde],supercb[Item],tab_alimentos[[#This Row],[Item]],supercb[Bairro],mercado9)</f>
        <v>0</v>
      </c>
      <c r="U61" s="4">
        <f>SUMIFS(super1[Qtde],super1[Item],tab_alimentos[[#This Row],[Item]],super1[Bairro],mercado10)+SUMIFS(supercb[Qtde],supercb[Item],tab_alimentos[[#This Row],[Item]],supercb[Bairro],mercado10)</f>
        <v>0</v>
      </c>
      <c r="V61" s="4">
        <f>SUMIFS(super1[Qtde],super1[Item],tab_alimentos[[#This Row],[Item]],super1[Bairro],mercado11)+SUMIFS(supercb[Qtde],supercb[Item],tab_alimentos[[#This Row],[Item]],supercb[Bairro],mercado11)</f>
        <v>0</v>
      </c>
      <c r="W61" s="4">
        <f>SUMIFS(super1[Qtde],super1[Item],tab_alimentos[[#This Row],[Item]],super1[Bairro],mercado12)+SUMIFS(supercb[Qtde],supercb[Item],tab_alimentos[[#This Row],[Item]],supercb[Bairro],mercado12)</f>
        <v>0</v>
      </c>
      <c r="X61" s="4">
        <f>SUMIFS(super1[Qtde],super1[Item],tab_alimentos[[#This Row],[Item]],super1[Bairro],mercado13)+SUMIFS(supercb[Qtde],supercb[Item],tab_alimentos[[#This Row],[Item]],supercb[Bairro],mercado13)</f>
        <v>0</v>
      </c>
      <c r="Y61" s="4">
        <f>SUMIFS(super1[Qtde],super1[Item],tab_alimentos[[#This Row],[Item]],super1[Bairro],mercado14)+SUMIFS(supercb[Qtde],supercb[Item],tab_alimentos[[#This Row],[Item]],supercb[Bairro],mercado14)</f>
        <v>0</v>
      </c>
      <c r="Z61" s="4">
        <f>SUMIFS(super1[Qtde],super1[Item],tab_alimentos[[#This Row],[Item]],super1[Bairro],mercado15)+SUMIFS(supercb[Qtde],supercb[Item],tab_alimentos[[#This Row],[Item]],supercb[Bairro],mercado15)</f>
        <v>0</v>
      </c>
      <c r="AA61" s="4">
        <f>SUMIFS(super1[Qtde],super1[Item],tab_alimentos[[#This Row],[Item]],super1[Bairro],mercado16)+SUMIFS(supercb[Qtde],supercb[Item],tab_alimentos[[#This Row],[Item]],supercb[Bairro],mercado16)</f>
        <v>0</v>
      </c>
      <c r="AB61" s="4">
        <f>SUMIFS(super1[Qtde],super1[Item],tab_alimentos[[#This Row],[Item]],super1[Bairro],mercado17)+SUMIFS(supercb[Qtde],supercb[Item],tab_alimentos[[#This Row],[Item]],supercb[Bairro],mercado17)</f>
        <v>0</v>
      </c>
      <c r="AC61" s="4">
        <f>SUMIFS(super1[Qtde],super1[Item],tab_alimentos[[#This Row],[Item]],super1[Bairro],mercado18)+SUMIFS(supercb[Qtde],supercb[Item],tab_alimentos[[#This Row],[Item]],supercb[Bairro],mercado18)</f>
        <v>0</v>
      </c>
      <c r="AD61" s="4">
        <f>SUMIFS(super1[Qtde],super1[Item],tab_alimentos[[#This Row],[Item]],super1[Bairro],extras)+SUMIFS(supercb[Qtde],supercb[Item],tab_alimentos[[#This Row],[Item]],supercb[Bairro],extras)</f>
        <v>0</v>
      </c>
      <c r="AE61" s="4">
        <f t="shared" si="18"/>
        <v>0</v>
      </c>
      <c r="AF61" s="4">
        <f t="shared" si="19"/>
        <v>0</v>
      </c>
      <c r="AG61" s="6">
        <f t="shared" si="20"/>
        <v>0</v>
      </c>
      <c r="AH61" s="19" t="str">
        <f>higiene[[#This Row],[Item]]</f>
        <v>Desinfetante (750mL)</v>
      </c>
      <c r="AI61" s="4">
        <f>IFERROR(higiene[[#This Row],[Kg equivalente]],0)</f>
        <v>0</v>
      </c>
      <c r="AJ61" s="4">
        <f>IFERROR(higiene[[#This Row],[Preço por produto]],0)</f>
        <v>3.29</v>
      </c>
      <c r="AK61" s="4">
        <f>SUMIFS(super1[Qtde],super1[Item],tab_higiene[[#This Row],[Item]],super1[Bairro],mercado1)+SUMIFS(supercb[Qtde],supercb[Item],tab_higiene[[#This Row],[Item]],supercb[Bairro],mercado1)</f>
        <v>0</v>
      </c>
      <c r="AL61" s="4">
        <f>SUMIFS(super1[Qtde],super1[Item],tab_higiene[[#This Row],[Item]],super1[Bairro],mercado2)+SUMIFS(supercb[Qtde],supercb[Item],tab_higiene[[#This Row],[Item]],supercb[Bairro],mercado2)</f>
        <v>0</v>
      </c>
      <c r="AM61" s="4">
        <f>SUMIFS(super1[Qtde],super1[Item],tab_higiene[[#This Row],[Item]],super1[Bairro],mercado3)+SUMIFS(supercb[Qtde],supercb[Item],tab_higiene[[#This Row],[Item]],supercb[Bairro],mercado3)</f>
        <v>0</v>
      </c>
      <c r="AN61" s="4">
        <f>SUMIFS(super1[Qtde],super1[Item],tab_higiene[[#This Row],[Item]],super1[Bairro],mercado4)+SUMIFS(supercb[Qtde],supercb[Item],tab_higiene[[#This Row],[Item]],supercb[Bairro],mercado4)</f>
        <v>0</v>
      </c>
      <c r="AO61" s="4">
        <f>SUMIFS(super1[Qtde],super1[Item],tab_higiene[[#This Row],[Item]],super1[Bairro],mercado5)+SUMIFS(supercb[Qtde],supercb[Item],tab_higiene[[#This Row],[Item]],supercb[Bairro],mercado5)</f>
        <v>0</v>
      </c>
      <c r="AP61" s="4">
        <f>SUMIFS(super1[Qtde],super1[Item],tab_higiene[[#This Row],[Item]],super1[Bairro],mercado6)+SUMIFS(supercb[Qtde],supercb[Item],tab_higiene[[#This Row],[Item]],supercb[Bairro],mercado6)</f>
        <v>0</v>
      </c>
      <c r="AQ61" s="4">
        <f>SUMIFS(super1[Qtde],super1[Item],tab_higiene[[#This Row],[Item]],super1[Bairro],mercado7)+SUMIFS(supercb[Qtde],supercb[Item],tab_higiene[[#This Row],[Item]],supercb[Bairro],mercado7)</f>
        <v>0</v>
      </c>
      <c r="AR61" s="4">
        <f>SUMIFS(super1[Qtde],super1[Item],tab_higiene[[#This Row],[Item]],super1[Bairro],mercado8)+SUMIFS(supercb[Qtde],supercb[Item],tab_higiene[[#This Row],[Item]],supercb[Bairro],mercado8)</f>
        <v>0</v>
      </c>
      <c r="AS61" s="4">
        <f>SUMIFS(super1[Qtde],super1[Item],tab_higiene[[#This Row],[Item]],super1[Bairro],mercado9)+SUMIFS(supercb[Qtde],supercb[Item],tab_higiene[[#This Row],[Item]],supercb[Bairro],mercado9)</f>
        <v>0</v>
      </c>
      <c r="AT61" s="4">
        <f>SUMIFS(super1[Qtde],super1[Item],tab_higiene[[#This Row],[Item]],super1[Bairro],mercado10)+SUMIFS(supercb[Qtde],supercb[Item],tab_higiene[[#This Row],[Item]],supercb[Bairro],mercado10)</f>
        <v>0</v>
      </c>
      <c r="AU61" s="4">
        <f>SUMIFS(super1[Qtde],super1[Item],tab_higiene[[#This Row],[Item]],super1[Bairro],mercado11)+SUMIFS(supercb[Qtde],supercb[Item],tab_higiene[[#This Row],[Item]],supercb[Bairro],mercado11)</f>
        <v>0</v>
      </c>
      <c r="AV61" s="4">
        <f>SUMIFS(super1[Qtde],super1[Item],tab_higiene[[#This Row],[Item]],super1[Bairro],mercado12)+SUMIFS(supercb[Qtde],supercb[Item],tab_higiene[[#This Row],[Item]],supercb[Bairro],mercado12)</f>
        <v>0</v>
      </c>
      <c r="AW61" s="4">
        <f>SUMIFS(super1[Qtde],super1[Item],tab_higiene[[#This Row],[Item]],super1[Bairro],mercado13)+SUMIFS(supercb[Qtde],supercb[Item],tab_higiene[[#This Row],[Item]],supercb[Bairro],mercado13)</f>
        <v>0</v>
      </c>
      <c r="AX61" s="4">
        <f>SUMIFS(super1[Qtde],super1[Item],tab_higiene[[#This Row],[Item]],super1[Bairro],mercado14)+SUMIFS(supercb[Qtde],supercb[Item],tab_higiene[[#This Row],[Item]],supercb[Bairro],mercado14)</f>
        <v>0</v>
      </c>
      <c r="AY61" s="4">
        <f>SUMIFS(super1[Qtde],super1[Item],tab_higiene[[#This Row],[Item]],super1[Bairro],mercado15)+SUMIFS(supercb[Qtde],supercb[Item],tab_higiene[[#This Row],[Item]],supercb[Bairro],mercado15)</f>
        <v>0</v>
      </c>
      <c r="AZ61" s="4">
        <f>SUMIFS(super1[Qtde],super1[Item],tab_higiene[[#This Row],[Item]],super1[Bairro],mercado16)+SUMIFS(supercb[Qtde],supercb[Item],tab_higiene[[#This Row],[Item]],supercb[Bairro],mercado16)</f>
        <v>0</v>
      </c>
      <c r="BA61" s="4">
        <f>SUMIFS(super1[Qtde],super1[Item],tab_higiene[[#This Row],[Item]],super1[Bairro],mercado17)+SUMIFS(supercb[Qtde],supercb[Item],tab_higiene[[#This Row],[Item]],supercb[Bairro],mercado17)</f>
        <v>0</v>
      </c>
      <c r="BB61" s="4">
        <f>SUMIFS(super1[Qtde],super1[Item],tab_higiene[[#This Row],[Item]],super1[Bairro],mercado18)+SUMIFS(supercb[Qtde],supercb[Item],tab_higiene[[#This Row],[Item]],supercb[Bairro],mercado18)</f>
        <v>0</v>
      </c>
      <c r="BC61" s="4">
        <f>SUMIFS(super1[Qtde],super1[Item],tab_higiene[[#This Row],[Item]],super1[Bairro],extras)+SUMIFS(supercb[Qtde],supercb[Item],tab_higiene[[#This Row],[Item]],supercb[Bairro],extras)</f>
        <v>0</v>
      </c>
      <c r="BD61" s="4">
        <f t="shared" si="21"/>
        <v>0</v>
      </c>
      <c r="BE61" s="4">
        <f t="shared" si="22"/>
        <v>0</v>
      </c>
      <c r="BF61" s="6">
        <f t="shared" si="23"/>
        <v>0</v>
      </c>
      <c r="BI61" s="1" t="str">
        <f>tab_alimentos[[#This Row],[Item]]</f>
        <v>Bala Pacote (300g)</v>
      </c>
      <c r="BJ61" s="1">
        <f t="shared" si="6"/>
        <v>12</v>
      </c>
      <c r="BK61" s="1" t="str">
        <f t="shared" si="7"/>
        <v>Bala Pacote</v>
      </c>
      <c r="BL61" s="1">
        <f>tab_alimentos[[#This Row],[kg]]</f>
        <v>0</v>
      </c>
      <c r="BM61" s="25" t="s">
        <v>14</v>
      </c>
      <c r="BN61" s="1">
        <f t="shared" si="11"/>
        <v>0</v>
      </c>
      <c r="BP61" s="1" t="str">
        <f>tab_higiene[[#This Row],[Item]]</f>
        <v>Desinfetante (750mL)</v>
      </c>
      <c r="BQ61" s="1">
        <f t="shared" si="8"/>
        <v>13</v>
      </c>
      <c r="BR61" s="1" t="str">
        <f t="shared" si="9"/>
        <v>Desinfetante</v>
      </c>
      <c r="BS61" s="1">
        <f>higiene[[#This Row],[Quantidade]]</f>
        <v>3</v>
      </c>
      <c r="BT61" s="1">
        <f>tab_higiene[[#This Row],[Qtde (tot)]]</f>
        <v>0</v>
      </c>
      <c r="BU61" s="1">
        <f t="shared" si="12"/>
        <v>0</v>
      </c>
      <c r="BV61" s="25" t="s">
        <v>170</v>
      </c>
      <c r="BW61" s="1">
        <f t="shared" si="24"/>
        <v>0</v>
      </c>
    </row>
    <row r="62" spans="9:75" x14ac:dyDescent="0.25">
      <c r="I62" s="19" t="str">
        <f>alimentos[[#This Row],[Item]]</f>
        <v>Bala Pacote (500g)</v>
      </c>
      <c r="J62" s="4">
        <f>IFERROR(alimentos[[#This Row],[kg/embalagem]],0)</f>
        <v>0.5</v>
      </c>
      <c r="K62" s="4">
        <f>IFERROR(alimentos[[#This Row],[Preço]],0)</f>
        <v>7.13</v>
      </c>
      <c r="L62" s="4">
        <f>SUMIFS(super1[Qtde],super1[Item],tab_alimentos[[#This Row],[Item]],super1[Bairro],mercado1)+SUMIFS(supercb[Qtde],supercb[Item],tab_alimentos[[#This Row],[Item]],supercb[Bairro],mercado1)</f>
        <v>0</v>
      </c>
      <c r="M62" s="4">
        <f>SUMIFS(super1[Qtde],super1[Item],tab_alimentos[[#This Row],[Item]],super1[Bairro],mercado2)+SUMIFS(supercb[Qtde],supercb[Item],tab_alimentos[[#This Row],[Item]],supercb[Bairro],mercado2)</f>
        <v>0</v>
      </c>
      <c r="N62" s="4">
        <f>SUMIFS(super1[Qtde],super1[Item],tab_alimentos[[#This Row],[Item]],super1[Bairro],mercado3)+SUMIFS(supercb[Qtde],supercb[Item],tab_alimentos[[#This Row],[Item]],supercb[Bairro],mercado3)</f>
        <v>0</v>
      </c>
      <c r="O62" s="4">
        <f>SUMIFS(super1[Qtde],super1[Item],tab_alimentos[[#This Row],[Item]],super1[Bairro],mercado4)+SUMIFS(supercb[Qtde],supercb[Item],tab_alimentos[[#This Row],[Item]],supercb[Bairro],mercado4)</f>
        <v>0</v>
      </c>
      <c r="P62" s="4">
        <f>SUMIFS(super1[Qtde],super1[Item],tab_alimentos[[#This Row],[Item]],super1[Bairro],mercado5)+SUMIFS(supercb[Qtde],supercb[Item],tab_alimentos[[#This Row],[Item]],supercb[Bairro],mercado5)</f>
        <v>0</v>
      </c>
      <c r="Q62" s="4">
        <f>SUMIFS(super1[Qtde],super1[Item],tab_alimentos[[#This Row],[Item]],super1[Bairro],mercado6)+SUMIFS(supercb[Qtde],supercb[Item],tab_alimentos[[#This Row],[Item]],supercb[Bairro],mercado6)</f>
        <v>0</v>
      </c>
      <c r="R62" s="4">
        <f>SUMIFS(super1[Qtde],super1[Item],tab_alimentos[[#This Row],[Item]],super1[Bairro],mercado7)+SUMIFS(supercb[Qtde],supercb[Item],tab_alimentos[[#This Row],[Item]],supercb[Bairro],mercado7)</f>
        <v>0</v>
      </c>
      <c r="S62" s="4">
        <f>SUMIFS(super1[Qtde],super1[Item],tab_alimentos[[#This Row],[Item]],super1[Bairro],mercado8)+SUMIFS(supercb[Qtde],supercb[Item],tab_alimentos[[#This Row],[Item]],supercb[Bairro],mercado8)</f>
        <v>0</v>
      </c>
      <c r="T62" s="4">
        <f>SUMIFS(super1[Qtde],super1[Item],tab_alimentos[[#This Row],[Item]],super1[Bairro],mercado9)+SUMIFS(supercb[Qtde],supercb[Item],tab_alimentos[[#This Row],[Item]],supercb[Bairro],mercado9)</f>
        <v>0</v>
      </c>
      <c r="U62" s="4">
        <f>SUMIFS(super1[Qtde],super1[Item],tab_alimentos[[#This Row],[Item]],super1[Bairro],mercado10)+SUMIFS(supercb[Qtde],supercb[Item],tab_alimentos[[#This Row],[Item]],supercb[Bairro],mercado10)</f>
        <v>0</v>
      </c>
      <c r="V62" s="4">
        <f>SUMIFS(super1[Qtde],super1[Item],tab_alimentos[[#This Row],[Item]],super1[Bairro],mercado11)+SUMIFS(supercb[Qtde],supercb[Item],tab_alimentos[[#This Row],[Item]],supercb[Bairro],mercado11)</f>
        <v>0</v>
      </c>
      <c r="W62" s="4">
        <f>SUMIFS(super1[Qtde],super1[Item],tab_alimentos[[#This Row],[Item]],super1[Bairro],mercado12)+SUMIFS(supercb[Qtde],supercb[Item],tab_alimentos[[#This Row],[Item]],supercb[Bairro],mercado12)</f>
        <v>0</v>
      </c>
      <c r="X62" s="4">
        <f>SUMIFS(super1[Qtde],super1[Item],tab_alimentos[[#This Row],[Item]],super1[Bairro],mercado13)+SUMIFS(supercb[Qtde],supercb[Item],tab_alimentos[[#This Row],[Item]],supercb[Bairro],mercado13)</f>
        <v>0</v>
      </c>
      <c r="Y62" s="4">
        <f>SUMIFS(super1[Qtde],super1[Item],tab_alimentos[[#This Row],[Item]],super1[Bairro],mercado14)+SUMIFS(supercb[Qtde],supercb[Item],tab_alimentos[[#This Row],[Item]],supercb[Bairro],mercado14)</f>
        <v>0</v>
      </c>
      <c r="Z62" s="4">
        <f>SUMIFS(super1[Qtde],super1[Item],tab_alimentos[[#This Row],[Item]],super1[Bairro],mercado15)+SUMIFS(supercb[Qtde],supercb[Item],tab_alimentos[[#This Row],[Item]],supercb[Bairro],mercado15)</f>
        <v>0</v>
      </c>
      <c r="AA62" s="4">
        <f>SUMIFS(super1[Qtde],super1[Item],tab_alimentos[[#This Row],[Item]],super1[Bairro],mercado16)+SUMIFS(supercb[Qtde],supercb[Item],tab_alimentos[[#This Row],[Item]],supercb[Bairro],mercado16)</f>
        <v>0</v>
      </c>
      <c r="AB62" s="4">
        <f>SUMIFS(super1[Qtde],super1[Item],tab_alimentos[[#This Row],[Item]],super1[Bairro],mercado17)+SUMIFS(supercb[Qtde],supercb[Item],tab_alimentos[[#This Row],[Item]],supercb[Bairro],mercado17)</f>
        <v>0</v>
      </c>
      <c r="AC62" s="4">
        <f>SUMIFS(super1[Qtde],super1[Item],tab_alimentos[[#This Row],[Item]],super1[Bairro],mercado18)+SUMIFS(supercb[Qtde],supercb[Item],tab_alimentos[[#This Row],[Item]],supercb[Bairro],mercado18)</f>
        <v>0</v>
      </c>
      <c r="AD62" s="4">
        <f>SUMIFS(super1[Qtde],super1[Item],tab_alimentos[[#This Row],[Item]],super1[Bairro],extras)+SUMIFS(supercb[Qtde],supercb[Item],tab_alimentos[[#This Row],[Item]],supercb[Bairro],extras)</f>
        <v>0</v>
      </c>
      <c r="AE62" s="4">
        <f t="shared" si="18"/>
        <v>0</v>
      </c>
      <c r="AF62" s="4">
        <f t="shared" si="19"/>
        <v>0</v>
      </c>
      <c r="AG62" s="6">
        <f t="shared" si="20"/>
        <v>0</v>
      </c>
      <c r="AH62" s="19" t="str">
        <f>higiene[[#This Row],[Item]]</f>
        <v>Desodorante (50g)</v>
      </c>
      <c r="AI62" s="4">
        <f>IFERROR(higiene[[#This Row],[Kg equivalente]],0)</f>
        <v>0</v>
      </c>
      <c r="AJ62" s="4">
        <f>IFERROR(higiene[[#This Row],[Preço por produto]],0)</f>
        <v>4.7</v>
      </c>
      <c r="AK62" s="4">
        <f>SUMIFS(super1[Qtde],super1[Item],tab_higiene[[#This Row],[Item]],super1[Bairro],mercado1)+SUMIFS(supercb[Qtde],supercb[Item],tab_higiene[[#This Row],[Item]],supercb[Bairro],mercado1)</f>
        <v>0</v>
      </c>
      <c r="AL62" s="4">
        <f>SUMIFS(super1[Qtde],super1[Item],tab_higiene[[#This Row],[Item]],super1[Bairro],mercado2)+SUMIFS(supercb[Qtde],supercb[Item],tab_higiene[[#This Row],[Item]],supercb[Bairro],mercado2)</f>
        <v>0</v>
      </c>
      <c r="AM62" s="4">
        <f>SUMIFS(super1[Qtde],super1[Item],tab_higiene[[#This Row],[Item]],super1[Bairro],mercado3)+SUMIFS(supercb[Qtde],supercb[Item],tab_higiene[[#This Row],[Item]],supercb[Bairro],mercado3)</f>
        <v>0</v>
      </c>
      <c r="AN62" s="4">
        <f>SUMIFS(super1[Qtde],super1[Item],tab_higiene[[#This Row],[Item]],super1[Bairro],mercado4)+SUMIFS(supercb[Qtde],supercb[Item],tab_higiene[[#This Row],[Item]],supercb[Bairro],mercado4)</f>
        <v>0</v>
      </c>
      <c r="AO62" s="4">
        <f>SUMIFS(super1[Qtde],super1[Item],tab_higiene[[#This Row],[Item]],super1[Bairro],mercado5)+SUMIFS(supercb[Qtde],supercb[Item],tab_higiene[[#This Row],[Item]],supercb[Bairro],mercado5)</f>
        <v>0</v>
      </c>
      <c r="AP62" s="4">
        <f>SUMIFS(super1[Qtde],super1[Item],tab_higiene[[#This Row],[Item]],super1[Bairro],mercado6)+SUMIFS(supercb[Qtde],supercb[Item],tab_higiene[[#This Row],[Item]],supercb[Bairro],mercado6)</f>
        <v>0</v>
      </c>
      <c r="AQ62" s="4">
        <f>SUMIFS(super1[Qtde],super1[Item],tab_higiene[[#This Row],[Item]],super1[Bairro],mercado7)+SUMIFS(supercb[Qtde],supercb[Item],tab_higiene[[#This Row],[Item]],supercb[Bairro],mercado7)</f>
        <v>0</v>
      </c>
      <c r="AR62" s="4">
        <f>SUMIFS(super1[Qtde],super1[Item],tab_higiene[[#This Row],[Item]],super1[Bairro],mercado8)+SUMIFS(supercb[Qtde],supercb[Item],tab_higiene[[#This Row],[Item]],supercb[Bairro],mercado8)</f>
        <v>0</v>
      </c>
      <c r="AS62" s="4">
        <f>SUMIFS(super1[Qtde],super1[Item],tab_higiene[[#This Row],[Item]],super1[Bairro],mercado9)+SUMIFS(supercb[Qtde],supercb[Item],tab_higiene[[#This Row],[Item]],supercb[Bairro],mercado9)</f>
        <v>0</v>
      </c>
      <c r="AT62" s="4">
        <f>SUMIFS(super1[Qtde],super1[Item],tab_higiene[[#This Row],[Item]],super1[Bairro],mercado10)+SUMIFS(supercb[Qtde],supercb[Item],tab_higiene[[#This Row],[Item]],supercb[Bairro],mercado10)</f>
        <v>0</v>
      </c>
      <c r="AU62" s="4">
        <f>SUMIFS(super1[Qtde],super1[Item],tab_higiene[[#This Row],[Item]],super1[Bairro],mercado11)+SUMIFS(supercb[Qtde],supercb[Item],tab_higiene[[#This Row],[Item]],supercb[Bairro],mercado11)</f>
        <v>0</v>
      </c>
      <c r="AV62" s="4">
        <f>SUMIFS(super1[Qtde],super1[Item],tab_higiene[[#This Row],[Item]],super1[Bairro],mercado12)+SUMIFS(supercb[Qtde],supercb[Item],tab_higiene[[#This Row],[Item]],supercb[Bairro],mercado12)</f>
        <v>0</v>
      </c>
      <c r="AW62" s="4">
        <f>SUMIFS(super1[Qtde],super1[Item],tab_higiene[[#This Row],[Item]],super1[Bairro],mercado13)+SUMIFS(supercb[Qtde],supercb[Item],tab_higiene[[#This Row],[Item]],supercb[Bairro],mercado13)</f>
        <v>0</v>
      </c>
      <c r="AX62" s="4">
        <f>SUMIFS(super1[Qtde],super1[Item],tab_higiene[[#This Row],[Item]],super1[Bairro],mercado14)+SUMIFS(supercb[Qtde],supercb[Item],tab_higiene[[#This Row],[Item]],supercb[Bairro],mercado14)</f>
        <v>0</v>
      </c>
      <c r="AY62" s="4">
        <f>SUMIFS(super1[Qtde],super1[Item],tab_higiene[[#This Row],[Item]],super1[Bairro],mercado15)+SUMIFS(supercb[Qtde],supercb[Item],tab_higiene[[#This Row],[Item]],supercb[Bairro],mercado15)</f>
        <v>0</v>
      </c>
      <c r="AZ62" s="4">
        <f>SUMIFS(super1[Qtde],super1[Item],tab_higiene[[#This Row],[Item]],super1[Bairro],mercado16)+SUMIFS(supercb[Qtde],supercb[Item],tab_higiene[[#This Row],[Item]],supercb[Bairro],mercado16)</f>
        <v>0</v>
      </c>
      <c r="BA62" s="4">
        <f>SUMIFS(super1[Qtde],super1[Item],tab_higiene[[#This Row],[Item]],super1[Bairro],mercado17)+SUMIFS(supercb[Qtde],supercb[Item],tab_higiene[[#This Row],[Item]],supercb[Bairro],mercado17)</f>
        <v>0</v>
      </c>
      <c r="BB62" s="4">
        <f>SUMIFS(super1[Qtde],super1[Item],tab_higiene[[#This Row],[Item]],super1[Bairro],mercado18)+SUMIFS(supercb[Qtde],supercb[Item],tab_higiene[[#This Row],[Item]],supercb[Bairro],mercado18)</f>
        <v>0</v>
      </c>
      <c r="BC62" s="4">
        <f>SUMIFS(super1[Qtde],super1[Item],tab_higiene[[#This Row],[Item]],super1[Bairro],extras)+SUMIFS(supercb[Qtde],supercb[Item],tab_higiene[[#This Row],[Item]],supercb[Bairro],extras)</f>
        <v>0</v>
      </c>
      <c r="BD62" s="4">
        <f t="shared" si="21"/>
        <v>0</v>
      </c>
      <c r="BE62" s="4">
        <f t="shared" si="22"/>
        <v>0</v>
      </c>
      <c r="BF62" s="6">
        <f t="shared" si="23"/>
        <v>0</v>
      </c>
      <c r="BI62" s="1" t="str">
        <f>tab_alimentos[[#This Row],[Item]]</f>
        <v>Bala Pacote (500g)</v>
      </c>
      <c r="BJ62" s="1">
        <f t="shared" si="6"/>
        <v>12</v>
      </c>
      <c r="BK62" s="1" t="str">
        <f t="shared" si="7"/>
        <v>Bala Pacote</v>
      </c>
      <c r="BL62" s="1">
        <f>tab_alimentos[[#This Row],[kg]]</f>
        <v>0</v>
      </c>
      <c r="BM62" s="25" t="s">
        <v>279</v>
      </c>
      <c r="BN62" s="1">
        <f t="shared" si="11"/>
        <v>0</v>
      </c>
      <c r="BP62" s="1" t="str">
        <f>tab_higiene[[#This Row],[Item]]</f>
        <v>Desodorante (50g)</v>
      </c>
      <c r="BQ62" s="1">
        <f t="shared" si="8"/>
        <v>12</v>
      </c>
      <c r="BR62" s="1" t="str">
        <f t="shared" si="9"/>
        <v>Desodorante</v>
      </c>
      <c r="BS62" s="1">
        <f>higiene[[#This Row],[Quantidade]]</f>
        <v>1</v>
      </c>
      <c r="BT62" s="1">
        <f>tab_higiene[[#This Row],[Qtde (tot)]]</f>
        <v>0</v>
      </c>
      <c r="BU62" s="1">
        <f t="shared" si="12"/>
        <v>0</v>
      </c>
      <c r="BV62" s="25" t="s">
        <v>258</v>
      </c>
      <c r="BW62" s="1">
        <f t="shared" si="24"/>
        <v>0</v>
      </c>
    </row>
    <row r="63" spans="9:75" x14ac:dyDescent="0.25">
      <c r="I63" s="19" t="str">
        <f>alimentos[[#This Row],[Item]]</f>
        <v>Bala Pacote (600g)</v>
      </c>
      <c r="J63" s="4">
        <f>IFERROR(alimentos[[#This Row],[kg/embalagem]],0)</f>
        <v>0.6</v>
      </c>
      <c r="K63" s="4">
        <f>IFERROR(alimentos[[#This Row],[Preço]],0)</f>
        <v>13.9</v>
      </c>
      <c r="L63" s="4">
        <f>SUMIFS(super1[Qtde],super1[Item],tab_alimentos[[#This Row],[Item]],super1[Bairro],mercado1)+SUMIFS(supercb[Qtde],supercb[Item],tab_alimentos[[#This Row],[Item]],supercb[Bairro],mercado1)</f>
        <v>0</v>
      </c>
      <c r="M63" s="4">
        <f>SUMIFS(super1[Qtde],super1[Item],tab_alimentos[[#This Row],[Item]],super1[Bairro],mercado2)+SUMIFS(supercb[Qtde],supercb[Item],tab_alimentos[[#This Row],[Item]],supercb[Bairro],mercado2)</f>
        <v>0</v>
      </c>
      <c r="N63" s="4">
        <f>SUMIFS(super1[Qtde],super1[Item],tab_alimentos[[#This Row],[Item]],super1[Bairro],mercado3)+SUMIFS(supercb[Qtde],supercb[Item],tab_alimentos[[#This Row],[Item]],supercb[Bairro],mercado3)</f>
        <v>0</v>
      </c>
      <c r="O63" s="4">
        <f>SUMIFS(super1[Qtde],super1[Item],tab_alimentos[[#This Row],[Item]],super1[Bairro],mercado4)+SUMIFS(supercb[Qtde],supercb[Item],tab_alimentos[[#This Row],[Item]],supercb[Bairro],mercado4)</f>
        <v>0</v>
      </c>
      <c r="P63" s="4">
        <f>SUMIFS(super1[Qtde],super1[Item],tab_alimentos[[#This Row],[Item]],super1[Bairro],mercado5)+SUMIFS(supercb[Qtde],supercb[Item],tab_alimentos[[#This Row],[Item]],supercb[Bairro],mercado5)</f>
        <v>0</v>
      </c>
      <c r="Q63" s="4">
        <f>SUMIFS(super1[Qtde],super1[Item],tab_alimentos[[#This Row],[Item]],super1[Bairro],mercado6)+SUMIFS(supercb[Qtde],supercb[Item],tab_alimentos[[#This Row],[Item]],supercb[Bairro],mercado6)</f>
        <v>0</v>
      </c>
      <c r="R63" s="4">
        <f>SUMIFS(super1[Qtde],super1[Item],tab_alimentos[[#This Row],[Item]],super1[Bairro],mercado7)+SUMIFS(supercb[Qtde],supercb[Item],tab_alimentos[[#This Row],[Item]],supercb[Bairro],mercado7)</f>
        <v>0</v>
      </c>
      <c r="S63" s="4">
        <f>SUMIFS(super1[Qtde],super1[Item],tab_alimentos[[#This Row],[Item]],super1[Bairro],mercado8)+SUMIFS(supercb[Qtde],supercb[Item],tab_alimentos[[#This Row],[Item]],supercb[Bairro],mercado8)</f>
        <v>0</v>
      </c>
      <c r="T63" s="4">
        <f>SUMIFS(super1[Qtde],super1[Item],tab_alimentos[[#This Row],[Item]],super1[Bairro],mercado9)+SUMIFS(supercb[Qtde],supercb[Item],tab_alimentos[[#This Row],[Item]],supercb[Bairro],mercado9)</f>
        <v>0</v>
      </c>
      <c r="U63" s="4">
        <f>SUMIFS(super1[Qtde],super1[Item],tab_alimentos[[#This Row],[Item]],super1[Bairro],mercado10)+SUMIFS(supercb[Qtde],supercb[Item],tab_alimentos[[#This Row],[Item]],supercb[Bairro],mercado10)</f>
        <v>0</v>
      </c>
      <c r="V63" s="4">
        <f>SUMIFS(super1[Qtde],super1[Item],tab_alimentos[[#This Row],[Item]],super1[Bairro],mercado11)+SUMIFS(supercb[Qtde],supercb[Item],tab_alimentos[[#This Row],[Item]],supercb[Bairro],mercado11)</f>
        <v>0</v>
      </c>
      <c r="W63" s="4">
        <f>SUMIFS(super1[Qtde],super1[Item],tab_alimentos[[#This Row],[Item]],super1[Bairro],mercado12)+SUMIFS(supercb[Qtde],supercb[Item],tab_alimentos[[#This Row],[Item]],supercb[Bairro],mercado12)</f>
        <v>0</v>
      </c>
      <c r="X63" s="4">
        <f>SUMIFS(super1[Qtde],super1[Item],tab_alimentos[[#This Row],[Item]],super1[Bairro],mercado13)+SUMIFS(supercb[Qtde],supercb[Item],tab_alimentos[[#This Row],[Item]],supercb[Bairro],mercado13)</f>
        <v>0</v>
      </c>
      <c r="Y63" s="4">
        <f>SUMIFS(super1[Qtde],super1[Item],tab_alimentos[[#This Row],[Item]],super1[Bairro],mercado14)+SUMIFS(supercb[Qtde],supercb[Item],tab_alimentos[[#This Row],[Item]],supercb[Bairro],mercado14)</f>
        <v>0</v>
      </c>
      <c r="Z63" s="4">
        <f>SUMIFS(super1[Qtde],super1[Item],tab_alimentos[[#This Row],[Item]],super1[Bairro],mercado15)+SUMIFS(supercb[Qtde],supercb[Item],tab_alimentos[[#This Row],[Item]],supercb[Bairro],mercado15)</f>
        <v>0</v>
      </c>
      <c r="AA63" s="4">
        <f>SUMIFS(super1[Qtde],super1[Item],tab_alimentos[[#This Row],[Item]],super1[Bairro],mercado16)+SUMIFS(supercb[Qtde],supercb[Item],tab_alimentos[[#This Row],[Item]],supercb[Bairro],mercado16)</f>
        <v>0</v>
      </c>
      <c r="AB63" s="4">
        <f>SUMIFS(super1[Qtde],super1[Item],tab_alimentos[[#This Row],[Item]],super1[Bairro],mercado17)+SUMIFS(supercb[Qtde],supercb[Item],tab_alimentos[[#This Row],[Item]],supercb[Bairro],mercado17)</f>
        <v>0</v>
      </c>
      <c r="AC63" s="4">
        <f>SUMIFS(super1[Qtde],super1[Item],tab_alimentos[[#This Row],[Item]],super1[Bairro],mercado18)+SUMIFS(supercb[Qtde],supercb[Item],tab_alimentos[[#This Row],[Item]],supercb[Bairro],mercado18)</f>
        <v>0</v>
      </c>
      <c r="AD63" s="4">
        <f>SUMIFS(super1[Qtde],super1[Item],tab_alimentos[[#This Row],[Item]],super1[Bairro],extras)+SUMIFS(supercb[Qtde],supercb[Item],tab_alimentos[[#This Row],[Item]],supercb[Bairro],extras)</f>
        <v>0</v>
      </c>
      <c r="AE63" s="4">
        <f t="shared" si="18"/>
        <v>0</v>
      </c>
      <c r="AF63" s="4">
        <f t="shared" si="19"/>
        <v>0</v>
      </c>
      <c r="AG63" s="6">
        <f t="shared" si="20"/>
        <v>0</v>
      </c>
      <c r="AH63" s="19" t="str">
        <f>higiene[[#This Row],[Item]]</f>
        <v>Desodorante (90g)</v>
      </c>
      <c r="AI63" s="4">
        <f>IFERROR(higiene[[#This Row],[Kg equivalente]],0)</f>
        <v>0</v>
      </c>
      <c r="AJ63" s="4">
        <f>IFERROR(higiene[[#This Row],[Preço por produto]],0)</f>
        <v>12.9</v>
      </c>
      <c r="AK63" s="4">
        <f>SUMIFS(super1[Qtde],super1[Item],tab_higiene[[#This Row],[Item]],super1[Bairro],mercado1)+SUMIFS(supercb[Qtde],supercb[Item],tab_higiene[[#This Row],[Item]],supercb[Bairro],mercado1)</f>
        <v>0</v>
      </c>
      <c r="AL63" s="4">
        <f>SUMIFS(super1[Qtde],super1[Item],tab_higiene[[#This Row],[Item]],super1[Bairro],mercado2)+SUMIFS(supercb[Qtde],supercb[Item],tab_higiene[[#This Row],[Item]],supercb[Bairro],mercado2)</f>
        <v>0</v>
      </c>
      <c r="AM63" s="4">
        <f>SUMIFS(super1[Qtde],super1[Item],tab_higiene[[#This Row],[Item]],super1[Bairro],mercado3)+SUMIFS(supercb[Qtde],supercb[Item],tab_higiene[[#This Row],[Item]],supercb[Bairro],mercado3)</f>
        <v>0</v>
      </c>
      <c r="AN63" s="4">
        <f>SUMIFS(super1[Qtde],super1[Item],tab_higiene[[#This Row],[Item]],super1[Bairro],mercado4)+SUMIFS(supercb[Qtde],supercb[Item],tab_higiene[[#This Row],[Item]],supercb[Bairro],mercado4)</f>
        <v>0</v>
      </c>
      <c r="AO63" s="4">
        <f>SUMIFS(super1[Qtde],super1[Item],tab_higiene[[#This Row],[Item]],super1[Bairro],mercado5)+SUMIFS(supercb[Qtde],supercb[Item],tab_higiene[[#This Row],[Item]],supercb[Bairro],mercado5)</f>
        <v>0</v>
      </c>
      <c r="AP63" s="4">
        <f>SUMIFS(super1[Qtde],super1[Item],tab_higiene[[#This Row],[Item]],super1[Bairro],mercado6)+SUMIFS(supercb[Qtde],supercb[Item],tab_higiene[[#This Row],[Item]],supercb[Bairro],mercado6)</f>
        <v>0</v>
      </c>
      <c r="AQ63" s="4">
        <f>SUMIFS(super1[Qtde],super1[Item],tab_higiene[[#This Row],[Item]],super1[Bairro],mercado7)+SUMIFS(supercb[Qtde],supercb[Item],tab_higiene[[#This Row],[Item]],supercb[Bairro],mercado7)</f>
        <v>0</v>
      </c>
      <c r="AR63" s="4">
        <f>SUMIFS(super1[Qtde],super1[Item],tab_higiene[[#This Row],[Item]],super1[Bairro],mercado8)+SUMIFS(supercb[Qtde],supercb[Item],tab_higiene[[#This Row],[Item]],supercb[Bairro],mercado8)</f>
        <v>0</v>
      </c>
      <c r="AS63" s="4">
        <f>SUMIFS(super1[Qtde],super1[Item],tab_higiene[[#This Row],[Item]],super1[Bairro],mercado9)+SUMIFS(supercb[Qtde],supercb[Item],tab_higiene[[#This Row],[Item]],supercb[Bairro],mercado9)</f>
        <v>0</v>
      </c>
      <c r="AT63" s="4">
        <f>SUMIFS(super1[Qtde],super1[Item],tab_higiene[[#This Row],[Item]],super1[Bairro],mercado10)+SUMIFS(supercb[Qtde],supercb[Item],tab_higiene[[#This Row],[Item]],supercb[Bairro],mercado10)</f>
        <v>0</v>
      </c>
      <c r="AU63" s="4">
        <f>SUMIFS(super1[Qtde],super1[Item],tab_higiene[[#This Row],[Item]],super1[Bairro],mercado11)+SUMIFS(supercb[Qtde],supercb[Item],tab_higiene[[#This Row],[Item]],supercb[Bairro],mercado11)</f>
        <v>0</v>
      </c>
      <c r="AV63" s="4">
        <f>SUMIFS(super1[Qtde],super1[Item],tab_higiene[[#This Row],[Item]],super1[Bairro],mercado12)+SUMIFS(supercb[Qtde],supercb[Item],tab_higiene[[#This Row],[Item]],supercb[Bairro],mercado12)</f>
        <v>0</v>
      </c>
      <c r="AW63" s="4">
        <f>SUMIFS(super1[Qtde],super1[Item],tab_higiene[[#This Row],[Item]],super1[Bairro],mercado13)+SUMIFS(supercb[Qtde],supercb[Item],tab_higiene[[#This Row],[Item]],supercb[Bairro],mercado13)</f>
        <v>0</v>
      </c>
      <c r="AX63" s="4">
        <f>SUMIFS(super1[Qtde],super1[Item],tab_higiene[[#This Row],[Item]],super1[Bairro],mercado14)+SUMIFS(supercb[Qtde],supercb[Item],tab_higiene[[#This Row],[Item]],supercb[Bairro],mercado14)</f>
        <v>0</v>
      </c>
      <c r="AY63" s="4">
        <f>SUMIFS(super1[Qtde],super1[Item],tab_higiene[[#This Row],[Item]],super1[Bairro],mercado15)+SUMIFS(supercb[Qtde],supercb[Item],tab_higiene[[#This Row],[Item]],supercb[Bairro],mercado15)</f>
        <v>0</v>
      </c>
      <c r="AZ63" s="4">
        <f>SUMIFS(super1[Qtde],super1[Item],tab_higiene[[#This Row],[Item]],super1[Bairro],mercado16)+SUMIFS(supercb[Qtde],supercb[Item],tab_higiene[[#This Row],[Item]],supercb[Bairro],mercado16)</f>
        <v>0</v>
      </c>
      <c r="BA63" s="4">
        <f>SUMIFS(super1[Qtde],super1[Item],tab_higiene[[#This Row],[Item]],super1[Bairro],mercado17)+SUMIFS(supercb[Qtde],supercb[Item],tab_higiene[[#This Row],[Item]],supercb[Bairro],mercado17)</f>
        <v>0</v>
      </c>
      <c r="BB63" s="4">
        <f>SUMIFS(super1[Qtde],super1[Item],tab_higiene[[#This Row],[Item]],super1[Bairro],mercado18)+SUMIFS(supercb[Qtde],supercb[Item],tab_higiene[[#This Row],[Item]],supercb[Bairro],mercado18)</f>
        <v>0</v>
      </c>
      <c r="BC63" s="4">
        <f>SUMIFS(super1[Qtde],super1[Item],tab_higiene[[#This Row],[Item]],super1[Bairro],extras)+SUMIFS(supercb[Qtde],supercb[Item],tab_higiene[[#This Row],[Item]],supercb[Bairro],extras)</f>
        <v>0</v>
      </c>
      <c r="BD63" s="4">
        <f t="shared" si="21"/>
        <v>0</v>
      </c>
      <c r="BE63" s="4">
        <f t="shared" si="22"/>
        <v>0</v>
      </c>
      <c r="BF63" s="6">
        <f t="shared" si="23"/>
        <v>0</v>
      </c>
      <c r="BI63" s="1" t="str">
        <f>tab_alimentos[[#This Row],[Item]]</f>
        <v>Bala Pacote (600g)</v>
      </c>
      <c r="BJ63" s="1">
        <f t="shared" si="6"/>
        <v>12</v>
      </c>
      <c r="BK63" s="1" t="str">
        <f t="shared" si="7"/>
        <v>Bala Pacote</v>
      </c>
      <c r="BL63" s="1">
        <f>tab_alimentos[[#This Row],[kg]]</f>
        <v>0</v>
      </c>
      <c r="BM63" s="25" t="s">
        <v>68</v>
      </c>
      <c r="BN63" s="1">
        <f t="shared" si="11"/>
        <v>0</v>
      </c>
      <c r="BP63" s="1" t="str">
        <f>tab_higiene[[#This Row],[Item]]</f>
        <v>Desodorante (90g)</v>
      </c>
      <c r="BQ63" s="1">
        <f t="shared" si="8"/>
        <v>12</v>
      </c>
      <c r="BR63" s="1" t="str">
        <f t="shared" si="9"/>
        <v>Desodorante</v>
      </c>
      <c r="BS63" s="1">
        <f>higiene[[#This Row],[Quantidade]]</f>
        <v>1</v>
      </c>
      <c r="BT63" s="1">
        <f>tab_higiene[[#This Row],[Qtde (tot)]]</f>
        <v>0</v>
      </c>
      <c r="BU63" s="1">
        <f t="shared" si="12"/>
        <v>0</v>
      </c>
      <c r="BV63" s="25" t="s">
        <v>74</v>
      </c>
      <c r="BW63" s="1">
        <f t="shared" si="24"/>
        <v>0</v>
      </c>
    </row>
    <row r="64" spans="9:75" x14ac:dyDescent="0.25">
      <c r="I64" s="19" t="str">
        <f>alimentos[[#This Row],[Item]]</f>
        <v>Bala Pacote (70g)</v>
      </c>
      <c r="J64" s="4">
        <f>IFERROR(alimentos[[#This Row],[kg/embalagem]],0)</f>
        <v>7.0000000000000007E-2</v>
      </c>
      <c r="K64" s="4">
        <f>IFERROR(alimentos[[#This Row],[Preço]],0)</f>
        <v>2.9</v>
      </c>
      <c r="L64" s="4">
        <f>SUMIFS(super1[Qtde],super1[Item],tab_alimentos[[#This Row],[Item]],super1[Bairro],mercado1)+SUMIFS(supercb[Qtde],supercb[Item],tab_alimentos[[#This Row],[Item]],supercb[Bairro],mercado1)</f>
        <v>0</v>
      </c>
      <c r="M64" s="4">
        <f>SUMIFS(super1[Qtde],super1[Item],tab_alimentos[[#This Row],[Item]],super1[Bairro],mercado2)+SUMIFS(supercb[Qtde],supercb[Item],tab_alimentos[[#This Row],[Item]],supercb[Bairro],mercado2)</f>
        <v>0</v>
      </c>
      <c r="N64" s="4">
        <f>SUMIFS(super1[Qtde],super1[Item],tab_alimentos[[#This Row],[Item]],super1[Bairro],mercado3)+SUMIFS(supercb[Qtde],supercb[Item],tab_alimentos[[#This Row],[Item]],supercb[Bairro],mercado3)</f>
        <v>0</v>
      </c>
      <c r="O64" s="4">
        <f>SUMIFS(super1[Qtde],super1[Item],tab_alimentos[[#This Row],[Item]],super1[Bairro],mercado4)+SUMIFS(supercb[Qtde],supercb[Item],tab_alimentos[[#This Row],[Item]],supercb[Bairro],mercado4)</f>
        <v>0</v>
      </c>
      <c r="P64" s="4">
        <f>SUMIFS(super1[Qtde],super1[Item],tab_alimentos[[#This Row],[Item]],super1[Bairro],mercado5)+SUMIFS(supercb[Qtde],supercb[Item],tab_alimentos[[#This Row],[Item]],supercb[Bairro],mercado5)</f>
        <v>0</v>
      </c>
      <c r="Q64" s="4">
        <f>SUMIFS(super1[Qtde],super1[Item],tab_alimentos[[#This Row],[Item]],super1[Bairro],mercado6)+SUMIFS(supercb[Qtde],supercb[Item],tab_alimentos[[#This Row],[Item]],supercb[Bairro],mercado6)</f>
        <v>0</v>
      </c>
      <c r="R64" s="4">
        <f>SUMIFS(super1[Qtde],super1[Item],tab_alimentos[[#This Row],[Item]],super1[Bairro],mercado7)+SUMIFS(supercb[Qtde],supercb[Item],tab_alimentos[[#This Row],[Item]],supercb[Bairro],mercado7)</f>
        <v>0</v>
      </c>
      <c r="S64" s="4">
        <f>SUMIFS(super1[Qtde],super1[Item],tab_alimentos[[#This Row],[Item]],super1[Bairro],mercado8)+SUMIFS(supercb[Qtde],supercb[Item],tab_alimentos[[#This Row],[Item]],supercb[Bairro],mercado8)</f>
        <v>0</v>
      </c>
      <c r="T64" s="4">
        <f>SUMIFS(super1[Qtde],super1[Item],tab_alimentos[[#This Row],[Item]],super1[Bairro],mercado9)+SUMIFS(supercb[Qtde],supercb[Item],tab_alimentos[[#This Row],[Item]],supercb[Bairro],mercado9)</f>
        <v>0</v>
      </c>
      <c r="U64" s="4">
        <f>SUMIFS(super1[Qtde],super1[Item],tab_alimentos[[#This Row],[Item]],super1[Bairro],mercado10)+SUMIFS(supercb[Qtde],supercb[Item],tab_alimentos[[#This Row],[Item]],supercb[Bairro],mercado10)</f>
        <v>0</v>
      </c>
      <c r="V64" s="4">
        <f>SUMIFS(super1[Qtde],super1[Item],tab_alimentos[[#This Row],[Item]],super1[Bairro],mercado11)+SUMIFS(supercb[Qtde],supercb[Item],tab_alimentos[[#This Row],[Item]],supercb[Bairro],mercado11)</f>
        <v>0</v>
      </c>
      <c r="W64" s="4">
        <f>SUMIFS(super1[Qtde],super1[Item],tab_alimentos[[#This Row],[Item]],super1[Bairro],mercado12)+SUMIFS(supercb[Qtde],supercb[Item],tab_alimentos[[#This Row],[Item]],supercb[Bairro],mercado12)</f>
        <v>0</v>
      </c>
      <c r="X64" s="4">
        <f>SUMIFS(super1[Qtde],super1[Item],tab_alimentos[[#This Row],[Item]],super1[Bairro],mercado13)+SUMIFS(supercb[Qtde],supercb[Item],tab_alimentos[[#This Row],[Item]],supercb[Bairro],mercado13)</f>
        <v>0</v>
      </c>
      <c r="Y64" s="4">
        <f>SUMIFS(super1[Qtde],super1[Item],tab_alimentos[[#This Row],[Item]],super1[Bairro],mercado14)+SUMIFS(supercb[Qtde],supercb[Item],tab_alimentos[[#This Row],[Item]],supercb[Bairro],mercado14)</f>
        <v>0</v>
      </c>
      <c r="Z64" s="4">
        <f>SUMIFS(super1[Qtde],super1[Item],tab_alimentos[[#This Row],[Item]],super1[Bairro],mercado15)+SUMIFS(supercb[Qtde],supercb[Item],tab_alimentos[[#This Row],[Item]],supercb[Bairro],mercado15)</f>
        <v>0</v>
      </c>
      <c r="AA64" s="4">
        <f>SUMIFS(super1[Qtde],super1[Item],tab_alimentos[[#This Row],[Item]],super1[Bairro],mercado16)+SUMIFS(supercb[Qtde],supercb[Item],tab_alimentos[[#This Row],[Item]],supercb[Bairro],mercado16)</f>
        <v>0</v>
      </c>
      <c r="AB64" s="4">
        <f>SUMIFS(super1[Qtde],super1[Item],tab_alimentos[[#This Row],[Item]],super1[Bairro],mercado17)+SUMIFS(supercb[Qtde],supercb[Item],tab_alimentos[[#This Row],[Item]],supercb[Bairro],mercado17)</f>
        <v>0</v>
      </c>
      <c r="AC64" s="4">
        <f>SUMIFS(super1[Qtde],super1[Item],tab_alimentos[[#This Row],[Item]],super1[Bairro],mercado18)+SUMIFS(supercb[Qtde],supercb[Item],tab_alimentos[[#This Row],[Item]],supercb[Bairro],mercado18)</f>
        <v>0</v>
      </c>
      <c r="AD64" s="4">
        <f>SUMIFS(super1[Qtde],super1[Item],tab_alimentos[[#This Row],[Item]],super1[Bairro],extras)+SUMIFS(supercb[Qtde],supercb[Item],tab_alimentos[[#This Row],[Item]],supercb[Bairro],extras)</f>
        <v>0</v>
      </c>
      <c r="AE64" s="4">
        <f t="shared" si="18"/>
        <v>0</v>
      </c>
      <c r="AF64" s="4">
        <f t="shared" si="19"/>
        <v>0</v>
      </c>
      <c r="AG64" s="6">
        <f t="shared" si="20"/>
        <v>0</v>
      </c>
      <c r="AH64" s="19" t="str">
        <f>higiene[[#This Row],[Item]]</f>
        <v>Desodorante Creme</v>
      </c>
      <c r="AI64" s="4">
        <f>IFERROR(higiene[[#This Row],[Kg equivalente]],0)</f>
        <v>0</v>
      </c>
      <c r="AJ64" s="4">
        <f>IFERROR(higiene[[#This Row],[Preço por produto]],0)</f>
        <v>4.5</v>
      </c>
      <c r="AK64" s="4">
        <f>SUMIFS(super1[Qtde],super1[Item],tab_higiene[[#This Row],[Item]],super1[Bairro],mercado1)+SUMIFS(supercb[Qtde],supercb[Item],tab_higiene[[#This Row],[Item]],supercb[Bairro],mercado1)</f>
        <v>0</v>
      </c>
      <c r="AL64" s="4">
        <f>SUMIFS(super1[Qtde],super1[Item],tab_higiene[[#This Row],[Item]],super1[Bairro],mercado2)+SUMIFS(supercb[Qtde],supercb[Item],tab_higiene[[#This Row],[Item]],supercb[Bairro],mercado2)</f>
        <v>0</v>
      </c>
      <c r="AM64" s="4">
        <f>SUMIFS(super1[Qtde],super1[Item],tab_higiene[[#This Row],[Item]],super1[Bairro],mercado3)+SUMIFS(supercb[Qtde],supercb[Item],tab_higiene[[#This Row],[Item]],supercb[Bairro],mercado3)</f>
        <v>0</v>
      </c>
      <c r="AN64" s="4">
        <f>SUMIFS(super1[Qtde],super1[Item],tab_higiene[[#This Row],[Item]],super1[Bairro],mercado4)+SUMIFS(supercb[Qtde],supercb[Item],tab_higiene[[#This Row],[Item]],supercb[Bairro],mercado4)</f>
        <v>0</v>
      </c>
      <c r="AO64" s="4">
        <f>SUMIFS(super1[Qtde],super1[Item],tab_higiene[[#This Row],[Item]],super1[Bairro],mercado5)+SUMIFS(supercb[Qtde],supercb[Item],tab_higiene[[#This Row],[Item]],supercb[Bairro],mercado5)</f>
        <v>0</v>
      </c>
      <c r="AP64" s="4">
        <f>SUMIFS(super1[Qtde],super1[Item],tab_higiene[[#This Row],[Item]],super1[Bairro],mercado6)+SUMIFS(supercb[Qtde],supercb[Item],tab_higiene[[#This Row],[Item]],supercb[Bairro],mercado6)</f>
        <v>0</v>
      </c>
      <c r="AQ64" s="4">
        <f>SUMIFS(super1[Qtde],super1[Item],tab_higiene[[#This Row],[Item]],super1[Bairro],mercado7)+SUMIFS(supercb[Qtde],supercb[Item],tab_higiene[[#This Row],[Item]],supercb[Bairro],mercado7)</f>
        <v>0</v>
      </c>
      <c r="AR64" s="4">
        <f>SUMIFS(super1[Qtde],super1[Item],tab_higiene[[#This Row],[Item]],super1[Bairro],mercado8)+SUMIFS(supercb[Qtde],supercb[Item],tab_higiene[[#This Row],[Item]],supercb[Bairro],mercado8)</f>
        <v>0</v>
      </c>
      <c r="AS64" s="4">
        <f>SUMIFS(super1[Qtde],super1[Item],tab_higiene[[#This Row],[Item]],super1[Bairro],mercado9)+SUMIFS(supercb[Qtde],supercb[Item],tab_higiene[[#This Row],[Item]],supercb[Bairro],mercado9)</f>
        <v>0</v>
      </c>
      <c r="AT64" s="4">
        <f>SUMIFS(super1[Qtde],super1[Item],tab_higiene[[#This Row],[Item]],super1[Bairro],mercado10)+SUMIFS(supercb[Qtde],supercb[Item],tab_higiene[[#This Row],[Item]],supercb[Bairro],mercado10)</f>
        <v>0</v>
      </c>
      <c r="AU64" s="4">
        <f>SUMIFS(super1[Qtde],super1[Item],tab_higiene[[#This Row],[Item]],super1[Bairro],mercado11)+SUMIFS(supercb[Qtde],supercb[Item],tab_higiene[[#This Row],[Item]],supercb[Bairro],mercado11)</f>
        <v>0</v>
      </c>
      <c r="AV64" s="4">
        <f>SUMIFS(super1[Qtde],super1[Item],tab_higiene[[#This Row],[Item]],super1[Bairro],mercado12)+SUMIFS(supercb[Qtde],supercb[Item],tab_higiene[[#This Row],[Item]],supercb[Bairro],mercado12)</f>
        <v>0</v>
      </c>
      <c r="AW64" s="4">
        <f>SUMIFS(super1[Qtde],super1[Item],tab_higiene[[#This Row],[Item]],super1[Bairro],mercado13)+SUMIFS(supercb[Qtde],supercb[Item],tab_higiene[[#This Row],[Item]],supercb[Bairro],mercado13)</f>
        <v>0</v>
      </c>
      <c r="AX64" s="4">
        <f>SUMIFS(super1[Qtde],super1[Item],tab_higiene[[#This Row],[Item]],super1[Bairro],mercado14)+SUMIFS(supercb[Qtde],supercb[Item],tab_higiene[[#This Row],[Item]],supercb[Bairro],mercado14)</f>
        <v>0</v>
      </c>
      <c r="AY64" s="4">
        <f>SUMIFS(super1[Qtde],super1[Item],tab_higiene[[#This Row],[Item]],super1[Bairro],mercado15)+SUMIFS(supercb[Qtde],supercb[Item],tab_higiene[[#This Row],[Item]],supercb[Bairro],mercado15)</f>
        <v>0</v>
      </c>
      <c r="AZ64" s="4">
        <f>SUMIFS(super1[Qtde],super1[Item],tab_higiene[[#This Row],[Item]],super1[Bairro],mercado16)+SUMIFS(supercb[Qtde],supercb[Item],tab_higiene[[#This Row],[Item]],supercb[Bairro],mercado16)</f>
        <v>0</v>
      </c>
      <c r="BA64" s="4">
        <f>SUMIFS(super1[Qtde],super1[Item],tab_higiene[[#This Row],[Item]],super1[Bairro],mercado17)+SUMIFS(supercb[Qtde],supercb[Item],tab_higiene[[#This Row],[Item]],supercb[Bairro],mercado17)</f>
        <v>0</v>
      </c>
      <c r="BB64" s="4">
        <f>SUMIFS(super1[Qtde],super1[Item],tab_higiene[[#This Row],[Item]],super1[Bairro],mercado18)+SUMIFS(supercb[Qtde],supercb[Item],tab_higiene[[#This Row],[Item]],supercb[Bairro],mercado18)</f>
        <v>0</v>
      </c>
      <c r="BC64" s="4">
        <f>SUMIFS(super1[Qtde],super1[Item],tab_higiene[[#This Row],[Item]],super1[Bairro],extras)+SUMIFS(supercb[Qtde],supercb[Item],tab_higiene[[#This Row],[Item]],supercb[Bairro],extras)</f>
        <v>0</v>
      </c>
      <c r="BD64" s="4">
        <f t="shared" si="21"/>
        <v>0</v>
      </c>
      <c r="BE64" s="4">
        <f t="shared" si="22"/>
        <v>0</v>
      </c>
      <c r="BF64" s="6">
        <f t="shared" si="23"/>
        <v>0</v>
      </c>
      <c r="BI64" s="1" t="str">
        <f>tab_alimentos[[#This Row],[Item]]</f>
        <v>Bala Pacote (70g)</v>
      </c>
      <c r="BJ64" s="1">
        <f t="shared" si="6"/>
        <v>12</v>
      </c>
      <c r="BK64" s="1" t="str">
        <f t="shared" si="7"/>
        <v>Bala Pacote</v>
      </c>
      <c r="BL64" s="1">
        <f>tab_alimentos[[#This Row],[kg]]</f>
        <v>0</v>
      </c>
      <c r="BM64" s="25" t="s">
        <v>69</v>
      </c>
      <c r="BN64" s="1">
        <f t="shared" si="11"/>
        <v>0</v>
      </c>
      <c r="BP64" s="1" t="str">
        <f>tab_higiene[[#This Row],[Item]]</f>
        <v>Desodorante Creme</v>
      </c>
      <c r="BQ64" s="1">
        <f t="shared" si="8"/>
        <v>0</v>
      </c>
      <c r="BR64" s="1" t="str">
        <f t="shared" si="9"/>
        <v>Desodorante Creme</v>
      </c>
      <c r="BS64" s="1">
        <f>higiene[[#This Row],[Quantidade]]</f>
        <v>30</v>
      </c>
      <c r="BT64" s="1">
        <f>tab_higiene[[#This Row],[Qtde (tot)]]</f>
        <v>0</v>
      </c>
      <c r="BU64" s="1">
        <f t="shared" si="12"/>
        <v>0</v>
      </c>
      <c r="BV64" s="25" t="s">
        <v>259</v>
      </c>
      <c r="BW64" s="1">
        <f t="shared" si="24"/>
        <v>0</v>
      </c>
    </row>
    <row r="65" spans="9:75" x14ac:dyDescent="0.25">
      <c r="I65" s="19" t="str">
        <f>alimentos[[#This Row],[Item]]</f>
        <v>Barra de Cereal (1un)</v>
      </c>
      <c r="J65" s="4">
        <f>IFERROR(alimentos[[#This Row],[kg/embalagem]],0)</f>
        <v>2.5000000000000001E-2</v>
      </c>
      <c r="K65" s="4">
        <f>IFERROR(alimentos[[#This Row],[Preço]],0)</f>
        <v>3.19</v>
      </c>
      <c r="L65" s="4">
        <f>SUMIFS(super1[Qtde],super1[Item],tab_alimentos[[#This Row],[Item]],super1[Bairro],mercado1)+SUMIFS(supercb[Qtde],supercb[Item],tab_alimentos[[#This Row],[Item]],supercb[Bairro],mercado1)</f>
        <v>0</v>
      </c>
      <c r="M65" s="4">
        <f>SUMIFS(super1[Qtde],super1[Item],tab_alimentos[[#This Row],[Item]],super1[Bairro],mercado2)+SUMIFS(supercb[Qtde],supercb[Item],tab_alimentos[[#This Row],[Item]],supercb[Bairro],mercado2)</f>
        <v>0</v>
      </c>
      <c r="N65" s="4">
        <f>SUMIFS(super1[Qtde],super1[Item],tab_alimentos[[#This Row],[Item]],super1[Bairro],mercado3)+SUMIFS(supercb[Qtde],supercb[Item],tab_alimentos[[#This Row],[Item]],supercb[Bairro],mercado3)</f>
        <v>0</v>
      </c>
      <c r="O65" s="4">
        <f>SUMIFS(super1[Qtde],super1[Item],tab_alimentos[[#This Row],[Item]],super1[Bairro],mercado4)+SUMIFS(supercb[Qtde],supercb[Item],tab_alimentos[[#This Row],[Item]],supercb[Bairro],mercado4)</f>
        <v>0</v>
      </c>
      <c r="P65" s="4">
        <f>SUMIFS(super1[Qtde],super1[Item],tab_alimentos[[#This Row],[Item]],super1[Bairro],mercado5)+SUMIFS(supercb[Qtde],supercb[Item],tab_alimentos[[#This Row],[Item]],supercb[Bairro],mercado5)</f>
        <v>0</v>
      </c>
      <c r="Q65" s="4">
        <f>SUMIFS(super1[Qtde],super1[Item],tab_alimentos[[#This Row],[Item]],super1[Bairro],mercado6)+SUMIFS(supercb[Qtde],supercb[Item],tab_alimentos[[#This Row],[Item]],supercb[Bairro],mercado6)</f>
        <v>0</v>
      </c>
      <c r="R65" s="4">
        <f>SUMIFS(super1[Qtde],super1[Item],tab_alimentos[[#This Row],[Item]],super1[Bairro],mercado7)+SUMIFS(supercb[Qtde],supercb[Item],tab_alimentos[[#This Row],[Item]],supercb[Bairro],mercado7)</f>
        <v>0</v>
      </c>
      <c r="S65" s="4">
        <f>SUMIFS(super1[Qtde],super1[Item],tab_alimentos[[#This Row],[Item]],super1[Bairro],mercado8)+SUMIFS(supercb[Qtde],supercb[Item],tab_alimentos[[#This Row],[Item]],supercb[Bairro],mercado8)</f>
        <v>0</v>
      </c>
      <c r="T65" s="4">
        <f>SUMIFS(super1[Qtde],super1[Item],tab_alimentos[[#This Row],[Item]],super1[Bairro],mercado9)+SUMIFS(supercb[Qtde],supercb[Item],tab_alimentos[[#This Row],[Item]],supercb[Bairro],mercado9)</f>
        <v>0</v>
      </c>
      <c r="U65" s="4">
        <f>SUMIFS(super1[Qtde],super1[Item],tab_alimentos[[#This Row],[Item]],super1[Bairro],mercado10)+SUMIFS(supercb[Qtde],supercb[Item],tab_alimentos[[#This Row],[Item]],supercb[Bairro],mercado10)</f>
        <v>0</v>
      </c>
      <c r="V65" s="4">
        <f>SUMIFS(super1[Qtde],super1[Item],tab_alimentos[[#This Row],[Item]],super1[Bairro],mercado11)+SUMIFS(supercb[Qtde],supercb[Item],tab_alimentos[[#This Row],[Item]],supercb[Bairro],mercado11)</f>
        <v>0</v>
      </c>
      <c r="W65" s="4">
        <f>SUMIFS(super1[Qtde],super1[Item],tab_alimentos[[#This Row],[Item]],super1[Bairro],mercado12)+SUMIFS(supercb[Qtde],supercb[Item],tab_alimentos[[#This Row],[Item]],supercb[Bairro],mercado12)</f>
        <v>0</v>
      </c>
      <c r="X65" s="4">
        <f>SUMIFS(super1[Qtde],super1[Item],tab_alimentos[[#This Row],[Item]],super1[Bairro],mercado13)+SUMIFS(supercb[Qtde],supercb[Item],tab_alimentos[[#This Row],[Item]],supercb[Bairro],mercado13)</f>
        <v>0</v>
      </c>
      <c r="Y65" s="4">
        <f>SUMIFS(super1[Qtde],super1[Item],tab_alimentos[[#This Row],[Item]],super1[Bairro],mercado14)+SUMIFS(supercb[Qtde],supercb[Item],tab_alimentos[[#This Row],[Item]],supercb[Bairro],mercado14)</f>
        <v>0</v>
      </c>
      <c r="Z65" s="4">
        <f>SUMIFS(super1[Qtde],super1[Item],tab_alimentos[[#This Row],[Item]],super1[Bairro],mercado15)+SUMIFS(supercb[Qtde],supercb[Item],tab_alimentos[[#This Row],[Item]],supercb[Bairro],mercado15)</f>
        <v>0</v>
      </c>
      <c r="AA65" s="4">
        <f>SUMIFS(super1[Qtde],super1[Item],tab_alimentos[[#This Row],[Item]],super1[Bairro],mercado16)+SUMIFS(supercb[Qtde],supercb[Item],tab_alimentos[[#This Row],[Item]],supercb[Bairro],mercado16)</f>
        <v>0</v>
      </c>
      <c r="AB65" s="4">
        <f>SUMIFS(super1[Qtde],super1[Item],tab_alimentos[[#This Row],[Item]],super1[Bairro],mercado17)+SUMIFS(supercb[Qtde],supercb[Item],tab_alimentos[[#This Row],[Item]],supercb[Bairro],mercado17)</f>
        <v>0</v>
      </c>
      <c r="AC65" s="4">
        <f>SUMIFS(super1[Qtde],super1[Item],tab_alimentos[[#This Row],[Item]],super1[Bairro],mercado18)+SUMIFS(supercb[Qtde],supercb[Item],tab_alimentos[[#This Row],[Item]],supercb[Bairro],mercado18)</f>
        <v>0</v>
      </c>
      <c r="AD65" s="4">
        <f>SUMIFS(super1[Qtde],super1[Item],tab_alimentos[[#This Row],[Item]],super1[Bairro],extras)+SUMIFS(supercb[Qtde],supercb[Item],tab_alimentos[[#This Row],[Item]],supercb[Bairro],extras)</f>
        <v>0</v>
      </c>
      <c r="AE65" s="4">
        <f t="shared" si="18"/>
        <v>0</v>
      </c>
      <c r="AF65" s="4">
        <f t="shared" si="19"/>
        <v>0</v>
      </c>
      <c r="AG65" s="6">
        <f t="shared" si="20"/>
        <v>0</v>
      </c>
      <c r="AH65" s="19" t="str">
        <f>higiene[[#This Row],[Item]]</f>
        <v>Desodorante Rollon</v>
      </c>
      <c r="AI65" s="4">
        <f>IFERROR(higiene[[#This Row],[Kg equivalente]],0)</f>
        <v>0</v>
      </c>
      <c r="AJ65" s="4">
        <f>IFERROR(higiene[[#This Row],[Preço por produto]],0)</f>
        <v>6.99</v>
      </c>
      <c r="AK65" s="4">
        <f>SUMIFS(super1[Qtde],super1[Item],tab_higiene[[#This Row],[Item]],super1[Bairro],mercado1)+SUMIFS(supercb[Qtde],supercb[Item],tab_higiene[[#This Row],[Item]],supercb[Bairro],mercado1)</f>
        <v>0</v>
      </c>
      <c r="AL65" s="4">
        <f>SUMIFS(super1[Qtde],super1[Item],tab_higiene[[#This Row],[Item]],super1[Bairro],mercado2)+SUMIFS(supercb[Qtde],supercb[Item],tab_higiene[[#This Row],[Item]],supercb[Bairro],mercado2)</f>
        <v>0</v>
      </c>
      <c r="AM65" s="4">
        <f>SUMIFS(super1[Qtde],super1[Item],tab_higiene[[#This Row],[Item]],super1[Bairro],mercado3)+SUMIFS(supercb[Qtde],supercb[Item],tab_higiene[[#This Row],[Item]],supercb[Bairro],mercado3)</f>
        <v>0</v>
      </c>
      <c r="AN65" s="4">
        <f>SUMIFS(super1[Qtde],super1[Item],tab_higiene[[#This Row],[Item]],super1[Bairro],mercado4)+SUMIFS(supercb[Qtde],supercb[Item],tab_higiene[[#This Row],[Item]],supercb[Bairro],mercado4)</f>
        <v>0</v>
      </c>
      <c r="AO65" s="4">
        <f>SUMIFS(super1[Qtde],super1[Item],tab_higiene[[#This Row],[Item]],super1[Bairro],mercado5)+SUMIFS(supercb[Qtde],supercb[Item],tab_higiene[[#This Row],[Item]],supercb[Bairro],mercado5)</f>
        <v>0</v>
      </c>
      <c r="AP65" s="4">
        <f>SUMIFS(super1[Qtde],super1[Item],tab_higiene[[#This Row],[Item]],super1[Bairro],mercado6)+SUMIFS(supercb[Qtde],supercb[Item],tab_higiene[[#This Row],[Item]],supercb[Bairro],mercado6)</f>
        <v>0</v>
      </c>
      <c r="AQ65" s="4">
        <f>SUMIFS(super1[Qtde],super1[Item],tab_higiene[[#This Row],[Item]],super1[Bairro],mercado7)+SUMIFS(supercb[Qtde],supercb[Item],tab_higiene[[#This Row],[Item]],supercb[Bairro],mercado7)</f>
        <v>0</v>
      </c>
      <c r="AR65" s="4">
        <f>SUMIFS(super1[Qtde],super1[Item],tab_higiene[[#This Row],[Item]],super1[Bairro],mercado8)+SUMIFS(supercb[Qtde],supercb[Item],tab_higiene[[#This Row],[Item]],supercb[Bairro],mercado8)</f>
        <v>0</v>
      </c>
      <c r="AS65" s="4">
        <f>SUMIFS(super1[Qtde],super1[Item],tab_higiene[[#This Row],[Item]],super1[Bairro],mercado9)+SUMIFS(supercb[Qtde],supercb[Item],tab_higiene[[#This Row],[Item]],supercb[Bairro],mercado9)</f>
        <v>0</v>
      </c>
      <c r="AT65" s="4">
        <f>SUMIFS(super1[Qtde],super1[Item],tab_higiene[[#This Row],[Item]],super1[Bairro],mercado10)+SUMIFS(supercb[Qtde],supercb[Item],tab_higiene[[#This Row],[Item]],supercb[Bairro],mercado10)</f>
        <v>0</v>
      </c>
      <c r="AU65" s="4">
        <f>SUMIFS(super1[Qtde],super1[Item],tab_higiene[[#This Row],[Item]],super1[Bairro],mercado11)+SUMIFS(supercb[Qtde],supercb[Item],tab_higiene[[#This Row],[Item]],supercb[Bairro],mercado11)</f>
        <v>0</v>
      </c>
      <c r="AV65" s="4">
        <f>SUMIFS(super1[Qtde],super1[Item],tab_higiene[[#This Row],[Item]],super1[Bairro],mercado12)+SUMIFS(supercb[Qtde],supercb[Item],tab_higiene[[#This Row],[Item]],supercb[Bairro],mercado12)</f>
        <v>0</v>
      </c>
      <c r="AW65" s="4">
        <f>SUMIFS(super1[Qtde],super1[Item],tab_higiene[[#This Row],[Item]],super1[Bairro],mercado13)+SUMIFS(supercb[Qtde],supercb[Item],tab_higiene[[#This Row],[Item]],supercb[Bairro],mercado13)</f>
        <v>0</v>
      </c>
      <c r="AX65" s="4">
        <f>SUMIFS(super1[Qtde],super1[Item],tab_higiene[[#This Row],[Item]],super1[Bairro],mercado14)+SUMIFS(supercb[Qtde],supercb[Item],tab_higiene[[#This Row],[Item]],supercb[Bairro],mercado14)</f>
        <v>0</v>
      </c>
      <c r="AY65" s="4">
        <f>SUMIFS(super1[Qtde],super1[Item],tab_higiene[[#This Row],[Item]],super1[Bairro],mercado15)+SUMIFS(supercb[Qtde],supercb[Item],tab_higiene[[#This Row],[Item]],supercb[Bairro],mercado15)</f>
        <v>0</v>
      </c>
      <c r="AZ65" s="4">
        <f>SUMIFS(super1[Qtde],super1[Item],tab_higiene[[#This Row],[Item]],super1[Bairro],mercado16)+SUMIFS(supercb[Qtde],supercb[Item],tab_higiene[[#This Row],[Item]],supercb[Bairro],mercado16)</f>
        <v>0</v>
      </c>
      <c r="BA65" s="4">
        <f>SUMIFS(super1[Qtde],super1[Item],tab_higiene[[#This Row],[Item]],super1[Bairro],mercado17)+SUMIFS(supercb[Qtde],supercb[Item],tab_higiene[[#This Row],[Item]],supercb[Bairro],mercado17)</f>
        <v>0</v>
      </c>
      <c r="BB65" s="4">
        <f>SUMIFS(super1[Qtde],super1[Item],tab_higiene[[#This Row],[Item]],super1[Bairro],mercado18)+SUMIFS(supercb[Qtde],supercb[Item],tab_higiene[[#This Row],[Item]],supercb[Bairro],mercado18)</f>
        <v>0</v>
      </c>
      <c r="BC65" s="4">
        <f>SUMIFS(super1[Qtde],super1[Item],tab_higiene[[#This Row],[Item]],super1[Bairro],extras)+SUMIFS(supercb[Qtde],supercb[Item],tab_higiene[[#This Row],[Item]],supercb[Bairro],extras)</f>
        <v>0</v>
      </c>
      <c r="BD65" s="4">
        <f t="shared" si="21"/>
        <v>0</v>
      </c>
      <c r="BE65" s="4">
        <f t="shared" si="22"/>
        <v>0</v>
      </c>
      <c r="BF65" s="6">
        <f t="shared" si="23"/>
        <v>0</v>
      </c>
      <c r="BI65" s="1" t="str">
        <f>tab_alimentos[[#This Row],[Item]]</f>
        <v>Barra de Cereal (1un)</v>
      </c>
      <c r="BJ65" s="1">
        <f t="shared" si="6"/>
        <v>16</v>
      </c>
      <c r="BK65" s="1" t="str">
        <f t="shared" si="7"/>
        <v>Barra de Cereal</v>
      </c>
      <c r="BL65" s="1">
        <f>tab_alimentos[[#This Row],[kg]]</f>
        <v>0</v>
      </c>
      <c r="BM65" s="25" t="s">
        <v>15</v>
      </c>
      <c r="BN65" s="1">
        <f t="shared" si="11"/>
        <v>0</v>
      </c>
      <c r="BP65" s="1" t="str">
        <f>tab_higiene[[#This Row],[Item]]</f>
        <v>Desodorante Rollon</v>
      </c>
      <c r="BQ65" s="1">
        <f t="shared" si="8"/>
        <v>0</v>
      </c>
      <c r="BR65" s="1" t="str">
        <f t="shared" si="9"/>
        <v>Desodorante Rollon</v>
      </c>
      <c r="BS65" s="1">
        <f>higiene[[#This Row],[Quantidade]]</f>
        <v>0.05</v>
      </c>
      <c r="BT65" s="1">
        <f>tab_higiene[[#This Row],[Qtde (tot)]]</f>
        <v>0</v>
      </c>
      <c r="BU65" s="1">
        <f t="shared" si="12"/>
        <v>0</v>
      </c>
      <c r="BV65" s="25" t="s">
        <v>285</v>
      </c>
      <c r="BW65" s="1">
        <f t="shared" si="24"/>
        <v>0</v>
      </c>
    </row>
    <row r="66" spans="9:75" x14ac:dyDescent="0.25">
      <c r="I66" s="19" t="str">
        <f>alimentos[[#This Row],[Item]]</f>
        <v>Barra de Cereal (4un)</v>
      </c>
      <c r="J66" s="4">
        <f>IFERROR(alimentos[[#This Row],[kg/embalagem]],0)</f>
        <v>0.08</v>
      </c>
      <c r="K66" s="4">
        <f>IFERROR(alimentos[[#This Row],[Preço]],0)</f>
        <v>5.19</v>
      </c>
      <c r="L66" s="4">
        <f>SUMIFS(super1[Qtde],super1[Item],tab_alimentos[[#This Row],[Item]],super1[Bairro],mercado1)+SUMIFS(supercb[Qtde],supercb[Item],tab_alimentos[[#This Row],[Item]],supercb[Bairro],mercado1)</f>
        <v>0</v>
      </c>
      <c r="M66" s="4">
        <f>SUMIFS(super1[Qtde],super1[Item],tab_alimentos[[#This Row],[Item]],super1[Bairro],mercado2)+SUMIFS(supercb[Qtde],supercb[Item],tab_alimentos[[#This Row],[Item]],supercb[Bairro],mercado2)</f>
        <v>0</v>
      </c>
      <c r="N66" s="4">
        <f>SUMIFS(super1[Qtde],super1[Item],tab_alimentos[[#This Row],[Item]],super1[Bairro],mercado3)+SUMIFS(supercb[Qtde],supercb[Item],tab_alimentos[[#This Row],[Item]],supercb[Bairro],mercado3)</f>
        <v>0</v>
      </c>
      <c r="O66" s="4">
        <f>SUMIFS(super1[Qtde],super1[Item],tab_alimentos[[#This Row],[Item]],super1[Bairro],mercado4)+SUMIFS(supercb[Qtde],supercb[Item],tab_alimentos[[#This Row],[Item]],supercb[Bairro],mercado4)</f>
        <v>0</v>
      </c>
      <c r="P66" s="4">
        <f>SUMIFS(super1[Qtde],super1[Item],tab_alimentos[[#This Row],[Item]],super1[Bairro],mercado5)+SUMIFS(supercb[Qtde],supercb[Item],tab_alimentos[[#This Row],[Item]],supercb[Bairro],mercado5)</f>
        <v>0</v>
      </c>
      <c r="Q66" s="4">
        <f>SUMIFS(super1[Qtde],super1[Item],tab_alimentos[[#This Row],[Item]],super1[Bairro],mercado6)+SUMIFS(supercb[Qtde],supercb[Item],tab_alimentos[[#This Row],[Item]],supercb[Bairro],mercado6)</f>
        <v>0</v>
      </c>
      <c r="R66" s="4">
        <f>SUMIFS(super1[Qtde],super1[Item],tab_alimentos[[#This Row],[Item]],super1[Bairro],mercado7)+SUMIFS(supercb[Qtde],supercb[Item],tab_alimentos[[#This Row],[Item]],supercb[Bairro],mercado7)</f>
        <v>0</v>
      </c>
      <c r="S66" s="4">
        <f>SUMIFS(super1[Qtde],super1[Item],tab_alimentos[[#This Row],[Item]],super1[Bairro],mercado8)+SUMIFS(supercb[Qtde],supercb[Item],tab_alimentos[[#This Row],[Item]],supercb[Bairro],mercado8)</f>
        <v>0</v>
      </c>
      <c r="T66" s="4">
        <f>SUMIFS(super1[Qtde],super1[Item],tab_alimentos[[#This Row],[Item]],super1[Bairro],mercado9)+SUMIFS(supercb[Qtde],supercb[Item],tab_alimentos[[#This Row],[Item]],supercb[Bairro],mercado9)</f>
        <v>0</v>
      </c>
      <c r="U66" s="4">
        <f>SUMIFS(super1[Qtde],super1[Item],tab_alimentos[[#This Row],[Item]],super1[Bairro],mercado10)+SUMIFS(supercb[Qtde],supercb[Item],tab_alimentos[[#This Row],[Item]],supercb[Bairro],mercado10)</f>
        <v>0</v>
      </c>
      <c r="V66" s="4">
        <f>SUMIFS(super1[Qtde],super1[Item],tab_alimentos[[#This Row],[Item]],super1[Bairro],mercado11)+SUMIFS(supercb[Qtde],supercb[Item],tab_alimentos[[#This Row],[Item]],supercb[Bairro],mercado11)</f>
        <v>0</v>
      </c>
      <c r="W66" s="4">
        <f>SUMIFS(super1[Qtde],super1[Item],tab_alimentos[[#This Row],[Item]],super1[Bairro],mercado12)+SUMIFS(supercb[Qtde],supercb[Item],tab_alimentos[[#This Row],[Item]],supercb[Bairro],mercado12)</f>
        <v>0</v>
      </c>
      <c r="X66" s="4">
        <f>SUMIFS(super1[Qtde],super1[Item],tab_alimentos[[#This Row],[Item]],super1[Bairro],mercado13)+SUMIFS(supercb[Qtde],supercb[Item],tab_alimentos[[#This Row],[Item]],supercb[Bairro],mercado13)</f>
        <v>0</v>
      </c>
      <c r="Y66" s="4">
        <f>SUMIFS(super1[Qtde],super1[Item],tab_alimentos[[#This Row],[Item]],super1[Bairro],mercado14)+SUMIFS(supercb[Qtde],supercb[Item],tab_alimentos[[#This Row],[Item]],supercb[Bairro],mercado14)</f>
        <v>0</v>
      </c>
      <c r="Z66" s="4">
        <f>SUMIFS(super1[Qtde],super1[Item],tab_alimentos[[#This Row],[Item]],super1[Bairro],mercado15)+SUMIFS(supercb[Qtde],supercb[Item],tab_alimentos[[#This Row],[Item]],supercb[Bairro],mercado15)</f>
        <v>0</v>
      </c>
      <c r="AA66" s="4">
        <f>SUMIFS(super1[Qtde],super1[Item],tab_alimentos[[#This Row],[Item]],super1[Bairro],mercado16)+SUMIFS(supercb[Qtde],supercb[Item],tab_alimentos[[#This Row],[Item]],supercb[Bairro],mercado16)</f>
        <v>0</v>
      </c>
      <c r="AB66" s="4">
        <f>SUMIFS(super1[Qtde],super1[Item],tab_alimentos[[#This Row],[Item]],super1[Bairro],mercado17)+SUMIFS(supercb[Qtde],supercb[Item],tab_alimentos[[#This Row],[Item]],supercb[Bairro],mercado17)</f>
        <v>0</v>
      </c>
      <c r="AC66" s="4">
        <f>SUMIFS(super1[Qtde],super1[Item],tab_alimentos[[#This Row],[Item]],super1[Bairro],mercado18)+SUMIFS(supercb[Qtde],supercb[Item],tab_alimentos[[#This Row],[Item]],supercb[Bairro],mercado18)</f>
        <v>0</v>
      </c>
      <c r="AD66" s="4">
        <f>SUMIFS(super1[Qtde],super1[Item],tab_alimentos[[#This Row],[Item]],super1[Bairro],extras)+SUMIFS(supercb[Qtde],supercb[Item],tab_alimentos[[#This Row],[Item]],supercb[Bairro],extras)</f>
        <v>0</v>
      </c>
      <c r="AE66" s="4">
        <f t="shared" si="18"/>
        <v>0</v>
      </c>
      <c r="AF66" s="4">
        <f t="shared" si="19"/>
        <v>0</v>
      </c>
      <c r="AG66" s="6">
        <f t="shared" si="20"/>
        <v>0</v>
      </c>
      <c r="AH66" s="19" t="str">
        <f>higiene[[#This Row],[Item]]</f>
        <v>Desodorante Spray</v>
      </c>
      <c r="AI66" s="4">
        <f>IFERROR(higiene[[#This Row],[Kg equivalente]],0)</f>
        <v>0</v>
      </c>
      <c r="AJ66" s="4">
        <f>IFERROR(higiene[[#This Row],[Preço por produto]],0)</f>
        <v>5.69</v>
      </c>
      <c r="AK66" s="4">
        <f>SUMIFS(super1[Qtde],super1[Item],tab_higiene[[#This Row],[Item]],super1[Bairro],mercado1)+SUMIFS(supercb[Qtde],supercb[Item],tab_higiene[[#This Row],[Item]],supercb[Bairro],mercado1)</f>
        <v>0</v>
      </c>
      <c r="AL66" s="4">
        <f>SUMIFS(super1[Qtde],super1[Item],tab_higiene[[#This Row],[Item]],super1[Bairro],mercado2)+SUMIFS(supercb[Qtde],supercb[Item],tab_higiene[[#This Row],[Item]],supercb[Bairro],mercado2)</f>
        <v>0</v>
      </c>
      <c r="AM66" s="4">
        <f>SUMIFS(super1[Qtde],super1[Item],tab_higiene[[#This Row],[Item]],super1[Bairro],mercado3)+SUMIFS(supercb[Qtde],supercb[Item],tab_higiene[[#This Row],[Item]],supercb[Bairro],mercado3)</f>
        <v>0</v>
      </c>
      <c r="AN66" s="4">
        <f>SUMIFS(super1[Qtde],super1[Item],tab_higiene[[#This Row],[Item]],super1[Bairro],mercado4)+SUMIFS(supercb[Qtde],supercb[Item],tab_higiene[[#This Row],[Item]],supercb[Bairro],mercado4)</f>
        <v>0</v>
      </c>
      <c r="AO66" s="4">
        <f>SUMIFS(super1[Qtde],super1[Item],tab_higiene[[#This Row],[Item]],super1[Bairro],mercado5)+SUMIFS(supercb[Qtde],supercb[Item],tab_higiene[[#This Row],[Item]],supercb[Bairro],mercado5)</f>
        <v>0</v>
      </c>
      <c r="AP66" s="4">
        <f>SUMIFS(super1[Qtde],super1[Item],tab_higiene[[#This Row],[Item]],super1[Bairro],mercado6)+SUMIFS(supercb[Qtde],supercb[Item],tab_higiene[[#This Row],[Item]],supercb[Bairro],mercado6)</f>
        <v>0</v>
      </c>
      <c r="AQ66" s="4">
        <f>SUMIFS(super1[Qtde],super1[Item],tab_higiene[[#This Row],[Item]],super1[Bairro],mercado7)+SUMIFS(supercb[Qtde],supercb[Item],tab_higiene[[#This Row],[Item]],supercb[Bairro],mercado7)</f>
        <v>0</v>
      </c>
      <c r="AR66" s="4">
        <f>SUMIFS(super1[Qtde],super1[Item],tab_higiene[[#This Row],[Item]],super1[Bairro],mercado8)+SUMIFS(supercb[Qtde],supercb[Item],tab_higiene[[#This Row],[Item]],supercb[Bairro],mercado8)</f>
        <v>0</v>
      </c>
      <c r="AS66" s="4">
        <f>SUMIFS(super1[Qtde],super1[Item],tab_higiene[[#This Row],[Item]],super1[Bairro],mercado9)+SUMIFS(supercb[Qtde],supercb[Item],tab_higiene[[#This Row],[Item]],supercb[Bairro],mercado9)</f>
        <v>0</v>
      </c>
      <c r="AT66" s="4">
        <f>SUMIFS(super1[Qtde],super1[Item],tab_higiene[[#This Row],[Item]],super1[Bairro],mercado10)+SUMIFS(supercb[Qtde],supercb[Item],tab_higiene[[#This Row],[Item]],supercb[Bairro],mercado10)</f>
        <v>0</v>
      </c>
      <c r="AU66" s="4">
        <f>SUMIFS(super1[Qtde],super1[Item],tab_higiene[[#This Row],[Item]],super1[Bairro],mercado11)+SUMIFS(supercb[Qtde],supercb[Item],tab_higiene[[#This Row],[Item]],supercb[Bairro],mercado11)</f>
        <v>0</v>
      </c>
      <c r="AV66" s="4">
        <f>SUMIFS(super1[Qtde],super1[Item],tab_higiene[[#This Row],[Item]],super1[Bairro],mercado12)+SUMIFS(supercb[Qtde],supercb[Item],tab_higiene[[#This Row],[Item]],supercb[Bairro],mercado12)</f>
        <v>0</v>
      </c>
      <c r="AW66" s="4">
        <f>SUMIFS(super1[Qtde],super1[Item],tab_higiene[[#This Row],[Item]],super1[Bairro],mercado13)+SUMIFS(supercb[Qtde],supercb[Item],tab_higiene[[#This Row],[Item]],supercb[Bairro],mercado13)</f>
        <v>0</v>
      </c>
      <c r="AX66" s="4">
        <f>SUMIFS(super1[Qtde],super1[Item],tab_higiene[[#This Row],[Item]],super1[Bairro],mercado14)+SUMIFS(supercb[Qtde],supercb[Item],tab_higiene[[#This Row],[Item]],supercb[Bairro],mercado14)</f>
        <v>0</v>
      </c>
      <c r="AY66" s="4">
        <f>SUMIFS(super1[Qtde],super1[Item],tab_higiene[[#This Row],[Item]],super1[Bairro],mercado15)+SUMIFS(supercb[Qtde],supercb[Item],tab_higiene[[#This Row],[Item]],supercb[Bairro],mercado15)</f>
        <v>0</v>
      </c>
      <c r="AZ66" s="4">
        <f>SUMIFS(super1[Qtde],super1[Item],tab_higiene[[#This Row],[Item]],super1[Bairro],mercado16)+SUMIFS(supercb[Qtde],supercb[Item],tab_higiene[[#This Row],[Item]],supercb[Bairro],mercado16)</f>
        <v>0</v>
      </c>
      <c r="BA66" s="4">
        <f>SUMIFS(super1[Qtde],super1[Item],tab_higiene[[#This Row],[Item]],super1[Bairro],mercado17)+SUMIFS(supercb[Qtde],supercb[Item],tab_higiene[[#This Row],[Item]],supercb[Bairro],mercado17)</f>
        <v>0</v>
      </c>
      <c r="BB66" s="4">
        <f>SUMIFS(super1[Qtde],super1[Item],tab_higiene[[#This Row],[Item]],super1[Bairro],mercado18)+SUMIFS(supercb[Qtde],supercb[Item],tab_higiene[[#This Row],[Item]],supercb[Bairro],mercado18)</f>
        <v>0</v>
      </c>
      <c r="BC66" s="4">
        <f>SUMIFS(super1[Qtde],super1[Item],tab_higiene[[#This Row],[Item]],super1[Bairro],extras)+SUMIFS(supercb[Qtde],supercb[Item],tab_higiene[[#This Row],[Item]],supercb[Bairro],extras)</f>
        <v>0</v>
      </c>
      <c r="BD66" s="4">
        <f t="shared" si="21"/>
        <v>0</v>
      </c>
      <c r="BE66" s="4">
        <f t="shared" si="22"/>
        <v>0</v>
      </c>
      <c r="BF66" s="6">
        <f t="shared" si="23"/>
        <v>0</v>
      </c>
      <c r="BI66" s="1" t="str">
        <f>tab_alimentos[[#This Row],[Item]]</f>
        <v>Barra de Cereal (4un)</v>
      </c>
      <c r="BJ66" s="1">
        <f t="shared" si="6"/>
        <v>16</v>
      </c>
      <c r="BK66" s="1" t="str">
        <f t="shared" si="7"/>
        <v>Barra de Cereal</v>
      </c>
      <c r="BL66" s="1">
        <f>tab_alimentos[[#This Row],[kg]]</f>
        <v>0</v>
      </c>
      <c r="BM66" s="25" t="s">
        <v>70</v>
      </c>
      <c r="BN66" s="1">
        <f t="shared" si="11"/>
        <v>0</v>
      </c>
      <c r="BP66" s="1" t="str">
        <f>tab_higiene[[#This Row],[Item]]</f>
        <v>Desodorante Spray</v>
      </c>
      <c r="BQ66" s="1">
        <f t="shared" si="8"/>
        <v>0</v>
      </c>
      <c r="BR66" s="1" t="str">
        <f t="shared" si="9"/>
        <v>Desodorante Spray</v>
      </c>
      <c r="BS66" s="1">
        <f>higiene[[#This Row],[Quantidade]]</f>
        <v>0</v>
      </c>
      <c r="BT66" s="1">
        <f>tab_higiene[[#This Row],[Qtde (tot)]]</f>
        <v>0</v>
      </c>
      <c r="BU66" s="1">
        <f t="shared" si="12"/>
        <v>0</v>
      </c>
      <c r="BV66" s="25" t="s">
        <v>75</v>
      </c>
      <c r="BW66" s="1">
        <f t="shared" si="24"/>
        <v>0</v>
      </c>
    </row>
    <row r="67" spans="9:75" x14ac:dyDescent="0.25">
      <c r="I67" s="19" t="str">
        <f>alimentos[[#This Row],[Item]]</f>
        <v>Base para Sorvete (80g)</v>
      </c>
      <c r="J67" s="4">
        <f>IFERROR(alimentos[[#This Row],[kg/embalagem]],0)</f>
        <v>0.08</v>
      </c>
      <c r="K67" s="4">
        <f>IFERROR(alimentos[[#This Row],[Preço]],0)</f>
        <v>8.18</v>
      </c>
      <c r="L67" s="4">
        <f>SUMIFS(super1[Qtde],super1[Item],tab_alimentos[[#This Row],[Item]],super1[Bairro],mercado1)+SUMIFS(supercb[Qtde],supercb[Item],tab_alimentos[[#This Row],[Item]],supercb[Bairro],mercado1)</f>
        <v>0</v>
      </c>
      <c r="M67" s="4">
        <f>SUMIFS(super1[Qtde],super1[Item],tab_alimentos[[#This Row],[Item]],super1[Bairro],mercado2)+SUMIFS(supercb[Qtde],supercb[Item],tab_alimentos[[#This Row],[Item]],supercb[Bairro],mercado2)</f>
        <v>0</v>
      </c>
      <c r="N67" s="4">
        <f>SUMIFS(super1[Qtde],super1[Item],tab_alimentos[[#This Row],[Item]],super1[Bairro],mercado3)+SUMIFS(supercb[Qtde],supercb[Item],tab_alimentos[[#This Row],[Item]],supercb[Bairro],mercado3)</f>
        <v>0</v>
      </c>
      <c r="O67" s="4">
        <f>SUMIFS(super1[Qtde],super1[Item],tab_alimentos[[#This Row],[Item]],super1[Bairro],mercado4)+SUMIFS(supercb[Qtde],supercb[Item],tab_alimentos[[#This Row],[Item]],supercb[Bairro],mercado4)</f>
        <v>0</v>
      </c>
      <c r="P67" s="4">
        <f>SUMIFS(super1[Qtde],super1[Item],tab_alimentos[[#This Row],[Item]],super1[Bairro],mercado5)+SUMIFS(supercb[Qtde],supercb[Item],tab_alimentos[[#This Row],[Item]],supercb[Bairro],mercado5)</f>
        <v>0</v>
      </c>
      <c r="Q67" s="4">
        <f>SUMIFS(super1[Qtde],super1[Item],tab_alimentos[[#This Row],[Item]],super1[Bairro],mercado6)+SUMIFS(supercb[Qtde],supercb[Item],tab_alimentos[[#This Row],[Item]],supercb[Bairro],mercado6)</f>
        <v>0</v>
      </c>
      <c r="R67" s="4">
        <f>SUMIFS(super1[Qtde],super1[Item],tab_alimentos[[#This Row],[Item]],super1[Bairro],mercado7)+SUMIFS(supercb[Qtde],supercb[Item],tab_alimentos[[#This Row],[Item]],supercb[Bairro],mercado7)</f>
        <v>0</v>
      </c>
      <c r="S67" s="4">
        <f>SUMIFS(super1[Qtde],super1[Item],tab_alimentos[[#This Row],[Item]],super1[Bairro],mercado8)+SUMIFS(supercb[Qtde],supercb[Item],tab_alimentos[[#This Row],[Item]],supercb[Bairro],mercado8)</f>
        <v>0</v>
      </c>
      <c r="T67" s="4">
        <f>SUMIFS(super1[Qtde],super1[Item],tab_alimentos[[#This Row],[Item]],super1[Bairro],mercado9)+SUMIFS(supercb[Qtde],supercb[Item],tab_alimentos[[#This Row],[Item]],supercb[Bairro],mercado9)</f>
        <v>0</v>
      </c>
      <c r="U67" s="4">
        <f>SUMIFS(super1[Qtde],super1[Item],tab_alimentos[[#This Row],[Item]],super1[Bairro],mercado10)+SUMIFS(supercb[Qtde],supercb[Item],tab_alimentos[[#This Row],[Item]],supercb[Bairro],mercado10)</f>
        <v>0</v>
      </c>
      <c r="V67" s="4">
        <f>SUMIFS(super1[Qtde],super1[Item],tab_alimentos[[#This Row],[Item]],super1[Bairro],mercado11)+SUMIFS(supercb[Qtde],supercb[Item],tab_alimentos[[#This Row],[Item]],supercb[Bairro],mercado11)</f>
        <v>0</v>
      </c>
      <c r="W67" s="4">
        <f>SUMIFS(super1[Qtde],super1[Item],tab_alimentos[[#This Row],[Item]],super1[Bairro],mercado12)+SUMIFS(supercb[Qtde],supercb[Item],tab_alimentos[[#This Row],[Item]],supercb[Bairro],mercado12)</f>
        <v>0</v>
      </c>
      <c r="X67" s="4">
        <f>SUMIFS(super1[Qtde],super1[Item],tab_alimentos[[#This Row],[Item]],super1[Bairro],mercado13)+SUMIFS(supercb[Qtde],supercb[Item],tab_alimentos[[#This Row],[Item]],supercb[Bairro],mercado13)</f>
        <v>0</v>
      </c>
      <c r="Y67" s="4">
        <f>SUMIFS(super1[Qtde],super1[Item],tab_alimentos[[#This Row],[Item]],super1[Bairro],mercado14)+SUMIFS(supercb[Qtde],supercb[Item],tab_alimentos[[#This Row],[Item]],supercb[Bairro],mercado14)</f>
        <v>0</v>
      </c>
      <c r="Z67" s="4">
        <f>SUMIFS(super1[Qtde],super1[Item],tab_alimentos[[#This Row],[Item]],super1[Bairro],mercado15)+SUMIFS(supercb[Qtde],supercb[Item],tab_alimentos[[#This Row],[Item]],supercb[Bairro],mercado15)</f>
        <v>0</v>
      </c>
      <c r="AA67" s="4">
        <f>SUMIFS(super1[Qtde],super1[Item],tab_alimentos[[#This Row],[Item]],super1[Bairro],mercado16)+SUMIFS(supercb[Qtde],supercb[Item],tab_alimentos[[#This Row],[Item]],supercb[Bairro],mercado16)</f>
        <v>0</v>
      </c>
      <c r="AB67" s="4">
        <f>SUMIFS(super1[Qtde],super1[Item],tab_alimentos[[#This Row],[Item]],super1[Bairro],mercado17)+SUMIFS(supercb[Qtde],supercb[Item],tab_alimentos[[#This Row],[Item]],supercb[Bairro],mercado17)</f>
        <v>0</v>
      </c>
      <c r="AC67" s="4">
        <f>SUMIFS(super1[Qtde],super1[Item],tab_alimentos[[#This Row],[Item]],super1[Bairro],mercado18)+SUMIFS(supercb[Qtde],supercb[Item],tab_alimentos[[#This Row],[Item]],supercb[Bairro],mercado18)</f>
        <v>0</v>
      </c>
      <c r="AD67" s="4">
        <f>SUMIFS(super1[Qtde],super1[Item],tab_alimentos[[#This Row],[Item]],super1[Bairro],extras)+SUMIFS(supercb[Qtde],supercb[Item],tab_alimentos[[#This Row],[Item]],supercb[Bairro],extras)</f>
        <v>0</v>
      </c>
      <c r="AE67" s="4">
        <f t="shared" si="18"/>
        <v>0</v>
      </c>
      <c r="AF67" s="4">
        <f t="shared" si="19"/>
        <v>0</v>
      </c>
      <c r="AG67" s="6">
        <f t="shared" si="20"/>
        <v>0</v>
      </c>
      <c r="AH67" s="19" t="str">
        <f>higiene[[#This Row],[Item]]</f>
        <v>Desodorante Spray (02un)</v>
      </c>
      <c r="AI67" s="4">
        <f>IFERROR(higiene[[#This Row],[Kg equivalente]],0)</f>
        <v>0</v>
      </c>
      <c r="AJ67" s="4">
        <f>IFERROR(higiene[[#This Row],[Preço por produto]],0)</f>
        <v>28.76</v>
      </c>
      <c r="AK67" s="4">
        <f>SUMIFS(super1[Qtde],super1[Item],tab_higiene[[#This Row],[Item]],super1[Bairro],mercado1)+SUMIFS(supercb[Qtde],supercb[Item],tab_higiene[[#This Row],[Item]],supercb[Bairro],mercado1)</f>
        <v>0</v>
      </c>
      <c r="AL67" s="4">
        <f>SUMIFS(super1[Qtde],super1[Item],tab_higiene[[#This Row],[Item]],super1[Bairro],mercado2)+SUMIFS(supercb[Qtde],supercb[Item],tab_higiene[[#This Row],[Item]],supercb[Bairro],mercado2)</f>
        <v>0</v>
      </c>
      <c r="AM67" s="4">
        <f>SUMIFS(super1[Qtde],super1[Item],tab_higiene[[#This Row],[Item]],super1[Bairro],mercado3)+SUMIFS(supercb[Qtde],supercb[Item],tab_higiene[[#This Row],[Item]],supercb[Bairro],mercado3)</f>
        <v>0</v>
      </c>
      <c r="AN67" s="4">
        <f>SUMIFS(super1[Qtde],super1[Item],tab_higiene[[#This Row],[Item]],super1[Bairro],mercado4)+SUMIFS(supercb[Qtde],supercb[Item],tab_higiene[[#This Row],[Item]],supercb[Bairro],mercado4)</f>
        <v>0</v>
      </c>
      <c r="AO67" s="4">
        <f>SUMIFS(super1[Qtde],super1[Item],tab_higiene[[#This Row],[Item]],super1[Bairro],mercado5)+SUMIFS(supercb[Qtde],supercb[Item],tab_higiene[[#This Row],[Item]],supercb[Bairro],mercado5)</f>
        <v>0</v>
      </c>
      <c r="AP67" s="4">
        <f>SUMIFS(super1[Qtde],super1[Item],tab_higiene[[#This Row],[Item]],super1[Bairro],mercado6)+SUMIFS(supercb[Qtde],supercb[Item],tab_higiene[[#This Row],[Item]],supercb[Bairro],mercado6)</f>
        <v>0</v>
      </c>
      <c r="AQ67" s="4">
        <f>SUMIFS(super1[Qtde],super1[Item],tab_higiene[[#This Row],[Item]],super1[Bairro],mercado7)+SUMIFS(supercb[Qtde],supercb[Item],tab_higiene[[#This Row],[Item]],supercb[Bairro],mercado7)</f>
        <v>0</v>
      </c>
      <c r="AR67" s="4">
        <f>SUMIFS(super1[Qtde],super1[Item],tab_higiene[[#This Row],[Item]],super1[Bairro],mercado8)+SUMIFS(supercb[Qtde],supercb[Item],tab_higiene[[#This Row],[Item]],supercb[Bairro],mercado8)</f>
        <v>0</v>
      </c>
      <c r="AS67" s="4">
        <f>SUMIFS(super1[Qtde],super1[Item],tab_higiene[[#This Row],[Item]],super1[Bairro],mercado9)+SUMIFS(supercb[Qtde],supercb[Item],tab_higiene[[#This Row],[Item]],supercb[Bairro],mercado9)</f>
        <v>0</v>
      </c>
      <c r="AT67" s="4">
        <f>SUMIFS(super1[Qtde],super1[Item],tab_higiene[[#This Row],[Item]],super1[Bairro],mercado10)+SUMIFS(supercb[Qtde],supercb[Item],tab_higiene[[#This Row],[Item]],supercb[Bairro],mercado10)</f>
        <v>0</v>
      </c>
      <c r="AU67" s="4">
        <f>SUMIFS(super1[Qtde],super1[Item],tab_higiene[[#This Row],[Item]],super1[Bairro],mercado11)+SUMIFS(supercb[Qtde],supercb[Item],tab_higiene[[#This Row],[Item]],supercb[Bairro],mercado11)</f>
        <v>0</v>
      </c>
      <c r="AV67" s="4">
        <f>SUMIFS(super1[Qtde],super1[Item],tab_higiene[[#This Row],[Item]],super1[Bairro],mercado12)+SUMIFS(supercb[Qtde],supercb[Item],tab_higiene[[#This Row],[Item]],supercb[Bairro],mercado12)</f>
        <v>0</v>
      </c>
      <c r="AW67" s="4">
        <f>SUMIFS(super1[Qtde],super1[Item],tab_higiene[[#This Row],[Item]],super1[Bairro],mercado13)+SUMIFS(supercb[Qtde],supercb[Item],tab_higiene[[#This Row],[Item]],supercb[Bairro],mercado13)</f>
        <v>0</v>
      </c>
      <c r="AX67" s="4">
        <f>SUMIFS(super1[Qtde],super1[Item],tab_higiene[[#This Row],[Item]],super1[Bairro],mercado14)+SUMIFS(supercb[Qtde],supercb[Item],tab_higiene[[#This Row],[Item]],supercb[Bairro],mercado14)</f>
        <v>0</v>
      </c>
      <c r="AY67" s="4">
        <f>SUMIFS(super1[Qtde],super1[Item],tab_higiene[[#This Row],[Item]],super1[Bairro],mercado15)+SUMIFS(supercb[Qtde],supercb[Item],tab_higiene[[#This Row],[Item]],supercb[Bairro],mercado15)</f>
        <v>0</v>
      </c>
      <c r="AZ67" s="4">
        <f>SUMIFS(super1[Qtde],super1[Item],tab_higiene[[#This Row],[Item]],super1[Bairro],mercado16)+SUMIFS(supercb[Qtde],supercb[Item],tab_higiene[[#This Row],[Item]],supercb[Bairro],mercado16)</f>
        <v>0</v>
      </c>
      <c r="BA67" s="4">
        <f>SUMIFS(super1[Qtde],super1[Item],tab_higiene[[#This Row],[Item]],super1[Bairro],mercado17)+SUMIFS(supercb[Qtde],supercb[Item],tab_higiene[[#This Row],[Item]],supercb[Bairro],mercado17)</f>
        <v>0</v>
      </c>
      <c r="BB67" s="4">
        <f>SUMIFS(super1[Qtde],super1[Item],tab_higiene[[#This Row],[Item]],super1[Bairro],mercado18)+SUMIFS(supercb[Qtde],supercb[Item],tab_higiene[[#This Row],[Item]],supercb[Bairro],mercado18)</f>
        <v>0</v>
      </c>
      <c r="BC67" s="4">
        <f>SUMIFS(super1[Qtde],super1[Item],tab_higiene[[#This Row],[Item]],super1[Bairro],extras)+SUMIFS(supercb[Qtde],supercb[Item],tab_higiene[[#This Row],[Item]],supercb[Bairro],extras)</f>
        <v>0</v>
      </c>
      <c r="BD67" s="4">
        <f t="shared" si="21"/>
        <v>0</v>
      </c>
      <c r="BE67" s="4">
        <f t="shared" si="22"/>
        <v>0</v>
      </c>
      <c r="BF67" s="6">
        <f t="shared" si="23"/>
        <v>0</v>
      </c>
      <c r="BI67" s="1" t="str">
        <f>tab_alimentos[[#This Row],[Item]]</f>
        <v>Base para Sorvete (80g)</v>
      </c>
      <c r="BJ67" s="1">
        <f t="shared" si="6"/>
        <v>18</v>
      </c>
      <c r="BK67" s="1" t="str">
        <f t="shared" si="7"/>
        <v>Base para Sorvete</v>
      </c>
      <c r="BL67" s="1">
        <f>tab_alimentos[[#This Row],[kg]]</f>
        <v>0</v>
      </c>
      <c r="BM67" s="25" t="s">
        <v>120</v>
      </c>
      <c r="BN67" s="1">
        <f t="shared" si="11"/>
        <v>0</v>
      </c>
      <c r="BP67" s="1" t="str">
        <f>tab_higiene[[#This Row],[Item]]</f>
        <v>Desodorante Spray (02un)</v>
      </c>
      <c r="BQ67" s="1">
        <f t="shared" si="8"/>
        <v>18</v>
      </c>
      <c r="BR67" s="1" t="str">
        <f t="shared" si="9"/>
        <v>Desodorante Spray</v>
      </c>
      <c r="BS67" s="1">
        <f>higiene[[#This Row],[Quantidade]]</f>
        <v>2</v>
      </c>
      <c r="BT67" s="1">
        <f>tab_higiene[[#This Row],[Qtde (tot)]]</f>
        <v>0</v>
      </c>
      <c r="BU67" s="1">
        <f t="shared" si="12"/>
        <v>0</v>
      </c>
      <c r="BV67" s="25" t="s">
        <v>76</v>
      </c>
      <c r="BW67" s="1">
        <f t="shared" si="24"/>
        <v>0</v>
      </c>
    </row>
    <row r="68" spans="9:75" x14ac:dyDescent="0.25">
      <c r="I68" s="19" t="str">
        <f>alimentos[[#This Row],[Item]]</f>
        <v>Batata Palha (120g)</v>
      </c>
      <c r="J68" s="4">
        <f>IFERROR(alimentos[[#This Row],[kg/embalagem]],0)</f>
        <v>0.12</v>
      </c>
      <c r="K68" s="4">
        <f>IFERROR(alimentos[[#This Row],[Preço]],0)</f>
        <v>8.39</v>
      </c>
      <c r="L68" s="4">
        <f>SUMIFS(super1[Qtde],super1[Item],tab_alimentos[[#This Row],[Item]],super1[Bairro],mercado1)+SUMIFS(supercb[Qtde],supercb[Item],tab_alimentos[[#This Row],[Item]],supercb[Bairro],mercado1)</f>
        <v>0</v>
      </c>
      <c r="M68" s="4">
        <f>SUMIFS(super1[Qtde],super1[Item],tab_alimentos[[#This Row],[Item]],super1[Bairro],mercado2)+SUMIFS(supercb[Qtde],supercb[Item],tab_alimentos[[#This Row],[Item]],supercb[Bairro],mercado2)</f>
        <v>0</v>
      </c>
      <c r="N68" s="4">
        <f>SUMIFS(super1[Qtde],super1[Item],tab_alimentos[[#This Row],[Item]],super1[Bairro],mercado3)+SUMIFS(supercb[Qtde],supercb[Item],tab_alimentos[[#This Row],[Item]],supercb[Bairro],mercado3)</f>
        <v>0</v>
      </c>
      <c r="O68" s="4">
        <f>SUMIFS(super1[Qtde],super1[Item],tab_alimentos[[#This Row],[Item]],super1[Bairro],mercado4)+SUMIFS(supercb[Qtde],supercb[Item],tab_alimentos[[#This Row],[Item]],supercb[Bairro],mercado4)</f>
        <v>0</v>
      </c>
      <c r="P68" s="4">
        <f>SUMIFS(super1[Qtde],super1[Item],tab_alimentos[[#This Row],[Item]],super1[Bairro],mercado5)+SUMIFS(supercb[Qtde],supercb[Item],tab_alimentos[[#This Row],[Item]],supercb[Bairro],mercado5)</f>
        <v>0</v>
      </c>
      <c r="Q68" s="4">
        <f>SUMIFS(super1[Qtde],super1[Item],tab_alimentos[[#This Row],[Item]],super1[Bairro],mercado6)+SUMIFS(supercb[Qtde],supercb[Item],tab_alimentos[[#This Row],[Item]],supercb[Bairro],mercado6)</f>
        <v>0</v>
      </c>
      <c r="R68" s="4">
        <f>SUMIFS(super1[Qtde],super1[Item],tab_alimentos[[#This Row],[Item]],super1[Bairro],mercado7)+SUMIFS(supercb[Qtde],supercb[Item],tab_alimentos[[#This Row],[Item]],supercb[Bairro],mercado7)</f>
        <v>0</v>
      </c>
      <c r="S68" s="4">
        <f>SUMIFS(super1[Qtde],super1[Item],tab_alimentos[[#This Row],[Item]],super1[Bairro],mercado8)+SUMIFS(supercb[Qtde],supercb[Item],tab_alimentos[[#This Row],[Item]],supercb[Bairro],mercado8)</f>
        <v>0</v>
      </c>
      <c r="T68" s="4">
        <f>SUMIFS(super1[Qtde],super1[Item],tab_alimentos[[#This Row],[Item]],super1[Bairro],mercado9)+SUMIFS(supercb[Qtde],supercb[Item],tab_alimentos[[#This Row],[Item]],supercb[Bairro],mercado9)</f>
        <v>0</v>
      </c>
      <c r="U68" s="4">
        <f>SUMIFS(super1[Qtde],super1[Item],tab_alimentos[[#This Row],[Item]],super1[Bairro],mercado10)+SUMIFS(supercb[Qtde],supercb[Item],tab_alimentos[[#This Row],[Item]],supercb[Bairro],mercado10)</f>
        <v>0</v>
      </c>
      <c r="V68" s="4">
        <f>SUMIFS(super1[Qtde],super1[Item],tab_alimentos[[#This Row],[Item]],super1[Bairro],mercado11)+SUMIFS(supercb[Qtde],supercb[Item],tab_alimentos[[#This Row],[Item]],supercb[Bairro],mercado11)</f>
        <v>0</v>
      </c>
      <c r="W68" s="4">
        <f>SUMIFS(super1[Qtde],super1[Item],tab_alimentos[[#This Row],[Item]],super1[Bairro],mercado12)+SUMIFS(supercb[Qtde],supercb[Item],tab_alimentos[[#This Row],[Item]],supercb[Bairro],mercado12)</f>
        <v>0</v>
      </c>
      <c r="X68" s="4">
        <f>SUMIFS(super1[Qtde],super1[Item],tab_alimentos[[#This Row],[Item]],super1[Bairro],mercado13)+SUMIFS(supercb[Qtde],supercb[Item],tab_alimentos[[#This Row],[Item]],supercb[Bairro],mercado13)</f>
        <v>0</v>
      </c>
      <c r="Y68" s="4">
        <f>SUMIFS(super1[Qtde],super1[Item],tab_alimentos[[#This Row],[Item]],super1[Bairro],mercado14)+SUMIFS(supercb[Qtde],supercb[Item],tab_alimentos[[#This Row],[Item]],supercb[Bairro],mercado14)</f>
        <v>0</v>
      </c>
      <c r="Z68" s="4">
        <f>SUMIFS(super1[Qtde],super1[Item],tab_alimentos[[#This Row],[Item]],super1[Bairro],mercado15)+SUMIFS(supercb[Qtde],supercb[Item],tab_alimentos[[#This Row],[Item]],supercb[Bairro],mercado15)</f>
        <v>0</v>
      </c>
      <c r="AA68" s="4">
        <f>SUMIFS(super1[Qtde],super1[Item],tab_alimentos[[#This Row],[Item]],super1[Bairro],mercado16)+SUMIFS(supercb[Qtde],supercb[Item],tab_alimentos[[#This Row],[Item]],supercb[Bairro],mercado16)</f>
        <v>0</v>
      </c>
      <c r="AB68" s="4">
        <f>SUMIFS(super1[Qtde],super1[Item],tab_alimentos[[#This Row],[Item]],super1[Bairro],mercado17)+SUMIFS(supercb[Qtde],supercb[Item],tab_alimentos[[#This Row],[Item]],supercb[Bairro],mercado17)</f>
        <v>0</v>
      </c>
      <c r="AC68" s="4">
        <f>SUMIFS(super1[Qtde],super1[Item],tab_alimentos[[#This Row],[Item]],super1[Bairro],mercado18)+SUMIFS(supercb[Qtde],supercb[Item],tab_alimentos[[#This Row],[Item]],supercb[Bairro],mercado18)</f>
        <v>0</v>
      </c>
      <c r="AD68" s="4">
        <f>SUMIFS(super1[Qtde],super1[Item],tab_alimentos[[#This Row],[Item]],super1[Bairro],extras)+SUMIFS(supercb[Qtde],supercb[Item],tab_alimentos[[#This Row],[Item]],supercb[Bairro],extras)</f>
        <v>0</v>
      </c>
      <c r="AE68" s="4">
        <f t="shared" si="18"/>
        <v>0</v>
      </c>
      <c r="AF68" s="4">
        <f t="shared" si="19"/>
        <v>0</v>
      </c>
      <c r="AG68" s="6">
        <f t="shared" si="20"/>
        <v>0</v>
      </c>
      <c r="AH68" s="19" t="str">
        <f>higiene[[#This Row],[Item]]</f>
        <v>Detergente (1L)</v>
      </c>
      <c r="AI68" s="4">
        <f>IFERROR(higiene[[#This Row],[Kg equivalente]],0)</f>
        <v>0</v>
      </c>
      <c r="AJ68" s="4">
        <f>IFERROR(higiene[[#This Row],[Preço por produto]],0)</f>
        <v>8.99</v>
      </c>
      <c r="AK68" s="4">
        <f>SUMIFS(super1[Qtde],super1[Item],tab_higiene[[#This Row],[Item]],super1[Bairro],mercado1)+SUMIFS(supercb[Qtde],supercb[Item],tab_higiene[[#This Row],[Item]],supercb[Bairro],mercado1)</f>
        <v>0</v>
      </c>
      <c r="AL68" s="4">
        <f>SUMIFS(super1[Qtde],super1[Item],tab_higiene[[#This Row],[Item]],super1[Bairro],mercado2)+SUMIFS(supercb[Qtde],supercb[Item],tab_higiene[[#This Row],[Item]],supercb[Bairro],mercado2)</f>
        <v>0</v>
      </c>
      <c r="AM68" s="4">
        <f>SUMIFS(super1[Qtde],super1[Item],tab_higiene[[#This Row],[Item]],super1[Bairro],mercado3)+SUMIFS(supercb[Qtde],supercb[Item],tab_higiene[[#This Row],[Item]],supercb[Bairro],mercado3)</f>
        <v>0</v>
      </c>
      <c r="AN68" s="4">
        <f>SUMIFS(super1[Qtde],super1[Item],tab_higiene[[#This Row],[Item]],super1[Bairro],mercado4)+SUMIFS(supercb[Qtde],supercb[Item],tab_higiene[[#This Row],[Item]],supercb[Bairro],mercado4)</f>
        <v>0</v>
      </c>
      <c r="AO68" s="4">
        <f>SUMIFS(super1[Qtde],super1[Item],tab_higiene[[#This Row],[Item]],super1[Bairro],mercado5)+SUMIFS(supercb[Qtde],supercb[Item],tab_higiene[[#This Row],[Item]],supercb[Bairro],mercado5)</f>
        <v>0</v>
      </c>
      <c r="AP68" s="4">
        <f>SUMIFS(super1[Qtde],super1[Item],tab_higiene[[#This Row],[Item]],super1[Bairro],mercado6)+SUMIFS(supercb[Qtde],supercb[Item],tab_higiene[[#This Row],[Item]],supercb[Bairro],mercado6)</f>
        <v>0</v>
      </c>
      <c r="AQ68" s="4">
        <f>SUMIFS(super1[Qtde],super1[Item],tab_higiene[[#This Row],[Item]],super1[Bairro],mercado7)+SUMIFS(supercb[Qtde],supercb[Item],tab_higiene[[#This Row],[Item]],supercb[Bairro],mercado7)</f>
        <v>0</v>
      </c>
      <c r="AR68" s="4">
        <f>SUMIFS(super1[Qtde],super1[Item],tab_higiene[[#This Row],[Item]],super1[Bairro],mercado8)+SUMIFS(supercb[Qtde],supercb[Item],tab_higiene[[#This Row],[Item]],supercb[Bairro],mercado8)</f>
        <v>0</v>
      </c>
      <c r="AS68" s="4">
        <f>SUMIFS(super1[Qtde],super1[Item],tab_higiene[[#This Row],[Item]],super1[Bairro],mercado9)+SUMIFS(supercb[Qtde],supercb[Item],tab_higiene[[#This Row],[Item]],supercb[Bairro],mercado9)</f>
        <v>0</v>
      </c>
      <c r="AT68" s="4">
        <f>SUMIFS(super1[Qtde],super1[Item],tab_higiene[[#This Row],[Item]],super1[Bairro],mercado10)+SUMIFS(supercb[Qtde],supercb[Item],tab_higiene[[#This Row],[Item]],supercb[Bairro],mercado10)</f>
        <v>0</v>
      </c>
      <c r="AU68" s="4">
        <f>SUMIFS(super1[Qtde],super1[Item],tab_higiene[[#This Row],[Item]],super1[Bairro],mercado11)+SUMIFS(supercb[Qtde],supercb[Item],tab_higiene[[#This Row],[Item]],supercb[Bairro],mercado11)</f>
        <v>0</v>
      </c>
      <c r="AV68" s="4">
        <f>SUMIFS(super1[Qtde],super1[Item],tab_higiene[[#This Row],[Item]],super1[Bairro],mercado12)+SUMIFS(supercb[Qtde],supercb[Item],tab_higiene[[#This Row],[Item]],supercb[Bairro],mercado12)</f>
        <v>0</v>
      </c>
      <c r="AW68" s="4">
        <f>SUMIFS(super1[Qtde],super1[Item],tab_higiene[[#This Row],[Item]],super1[Bairro],mercado13)+SUMIFS(supercb[Qtde],supercb[Item],tab_higiene[[#This Row],[Item]],supercb[Bairro],mercado13)</f>
        <v>0</v>
      </c>
      <c r="AX68" s="4">
        <f>SUMIFS(super1[Qtde],super1[Item],tab_higiene[[#This Row],[Item]],super1[Bairro],mercado14)+SUMIFS(supercb[Qtde],supercb[Item],tab_higiene[[#This Row],[Item]],supercb[Bairro],mercado14)</f>
        <v>0</v>
      </c>
      <c r="AY68" s="4">
        <f>SUMIFS(super1[Qtde],super1[Item],tab_higiene[[#This Row],[Item]],super1[Bairro],mercado15)+SUMIFS(supercb[Qtde],supercb[Item],tab_higiene[[#This Row],[Item]],supercb[Bairro],mercado15)</f>
        <v>0</v>
      </c>
      <c r="AZ68" s="4">
        <f>SUMIFS(super1[Qtde],super1[Item],tab_higiene[[#This Row],[Item]],super1[Bairro],mercado16)+SUMIFS(supercb[Qtde],supercb[Item],tab_higiene[[#This Row],[Item]],supercb[Bairro],mercado16)</f>
        <v>0</v>
      </c>
      <c r="BA68" s="4">
        <f>SUMIFS(super1[Qtde],super1[Item],tab_higiene[[#This Row],[Item]],super1[Bairro],mercado17)+SUMIFS(supercb[Qtde],supercb[Item],tab_higiene[[#This Row],[Item]],supercb[Bairro],mercado17)</f>
        <v>0</v>
      </c>
      <c r="BB68" s="4">
        <f>SUMIFS(super1[Qtde],super1[Item],tab_higiene[[#This Row],[Item]],super1[Bairro],mercado18)+SUMIFS(supercb[Qtde],supercb[Item],tab_higiene[[#This Row],[Item]],supercb[Bairro],mercado18)</f>
        <v>0</v>
      </c>
      <c r="BC68" s="4">
        <f>SUMIFS(super1[Qtde],super1[Item],tab_higiene[[#This Row],[Item]],super1[Bairro],extras)+SUMIFS(supercb[Qtde],supercb[Item],tab_higiene[[#This Row],[Item]],supercb[Bairro],extras)</f>
        <v>0</v>
      </c>
      <c r="BD68" s="4">
        <f t="shared" si="21"/>
        <v>0</v>
      </c>
      <c r="BE68" s="4">
        <f t="shared" si="22"/>
        <v>0</v>
      </c>
      <c r="BF68" s="6">
        <f t="shared" si="23"/>
        <v>0</v>
      </c>
      <c r="BI68" s="1" t="str">
        <f>tab_alimentos[[#This Row],[Item]]</f>
        <v>Batata Palha (120g)</v>
      </c>
      <c r="BJ68" s="1">
        <f t="shared" ref="BJ68:BJ131" si="25">IFERROR(FIND(" (",BI68),0)</f>
        <v>13</v>
      </c>
      <c r="BK68" s="1" t="str">
        <f t="shared" ref="BK68:BK131" si="26">IF(BJ68=0,BI68,LEFT(BI68,BJ68-1))</f>
        <v>Batata Palha</v>
      </c>
      <c r="BL68" s="1">
        <f>tab_alimentos[[#This Row],[kg]]</f>
        <v>0</v>
      </c>
      <c r="BM68" s="25" t="s">
        <v>221</v>
      </c>
      <c r="BN68" s="1">
        <f t="shared" si="11"/>
        <v>0</v>
      </c>
      <c r="BP68" s="1" t="str">
        <f>tab_higiene[[#This Row],[Item]]</f>
        <v>Detergente (1L)</v>
      </c>
      <c r="BQ68" s="1">
        <f t="shared" si="8"/>
        <v>11</v>
      </c>
      <c r="BR68" s="1" t="str">
        <f t="shared" si="9"/>
        <v>Detergente</v>
      </c>
      <c r="BS68" s="1">
        <f>higiene[[#This Row],[Quantidade]]</f>
        <v>1</v>
      </c>
      <c r="BT68" s="1">
        <f>tab_higiene[[#This Row],[Qtde (tot)]]</f>
        <v>0</v>
      </c>
      <c r="BU68" s="1">
        <f t="shared" si="12"/>
        <v>0</v>
      </c>
      <c r="BV68" s="25" t="s">
        <v>77</v>
      </c>
      <c r="BW68" s="1">
        <f t="shared" si="24"/>
        <v>0</v>
      </c>
    </row>
    <row r="69" spans="9:75" x14ac:dyDescent="0.25">
      <c r="I69" s="19" t="str">
        <f>alimentos[[#This Row],[Item]]</f>
        <v>Batata Palha (140g)</v>
      </c>
      <c r="J69" s="4">
        <f>IFERROR(alimentos[[#This Row],[kg/embalagem]],0)</f>
        <v>0.14000000000000001</v>
      </c>
      <c r="K69" s="4">
        <f>IFERROR(alimentos[[#This Row],[Preço]],0)</f>
        <v>7.58</v>
      </c>
      <c r="L69" s="4">
        <f>SUMIFS(super1[Qtde],super1[Item],tab_alimentos[[#This Row],[Item]],super1[Bairro],mercado1)+SUMIFS(supercb[Qtde],supercb[Item],tab_alimentos[[#This Row],[Item]],supercb[Bairro],mercado1)</f>
        <v>0</v>
      </c>
      <c r="M69" s="4">
        <f>SUMIFS(super1[Qtde],super1[Item],tab_alimentos[[#This Row],[Item]],super1[Bairro],mercado2)+SUMIFS(supercb[Qtde],supercb[Item],tab_alimentos[[#This Row],[Item]],supercb[Bairro],mercado2)</f>
        <v>0</v>
      </c>
      <c r="N69" s="4">
        <f>SUMIFS(super1[Qtde],super1[Item],tab_alimentos[[#This Row],[Item]],super1[Bairro],mercado3)+SUMIFS(supercb[Qtde],supercb[Item],tab_alimentos[[#This Row],[Item]],supercb[Bairro],mercado3)</f>
        <v>0</v>
      </c>
      <c r="O69" s="4">
        <f>SUMIFS(super1[Qtde],super1[Item],tab_alimentos[[#This Row],[Item]],super1[Bairro],mercado4)+SUMIFS(supercb[Qtde],supercb[Item],tab_alimentos[[#This Row],[Item]],supercb[Bairro],mercado4)</f>
        <v>0</v>
      </c>
      <c r="P69" s="4">
        <f>SUMIFS(super1[Qtde],super1[Item],tab_alimentos[[#This Row],[Item]],super1[Bairro],mercado5)+SUMIFS(supercb[Qtde],supercb[Item],tab_alimentos[[#This Row],[Item]],supercb[Bairro],mercado5)</f>
        <v>0</v>
      </c>
      <c r="Q69" s="4">
        <f>SUMIFS(super1[Qtde],super1[Item],tab_alimentos[[#This Row],[Item]],super1[Bairro],mercado6)+SUMIFS(supercb[Qtde],supercb[Item],tab_alimentos[[#This Row],[Item]],supercb[Bairro],mercado6)</f>
        <v>0</v>
      </c>
      <c r="R69" s="4">
        <f>SUMIFS(super1[Qtde],super1[Item],tab_alimentos[[#This Row],[Item]],super1[Bairro],mercado7)+SUMIFS(supercb[Qtde],supercb[Item],tab_alimentos[[#This Row],[Item]],supercb[Bairro],mercado7)</f>
        <v>0</v>
      </c>
      <c r="S69" s="4">
        <f>SUMIFS(super1[Qtde],super1[Item],tab_alimentos[[#This Row],[Item]],super1[Bairro],mercado8)+SUMIFS(supercb[Qtde],supercb[Item],tab_alimentos[[#This Row],[Item]],supercb[Bairro],mercado8)</f>
        <v>0</v>
      </c>
      <c r="T69" s="4">
        <f>SUMIFS(super1[Qtde],super1[Item],tab_alimentos[[#This Row],[Item]],super1[Bairro],mercado9)+SUMIFS(supercb[Qtde],supercb[Item],tab_alimentos[[#This Row],[Item]],supercb[Bairro],mercado9)</f>
        <v>0</v>
      </c>
      <c r="U69" s="4">
        <f>SUMIFS(super1[Qtde],super1[Item],tab_alimentos[[#This Row],[Item]],super1[Bairro],mercado10)+SUMIFS(supercb[Qtde],supercb[Item],tab_alimentos[[#This Row],[Item]],supercb[Bairro],mercado10)</f>
        <v>0</v>
      </c>
      <c r="V69" s="4">
        <f>SUMIFS(super1[Qtde],super1[Item],tab_alimentos[[#This Row],[Item]],super1[Bairro],mercado11)+SUMIFS(supercb[Qtde],supercb[Item],tab_alimentos[[#This Row],[Item]],supercb[Bairro],mercado11)</f>
        <v>0</v>
      </c>
      <c r="W69" s="4">
        <f>SUMIFS(super1[Qtde],super1[Item],tab_alimentos[[#This Row],[Item]],super1[Bairro],mercado12)+SUMIFS(supercb[Qtde],supercb[Item],tab_alimentos[[#This Row],[Item]],supercb[Bairro],mercado12)</f>
        <v>0</v>
      </c>
      <c r="X69" s="4">
        <f>SUMIFS(super1[Qtde],super1[Item],tab_alimentos[[#This Row],[Item]],super1[Bairro],mercado13)+SUMIFS(supercb[Qtde],supercb[Item],tab_alimentos[[#This Row],[Item]],supercb[Bairro],mercado13)</f>
        <v>0</v>
      </c>
      <c r="Y69" s="4">
        <f>SUMIFS(super1[Qtde],super1[Item],tab_alimentos[[#This Row],[Item]],super1[Bairro],mercado14)+SUMIFS(supercb[Qtde],supercb[Item],tab_alimentos[[#This Row],[Item]],supercb[Bairro],mercado14)</f>
        <v>0</v>
      </c>
      <c r="Z69" s="4">
        <f>SUMIFS(super1[Qtde],super1[Item],tab_alimentos[[#This Row],[Item]],super1[Bairro],mercado15)+SUMIFS(supercb[Qtde],supercb[Item],tab_alimentos[[#This Row],[Item]],supercb[Bairro],mercado15)</f>
        <v>0</v>
      </c>
      <c r="AA69" s="4">
        <f>SUMIFS(super1[Qtde],super1[Item],tab_alimentos[[#This Row],[Item]],super1[Bairro],mercado16)+SUMIFS(supercb[Qtde],supercb[Item],tab_alimentos[[#This Row],[Item]],supercb[Bairro],mercado16)</f>
        <v>0</v>
      </c>
      <c r="AB69" s="4">
        <f>SUMIFS(super1[Qtde],super1[Item],tab_alimentos[[#This Row],[Item]],super1[Bairro],mercado17)+SUMIFS(supercb[Qtde],supercb[Item],tab_alimentos[[#This Row],[Item]],supercb[Bairro],mercado17)</f>
        <v>0</v>
      </c>
      <c r="AC69" s="4">
        <f>SUMIFS(super1[Qtde],super1[Item],tab_alimentos[[#This Row],[Item]],super1[Bairro],mercado18)+SUMIFS(supercb[Qtde],supercb[Item],tab_alimentos[[#This Row],[Item]],supercb[Bairro],mercado18)</f>
        <v>0</v>
      </c>
      <c r="AD69" s="4">
        <f>SUMIFS(super1[Qtde],super1[Item],tab_alimentos[[#This Row],[Item]],super1[Bairro],extras)+SUMIFS(supercb[Qtde],supercb[Item],tab_alimentos[[#This Row],[Item]],supercb[Bairro],extras)</f>
        <v>0</v>
      </c>
      <c r="AE69" s="4">
        <f t="shared" ref="AE69:AE100" si="27">SUM(L69:AC69)</f>
        <v>0</v>
      </c>
      <c r="AF69" s="4">
        <f t="shared" ref="AF69:AF100" si="28">IFERROR(AE69*K69,0)</f>
        <v>0</v>
      </c>
      <c r="AG69" s="6">
        <f t="shared" ref="AG69:AG100" si="29">IFERROR(J69*AE69,0)</f>
        <v>0</v>
      </c>
      <c r="AH69" s="19" t="str">
        <f>higiene[[#This Row],[Item]]</f>
        <v>Detergente (500mL)</v>
      </c>
      <c r="AI69" s="4">
        <f>IFERROR(higiene[[#This Row],[Kg equivalente]],0)</f>
        <v>0</v>
      </c>
      <c r="AJ69" s="4">
        <f>IFERROR(higiene[[#This Row],[Preço por produto]],0)</f>
        <v>2.09</v>
      </c>
      <c r="AK69" s="4">
        <f>SUMIFS(super1[Qtde],super1[Item],tab_higiene[[#This Row],[Item]],super1[Bairro],mercado1)+SUMIFS(supercb[Qtde],supercb[Item],tab_higiene[[#This Row],[Item]],supercb[Bairro],mercado1)</f>
        <v>0</v>
      </c>
      <c r="AL69" s="4">
        <f>SUMIFS(super1[Qtde],super1[Item],tab_higiene[[#This Row],[Item]],super1[Bairro],mercado2)+SUMIFS(supercb[Qtde],supercb[Item],tab_higiene[[#This Row],[Item]],supercb[Bairro],mercado2)</f>
        <v>0</v>
      </c>
      <c r="AM69" s="4">
        <f>SUMIFS(super1[Qtde],super1[Item],tab_higiene[[#This Row],[Item]],super1[Bairro],mercado3)+SUMIFS(supercb[Qtde],supercb[Item],tab_higiene[[#This Row],[Item]],supercb[Bairro],mercado3)</f>
        <v>0</v>
      </c>
      <c r="AN69" s="4">
        <f>SUMIFS(super1[Qtde],super1[Item],tab_higiene[[#This Row],[Item]],super1[Bairro],mercado4)+SUMIFS(supercb[Qtde],supercb[Item],tab_higiene[[#This Row],[Item]],supercb[Bairro],mercado4)</f>
        <v>0</v>
      </c>
      <c r="AO69" s="4">
        <f>SUMIFS(super1[Qtde],super1[Item],tab_higiene[[#This Row],[Item]],super1[Bairro],mercado5)+SUMIFS(supercb[Qtde],supercb[Item],tab_higiene[[#This Row],[Item]],supercb[Bairro],mercado5)</f>
        <v>0</v>
      </c>
      <c r="AP69" s="4">
        <f>SUMIFS(super1[Qtde],super1[Item],tab_higiene[[#This Row],[Item]],super1[Bairro],mercado6)+SUMIFS(supercb[Qtde],supercb[Item],tab_higiene[[#This Row],[Item]],supercb[Bairro],mercado6)</f>
        <v>0</v>
      </c>
      <c r="AQ69" s="4">
        <f>SUMIFS(super1[Qtde],super1[Item],tab_higiene[[#This Row],[Item]],super1[Bairro],mercado7)+SUMIFS(supercb[Qtde],supercb[Item],tab_higiene[[#This Row],[Item]],supercb[Bairro],mercado7)</f>
        <v>0</v>
      </c>
      <c r="AR69" s="4">
        <f>SUMIFS(super1[Qtde],super1[Item],tab_higiene[[#This Row],[Item]],super1[Bairro],mercado8)+SUMIFS(supercb[Qtde],supercb[Item],tab_higiene[[#This Row],[Item]],supercb[Bairro],mercado8)</f>
        <v>0</v>
      </c>
      <c r="AS69" s="4">
        <f>SUMIFS(super1[Qtde],super1[Item],tab_higiene[[#This Row],[Item]],super1[Bairro],mercado9)+SUMIFS(supercb[Qtde],supercb[Item],tab_higiene[[#This Row],[Item]],supercb[Bairro],mercado9)</f>
        <v>0</v>
      </c>
      <c r="AT69" s="4">
        <f>SUMIFS(super1[Qtde],super1[Item],tab_higiene[[#This Row],[Item]],super1[Bairro],mercado10)+SUMIFS(supercb[Qtde],supercb[Item],tab_higiene[[#This Row],[Item]],supercb[Bairro],mercado10)</f>
        <v>0</v>
      </c>
      <c r="AU69" s="4">
        <f>SUMIFS(super1[Qtde],super1[Item],tab_higiene[[#This Row],[Item]],super1[Bairro],mercado11)+SUMIFS(supercb[Qtde],supercb[Item],tab_higiene[[#This Row],[Item]],supercb[Bairro],mercado11)</f>
        <v>0</v>
      </c>
      <c r="AV69" s="4">
        <f>SUMIFS(super1[Qtde],super1[Item],tab_higiene[[#This Row],[Item]],super1[Bairro],mercado12)+SUMIFS(supercb[Qtde],supercb[Item],tab_higiene[[#This Row],[Item]],supercb[Bairro],mercado12)</f>
        <v>0</v>
      </c>
      <c r="AW69" s="4">
        <f>SUMIFS(super1[Qtde],super1[Item],tab_higiene[[#This Row],[Item]],super1[Bairro],mercado13)+SUMIFS(supercb[Qtde],supercb[Item],tab_higiene[[#This Row],[Item]],supercb[Bairro],mercado13)</f>
        <v>0</v>
      </c>
      <c r="AX69" s="4">
        <f>SUMIFS(super1[Qtde],super1[Item],tab_higiene[[#This Row],[Item]],super1[Bairro],mercado14)+SUMIFS(supercb[Qtde],supercb[Item],tab_higiene[[#This Row],[Item]],supercb[Bairro],mercado14)</f>
        <v>0</v>
      </c>
      <c r="AY69" s="4">
        <f>SUMIFS(super1[Qtde],super1[Item],tab_higiene[[#This Row],[Item]],super1[Bairro],mercado15)+SUMIFS(supercb[Qtde],supercb[Item],tab_higiene[[#This Row],[Item]],supercb[Bairro],mercado15)</f>
        <v>0</v>
      </c>
      <c r="AZ69" s="4">
        <f>SUMIFS(super1[Qtde],super1[Item],tab_higiene[[#This Row],[Item]],super1[Bairro],mercado16)+SUMIFS(supercb[Qtde],supercb[Item],tab_higiene[[#This Row],[Item]],supercb[Bairro],mercado16)</f>
        <v>0</v>
      </c>
      <c r="BA69" s="4">
        <f>SUMIFS(super1[Qtde],super1[Item],tab_higiene[[#This Row],[Item]],super1[Bairro],mercado17)+SUMIFS(supercb[Qtde],supercb[Item],tab_higiene[[#This Row],[Item]],supercb[Bairro],mercado17)</f>
        <v>0</v>
      </c>
      <c r="BB69" s="4">
        <f>SUMIFS(super1[Qtde],super1[Item],tab_higiene[[#This Row],[Item]],super1[Bairro],mercado18)+SUMIFS(supercb[Qtde],supercb[Item],tab_higiene[[#This Row],[Item]],supercb[Bairro],mercado18)</f>
        <v>0</v>
      </c>
      <c r="BC69" s="4">
        <f>SUMIFS(super1[Qtde],super1[Item],tab_higiene[[#This Row],[Item]],super1[Bairro],extras)+SUMIFS(supercb[Qtde],supercb[Item],tab_higiene[[#This Row],[Item]],supercb[Bairro],extras)</f>
        <v>0</v>
      </c>
      <c r="BD69" s="4">
        <f t="shared" ref="BD69:BD100" si="30">SUM(AK69:BB69)</f>
        <v>0</v>
      </c>
      <c r="BE69" s="4">
        <f t="shared" ref="BE69:BE100" si="31">IFERROR(BD69*AJ69,0)</f>
        <v>0</v>
      </c>
      <c r="BF69" s="6">
        <f t="shared" ref="BF69:BF100" si="32">IFERROR(AI69*BD69,0)</f>
        <v>0</v>
      </c>
      <c r="BI69" s="1" t="str">
        <f>tab_alimentos[[#This Row],[Item]]</f>
        <v>Batata Palha (140g)</v>
      </c>
      <c r="BJ69" s="1">
        <f t="shared" si="25"/>
        <v>13</v>
      </c>
      <c r="BK69" s="1" t="str">
        <f t="shared" si="26"/>
        <v>Batata Palha</v>
      </c>
      <c r="BL69" s="1">
        <f>tab_alimentos[[#This Row],[kg]]</f>
        <v>0</v>
      </c>
      <c r="BM69" s="25" t="s">
        <v>122</v>
      </c>
      <c r="BN69" s="1">
        <f t="shared" si="11"/>
        <v>0</v>
      </c>
      <c r="BP69" s="1" t="str">
        <f>tab_higiene[[#This Row],[Item]]</f>
        <v>Detergente (500mL)</v>
      </c>
      <c r="BQ69" s="1">
        <f t="shared" ref="BQ69:BQ132" si="33">IFERROR(FIND(" (",BP69),0)</f>
        <v>11</v>
      </c>
      <c r="BR69" s="1" t="str">
        <f t="shared" ref="BR69:BR132" si="34">IF(BQ69=0,BP69,LEFT(BP69,BQ69-1))</f>
        <v>Detergente</v>
      </c>
      <c r="BS69" s="1">
        <f>higiene[[#This Row],[Quantidade]]</f>
        <v>7</v>
      </c>
      <c r="BT69" s="1">
        <f>tab_higiene[[#This Row],[Qtde (tot)]]</f>
        <v>0</v>
      </c>
      <c r="BU69" s="1">
        <f t="shared" si="12"/>
        <v>0</v>
      </c>
      <c r="BV69" s="25" t="s">
        <v>78</v>
      </c>
      <c r="BW69" s="1">
        <f t="shared" ref="BW69:BW100" si="35">SUMIF($BR$5:$BR$142,BV69,$BU$5:$BU$142)</f>
        <v>0</v>
      </c>
    </row>
    <row r="70" spans="9:75" x14ac:dyDescent="0.25">
      <c r="I70" s="19" t="str">
        <f>alimentos[[#This Row],[Item]]</f>
        <v>Batata Palha (1kg)</v>
      </c>
      <c r="J70" s="4">
        <f>IFERROR(alimentos[[#This Row],[kg/embalagem]],0)</f>
        <v>1</v>
      </c>
      <c r="K70" s="4">
        <f>IFERROR(alimentos[[#This Row],[Preço]],0)</f>
        <v>22.34</v>
      </c>
      <c r="L70" s="4">
        <f>SUMIFS(super1[Qtde],super1[Item],tab_alimentos[[#This Row],[Item]],super1[Bairro],mercado1)+SUMIFS(supercb[Qtde],supercb[Item],tab_alimentos[[#This Row],[Item]],supercb[Bairro],mercado1)</f>
        <v>0</v>
      </c>
      <c r="M70" s="4">
        <f>SUMIFS(super1[Qtde],super1[Item],tab_alimentos[[#This Row],[Item]],super1[Bairro],mercado2)+SUMIFS(supercb[Qtde],supercb[Item],tab_alimentos[[#This Row],[Item]],supercb[Bairro],mercado2)</f>
        <v>0</v>
      </c>
      <c r="N70" s="4">
        <f>SUMIFS(super1[Qtde],super1[Item],tab_alimentos[[#This Row],[Item]],super1[Bairro],mercado3)+SUMIFS(supercb[Qtde],supercb[Item],tab_alimentos[[#This Row],[Item]],supercb[Bairro],mercado3)</f>
        <v>0</v>
      </c>
      <c r="O70" s="4">
        <f>SUMIFS(super1[Qtde],super1[Item],tab_alimentos[[#This Row],[Item]],super1[Bairro],mercado4)+SUMIFS(supercb[Qtde],supercb[Item],tab_alimentos[[#This Row],[Item]],supercb[Bairro],mercado4)</f>
        <v>0</v>
      </c>
      <c r="P70" s="4">
        <f>SUMIFS(super1[Qtde],super1[Item],tab_alimentos[[#This Row],[Item]],super1[Bairro],mercado5)+SUMIFS(supercb[Qtde],supercb[Item],tab_alimentos[[#This Row],[Item]],supercb[Bairro],mercado5)</f>
        <v>0</v>
      </c>
      <c r="Q70" s="4">
        <f>SUMIFS(super1[Qtde],super1[Item],tab_alimentos[[#This Row],[Item]],super1[Bairro],mercado6)+SUMIFS(supercb[Qtde],supercb[Item],tab_alimentos[[#This Row],[Item]],supercb[Bairro],mercado6)</f>
        <v>0</v>
      </c>
      <c r="R70" s="4">
        <f>SUMIFS(super1[Qtde],super1[Item],tab_alimentos[[#This Row],[Item]],super1[Bairro],mercado7)+SUMIFS(supercb[Qtde],supercb[Item],tab_alimentos[[#This Row],[Item]],supercb[Bairro],mercado7)</f>
        <v>0</v>
      </c>
      <c r="S70" s="4">
        <f>SUMIFS(super1[Qtde],super1[Item],tab_alimentos[[#This Row],[Item]],super1[Bairro],mercado8)+SUMIFS(supercb[Qtde],supercb[Item],tab_alimentos[[#This Row],[Item]],supercb[Bairro],mercado8)</f>
        <v>0</v>
      </c>
      <c r="T70" s="4">
        <f>SUMIFS(super1[Qtde],super1[Item],tab_alimentos[[#This Row],[Item]],super1[Bairro],mercado9)+SUMIFS(supercb[Qtde],supercb[Item],tab_alimentos[[#This Row],[Item]],supercb[Bairro],mercado9)</f>
        <v>0</v>
      </c>
      <c r="U70" s="4">
        <f>SUMIFS(super1[Qtde],super1[Item],tab_alimentos[[#This Row],[Item]],super1[Bairro],mercado10)+SUMIFS(supercb[Qtde],supercb[Item],tab_alimentos[[#This Row],[Item]],supercb[Bairro],mercado10)</f>
        <v>0</v>
      </c>
      <c r="V70" s="4">
        <f>SUMIFS(super1[Qtde],super1[Item],tab_alimentos[[#This Row],[Item]],super1[Bairro],mercado11)+SUMIFS(supercb[Qtde],supercb[Item],tab_alimentos[[#This Row],[Item]],supercb[Bairro],mercado11)</f>
        <v>0</v>
      </c>
      <c r="W70" s="4">
        <f>SUMIFS(super1[Qtde],super1[Item],tab_alimentos[[#This Row],[Item]],super1[Bairro],mercado12)+SUMIFS(supercb[Qtde],supercb[Item],tab_alimentos[[#This Row],[Item]],supercb[Bairro],mercado12)</f>
        <v>0</v>
      </c>
      <c r="X70" s="4">
        <f>SUMIFS(super1[Qtde],super1[Item],tab_alimentos[[#This Row],[Item]],super1[Bairro],mercado13)+SUMIFS(supercb[Qtde],supercb[Item],tab_alimentos[[#This Row],[Item]],supercb[Bairro],mercado13)</f>
        <v>0</v>
      </c>
      <c r="Y70" s="4">
        <f>SUMIFS(super1[Qtde],super1[Item],tab_alimentos[[#This Row],[Item]],super1[Bairro],mercado14)+SUMIFS(supercb[Qtde],supercb[Item],tab_alimentos[[#This Row],[Item]],supercb[Bairro],mercado14)</f>
        <v>0</v>
      </c>
      <c r="Z70" s="4">
        <f>SUMIFS(super1[Qtde],super1[Item],tab_alimentos[[#This Row],[Item]],super1[Bairro],mercado15)+SUMIFS(supercb[Qtde],supercb[Item],tab_alimentos[[#This Row],[Item]],supercb[Bairro],mercado15)</f>
        <v>0</v>
      </c>
      <c r="AA70" s="4">
        <f>SUMIFS(super1[Qtde],super1[Item],tab_alimentos[[#This Row],[Item]],super1[Bairro],mercado16)+SUMIFS(supercb[Qtde],supercb[Item],tab_alimentos[[#This Row],[Item]],supercb[Bairro],mercado16)</f>
        <v>0</v>
      </c>
      <c r="AB70" s="4">
        <f>SUMIFS(super1[Qtde],super1[Item],tab_alimentos[[#This Row],[Item]],super1[Bairro],mercado17)+SUMIFS(supercb[Qtde],supercb[Item],tab_alimentos[[#This Row],[Item]],supercb[Bairro],mercado17)</f>
        <v>0</v>
      </c>
      <c r="AC70" s="4">
        <f>SUMIFS(super1[Qtde],super1[Item],tab_alimentos[[#This Row],[Item]],super1[Bairro],mercado18)+SUMIFS(supercb[Qtde],supercb[Item],tab_alimentos[[#This Row],[Item]],supercb[Bairro],mercado18)</f>
        <v>0</v>
      </c>
      <c r="AD70" s="4">
        <f>SUMIFS(super1[Qtde],super1[Item],tab_alimentos[[#This Row],[Item]],super1[Bairro],extras)+SUMIFS(supercb[Qtde],supercb[Item],tab_alimentos[[#This Row],[Item]],supercb[Bairro],extras)</f>
        <v>0</v>
      </c>
      <c r="AE70" s="4">
        <f t="shared" si="27"/>
        <v>0</v>
      </c>
      <c r="AF70" s="4">
        <f t="shared" si="28"/>
        <v>0</v>
      </c>
      <c r="AG70" s="6">
        <f t="shared" si="29"/>
        <v>0</v>
      </c>
      <c r="AH70" s="19" t="str">
        <f>higiene[[#This Row],[Item]]</f>
        <v>Detergente (5L)</v>
      </c>
      <c r="AI70" s="4">
        <f>IFERROR(higiene[[#This Row],[Kg equivalente]],0)</f>
        <v>0</v>
      </c>
      <c r="AJ70" s="4">
        <f>IFERROR(higiene[[#This Row],[Preço por produto]],0)</f>
        <v>21.99</v>
      </c>
      <c r="AK70" s="4">
        <f>SUMIFS(super1[Qtde],super1[Item],tab_higiene[[#This Row],[Item]],super1[Bairro],mercado1)+SUMIFS(supercb[Qtde],supercb[Item],tab_higiene[[#This Row],[Item]],supercb[Bairro],mercado1)</f>
        <v>0</v>
      </c>
      <c r="AL70" s="4">
        <f>SUMIFS(super1[Qtde],super1[Item],tab_higiene[[#This Row],[Item]],super1[Bairro],mercado2)+SUMIFS(supercb[Qtde],supercb[Item],tab_higiene[[#This Row],[Item]],supercb[Bairro],mercado2)</f>
        <v>0</v>
      </c>
      <c r="AM70" s="4">
        <f>SUMIFS(super1[Qtde],super1[Item],tab_higiene[[#This Row],[Item]],super1[Bairro],mercado3)+SUMIFS(supercb[Qtde],supercb[Item],tab_higiene[[#This Row],[Item]],supercb[Bairro],mercado3)</f>
        <v>0</v>
      </c>
      <c r="AN70" s="4">
        <f>SUMIFS(super1[Qtde],super1[Item],tab_higiene[[#This Row],[Item]],super1[Bairro],mercado4)+SUMIFS(supercb[Qtde],supercb[Item],tab_higiene[[#This Row],[Item]],supercb[Bairro],mercado4)</f>
        <v>0</v>
      </c>
      <c r="AO70" s="4">
        <f>SUMIFS(super1[Qtde],super1[Item],tab_higiene[[#This Row],[Item]],super1[Bairro],mercado5)+SUMIFS(supercb[Qtde],supercb[Item],tab_higiene[[#This Row],[Item]],supercb[Bairro],mercado5)</f>
        <v>0</v>
      </c>
      <c r="AP70" s="4">
        <f>SUMIFS(super1[Qtde],super1[Item],tab_higiene[[#This Row],[Item]],super1[Bairro],mercado6)+SUMIFS(supercb[Qtde],supercb[Item],tab_higiene[[#This Row],[Item]],supercb[Bairro],mercado6)</f>
        <v>0</v>
      </c>
      <c r="AQ70" s="4">
        <f>SUMIFS(super1[Qtde],super1[Item],tab_higiene[[#This Row],[Item]],super1[Bairro],mercado7)+SUMIFS(supercb[Qtde],supercb[Item],tab_higiene[[#This Row],[Item]],supercb[Bairro],mercado7)</f>
        <v>0</v>
      </c>
      <c r="AR70" s="4">
        <f>SUMIFS(super1[Qtde],super1[Item],tab_higiene[[#This Row],[Item]],super1[Bairro],mercado8)+SUMIFS(supercb[Qtde],supercb[Item],tab_higiene[[#This Row],[Item]],supercb[Bairro],mercado8)</f>
        <v>0</v>
      </c>
      <c r="AS70" s="4">
        <f>SUMIFS(super1[Qtde],super1[Item],tab_higiene[[#This Row],[Item]],super1[Bairro],mercado9)+SUMIFS(supercb[Qtde],supercb[Item],tab_higiene[[#This Row],[Item]],supercb[Bairro],mercado9)</f>
        <v>0</v>
      </c>
      <c r="AT70" s="4">
        <f>SUMIFS(super1[Qtde],super1[Item],tab_higiene[[#This Row],[Item]],super1[Bairro],mercado10)+SUMIFS(supercb[Qtde],supercb[Item],tab_higiene[[#This Row],[Item]],supercb[Bairro],mercado10)</f>
        <v>0</v>
      </c>
      <c r="AU70" s="4">
        <f>SUMIFS(super1[Qtde],super1[Item],tab_higiene[[#This Row],[Item]],super1[Bairro],mercado11)+SUMIFS(supercb[Qtde],supercb[Item],tab_higiene[[#This Row],[Item]],supercb[Bairro],mercado11)</f>
        <v>0</v>
      </c>
      <c r="AV70" s="4">
        <f>SUMIFS(super1[Qtde],super1[Item],tab_higiene[[#This Row],[Item]],super1[Bairro],mercado12)+SUMIFS(supercb[Qtde],supercb[Item],tab_higiene[[#This Row],[Item]],supercb[Bairro],mercado12)</f>
        <v>0</v>
      </c>
      <c r="AW70" s="4">
        <f>SUMIFS(super1[Qtde],super1[Item],tab_higiene[[#This Row],[Item]],super1[Bairro],mercado13)+SUMIFS(supercb[Qtde],supercb[Item],tab_higiene[[#This Row],[Item]],supercb[Bairro],mercado13)</f>
        <v>0</v>
      </c>
      <c r="AX70" s="4">
        <f>SUMIFS(super1[Qtde],super1[Item],tab_higiene[[#This Row],[Item]],super1[Bairro],mercado14)+SUMIFS(supercb[Qtde],supercb[Item],tab_higiene[[#This Row],[Item]],supercb[Bairro],mercado14)</f>
        <v>0</v>
      </c>
      <c r="AY70" s="4">
        <f>SUMIFS(super1[Qtde],super1[Item],tab_higiene[[#This Row],[Item]],super1[Bairro],mercado15)+SUMIFS(supercb[Qtde],supercb[Item],tab_higiene[[#This Row],[Item]],supercb[Bairro],mercado15)</f>
        <v>0</v>
      </c>
      <c r="AZ70" s="4">
        <f>SUMIFS(super1[Qtde],super1[Item],tab_higiene[[#This Row],[Item]],super1[Bairro],mercado16)+SUMIFS(supercb[Qtde],supercb[Item],tab_higiene[[#This Row],[Item]],supercb[Bairro],mercado16)</f>
        <v>0</v>
      </c>
      <c r="BA70" s="4">
        <f>SUMIFS(super1[Qtde],super1[Item],tab_higiene[[#This Row],[Item]],super1[Bairro],mercado17)+SUMIFS(supercb[Qtde],supercb[Item],tab_higiene[[#This Row],[Item]],supercb[Bairro],mercado17)</f>
        <v>0</v>
      </c>
      <c r="BB70" s="4">
        <f>SUMIFS(super1[Qtde],super1[Item],tab_higiene[[#This Row],[Item]],super1[Bairro],mercado18)+SUMIFS(supercb[Qtde],supercb[Item],tab_higiene[[#This Row],[Item]],supercb[Bairro],mercado18)</f>
        <v>0</v>
      </c>
      <c r="BC70" s="4">
        <f>SUMIFS(super1[Qtde],super1[Item],tab_higiene[[#This Row],[Item]],super1[Bairro],extras)+SUMIFS(supercb[Qtde],supercb[Item],tab_higiene[[#This Row],[Item]],supercb[Bairro],extras)</f>
        <v>0</v>
      </c>
      <c r="BD70" s="4">
        <f t="shared" si="30"/>
        <v>0</v>
      </c>
      <c r="BE70" s="4">
        <f t="shared" si="31"/>
        <v>0</v>
      </c>
      <c r="BF70" s="6">
        <f t="shared" si="32"/>
        <v>0</v>
      </c>
      <c r="BI70" s="1" t="str">
        <f>tab_alimentos[[#This Row],[Item]]</f>
        <v>Batata Palha (1kg)</v>
      </c>
      <c r="BJ70" s="1">
        <f t="shared" si="25"/>
        <v>13</v>
      </c>
      <c r="BK70" s="1" t="str">
        <f t="shared" si="26"/>
        <v>Batata Palha</v>
      </c>
      <c r="BL70" s="1">
        <f>tab_alimentos[[#This Row],[kg]]</f>
        <v>0</v>
      </c>
      <c r="BM70" s="25" t="s">
        <v>71</v>
      </c>
      <c r="BN70" s="1">
        <f t="shared" ref="BN70:BN133" si="36">SUMIF($BJ$5:$BJ$158,BM70,$BK$5:$BK$158)</f>
        <v>0</v>
      </c>
      <c r="BP70" s="1" t="str">
        <f>tab_higiene[[#This Row],[Item]]</f>
        <v>Detergente (5L)</v>
      </c>
      <c r="BQ70" s="1">
        <f t="shared" si="33"/>
        <v>11</v>
      </c>
      <c r="BR70" s="1" t="str">
        <f t="shared" si="34"/>
        <v>Detergente</v>
      </c>
      <c r="BS70" s="1">
        <f>higiene[[#This Row],[Quantidade]]</f>
        <v>0.2</v>
      </c>
      <c r="BT70" s="1">
        <f>tab_higiene[[#This Row],[Qtde (tot)]]</f>
        <v>0</v>
      </c>
      <c r="BU70" s="1">
        <f t="shared" ref="BU70:BU133" si="37">BS70*BT70</f>
        <v>0</v>
      </c>
      <c r="BV70" s="25" t="s">
        <v>79</v>
      </c>
      <c r="BW70" s="1">
        <f t="shared" si="35"/>
        <v>0</v>
      </c>
    </row>
    <row r="71" spans="9:75" x14ac:dyDescent="0.25">
      <c r="I71" s="19" t="str">
        <f>alimentos[[#This Row],[Item]]</f>
        <v>Batata Palha (200g)</v>
      </c>
      <c r="J71" s="4">
        <f>IFERROR(alimentos[[#This Row],[kg/embalagem]],0)</f>
        <v>0.2</v>
      </c>
      <c r="K71" s="4">
        <f>IFERROR(alimentos[[#This Row],[Preço]],0)</f>
        <v>6.9</v>
      </c>
      <c r="L71" s="4">
        <f>SUMIFS(super1[Qtde],super1[Item],tab_alimentos[[#This Row],[Item]],super1[Bairro],mercado1)+SUMIFS(supercb[Qtde],supercb[Item],tab_alimentos[[#This Row],[Item]],supercb[Bairro],mercado1)</f>
        <v>0</v>
      </c>
      <c r="M71" s="4">
        <f>SUMIFS(super1[Qtde],super1[Item],tab_alimentos[[#This Row],[Item]],super1[Bairro],mercado2)+SUMIFS(supercb[Qtde],supercb[Item],tab_alimentos[[#This Row],[Item]],supercb[Bairro],mercado2)</f>
        <v>0</v>
      </c>
      <c r="N71" s="4">
        <f>SUMIFS(super1[Qtde],super1[Item],tab_alimentos[[#This Row],[Item]],super1[Bairro],mercado3)+SUMIFS(supercb[Qtde],supercb[Item],tab_alimentos[[#This Row],[Item]],supercb[Bairro],mercado3)</f>
        <v>0</v>
      </c>
      <c r="O71" s="4">
        <f>SUMIFS(super1[Qtde],super1[Item],tab_alimentos[[#This Row],[Item]],super1[Bairro],mercado4)+SUMIFS(supercb[Qtde],supercb[Item],tab_alimentos[[#This Row],[Item]],supercb[Bairro],mercado4)</f>
        <v>0</v>
      </c>
      <c r="P71" s="4">
        <f>SUMIFS(super1[Qtde],super1[Item],tab_alimentos[[#This Row],[Item]],super1[Bairro],mercado5)+SUMIFS(supercb[Qtde],supercb[Item],tab_alimentos[[#This Row],[Item]],supercb[Bairro],mercado5)</f>
        <v>0</v>
      </c>
      <c r="Q71" s="4">
        <f>SUMIFS(super1[Qtde],super1[Item],tab_alimentos[[#This Row],[Item]],super1[Bairro],mercado6)+SUMIFS(supercb[Qtde],supercb[Item],tab_alimentos[[#This Row],[Item]],supercb[Bairro],mercado6)</f>
        <v>0</v>
      </c>
      <c r="R71" s="4">
        <f>SUMIFS(super1[Qtde],super1[Item],tab_alimentos[[#This Row],[Item]],super1[Bairro],mercado7)+SUMIFS(supercb[Qtde],supercb[Item],tab_alimentos[[#This Row],[Item]],supercb[Bairro],mercado7)</f>
        <v>0</v>
      </c>
      <c r="S71" s="4">
        <f>SUMIFS(super1[Qtde],super1[Item],tab_alimentos[[#This Row],[Item]],super1[Bairro],mercado8)+SUMIFS(supercb[Qtde],supercb[Item],tab_alimentos[[#This Row],[Item]],supercb[Bairro],mercado8)</f>
        <v>0</v>
      </c>
      <c r="T71" s="4">
        <f>SUMIFS(super1[Qtde],super1[Item],tab_alimentos[[#This Row],[Item]],super1[Bairro],mercado9)+SUMIFS(supercb[Qtde],supercb[Item],tab_alimentos[[#This Row],[Item]],supercb[Bairro],mercado9)</f>
        <v>0</v>
      </c>
      <c r="U71" s="4">
        <f>SUMIFS(super1[Qtde],super1[Item],tab_alimentos[[#This Row],[Item]],super1[Bairro],mercado10)+SUMIFS(supercb[Qtde],supercb[Item],tab_alimentos[[#This Row],[Item]],supercb[Bairro],mercado10)</f>
        <v>0</v>
      </c>
      <c r="V71" s="4">
        <f>SUMIFS(super1[Qtde],super1[Item],tab_alimentos[[#This Row],[Item]],super1[Bairro],mercado11)+SUMIFS(supercb[Qtde],supercb[Item],tab_alimentos[[#This Row],[Item]],supercb[Bairro],mercado11)</f>
        <v>0</v>
      </c>
      <c r="W71" s="4">
        <f>SUMIFS(super1[Qtde],super1[Item],tab_alimentos[[#This Row],[Item]],super1[Bairro],mercado12)+SUMIFS(supercb[Qtde],supercb[Item],tab_alimentos[[#This Row],[Item]],supercb[Bairro],mercado12)</f>
        <v>0</v>
      </c>
      <c r="X71" s="4">
        <f>SUMIFS(super1[Qtde],super1[Item],tab_alimentos[[#This Row],[Item]],super1[Bairro],mercado13)+SUMIFS(supercb[Qtde],supercb[Item],tab_alimentos[[#This Row],[Item]],supercb[Bairro],mercado13)</f>
        <v>0</v>
      </c>
      <c r="Y71" s="4">
        <f>SUMIFS(super1[Qtde],super1[Item],tab_alimentos[[#This Row],[Item]],super1[Bairro],mercado14)+SUMIFS(supercb[Qtde],supercb[Item],tab_alimentos[[#This Row],[Item]],supercb[Bairro],mercado14)</f>
        <v>0</v>
      </c>
      <c r="Z71" s="4">
        <f>SUMIFS(super1[Qtde],super1[Item],tab_alimentos[[#This Row],[Item]],super1[Bairro],mercado15)+SUMIFS(supercb[Qtde],supercb[Item],tab_alimentos[[#This Row],[Item]],supercb[Bairro],mercado15)</f>
        <v>0</v>
      </c>
      <c r="AA71" s="4">
        <f>SUMIFS(super1[Qtde],super1[Item],tab_alimentos[[#This Row],[Item]],super1[Bairro],mercado16)+SUMIFS(supercb[Qtde],supercb[Item],tab_alimentos[[#This Row],[Item]],supercb[Bairro],mercado16)</f>
        <v>0</v>
      </c>
      <c r="AB71" s="4">
        <f>SUMIFS(super1[Qtde],super1[Item],tab_alimentos[[#This Row],[Item]],super1[Bairro],mercado17)+SUMIFS(supercb[Qtde],supercb[Item],tab_alimentos[[#This Row],[Item]],supercb[Bairro],mercado17)</f>
        <v>0</v>
      </c>
      <c r="AC71" s="4">
        <f>SUMIFS(super1[Qtde],super1[Item],tab_alimentos[[#This Row],[Item]],super1[Bairro],mercado18)+SUMIFS(supercb[Qtde],supercb[Item],tab_alimentos[[#This Row],[Item]],supercb[Bairro],mercado18)</f>
        <v>0</v>
      </c>
      <c r="AD71" s="4">
        <f>SUMIFS(super1[Qtde],super1[Item],tab_alimentos[[#This Row],[Item]],super1[Bairro],extras)+SUMIFS(supercb[Qtde],supercb[Item],tab_alimentos[[#This Row],[Item]],supercb[Bairro],extras)</f>
        <v>0</v>
      </c>
      <c r="AE71" s="4">
        <f t="shared" si="27"/>
        <v>0</v>
      </c>
      <c r="AF71" s="4">
        <f t="shared" si="28"/>
        <v>0</v>
      </c>
      <c r="AG71" s="6">
        <f t="shared" si="29"/>
        <v>0</v>
      </c>
      <c r="AH71" s="19" t="str">
        <f>higiene[[#This Row],[Item]]</f>
        <v>Detergente (6un)</v>
      </c>
      <c r="AI71" s="4">
        <f>IFERROR(higiene[[#This Row],[Kg equivalente]],0)</f>
        <v>0</v>
      </c>
      <c r="AJ71" s="4">
        <f>IFERROR(higiene[[#This Row],[Preço por produto]],0)</f>
        <v>13.45</v>
      </c>
      <c r="AK71" s="4">
        <f>SUMIFS(super1[Qtde],super1[Item],tab_higiene[[#This Row],[Item]],super1[Bairro],mercado1)+SUMIFS(supercb[Qtde],supercb[Item],tab_higiene[[#This Row],[Item]],supercb[Bairro],mercado1)</f>
        <v>0</v>
      </c>
      <c r="AL71" s="4">
        <f>SUMIFS(super1[Qtde],super1[Item],tab_higiene[[#This Row],[Item]],super1[Bairro],mercado2)+SUMIFS(supercb[Qtde],supercb[Item],tab_higiene[[#This Row],[Item]],supercb[Bairro],mercado2)</f>
        <v>0</v>
      </c>
      <c r="AM71" s="4">
        <f>SUMIFS(super1[Qtde],super1[Item],tab_higiene[[#This Row],[Item]],super1[Bairro],mercado3)+SUMIFS(supercb[Qtde],supercb[Item],tab_higiene[[#This Row],[Item]],supercb[Bairro],mercado3)</f>
        <v>0</v>
      </c>
      <c r="AN71" s="4">
        <f>SUMIFS(super1[Qtde],super1[Item],tab_higiene[[#This Row],[Item]],super1[Bairro],mercado4)+SUMIFS(supercb[Qtde],supercb[Item],tab_higiene[[#This Row],[Item]],supercb[Bairro],mercado4)</f>
        <v>0</v>
      </c>
      <c r="AO71" s="4">
        <f>SUMIFS(super1[Qtde],super1[Item],tab_higiene[[#This Row],[Item]],super1[Bairro],mercado5)+SUMIFS(supercb[Qtde],supercb[Item],tab_higiene[[#This Row],[Item]],supercb[Bairro],mercado5)</f>
        <v>0</v>
      </c>
      <c r="AP71" s="4">
        <f>SUMIFS(super1[Qtde],super1[Item],tab_higiene[[#This Row],[Item]],super1[Bairro],mercado6)+SUMIFS(supercb[Qtde],supercb[Item],tab_higiene[[#This Row],[Item]],supercb[Bairro],mercado6)</f>
        <v>0</v>
      </c>
      <c r="AQ71" s="4">
        <f>SUMIFS(super1[Qtde],super1[Item],tab_higiene[[#This Row],[Item]],super1[Bairro],mercado7)+SUMIFS(supercb[Qtde],supercb[Item],tab_higiene[[#This Row],[Item]],supercb[Bairro],mercado7)</f>
        <v>0</v>
      </c>
      <c r="AR71" s="4">
        <f>SUMIFS(super1[Qtde],super1[Item],tab_higiene[[#This Row],[Item]],super1[Bairro],mercado8)+SUMIFS(supercb[Qtde],supercb[Item],tab_higiene[[#This Row],[Item]],supercb[Bairro],mercado8)</f>
        <v>0</v>
      </c>
      <c r="AS71" s="4">
        <f>SUMIFS(super1[Qtde],super1[Item],tab_higiene[[#This Row],[Item]],super1[Bairro],mercado9)+SUMIFS(supercb[Qtde],supercb[Item],tab_higiene[[#This Row],[Item]],supercb[Bairro],mercado9)</f>
        <v>0</v>
      </c>
      <c r="AT71" s="4">
        <f>SUMIFS(super1[Qtde],super1[Item],tab_higiene[[#This Row],[Item]],super1[Bairro],mercado10)+SUMIFS(supercb[Qtde],supercb[Item],tab_higiene[[#This Row],[Item]],supercb[Bairro],mercado10)</f>
        <v>0</v>
      </c>
      <c r="AU71" s="4">
        <f>SUMIFS(super1[Qtde],super1[Item],tab_higiene[[#This Row],[Item]],super1[Bairro],mercado11)+SUMIFS(supercb[Qtde],supercb[Item],tab_higiene[[#This Row],[Item]],supercb[Bairro],mercado11)</f>
        <v>0</v>
      </c>
      <c r="AV71" s="4">
        <f>SUMIFS(super1[Qtde],super1[Item],tab_higiene[[#This Row],[Item]],super1[Bairro],mercado12)+SUMIFS(supercb[Qtde],supercb[Item],tab_higiene[[#This Row],[Item]],supercb[Bairro],mercado12)</f>
        <v>0</v>
      </c>
      <c r="AW71" s="4">
        <f>SUMIFS(super1[Qtde],super1[Item],tab_higiene[[#This Row],[Item]],super1[Bairro],mercado13)+SUMIFS(supercb[Qtde],supercb[Item],tab_higiene[[#This Row],[Item]],supercb[Bairro],mercado13)</f>
        <v>0</v>
      </c>
      <c r="AX71" s="4">
        <f>SUMIFS(super1[Qtde],super1[Item],tab_higiene[[#This Row],[Item]],super1[Bairro],mercado14)+SUMIFS(supercb[Qtde],supercb[Item],tab_higiene[[#This Row],[Item]],supercb[Bairro],mercado14)</f>
        <v>0</v>
      </c>
      <c r="AY71" s="4">
        <f>SUMIFS(super1[Qtde],super1[Item],tab_higiene[[#This Row],[Item]],super1[Bairro],mercado15)+SUMIFS(supercb[Qtde],supercb[Item],tab_higiene[[#This Row],[Item]],supercb[Bairro],mercado15)</f>
        <v>0</v>
      </c>
      <c r="AZ71" s="4">
        <f>SUMIFS(super1[Qtde],super1[Item],tab_higiene[[#This Row],[Item]],super1[Bairro],mercado16)+SUMIFS(supercb[Qtde],supercb[Item],tab_higiene[[#This Row],[Item]],supercb[Bairro],mercado16)</f>
        <v>0</v>
      </c>
      <c r="BA71" s="4">
        <f>SUMIFS(super1[Qtde],super1[Item],tab_higiene[[#This Row],[Item]],super1[Bairro],mercado17)+SUMIFS(supercb[Qtde],supercb[Item],tab_higiene[[#This Row],[Item]],supercb[Bairro],mercado17)</f>
        <v>0</v>
      </c>
      <c r="BB71" s="4">
        <f>SUMIFS(super1[Qtde],super1[Item],tab_higiene[[#This Row],[Item]],super1[Bairro],mercado18)+SUMIFS(supercb[Qtde],supercb[Item],tab_higiene[[#This Row],[Item]],supercb[Bairro],mercado18)</f>
        <v>0</v>
      </c>
      <c r="BC71" s="4">
        <f>SUMIFS(super1[Qtde],super1[Item],tab_higiene[[#This Row],[Item]],super1[Bairro],extras)+SUMIFS(supercb[Qtde],supercb[Item],tab_higiene[[#This Row],[Item]],supercb[Bairro],extras)</f>
        <v>0</v>
      </c>
      <c r="BD71" s="4">
        <f t="shared" si="30"/>
        <v>0</v>
      </c>
      <c r="BE71" s="4">
        <f t="shared" si="31"/>
        <v>0</v>
      </c>
      <c r="BF71" s="6">
        <f t="shared" si="32"/>
        <v>0</v>
      </c>
      <c r="BI71" s="1" t="str">
        <f>tab_alimentos[[#This Row],[Item]]</f>
        <v>Batata Palha (200g)</v>
      </c>
      <c r="BJ71" s="1">
        <f t="shared" si="25"/>
        <v>13</v>
      </c>
      <c r="BK71" s="1" t="str">
        <f t="shared" si="26"/>
        <v>Batata Palha</v>
      </c>
      <c r="BL71" s="1">
        <f>tab_alimentos[[#This Row],[kg]]</f>
        <v>0</v>
      </c>
      <c r="BM71" s="25" t="s">
        <v>267</v>
      </c>
      <c r="BN71" s="1">
        <f t="shared" si="36"/>
        <v>0</v>
      </c>
      <c r="BP71" s="1" t="str">
        <f>tab_higiene[[#This Row],[Item]]</f>
        <v>Detergente (6un)</v>
      </c>
      <c r="BQ71" s="1">
        <f t="shared" si="33"/>
        <v>11</v>
      </c>
      <c r="BR71" s="1" t="str">
        <f t="shared" si="34"/>
        <v>Detergente</v>
      </c>
      <c r="BS71" s="1">
        <f>higiene[[#This Row],[Quantidade]]</f>
        <v>40</v>
      </c>
      <c r="BT71" s="1">
        <f>tab_higiene[[#This Row],[Qtde (tot)]]</f>
        <v>0</v>
      </c>
      <c r="BU71" s="1">
        <f t="shared" si="37"/>
        <v>0</v>
      </c>
      <c r="BV71" s="25" t="s">
        <v>80</v>
      </c>
      <c r="BW71" s="1">
        <f t="shared" si="35"/>
        <v>0</v>
      </c>
    </row>
    <row r="72" spans="9:75" x14ac:dyDescent="0.25">
      <c r="I72" s="19" t="str">
        <f>alimentos[[#This Row],[Item]]</f>
        <v>Batata Palha (400g)</v>
      </c>
      <c r="J72" s="4">
        <f>IFERROR(alimentos[[#This Row],[kg/embalagem]],0)</f>
        <v>0.4</v>
      </c>
      <c r="K72" s="4">
        <f>IFERROR(alimentos[[#This Row],[Preço]],0)</f>
        <v>25.39</v>
      </c>
      <c r="L72" s="4">
        <f>SUMIFS(super1[Qtde],super1[Item],tab_alimentos[[#This Row],[Item]],super1[Bairro],mercado1)+SUMIFS(supercb[Qtde],supercb[Item],tab_alimentos[[#This Row],[Item]],supercb[Bairro],mercado1)</f>
        <v>0</v>
      </c>
      <c r="M72" s="4">
        <f>SUMIFS(super1[Qtde],super1[Item],tab_alimentos[[#This Row],[Item]],super1[Bairro],mercado2)+SUMIFS(supercb[Qtde],supercb[Item],tab_alimentos[[#This Row],[Item]],supercb[Bairro],mercado2)</f>
        <v>0</v>
      </c>
      <c r="N72" s="4">
        <f>SUMIFS(super1[Qtde],super1[Item],tab_alimentos[[#This Row],[Item]],super1[Bairro],mercado3)+SUMIFS(supercb[Qtde],supercb[Item],tab_alimentos[[#This Row],[Item]],supercb[Bairro],mercado3)</f>
        <v>0</v>
      </c>
      <c r="O72" s="4">
        <f>SUMIFS(super1[Qtde],super1[Item],tab_alimentos[[#This Row],[Item]],super1[Bairro],mercado4)+SUMIFS(supercb[Qtde],supercb[Item],tab_alimentos[[#This Row],[Item]],supercb[Bairro],mercado4)</f>
        <v>0</v>
      </c>
      <c r="P72" s="4">
        <f>SUMIFS(super1[Qtde],super1[Item],tab_alimentos[[#This Row],[Item]],super1[Bairro],mercado5)+SUMIFS(supercb[Qtde],supercb[Item],tab_alimentos[[#This Row],[Item]],supercb[Bairro],mercado5)</f>
        <v>0</v>
      </c>
      <c r="Q72" s="4">
        <f>SUMIFS(super1[Qtde],super1[Item],tab_alimentos[[#This Row],[Item]],super1[Bairro],mercado6)+SUMIFS(supercb[Qtde],supercb[Item],tab_alimentos[[#This Row],[Item]],supercb[Bairro],mercado6)</f>
        <v>0</v>
      </c>
      <c r="R72" s="4">
        <f>SUMIFS(super1[Qtde],super1[Item],tab_alimentos[[#This Row],[Item]],super1[Bairro],mercado7)+SUMIFS(supercb[Qtde],supercb[Item],tab_alimentos[[#This Row],[Item]],supercb[Bairro],mercado7)</f>
        <v>0</v>
      </c>
      <c r="S72" s="4">
        <f>SUMIFS(super1[Qtde],super1[Item],tab_alimentos[[#This Row],[Item]],super1[Bairro],mercado8)+SUMIFS(supercb[Qtde],supercb[Item],tab_alimentos[[#This Row],[Item]],supercb[Bairro],mercado8)</f>
        <v>0</v>
      </c>
      <c r="T72" s="4">
        <f>SUMIFS(super1[Qtde],super1[Item],tab_alimentos[[#This Row],[Item]],super1[Bairro],mercado9)+SUMIFS(supercb[Qtde],supercb[Item],tab_alimentos[[#This Row],[Item]],supercb[Bairro],mercado9)</f>
        <v>0</v>
      </c>
      <c r="U72" s="4">
        <f>SUMIFS(super1[Qtde],super1[Item],tab_alimentos[[#This Row],[Item]],super1[Bairro],mercado10)+SUMIFS(supercb[Qtde],supercb[Item],tab_alimentos[[#This Row],[Item]],supercb[Bairro],mercado10)</f>
        <v>0</v>
      </c>
      <c r="V72" s="4">
        <f>SUMIFS(super1[Qtde],super1[Item],tab_alimentos[[#This Row],[Item]],super1[Bairro],mercado11)+SUMIFS(supercb[Qtde],supercb[Item],tab_alimentos[[#This Row],[Item]],supercb[Bairro],mercado11)</f>
        <v>0</v>
      </c>
      <c r="W72" s="4">
        <f>SUMIFS(super1[Qtde],super1[Item],tab_alimentos[[#This Row],[Item]],super1[Bairro],mercado12)+SUMIFS(supercb[Qtde],supercb[Item],tab_alimentos[[#This Row],[Item]],supercb[Bairro],mercado12)</f>
        <v>0</v>
      </c>
      <c r="X72" s="4">
        <f>SUMIFS(super1[Qtde],super1[Item],tab_alimentos[[#This Row],[Item]],super1[Bairro],mercado13)+SUMIFS(supercb[Qtde],supercb[Item],tab_alimentos[[#This Row],[Item]],supercb[Bairro],mercado13)</f>
        <v>0</v>
      </c>
      <c r="Y72" s="4">
        <f>SUMIFS(super1[Qtde],super1[Item],tab_alimentos[[#This Row],[Item]],super1[Bairro],mercado14)+SUMIFS(supercb[Qtde],supercb[Item],tab_alimentos[[#This Row],[Item]],supercb[Bairro],mercado14)</f>
        <v>0</v>
      </c>
      <c r="Z72" s="4">
        <f>SUMIFS(super1[Qtde],super1[Item],tab_alimentos[[#This Row],[Item]],super1[Bairro],mercado15)+SUMIFS(supercb[Qtde],supercb[Item],tab_alimentos[[#This Row],[Item]],supercb[Bairro],mercado15)</f>
        <v>0</v>
      </c>
      <c r="AA72" s="4">
        <f>SUMIFS(super1[Qtde],super1[Item],tab_alimentos[[#This Row],[Item]],super1[Bairro],mercado16)+SUMIFS(supercb[Qtde],supercb[Item],tab_alimentos[[#This Row],[Item]],supercb[Bairro],mercado16)</f>
        <v>0</v>
      </c>
      <c r="AB72" s="4">
        <f>SUMIFS(super1[Qtde],super1[Item],tab_alimentos[[#This Row],[Item]],super1[Bairro],mercado17)+SUMIFS(supercb[Qtde],supercb[Item],tab_alimentos[[#This Row],[Item]],supercb[Bairro],mercado17)</f>
        <v>0</v>
      </c>
      <c r="AC72" s="4">
        <f>SUMIFS(super1[Qtde],super1[Item],tab_alimentos[[#This Row],[Item]],super1[Bairro],mercado18)+SUMIFS(supercb[Qtde],supercb[Item],tab_alimentos[[#This Row],[Item]],supercb[Bairro],mercado18)</f>
        <v>0</v>
      </c>
      <c r="AD72" s="4">
        <f>SUMIFS(super1[Qtde],super1[Item],tab_alimentos[[#This Row],[Item]],super1[Bairro],extras)+SUMIFS(supercb[Qtde],supercb[Item],tab_alimentos[[#This Row],[Item]],supercb[Bairro],extras)</f>
        <v>0</v>
      </c>
      <c r="AE72" s="4">
        <f t="shared" si="27"/>
        <v>0</v>
      </c>
      <c r="AF72" s="4">
        <f t="shared" si="28"/>
        <v>0</v>
      </c>
      <c r="AG72" s="6">
        <f t="shared" si="29"/>
        <v>0</v>
      </c>
      <c r="AH72" s="19" t="str">
        <f>higiene[[#This Row],[Item]]</f>
        <v xml:space="preserve">Detergente Concentrado </v>
      </c>
      <c r="AI72" s="4">
        <f>IFERROR(higiene[[#This Row],[Kg equivalente]],0)</f>
        <v>0</v>
      </c>
      <c r="AJ72" s="4">
        <f>IFERROR(higiene[[#This Row],[Preço por produto]],0)</f>
        <v>6.89</v>
      </c>
      <c r="AK72" s="4">
        <f>SUMIFS(super1[Qtde],super1[Item],tab_higiene[[#This Row],[Item]],super1[Bairro],mercado1)+SUMIFS(supercb[Qtde],supercb[Item],tab_higiene[[#This Row],[Item]],supercb[Bairro],mercado1)</f>
        <v>0</v>
      </c>
      <c r="AL72" s="4">
        <f>SUMIFS(super1[Qtde],super1[Item],tab_higiene[[#This Row],[Item]],super1[Bairro],mercado2)+SUMIFS(supercb[Qtde],supercb[Item],tab_higiene[[#This Row],[Item]],supercb[Bairro],mercado2)</f>
        <v>0</v>
      </c>
      <c r="AM72" s="4">
        <f>SUMIFS(super1[Qtde],super1[Item],tab_higiene[[#This Row],[Item]],super1[Bairro],mercado3)+SUMIFS(supercb[Qtde],supercb[Item],tab_higiene[[#This Row],[Item]],supercb[Bairro],mercado3)</f>
        <v>0</v>
      </c>
      <c r="AN72" s="4">
        <f>SUMIFS(super1[Qtde],super1[Item],tab_higiene[[#This Row],[Item]],super1[Bairro],mercado4)+SUMIFS(supercb[Qtde],supercb[Item],tab_higiene[[#This Row],[Item]],supercb[Bairro],mercado4)</f>
        <v>0</v>
      </c>
      <c r="AO72" s="4">
        <f>SUMIFS(super1[Qtde],super1[Item],tab_higiene[[#This Row],[Item]],super1[Bairro],mercado5)+SUMIFS(supercb[Qtde],supercb[Item],tab_higiene[[#This Row],[Item]],supercb[Bairro],mercado5)</f>
        <v>0</v>
      </c>
      <c r="AP72" s="4">
        <f>SUMIFS(super1[Qtde],super1[Item],tab_higiene[[#This Row],[Item]],super1[Bairro],mercado6)+SUMIFS(supercb[Qtde],supercb[Item],tab_higiene[[#This Row],[Item]],supercb[Bairro],mercado6)</f>
        <v>0</v>
      </c>
      <c r="AQ72" s="4">
        <f>SUMIFS(super1[Qtde],super1[Item],tab_higiene[[#This Row],[Item]],super1[Bairro],mercado7)+SUMIFS(supercb[Qtde],supercb[Item],tab_higiene[[#This Row],[Item]],supercb[Bairro],mercado7)</f>
        <v>0</v>
      </c>
      <c r="AR72" s="4">
        <f>SUMIFS(super1[Qtde],super1[Item],tab_higiene[[#This Row],[Item]],super1[Bairro],mercado8)+SUMIFS(supercb[Qtde],supercb[Item],tab_higiene[[#This Row],[Item]],supercb[Bairro],mercado8)</f>
        <v>0</v>
      </c>
      <c r="AS72" s="4">
        <f>SUMIFS(super1[Qtde],super1[Item],tab_higiene[[#This Row],[Item]],super1[Bairro],mercado9)+SUMIFS(supercb[Qtde],supercb[Item],tab_higiene[[#This Row],[Item]],supercb[Bairro],mercado9)</f>
        <v>0</v>
      </c>
      <c r="AT72" s="4">
        <f>SUMIFS(super1[Qtde],super1[Item],tab_higiene[[#This Row],[Item]],super1[Bairro],mercado10)+SUMIFS(supercb[Qtde],supercb[Item],tab_higiene[[#This Row],[Item]],supercb[Bairro],mercado10)</f>
        <v>0</v>
      </c>
      <c r="AU72" s="4">
        <f>SUMIFS(super1[Qtde],super1[Item],tab_higiene[[#This Row],[Item]],super1[Bairro],mercado11)+SUMIFS(supercb[Qtde],supercb[Item],tab_higiene[[#This Row],[Item]],supercb[Bairro],mercado11)</f>
        <v>0</v>
      </c>
      <c r="AV72" s="4">
        <f>SUMIFS(super1[Qtde],super1[Item],tab_higiene[[#This Row],[Item]],super1[Bairro],mercado12)+SUMIFS(supercb[Qtde],supercb[Item],tab_higiene[[#This Row],[Item]],supercb[Bairro],mercado12)</f>
        <v>0</v>
      </c>
      <c r="AW72" s="4">
        <f>SUMIFS(super1[Qtde],super1[Item],tab_higiene[[#This Row],[Item]],super1[Bairro],mercado13)+SUMIFS(supercb[Qtde],supercb[Item],tab_higiene[[#This Row],[Item]],supercb[Bairro],mercado13)</f>
        <v>0</v>
      </c>
      <c r="AX72" s="4">
        <f>SUMIFS(super1[Qtde],super1[Item],tab_higiene[[#This Row],[Item]],super1[Bairro],mercado14)+SUMIFS(supercb[Qtde],supercb[Item],tab_higiene[[#This Row],[Item]],supercb[Bairro],mercado14)</f>
        <v>0</v>
      </c>
      <c r="AY72" s="4">
        <f>SUMIFS(super1[Qtde],super1[Item],tab_higiene[[#This Row],[Item]],super1[Bairro],mercado15)+SUMIFS(supercb[Qtde],supercb[Item],tab_higiene[[#This Row],[Item]],supercb[Bairro],mercado15)</f>
        <v>0</v>
      </c>
      <c r="AZ72" s="4">
        <f>SUMIFS(super1[Qtde],super1[Item],tab_higiene[[#This Row],[Item]],super1[Bairro],mercado16)+SUMIFS(supercb[Qtde],supercb[Item],tab_higiene[[#This Row],[Item]],supercb[Bairro],mercado16)</f>
        <v>0</v>
      </c>
      <c r="BA72" s="4">
        <f>SUMIFS(super1[Qtde],super1[Item],tab_higiene[[#This Row],[Item]],super1[Bairro],mercado17)+SUMIFS(supercb[Qtde],supercb[Item],tab_higiene[[#This Row],[Item]],supercb[Bairro],mercado17)</f>
        <v>0</v>
      </c>
      <c r="BB72" s="4">
        <f>SUMIFS(super1[Qtde],super1[Item],tab_higiene[[#This Row],[Item]],super1[Bairro],mercado18)+SUMIFS(supercb[Qtde],supercb[Item],tab_higiene[[#This Row],[Item]],supercb[Bairro],mercado18)</f>
        <v>0</v>
      </c>
      <c r="BC72" s="4">
        <f>SUMIFS(super1[Qtde],super1[Item],tab_higiene[[#This Row],[Item]],super1[Bairro],extras)+SUMIFS(supercb[Qtde],supercb[Item],tab_higiene[[#This Row],[Item]],supercb[Bairro],extras)</f>
        <v>0</v>
      </c>
      <c r="BD72" s="4">
        <f t="shared" si="30"/>
        <v>0</v>
      </c>
      <c r="BE72" s="4">
        <f t="shared" si="31"/>
        <v>0</v>
      </c>
      <c r="BF72" s="6">
        <f t="shared" si="32"/>
        <v>0</v>
      </c>
      <c r="BI72" s="1" t="str">
        <f>tab_alimentos[[#This Row],[Item]]</f>
        <v>Batata Palha (400g)</v>
      </c>
      <c r="BJ72" s="1">
        <f t="shared" si="25"/>
        <v>13</v>
      </c>
      <c r="BK72" s="1" t="str">
        <f t="shared" si="26"/>
        <v>Batata Palha</v>
      </c>
      <c r="BL72" s="1">
        <f>tab_alimentos[[#This Row],[kg]]</f>
        <v>0</v>
      </c>
      <c r="BM72" s="25" t="s">
        <v>72</v>
      </c>
      <c r="BN72" s="1">
        <f t="shared" si="36"/>
        <v>0</v>
      </c>
      <c r="BP72" s="1" t="str">
        <f>tab_higiene[[#This Row],[Item]]</f>
        <v xml:space="preserve">Detergente Concentrado </v>
      </c>
      <c r="BQ72" s="1">
        <f t="shared" si="33"/>
        <v>0</v>
      </c>
      <c r="BR72" s="1" t="str">
        <f t="shared" si="34"/>
        <v xml:space="preserve">Detergente Concentrado </v>
      </c>
      <c r="BS72" s="1">
        <f>higiene[[#This Row],[Quantidade]]</f>
        <v>0.41599999999999998</v>
      </c>
      <c r="BT72" s="1">
        <f>tab_higiene[[#This Row],[Qtde (tot)]]</f>
        <v>0</v>
      </c>
      <c r="BU72" s="1">
        <f t="shared" si="37"/>
        <v>0</v>
      </c>
      <c r="BV72" s="25">
        <v>0</v>
      </c>
      <c r="BW72" s="1">
        <f t="shared" si="35"/>
        <v>0</v>
      </c>
    </row>
    <row r="73" spans="9:75" x14ac:dyDescent="0.25">
      <c r="I73" s="19" t="str">
        <f>alimentos[[#This Row],[Item]]</f>
        <v>Bebida Láctea Baunilha (200mL)</v>
      </c>
      <c r="J73" s="4">
        <f>IFERROR(alimentos[[#This Row],[kg/embalagem]],0)</f>
        <v>0.2</v>
      </c>
      <c r="K73" s="4">
        <f>IFERROR(alimentos[[#This Row],[Preço]],0)</f>
        <v>2.59</v>
      </c>
      <c r="L73" s="4">
        <f>SUMIFS(super1[Qtde],super1[Item],tab_alimentos[[#This Row],[Item]],super1[Bairro],mercado1)+SUMIFS(supercb[Qtde],supercb[Item],tab_alimentos[[#This Row],[Item]],supercb[Bairro],mercado1)</f>
        <v>0</v>
      </c>
      <c r="M73" s="4">
        <f>SUMIFS(super1[Qtde],super1[Item],tab_alimentos[[#This Row],[Item]],super1[Bairro],mercado2)+SUMIFS(supercb[Qtde],supercb[Item],tab_alimentos[[#This Row],[Item]],supercb[Bairro],mercado2)</f>
        <v>0</v>
      </c>
      <c r="N73" s="4">
        <f>SUMIFS(super1[Qtde],super1[Item],tab_alimentos[[#This Row],[Item]],super1[Bairro],mercado3)+SUMIFS(supercb[Qtde],supercb[Item],tab_alimentos[[#This Row],[Item]],supercb[Bairro],mercado3)</f>
        <v>0</v>
      </c>
      <c r="O73" s="4">
        <f>SUMIFS(super1[Qtde],super1[Item],tab_alimentos[[#This Row],[Item]],super1[Bairro],mercado4)+SUMIFS(supercb[Qtde],supercb[Item],tab_alimentos[[#This Row],[Item]],supercb[Bairro],mercado4)</f>
        <v>0</v>
      </c>
      <c r="P73" s="4">
        <f>SUMIFS(super1[Qtde],super1[Item],tab_alimentos[[#This Row],[Item]],super1[Bairro],mercado5)+SUMIFS(supercb[Qtde],supercb[Item],tab_alimentos[[#This Row],[Item]],supercb[Bairro],mercado5)</f>
        <v>0</v>
      </c>
      <c r="Q73" s="4">
        <f>SUMIFS(super1[Qtde],super1[Item],tab_alimentos[[#This Row],[Item]],super1[Bairro],mercado6)+SUMIFS(supercb[Qtde],supercb[Item],tab_alimentos[[#This Row],[Item]],supercb[Bairro],mercado6)</f>
        <v>0</v>
      </c>
      <c r="R73" s="4">
        <f>SUMIFS(super1[Qtde],super1[Item],tab_alimentos[[#This Row],[Item]],super1[Bairro],mercado7)+SUMIFS(supercb[Qtde],supercb[Item],tab_alimentos[[#This Row],[Item]],supercb[Bairro],mercado7)</f>
        <v>0</v>
      </c>
      <c r="S73" s="4">
        <f>SUMIFS(super1[Qtde],super1[Item],tab_alimentos[[#This Row],[Item]],super1[Bairro],mercado8)+SUMIFS(supercb[Qtde],supercb[Item],tab_alimentos[[#This Row],[Item]],supercb[Bairro],mercado8)</f>
        <v>0</v>
      </c>
      <c r="T73" s="4">
        <f>SUMIFS(super1[Qtde],super1[Item],tab_alimentos[[#This Row],[Item]],super1[Bairro],mercado9)+SUMIFS(supercb[Qtde],supercb[Item],tab_alimentos[[#This Row],[Item]],supercb[Bairro],mercado9)</f>
        <v>0</v>
      </c>
      <c r="U73" s="4">
        <f>SUMIFS(super1[Qtde],super1[Item],tab_alimentos[[#This Row],[Item]],super1[Bairro],mercado10)+SUMIFS(supercb[Qtde],supercb[Item],tab_alimentos[[#This Row],[Item]],supercb[Bairro],mercado10)</f>
        <v>0</v>
      </c>
      <c r="V73" s="4">
        <f>SUMIFS(super1[Qtde],super1[Item],tab_alimentos[[#This Row],[Item]],super1[Bairro],mercado11)+SUMIFS(supercb[Qtde],supercb[Item],tab_alimentos[[#This Row],[Item]],supercb[Bairro],mercado11)</f>
        <v>0</v>
      </c>
      <c r="W73" s="4">
        <f>SUMIFS(super1[Qtde],super1[Item],tab_alimentos[[#This Row],[Item]],super1[Bairro],mercado12)+SUMIFS(supercb[Qtde],supercb[Item],tab_alimentos[[#This Row],[Item]],supercb[Bairro],mercado12)</f>
        <v>0</v>
      </c>
      <c r="X73" s="4">
        <f>SUMIFS(super1[Qtde],super1[Item],tab_alimentos[[#This Row],[Item]],super1[Bairro],mercado13)+SUMIFS(supercb[Qtde],supercb[Item],tab_alimentos[[#This Row],[Item]],supercb[Bairro],mercado13)</f>
        <v>0</v>
      </c>
      <c r="Y73" s="4">
        <f>SUMIFS(super1[Qtde],super1[Item],tab_alimentos[[#This Row],[Item]],super1[Bairro],mercado14)+SUMIFS(supercb[Qtde],supercb[Item],tab_alimentos[[#This Row],[Item]],supercb[Bairro],mercado14)</f>
        <v>0</v>
      </c>
      <c r="Z73" s="4">
        <f>SUMIFS(super1[Qtde],super1[Item],tab_alimentos[[#This Row],[Item]],super1[Bairro],mercado15)+SUMIFS(supercb[Qtde],supercb[Item],tab_alimentos[[#This Row],[Item]],supercb[Bairro],mercado15)</f>
        <v>0</v>
      </c>
      <c r="AA73" s="4">
        <f>SUMIFS(super1[Qtde],super1[Item],tab_alimentos[[#This Row],[Item]],super1[Bairro],mercado16)+SUMIFS(supercb[Qtde],supercb[Item],tab_alimentos[[#This Row],[Item]],supercb[Bairro],mercado16)</f>
        <v>0</v>
      </c>
      <c r="AB73" s="4">
        <f>SUMIFS(super1[Qtde],super1[Item],tab_alimentos[[#This Row],[Item]],super1[Bairro],mercado17)+SUMIFS(supercb[Qtde],supercb[Item],tab_alimentos[[#This Row],[Item]],supercb[Bairro],mercado17)</f>
        <v>0</v>
      </c>
      <c r="AC73" s="4">
        <f>SUMIFS(super1[Qtde],super1[Item],tab_alimentos[[#This Row],[Item]],super1[Bairro],mercado18)+SUMIFS(supercb[Qtde],supercb[Item],tab_alimentos[[#This Row],[Item]],supercb[Bairro],mercado18)</f>
        <v>0</v>
      </c>
      <c r="AD73" s="4">
        <f>SUMIFS(super1[Qtde],super1[Item],tab_alimentos[[#This Row],[Item]],super1[Bairro],extras)+SUMIFS(supercb[Qtde],supercb[Item],tab_alimentos[[#This Row],[Item]],supercb[Bairro],extras)</f>
        <v>0</v>
      </c>
      <c r="AE73" s="4">
        <f t="shared" si="27"/>
        <v>0</v>
      </c>
      <c r="AF73" s="4">
        <f t="shared" si="28"/>
        <v>0</v>
      </c>
      <c r="AG73" s="6">
        <f t="shared" si="29"/>
        <v>0</v>
      </c>
      <c r="AH73" s="19" t="str">
        <f>higiene[[#This Row],[Item]]</f>
        <v>E</v>
      </c>
      <c r="AI73" s="4">
        <f>IFERROR(higiene[[#This Row],[Kg equivalente]],0)</f>
        <v>0</v>
      </c>
      <c r="AJ73" s="4">
        <f>IFERROR(higiene[[#This Row],[Preço por produto]],0)</f>
        <v>0</v>
      </c>
      <c r="AK73" s="4">
        <f>SUMIFS(super1[Qtde],super1[Item],tab_higiene[[#This Row],[Item]],super1[Bairro],mercado1)+SUMIFS(supercb[Qtde],supercb[Item],tab_higiene[[#This Row],[Item]],supercb[Bairro],mercado1)</f>
        <v>0</v>
      </c>
      <c r="AL73" s="4">
        <f>SUMIFS(super1[Qtde],super1[Item],tab_higiene[[#This Row],[Item]],super1[Bairro],mercado2)+SUMIFS(supercb[Qtde],supercb[Item],tab_higiene[[#This Row],[Item]],supercb[Bairro],mercado2)</f>
        <v>0</v>
      </c>
      <c r="AM73" s="4">
        <f>SUMIFS(super1[Qtde],super1[Item],tab_higiene[[#This Row],[Item]],super1[Bairro],mercado3)+SUMIFS(supercb[Qtde],supercb[Item],tab_higiene[[#This Row],[Item]],supercb[Bairro],mercado3)</f>
        <v>0</v>
      </c>
      <c r="AN73" s="4">
        <f>SUMIFS(super1[Qtde],super1[Item],tab_higiene[[#This Row],[Item]],super1[Bairro],mercado4)+SUMIFS(supercb[Qtde],supercb[Item],tab_higiene[[#This Row],[Item]],supercb[Bairro],mercado4)</f>
        <v>0</v>
      </c>
      <c r="AO73" s="4">
        <f>SUMIFS(super1[Qtde],super1[Item],tab_higiene[[#This Row],[Item]],super1[Bairro],mercado5)+SUMIFS(supercb[Qtde],supercb[Item],tab_higiene[[#This Row],[Item]],supercb[Bairro],mercado5)</f>
        <v>0</v>
      </c>
      <c r="AP73" s="4">
        <f>SUMIFS(super1[Qtde],super1[Item],tab_higiene[[#This Row],[Item]],super1[Bairro],mercado6)+SUMIFS(supercb[Qtde],supercb[Item],tab_higiene[[#This Row],[Item]],supercb[Bairro],mercado6)</f>
        <v>0</v>
      </c>
      <c r="AQ73" s="4">
        <f>SUMIFS(super1[Qtde],super1[Item],tab_higiene[[#This Row],[Item]],super1[Bairro],mercado7)+SUMIFS(supercb[Qtde],supercb[Item],tab_higiene[[#This Row],[Item]],supercb[Bairro],mercado7)</f>
        <v>0</v>
      </c>
      <c r="AR73" s="4">
        <f>SUMIFS(super1[Qtde],super1[Item],tab_higiene[[#This Row],[Item]],super1[Bairro],mercado8)+SUMIFS(supercb[Qtde],supercb[Item],tab_higiene[[#This Row],[Item]],supercb[Bairro],mercado8)</f>
        <v>0</v>
      </c>
      <c r="AS73" s="4">
        <f>SUMIFS(super1[Qtde],super1[Item],tab_higiene[[#This Row],[Item]],super1[Bairro],mercado9)+SUMIFS(supercb[Qtde],supercb[Item],tab_higiene[[#This Row],[Item]],supercb[Bairro],mercado9)</f>
        <v>0</v>
      </c>
      <c r="AT73" s="4">
        <f>SUMIFS(super1[Qtde],super1[Item],tab_higiene[[#This Row],[Item]],super1[Bairro],mercado10)+SUMIFS(supercb[Qtde],supercb[Item],tab_higiene[[#This Row],[Item]],supercb[Bairro],mercado10)</f>
        <v>0</v>
      </c>
      <c r="AU73" s="4">
        <f>SUMIFS(super1[Qtde],super1[Item],tab_higiene[[#This Row],[Item]],super1[Bairro],mercado11)+SUMIFS(supercb[Qtde],supercb[Item],tab_higiene[[#This Row],[Item]],supercb[Bairro],mercado11)</f>
        <v>0</v>
      </c>
      <c r="AV73" s="4">
        <f>SUMIFS(super1[Qtde],super1[Item],tab_higiene[[#This Row],[Item]],super1[Bairro],mercado12)+SUMIFS(supercb[Qtde],supercb[Item],tab_higiene[[#This Row],[Item]],supercb[Bairro],mercado12)</f>
        <v>0</v>
      </c>
      <c r="AW73" s="4">
        <f>SUMIFS(super1[Qtde],super1[Item],tab_higiene[[#This Row],[Item]],super1[Bairro],mercado13)+SUMIFS(supercb[Qtde],supercb[Item],tab_higiene[[#This Row],[Item]],supercb[Bairro],mercado13)</f>
        <v>0</v>
      </c>
      <c r="AX73" s="4">
        <f>SUMIFS(super1[Qtde],super1[Item],tab_higiene[[#This Row],[Item]],super1[Bairro],mercado14)+SUMIFS(supercb[Qtde],supercb[Item],tab_higiene[[#This Row],[Item]],supercb[Bairro],mercado14)</f>
        <v>0</v>
      </c>
      <c r="AY73" s="4">
        <f>SUMIFS(super1[Qtde],super1[Item],tab_higiene[[#This Row],[Item]],super1[Bairro],mercado15)+SUMIFS(supercb[Qtde],supercb[Item],tab_higiene[[#This Row],[Item]],supercb[Bairro],mercado15)</f>
        <v>0</v>
      </c>
      <c r="AZ73" s="4">
        <f>SUMIFS(super1[Qtde],super1[Item],tab_higiene[[#This Row],[Item]],super1[Bairro],mercado16)+SUMIFS(supercb[Qtde],supercb[Item],tab_higiene[[#This Row],[Item]],supercb[Bairro],mercado16)</f>
        <v>0</v>
      </c>
      <c r="BA73" s="4">
        <f>SUMIFS(super1[Qtde],super1[Item],tab_higiene[[#This Row],[Item]],super1[Bairro],mercado17)+SUMIFS(supercb[Qtde],supercb[Item],tab_higiene[[#This Row],[Item]],supercb[Bairro],mercado17)</f>
        <v>0</v>
      </c>
      <c r="BB73" s="4">
        <f>SUMIFS(super1[Qtde],super1[Item],tab_higiene[[#This Row],[Item]],super1[Bairro],mercado18)+SUMIFS(supercb[Qtde],supercb[Item],tab_higiene[[#This Row],[Item]],supercb[Bairro],mercado18)</f>
        <v>0</v>
      </c>
      <c r="BC73" s="4">
        <f>SUMIFS(super1[Qtde],super1[Item],tab_higiene[[#This Row],[Item]],super1[Bairro],extras)+SUMIFS(supercb[Qtde],supercb[Item],tab_higiene[[#This Row],[Item]],supercb[Bairro],extras)</f>
        <v>0</v>
      </c>
      <c r="BD73" s="4">
        <f t="shared" si="30"/>
        <v>0</v>
      </c>
      <c r="BE73" s="4">
        <f t="shared" si="31"/>
        <v>0</v>
      </c>
      <c r="BF73" s="6">
        <f t="shared" si="32"/>
        <v>0</v>
      </c>
      <c r="BI73" s="1" t="str">
        <f>tab_alimentos[[#This Row],[Item]]</f>
        <v>Bebida Láctea Baunilha (200mL)</v>
      </c>
      <c r="BJ73" s="1">
        <f t="shared" si="25"/>
        <v>23</v>
      </c>
      <c r="BK73" s="1" t="str">
        <f t="shared" si="26"/>
        <v>Bebida Láctea Baunilha</v>
      </c>
      <c r="BL73" s="1">
        <f>tab_alimentos[[#This Row],[kg]]</f>
        <v>0</v>
      </c>
      <c r="BM73" s="25" t="s">
        <v>280</v>
      </c>
      <c r="BN73" s="1">
        <f t="shared" si="36"/>
        <v>0</v>
      </c>
      <c r="BP73" s="1" t="str">
        <f>tab_higiene[[#This Row],[Item]]</f>
        <v>E</v>
      </c>
      <c r="BQ73" s="1">
        <f t="shared" si="33"/>
        <v>0</v>
      </c>
      <c r="BR73" s="1" t="str">
        <f t="shared" si="34"/>
        <v>E</v>
      </c>
      <c r="BS73" s="1">
        <f>higiene[[#This Row],[Quantidade]]</f>
        <v>0</v>
      </c>
      <c r="BT73" s="1">
        <f>tab_higiene[[#This Row],[Qtde (tot)]]</f>
        <v>0</v>
      </c>
      <c r="BU73" s="1">
        <f t="shared" si="37"/>
        <v>0</v>
      </c>
      <c r="BV73" s="25" t="e">
        <v>#VALUE!</v>
      </c>
      <c r="BW73" s="1">
        <f t="shared" si="35"/>
        <v>0</v>
      </c>
    </row>
    <row r="74" spans="9:75" x14ac:dyDescent="0.25">
      <c r="I74" s="19" t="str">
        <f>alimentos[[#This Row],[Item]]</f>
        <v>Bebida Láctea Chocolate (180mL)</v>
      </c>
      <c r="J74" s="4">
        <f>IFERROR(alimentos[[#This Row],[kg/embalagem]],0)</f>
        <v>0.18</v>
      </c>
      <c r="K74" s="4">
        <f>IFERROR(alimentos[[#This Row],[Preço]],0)</f>
        <v>1.88</v>
      </c>
      <c r="L74" s="4">
        <f>SUMIFS(super1[Qtde],super1[Item],tab_alimentos[[#This Row],[Item]],super1[Bairro],mercado1)+SUMIFS(supercb[Qtde],supercb[Item],tab_alimentos[[#This Row],[Item]],supercb[Bairro],mercado1)</f>
        <v>0</v>
      </c>
      <c r="M74" s="4">
        <f>SUMIFS(super1[Qtde],super1[Item],tab_alimentos[[#This Row],[Item]],super1[Bairro],mercado2)+SUMIFS(supercb[Qtde],supercb[Item],tab_alimentos[[#This Row],[Item]],supercb[Bairro],mercado2)</f>
        <v>0</v>
      </c>
      <c r="N74" s="4">
        <f>SUMIFS(super1[Qtde],super1[Item],tab_alimentos[[#This Row],[Item]],super1[Bairro],mercado3)+SUMIFS(supercb[Qtde],supercb[Item],tab_alimentos[[#This Row],[Item]],supercb[Bairro],mercado3)</f>
        <v>0</v>
      </c>
      <c r="O74" s="4">
        <f>SUMIFS(super1[Qtde],super1[Item],tab_alimentos[[#This Row],[Item]],super1[Bairro],mercado4)+SUMIFS(supercb[Qtde],supercb[Item],tab_alimentos[[#This Row],[Item]],supercb[Bairro],mercado4)</f>
        <v>0</v>
      </c>
      <c r="P74" s="4">
        <f>SUMIFS(super1[Qtde],super1[Item],tab_alimentos[[#This Row],[Item]],super1[Bairro],mercado5)+SUMIFS(supercb[Qtde],supercb[Item],tab_alimentos[[#This Row],[Item]],supercb[Bairro],mercado5)</f>
        <v>0</v>
      </c>
      <c r="Q74" s="4">
        <f>SUMIFS(super1[Qtde],super1[Item],tab_alimentos[[#This Row],[Item]],super1[Bairro],mercado6)+SUMIFS(supercb[Qtde],supercb[Item],tab_alimentos[[#This Row],[Item]],supercb[Bairro],mercado6)</f>
        <v>0</v>
      </c>
      <c r="R74" s="4">
        <f>SUMIFS(super1[Qtde],super1[Item],tab_alimentos[[#This Row],[Item]],super1[Bairro],mercado7)+SUMIFS(supercb[Qtde],supercb[Item],tab_alimentos[[#This Row],[Item]],supercb[Bairro],mercado7)</f>
        <v>0</v>
      </c>
      <c r="S74" s="4">
        <f>SUMIFS(super1[Qtde],super1[Item],tab_alimentos[[#This Row],[Item]],super1[Bairro],mercado8)+SUMIFS(supercb[Qtde],supercb[Item],tab_alimentos[[#This Row],[Item]],supercb[Bairro],mercado8)</f>
        <v>0</v>
      </c>
      <c r="T74" s="4">
        <f>SUMIFS(super1[Qtde],super1[Item],tab_alimentos[[#This Row],[Item]],super1[Bairro],mercado9)+SUMIFS(supercb[Qtde],supercb[Item],tab_alimentos[[#This Row],[Item]],supercb[Bairro],mercado9)</f>
        <v>0</v>
      </c>
      <c r="U74" s="4">
        <f>SUMIFS(super1[Qtde],super1[Item],tab_alimentos[[#This Row],[Item]],super1[Bairro],mercado10)+SUMIFS(supercb[Qtde],supercb[Item],tab_alimentos[[#This Row],[Item]],supercb[Bairro],mercado10)</f>
        <v>0</v>
      </c>
      <c r="V74" s="4">
        <f>SUMIFS(super1[Qtde],super1[Item],tab_alimentos[[#This Row],[Item]],super1[Bairro],mercado11)+SUMIFS(supercb[Qtde],supercb[Item],tab_alimentos[[#This Row],[Item]],supercb[Bairro],mercado11)</f>
        <v>0</v>
      </c>
      <c r="W74" s="4">
        <f>SUMIFS(super1[Qtde],super1[Item],tab_alimentos[[#This Row],[Item]],super1[Bairro],mercado12)+SUMIFS(supercb[Qtde],supercb[Item],tab_alimentos[[#This Row],[Item]],supercb[Bairro],mercado12)</f>
        <v>0</v>
      </c>
      <c r="X74" s="4">
        <f>SUMIFS(super1[Qtde],super1[Item],tab_alimentos[[#This Row],[Item]],super1[Bairro],mercado13)+SUMIFS(supercb[Qtde],supercb[Item],tab_alimentos[[#This Row],[Item]],supercb[Bairro],mercado13)</f>
        <v>0</v>
      </c>
      <c r="Y74" s="4">
        <f>SUMIFS(super1[Qtde],super1[Item],tab_alimentos[[#This Row],[Item]],super1[Bairro],mercado14)+SUMIFS(supercb[Qtde],supercb[Item],tab_alimentos[[#This Row],[Item]],supercb[Bairro],mercado14)</f>
        <v>0</v>
      </c>
      <c r="Z74" s="4">
        <f>SUMIFS(super1[Qtde],super1[Item],tab_alimentos[[#This Row],[Item]],super1[Bairro],mercado15)+SUMIFS(supercb[Qtde],supercb[Item],tab_alimentos[[#This Row],[Item]],supercb[Bairro],mercado15)</f>
        <v>0</v>
      </c>
      <c r="AA74" s="4">
        <f>SUMIFS(super1[Qtde],super1[Item],tab_alimentos[[#This Row],[Item]],super1[Bairro],mercado16)+SUMIFS(supercb[Qtde],supercb[Item],tab_alimentos[[#This Row],[Item]],supercb[Bairro],mercado16)</f>
        <v>0</v>
      </c>
      <c r="AB74" s="4">
        <f>SUMIFS(super1[Qtde],super1[Item],tab_alimentos[[#This Row],[Item]],super1[Bairro],mercado17)+SUMIFS(supercb[Qtde],supercb[Item],tab_alimentos[[#This Row],[Item]],supercb[Bairro],mercado17)</f>
        <v>0</v>
      </c>
      <c r="AC74" s="4">
        <f>SUMIFS(super1[Qtde],super1[Item],tab_alimentos[[#This Row],[Item]],super1[Bairro],mercado18)+SUMIFS(supercb[Qtde],supercb[Item],tab_alimentos[[#This Row],[Item]],supercb[Bairro],mercado18)</f>
        <v>0</v>
      </c>
      <c r="AD74" s="4">
        <f>SUMIFS(super1[Qtde],super1[Item],tab_alimentos[[#This Row],[Item]],super1[Bairro],extras)+SUMIFS(supercb[Qtde],supercb[Item],tab_alimentos[[#This Row],[Item]],supercb[Bairro],extras)</f>
        <v>0</v>
      </c>
      <c r="AE74" s="4">
        <f t="shared" si="27"/>
        <v>0</v>
      </c>
      <c r="AF74" s="4">
        <f t="shared" si="28"/>
        <v>0</v>
      </c>
      <c r="AG74" s="6">
        <f t="shared" si="29"/>
        <v>0</v>
      </c>
      <c r="AH74" s="19" t="str">
        <f>higiene[[#This Row],[Item]]</f>
        <v>Enxaguante Bucal (250mL)</v>
      </c>
      <c r="AI74" s="4">
        <f>IFERROR(higiene[[#This Row],[Kg equivalente]],0)</f>
        <v>0</v>
      </c>
      <c r="AJ74" s="4">
        <f>IFERROR(higiene[[#This Row],[Preço por produto]],0)</f>
        <v>5.49</v>
      </c>
      <c r="AK74" s="4">
        <f>SUMIFS(super1[Qtde],super1[Item],tab_higiene[[#This Row],[Item]],super1[Bairro],mercado1)+SUMIFS(supercb[Qtde],supercb[Item],tab_higiene[[#This Row],[Item]],supercb[Bairro],mercado1)</f>
        <v>0</v>
      </c>
      <c r="AL74" s="4">
        <f>SUMIFS(super1[Qtde],super1[Item],tab_higiene[[#This Row],[Item]],super1[Bairro],mercado2)+SUMIFS(supercb[Qtde],supercb[Item],tab_higiene[[#This Row],[Item]],supercb[Bairro],mercado2)</f>
        <v>0</v>
      </c>
      <c r="AM74" s="4">
        <f>SUMIFS(super1[Qtde],super1[Item],tab_higiene[[#This Row],[Item]],super1[Bairro],mercado3)+SUMIFS(supercb[Qtde],supercb[Item],tab_higiene[[#This Row],[Item]],supercb[Bairro],mercado3)</f>
        <v>0</v>
      </c>
      <c r="AN74" s="4">
        <f>SUMIFS(super1[Qtde],super1[Item],tab_higiene[[#This Row],[Item]],super1[Bairro],mercado4)+SUMIFS(supercb[Qtde],supercb[Item],tab_higiene[[#This Row],[Item]],supercb[Bairro],mercado4)</f>
        <v>0</v>
      </c>
      <c r="AO74" s="4">
        <f>SUMIFS(super1[Qtde],super1[Item],tab_higiene[[#This Row],[Item]],super1[Bairro],mercado5)+SUMIFS(supercb[Qtde],supercb[Item],tab_higiene[[#This Row],[Item]],supercb[Bairro],mercado5)</f>
        <v>0</v>
      </c>
      <c r="AP74" s="4">
        <f>SUMIFS(super1[Qtde],super1[Item],tab_higiene[[#This Row],[Item]],super1[Bairro],mercado6)+SUMIFS(supercb[Qtde],supercb[Item],tab_higiene[[#This Row],[Item]],supercb[Bairro],mercado6)</f>
        <v>0</v>
      </c>
      <c r="AQ74" s="4">
        <f>SUMIFS(super1[Qtde],super1[Item],tab_higiene[[#This Row],[Item]],super1[Bairro],mercado7)+SUMIFS(supercb[Qtde],supercb[Item],tab_higiene[[#This Row],[Item]],supercb[Bairro],mercado7)</f>
        <v>0</v>
      </c>
      <c r="AR74" s="4">
        <f>SUMIFS(super1[Qtde],super1[Item],tab_higiene[[#This Row],[Item]],super1[Bairro],mercado8)+SUMIFS(supercb[Qtde],supercb[Item],tab_higiene[[#This Row],[Item]],supercb[Bairro],mercado8)</f>
        <v>0</v>
      </c>
      <c r="AS74" s="4">
        <f>SUMIFS(super1[Qtde],super1[Item],tab_higiene[[#This Row],[Item]],super1[Bairro],mercado9)+SUMIFS(supercb[Qtde],supercb[Item],tab_higiene[[#This Row],[Item]],supercb[Bairro],mercado9)</f>
        <v>0</v>
      </c>
      <c r="AT74" s="4">
        <f>SUMIFS(super1[Qtde],super1[Item],tab_higiene[[#This Row],[Item]],super1[Bairro],mercado10)+SUMIFS(supercb[Qtde],supercb[Item],tab_higiene[[#This Row],[Item]],supercb[Bairro],mercado10)</f>
        <v>0</v>
      </c>
      <c r="AU74" s="4">
        <f>SUMIFS(super1[Qtde],super1[Item],tab_higiene[[#This Row],[Item]],super1[Bairro],mercado11)+SUMIFS(supercb[Qtde],supercb[Item],tab_higiene[[#This Row],[Item]],supercb[Bairro],mercado11)</f>
        <v>0</v>
      </c>
      <c r="AV74" s="4">
        <f>SUMIFS(super1[Qtde],super1[Item],tab_higiene[[#This Row],[Item]],super1[Bairro],mercado12)+SUMIFS(supercb[Qtde],supercb[Item],tab_higiene[[#This Row],[Item]],supercb[Bairro],mercado12)</f>
        <v>0</v>
      </c>
      <c r="AW74" s="4">
        <f>SUMIFS(super1[Qtde],super1[Item],tab_higiene[[#This Row],[Item]],super1[Bairro],mercado13)+SUMIFS(supercb[Qtde],supercb[Item],tab_higiene[[#This Row],[Item]],supercb[Bairro],mercado13)</f>
        <v>0</v>
      </c>
      <c r="AX74" s="4">
        <f>SUMIFS(super1[Qtde],super1[Item],tab_higiene[[#This Row],[Item]],super1[Bairro],mercado14)+SUMIFS(supercb[Qtde],supercb[Item],tab_higiene[[#This Row],[Item]],supercb[Bairro],mercado14)</f>
        <v>0</v>
      </c>
      <c r="AY74" s="4">
        <f>SUMIFS(super1[Qtde],super1[Item],tab_higiene[[#This Row],[Item]],super1[Bairro],mercado15)+SUMIFS(supercb[Qtde],supercb[Item],tab_higiene[[#This Row],[Item]],supercb[Bairro],mercado15)</f>
        <v>0</v>
      </c>
      <c r="AZ74" s="4">
        <f>SUMIFS(super1[Qtde],super1[Item],tab_higiene[[#This Row],[Item]],super1[Bairro],mercado16)+SUMIFS(supercb[Qtde],supercb[Item],tab_higiene[[#This Row],[Item]],supercb[Bairro],mercado16)</f>
        <v>0</v>
      </c>
      <c r="BA74" s="4">
        <f>SUMIFS(super1[Qtde],super1[Item],tab_higiene[[#This Row],[Item]],super1[Bairro],mercado17)+SUMIFS(supercb[Qtde],supercb[Item],tab_higiene[[#This Row],[Item]],supercb[Bairro],mercado17)</f>
        <v>0</v>
      </c>
      <c r="BB74" s="4">
        <f>SUMIFS(super1[Qtde],super1[Item],tab_higiene[[#This Row],[Item]],super1[Bairro],mercado18)+SUMIFS(supercb[Qtde],supercb[Item],tab_higiene[[#This Row],[Item]],supercb[Bairro],mercado18)</f>
        <v>0</v>
      </c>
      <c r="BC74" s="4">
        <f>SUMIFS(super1[Qtde],super1[Item],tab_higiene[[#This Row],[Item]],super1[Bairro],extras)+SUMIFS(supercb[Qtde],supercb[Item],tab_higiene[[#This Row],[Item]],supercb[Bairro],extras)</f>
        <v>0</v>
      </c>
      <c r="BD74" s="4">
        <f t="shared" si="30"/>
        <v>0</v>
      </c>
      <c r="BE74" s="4">
        <f t="shared" si="31"/>
        <v>0</v>
      </c>
      <c r="BF74" s="6">
        <f t="shared" si="32"/>
        <v>0</v>
      </c>
      <c r="BI74" s="1" t="str">
        <f>tab_alimentos[[#This Row],[Item]]</f>
        <v>Bebida Láctea Chocolate (180mL)</v>
      </c>
      <c r="BJ74" s="1">
        <f t="shared" si="25"/>
        <v>24</v>
      </c>
      <c r="BK74" s="1" t="str">
        <f t="shared" si="26"/>
        <v>Bebida Láctea Chocolate</v>
      </c>
      <c r="BL74" s="1">
        <f>tab_alimentos[[#This Row],[kg]]</f>
        <v>0</v>
      </c>
      <c r="BM74" s="25" t="s">
        <v>73</v>
      </c>
      <c r="BN74" s="1">
        <f t="shared" si="36"/>
        <v>0</v>
      </c>
      <c r="BP74" s="1" t="str">
        <f>tab_higiene[[#This Row],[Item]]</f>
        <v>Enxaguante Bucal (250mL)</v>
      </c>
      <c r="BQ74" s="1">
        <f t="shared" si="33"/>
        <v>17</v>
      </c>
      <c r="BR74" s="1" t="str">
        <f t="shared" si="34"/>
        <v>Enxaguante Bucal</v>
      </c>
      <c r="BS74" s="1">
        <f>higiene[[#This Row],[Quantidade]]</f>
        <v>9</v>
      </c>
      <c r="BT74" s="1">
        <f>tab_higiene[[#This Row],[Qtde (tot)]]</f>
        <v>0</v>
      </c>
      <c r="BU74" s="1">
        <f t="shared" si="37"/>
        <v>0</v>
      </c>
      <c r="BW74" s="1">
        <f t="shared" si="35"/>
        <v>0</v>
      </c>
    </row>
    <row r="75" spans="9:75" x14ac:dyDescent="0.25">
      <c r="I75" s="19" t="str">
        <f>alimentos[[#This Row],[Item]]</f>
        <v>Bebida Láctea Chocolate (1L)</v>
      </c>
      <c r="J75" s="4">
        <f>IFERROR(alimentos[[#This Row],[kg/embalagem]],0)</f>
        <v>1</v>
      </c>
      <c r="K75" s="4">
        <f>IFERROR(alimentos[[#This Row],[Preço]],0)</f>
        <v>6.59</v>
      </c>
      <c r="L75" s="4">
        <f>SUMIFS(super1[Qtde],super1[Item],tab_alimentos[[#This Row],[Item]],super1[Bairro],mercado1)+SUMIFS(supercb[Qtde],supercb[Item],tab_alimentos[[#This Row],[Item]],supercb[Bairro],mercado1)</f>
        <v>0</v>
      </c>
      <c r="M75" s="4">
        <f>SUMIFS(super1[Qtde],super1[Item],tab_alimentos[[#This Row],[Item]],super1[Bairro],mercado2)+SUMIFS(supercb[Qtde],supercb[Item],tab_alimentos[[#This Row],[Item]],supercb[Bairro],mercado2)</f>
        <v>0</v>
      </c>
      <c r="N75" s="4">
        <f>SUMIFS(super1[Qtde],super1[Item],tab_alimentos[[#This Row],[Item]],super1[Bairro],mercado3)+SUMIFS(supercb[Qtde],supercb[Item],tab_alimentos[[#This Row],[Item]],supercb[Bairro],mercado3)</f>
        <v>0</v>
      </c>
      <c r="O75" s="4">
        <f>SUMIFS(super1[Qtde],super1[Item],tab_alimentos[[#This Row],[Item]],super1[Bairro],mercado4)+SUMIFS(supercb[Qtde],supercb[Item],tab_alimentos[[#This Row],[Item]],supercb[Bairro],mercado4)</f>
        <v>0</v>
      </c>
      <c r="P75" s="4">
        <f>SUMIFS(super1[Qtde],super1[Item],tab_alimentos[[#This Row],[Item]],super1[Bairro],mercado5)+SUMIFS(supercb[Qtde],supercb[Item],tab_alimentos[[#This Row],[Item]],supercb[Bairro],mercado5)</f>
        <v>0</v>
      </c>
      <c r="Q75" s="4">
        <f>SUMIFS(super1[Qtde],super1[Item],tab_alimentos[[#This Row],[Item]],super1[Bairro],mercado6)+SUMIFS(supercb[Qtde],supercb[Item],tab_alimentos[[#This Row],[Item]],supercb[Bairro],mercado6)</f>
        <v>0</v>
      </c>
      <c r="R75" s="4">
        <f>SUMIFS(super1[Qtde],super1[Item],tab_alimentos[[#This Row],[Item]],super1[Bairro],mercado7)+SUMIFS(supercb[Qtde],supercb[Item],tab_alimentos[[#This Row],[Item]],supercb[Bairro],mercado7)</f>
        <v>0</v>
      </c>
      <c r="S75" s="4">
        <f>SUMIFS(super1[Qtde],super1[Item],tab_alimentos[[#This Row],[Item]],super1[Bairro],mercado8)+SUMIFS(supercb[Qtde],supercb[Item],tab_alimentos[[#This Row],[Item]],supercb[Bairro],mercado8)</f>
        <v>0</v>
      </c>
      <c r="T75" s="4">
        <f>SUMIFS(super1[Qtde],super1[Item],tab_alimentos[[#This Row],[Item]],super1[Bairro],mercado9)+SUMIFS(supercb[Qtde],supercb[Item],tab_alimentos[[#This Row],[Item]],supercb[Bairro],mercado9)</f>
        <v>0</v>
      </c>
      <c r="U75" s="4">
        <f>SUMIFS(super1[Qtde],super1[Item],tab_alimentos[[#This Row],[Item]],super1[Bairro],mercado10)+SUMIFS(supercb[Qtde],supercb[Item],tab_alimentos[[#This Row],[Item]],supercb[Bairro],mercado10)</f>
        <v>0</v>
      </c>
      <c r="V75" s="4">
        <f>SUMIFS(super1[Qtde],super1[Item],tab_alimentos[[#This Row],[Item]],super1[Bairro],mercado11)+SUMIFS(supercb[Qtde],supercb[Item],tab_alimentos[[#This Row],[Item]],supercb[Bairro],mercado11)</f>
        <v>0</v>
      </c>
      <c r="W75" s="4">
        <f>SUMIFS(super1[Qtde],super1[Item],tab_alimentos[[#This Row],[Item]],super1[Bairro],mercado12)+SUMIFS(supercb[Qtde],supercb[Item],tab_alimentos[[#This Row],[Item]],supercb[Bairro],mercado12)</f>
        <v>0</v>
      </c>
      <c r="X75" s="4">
        <f>SUMIFS(super1[Qtde],super1[Item],tab_alimentos[[#This Row],[Item]],super1[Bairro],mercado13)+SUMIFS(supercb[Qtde],supercb[Item],tab_alimentos[[#This Row],[Item]],supercb[Bairro],mercado13)</f>
        <v>0</v>
      </c>
      <c r="Y75" s="4">
        <f>SUMIFS(super1[Qtde],super1[Item],tab_alimentos[[#This Row],[Item]],super1[Bairro],mercado14)+SUMIFS(supercb[Qtde],supercb[Item],tab_alimentos[[#This Row],[Item]],supercb[Bairro],mercado14)</f>
        <v>0</v>
      </c>
      <c r="Z75" s="4">
        <f>SUMIFS(super1[Qtde],super1[Item],tab_alimentos[[#This Row],[Item]],super1[Bairro],mercado15)+SUMIFS(supercb[Qtde],supercb[Item],tab_alimentos[[#This Row],[Item]],supercb[Bairro],mercado15)</f>
        <v>0</v>
      </c>
      <c r="AA75" s="4">
        <f>SUMIFS(super1[Qtde],super1[Item],tab_alimentos[[#This Row],[Item]],super1[Bairro],mercado16)+SUMIFS(supercb[Qtde],supercb[Item],tab_alimentos[[#This Row],[Item]],supercb[Bairro],mercado16)</f>
        <v>0</v>
      </c>
      <c r="AB75" s="4">
        <f>SUMIFS(super1[Qtde],super1[Item],tab_alimentos[[#This Row],[Item]],super1[Bairro],mercado17)+SUMIFS(supercb[Qtde],supercb[Item],tab_alimentos[[#This Row],[Item]],supercb[Bairro],mercado17)</f>
        <v>0</v>
      </c>
      <c r="AC75" s="4">
        <f>SUMIFS(super1[Qtde],super1[Item],tab_alimentos[[#This Row],[Item]],super1[Bairro],mercado18)+SUMIFS(supercb[Qtde],supercb[Item],tab_alimentos[[#This Row],[Item]],supercb[Bairro],mercado18)</f>
        <v>0</v>
      </c>
      <c r="AD75" s="4">
        <f>SUMIFS(super1[Qtde],super1[Item],tab_alimentos[[#This Row],[Item]],super1[Bairro],extras)+SUMIFS(supercb[Qtde],supercb[Item],tab_alimentos[[#This Row],[Item]],supercb[Bairro],extras)</f>
        <v>0</v>
      </c>
      <c r="AE75" s="4">
        <f t="shared" si="27"/>
        <v>0</v>
      </c>
      <c r="AF75" s="4">
        <f t="shared" si="28"/>
        <v>0</v>
      </c>
      <c r="AG75" s="6">
        <f t="shared" si="29"/>
        <v>0</v>
      </c>
      <c r="AH75" s="19" t="str">
        <f>higiene[[#This Row],[Item]]</f>
        <v>Enxaguante Bucal (350mL)</v>
      </c>
      <c r="AI75" s="4">
        <f>IFERROR(higiene[[#This Row],[Kg equivalente]],0)</f>
        <v>0</v>
      </c>
      <c r="AJ75" s="4">
        <f>IFERROR(higiene[[#This Row],[Preço por produto]],0)</f>
        <v>12.08</v>
      </c>
      <c r="AK75" s="4">
        <f>SUMIFS(super1[Qtde],super1[Item],tab_higiene[[#This Row],[Item]],super1[Bairro],mercado1)+SUMIFS(supercb[Qtde],supercb[Item],tab_higiene[[#This Row],[Item]],supercb[Bairro],mercado1)</f>
        <v>0</v>
      </c>
      <c r="AL75" s="4">
        <f>SUMIFS(super1[Qtde],super1[Item],tab_higiene[[#This Row],[Item]],super1[Bairro],mercado2)+SUMIFS(supercb[Qtde],supercb[Item],tab_higiene[[#This Row],[Item]],supercb[Bairro],mercado2)</f>
        <v>0</v>
      </c>
      <c r="AM75" s="4">
        <f>SUMIFS(super1[Qtde],super1[Item],tab_higiene[[#This Row],[Item]],super1[Bairro],mercado3)+SUMIFS(supercb[Qtde],supercb[Item],tab_higiene[[#This Row],[Item]],supercb[Bairro],mercado3)</f>
        <v>0</v>
      </c>
      <c r="AN75" s="4">
        <f>SUMIFS(super1[Qtde],super1[Item],tab_higiene[[#This Row],[Item]],super1[Bairro],mercado4)+SUMIFS(supercb[Qtde],supercb[Item],tab_higiene[[#This Row],[Item]],supercb[Bairro],mercado4)</f>
        <v>0</v>
      </c>
      <c r="AO75" s="4">
        <f>SUMIFS(super1[Qtde],super1[Item],tab_higiene[[#This Row],[Item]],super1[Bairro],mercado5)+SUMIFS(supercb[Qtde],supercb[Item],tab_higiene[[#This Row],[Item]],supercb[Bairro],mercado5)</f>
        <v>0</v>
      </c>
      <c r="AP75" s="4">
        <f>SUMIFS(super1[Qtde],super1[Item],tab_higiene[[#This Row],[Item]],super1[Bairro],mercado6)+SUMIFS(supercb[Qtde],supercb[Item],tab_higiene[[#This Row],[Item]],supercb[Bairro],mercado6)</f>
        <v>0</v>
      </c>
      <c r="AQ75" s="4">
        <f>SUMIFS(super1[Qtde],super1[Item],tab_higiene[[#This Row],[Item]],super1[Bairro],mercado7)+SUMIFS(supercb[Qtde],supercb[Item],tab_higiene[[#This Row],[Item]],supercb[Bairro],mercado7)</f>
        <v>0</v>
      </c>
      <c r="AR75" s="4">
        <f>SUMIFS(super1[Qtde],super1[Item],tab_higiene[[#This Row],[Item]],super1[Bairro],mercado8)+SUMIFS(supercb[Qtde],supercb[Item],tab_higiene[[#This Row],[Item]],supercb[Bairro],mercado8)</f>
        <v>0</v>
      </c>
      <c r="AS75" s="4">
        <f>SUMIFS(super1[Qtde],super1[Item],tab_higiene[[#This Row],[Item]],super1[Bairro],mercado9)+SUMIFS(supercb[Qtde],supercb[Item],tab_higiene[[#This Row],[Item]],supercb[Bairro],mercado9)</f>
        <v>0</v>
      </c>
      <c r="AT75" s="4">
        <f>SUMIFS(super1[Qtde],super1[Item],tab_higiene[[#This Row],[Item]],super1[Bairro],mercado10)+SUMIFS(supercb[Qtde],supercb[Item],tab_higiene[[#This Row],[Item]],supercb[Bairro],mercado10)</f>
        <v>0</v>
      </c>
      <c r="AU75" s="4">
        <f>SUMIFS(super1[Qtde],super1[Item],tab_higiene[[#This Row],[Item]],super1[Bairro],mercado11)+SUMIFS(supercb[Qtde],supercb[Item],tab_higiene[[#This Row],[Item]],supercb[Bairro],mercado11)</f>
        <v>0</v>
      </c>
      <c r="AV75" s="4">
        <f>SUMIFS(super1[Qtde],super1[Item],tab_higiene[[#This Row],[Item]],super1[Bairro],mercado12)+SUMIFS(supercb[Qtde],supercb[Item],tab_higiene[[#This Row],[Item]],supercb[Bairro],mercado12)</f>
        <v>0</v>
      </c>
      <c r="AW75" s="4">
        <f>SUMIFS(super1[Qtde],super1[Item],tab_higiene[[#This Row],[Item]],super1[Bairro],mercado13)+SUMIFS(supercb[Qtde],supercb[Item],tab_higiene[[#This Row],[Item]],supercb[Bairro],mercado13)</f>
        <v>0</v>
      </c>
      <c r="AX75" s="4">
        <f>SUMIFS(super1[Qtde],super1[Item],tab_higiene[[#This Row],[Item]],super1[Bairro],mercado14)+SUMIFS(supercb[Qtde],supercb[Item],tab_higiene[[#This Row],[Item]],supercb[Bairro],mercado14)</f>
        <v>0</v>
      </c>
      <c r="AY75" s="4">
        <f>SUMIFS(super1[Qtde],super1[Item],tab_higiene[[#This Row],[Item]],super1[Bairro],mercado15)+SUMIFS(supercb[Qtde],supercb[Item],tab_higiene[[#This Row],[Item]],supercb[Bairro],mercado15)</f>
        <v>0</v>
      </c>
      <c r="AZ75" s="4">
        <f>SUMIFS(super1[Qtde],super1[Item],tab_higiene[[#This Row],[Item]],super1[Bairro],mercado16)+SUMIFS(supercb[Qtde],supercb[Item],tab_higiene[[#This Row],[Item]],supercb[Bairro],mercado16)</f>
        <v>0</v>
      </c>
      <c r="BA75" s="4">
        <f>SUMIFS(super1[Qtde],super1[Item],tab_higiene[[#This Row],[Item]],super1[Bairro],mercado17)+SUMIFS(supercb[Qtde],supercb[Item],tab_higiene[[#This Row],[Item]],supercb[Bairro],mercado17)</f>
        <v>0</v>
      </c>
      <c r="BB75" s="4">
        <f>SUMIFS(super1[Qtde],super1[Item],tab_higiene[[#This Row],[Item]],super1[Bairro],mercado18)+SUMIFS(supercb[Qtde],supercb[Item],tab_higiene[[#This Row],[Item]],supercb[Bairro],mercado18)</f>
        <v>0</v>
      </c>
      <c r="BC75" s="4">
        <f>SUMIFS(super1[Qtde],super1[Item],tab_higiene[[#This Row],[Item]],super1[Bairro],extras)+SUMIFS(supercb[Qtde],supercb[Item],tab_higiene[[#This Row],[Item]],supercb[Bairro],extras)</f>
        <v>0</v>
      </c>
      <c r="BD75" s="4">
        <f t="shared" si="30"/>
        <v>0</v>
      </c>
      <c r="BE75" s="4">
        <f t="shared" si="31"/>
        <v>0</v>
      </c>
      <c r="BF75" s="6">
        <f t="shared" si="32"/>
        <v>0</v>
      </c>
      <c r="BI75" s="1" t="str">
        <f>tab_alimentos[[#This Row],[Item]]</f>
        <v>Bebida Láctea Chocolate (1L)</v>
      </c>
      <c r="BJ75" s="1">
        <f t="shared" si="25"/>
        <v>24</v>
      </c>
      <c r="BK75" s="1" t="str">
        <f t="shared" si="26"/>
        <v>Bebida Láctea Chocolate</v>
      </c>
      <c r="BL75" s="1">
        <f>tab_alimentos[[#This Row],[kg]]</f>
        <v>0</v>
      </c>
      <c r="BM75" s="25" t="s">
        <v>222</v>
      </c>
      <c r="BN75" s="1">
        <f t="shared" si="36"/>
        <v>0</v>
      </c>
      <c r="BP75" s="1" t="str">
        <f>tab_higiene[[#This Row],[Item]]</f>
        <v>Enxaguante Bucal (350mL)</v>
      </c>
      <c r="BQ75" s="1">
        <f t="shared" si="33"/>
        <v>17</v>
      </c>
      <c r="BR75" s="1" t="str">
        <f t="shared" si="34"/>
        <v>Enxaguante Bucal</v>
      </c>
      <c r="BS75" s="1">
        <f>higiene[[#This Row],[Quantidade]]</f>
        <v>10</v>
      </c>
      <c r="BT75" s="1">
        <f>tab_higiene[[#This Row],[Qtde (tot)]]</f>
        <v>0</v>
      </c>
      <c r="BU75" s="1">
        <f t="shared" si="37"/>
        <v>0</v>
      </c>
      <c r="BW75" s="1">
        <f t="shared" si="35"/>
        <v>0</v>
      </c>
    </row>
    <row r="76" spans="9:75" x14ac:dyDescent="0.25">
      <c r="I76" s="19" t="str">
        <f>alimentos[[#This Row],[Item]]</f>
        <v>Bife Vegetal (400g)</v>
      </c>
      <c r="J76" s="4">
        <f>IFERROR(alimentos[[#This Row],[kg/embalagem]],0)</f>
        <v>0.4</v>
      </c>
      <c r="K76" s="4">
        <f>IFERROR(alimentos[[#This Row],[Preço]],0)</f>
        <v>15.69</v>
      </c>
      <c r="L76" s="4">
        <f>SUMIFS(super1[Qtde],super1[Item],tab_alimentos[[#This Row],[Item]],super1[Bairro],mercado1)+SUMIFS(supercb[Qtde],supercb[Item],tab_alimentos[[#This Row],[Item]],supercb[Bairro],mercado1)</f>
        <v>0</v>
      </c>
      <c r="M76" s="4">
        <f>SUMIFS(super1[Qtde],super1[Item],tab_alimentos[[#This Row],[Item]],super1[Bairro],mercado2)+SUMIFS(supercb[Qtde],supercb[Item],tab_alimentos[[#This Row],[Item]],supercb[Bairro],mercado2)</f>
        <v>0</v>
      </c>
      <c r="N76" s="4">
        <f>SUMIFS(super1[Qtde],super1[Item],tab_alimentos[[#This Row],[Item]],super1[Bairro],mercado3)+SUMIFS(supercb[Qtde],supercb[Item],tab_alimentos[[#This Row],[Item]],supercb[Bairro],mercado3)</f>
        <v>0</v>
      </c>
      <c r="O76" s="4">
        <f>SUMIFS(super1[Qtde],super1[Item],tab_alimentos[[#This Row],[Item]],super1[Bairro],mercado4)+SUMIFS(supercb[Qtde],supercb[Item],tab_alimentos[[#This Row],[Item]],supercb[Bairro],mercado4)</f>
        <v>0</v>
      </c>
      <c r="P76" s="4">
        <f>SUMIFS(super1[Qtde],super1[Item],tab_alimentos[[#This Row],[Item]],super1[Bairro],mercado5)+SUMIFS(supercb[Qtde],supercb[Item],tab_alimentos[[#This Row],[Item]],supercb[Bairro],mercado5)</f>
        <v>0</v>
      </c>
      <c r="Q76" s="4">
        <f>SUMIFS(super1[Qtde],super1[Item],tab_alimentos[[#This Row],[Item]],super1[Bairro],mercado6)+SUMIFS(supercb[Qtde],supercb[Item],tab_alimentos[[#This Row],[Item]],supercb[Bairro],mercado6)</f>
        <v>0</v>
      </c>
      <c r="R76" s="4">
        <f>SUMIFS(super1[Qtde],super1[Item],tab_alimentos[[#This Row],[Item]],super1[Bairro],mercado7)+SUMIFS(supercb[Qtde],supercb[Item],tab_alimentos[[#This Row],[Item]],supercb[Bairro],mercado7)</f>
        <v>0</v>
      </c>
      <c r="S76" s="4">
        <f>SUMIFS(super1[Qtde],super1[Item],tab_alimentos[[#This Row],[Item]],super1[Bairro],mercado8)+SUMIFS(supercb[Qtde],supercb[Item],tab_alimentos[[#This Row],[Item]],supercb[Bairro],mercado8)</f>
        <v>0</v>
      </c>
      <c r="T76" s="4">
        <f>SUMIFS(super1[Qtde],super1[Item],tab_alimentos[[#This Row],[Item]],super1[Bairro],mercado9)+SUMIFS(supercb[Qtde],supercb[Item],tab_alimentos[[#This Row],[Item]],supercb[Bairro],mercado9)</f>
        <v>0</v>
      </c>
      <c r="U76" s="4">
        <f>SUMIFS(super1[Qtde],super1[Item],tab_alimentos[[#This Row],[Item]],super1[Bairro],mercado10)+SUMIFS(supercb[Qtde],supercb[Item],tab_alimentos[[#This Row],[Item]],supercb[Bairro],mercado10)</f>
        <v>0</v>
      </c>
      <c r="V76" s="4">
        <f>SUMIFS(super1[Qtde],super1[Item],tab_alimentos[[#This Row],[Item]],super1[Bairro],mercado11)+SUMIFS(supercb[Qtde],supercb[Item],tab_alimentos[[#This Row],[Item]],supercb[Bairro],mercado11)</f>
        <v>0</v>
      </c>
      <c r="W76" s="4">
        <f>SUMIFS(super1[Qtde],super1[Item],tab_alimentos[[#This Row],[Item]],super1[Bairro],mercado12)+SUMIFS(supercb[Qtde],supercb[Item],tab_alimentos[[#This Row],[Item]],supercb[Bairro],mercado12)</f>
        <v>0</v>
      </c>
      <c r="X76" s="4">
        <f>SUMIFS(super1[Qtde],super1[Item],tab_alimentos[[#This Row],[Item]],super1[Bairro],mercado13)+SUMIFS(supercb[Qtde],supercb[Item],tab_alimentos[[#This Row],[Item]],supercb[Bairro],mercado13)</f>
        <v>0</v>
      </c>
      <c r="Y76" s="4">
        <f>SUMIFS(super1[Qtde],super1[Item],tab_alimentos[[#This Row],[Item]],super1[Bairro],mercado14)+SUMIFS(supercb[Qtde],supercb[Item],tab_alimentos[[#This Row],[Item]],supercb[Bairro],mercado14)</f>
        <v>0</v>
      </c>
      <c r="Z76" s="4">
        <f>SUMIFS(super1[Qtde],super1[Item],tab_alimentos[[#This Row],[Item]],super1[Bairro],mercado15)+SUMIFS(supercb[Qtde],supercb[Item],tab_alimentos[[#This Row],[Item]],supercb[Bairro],mercado15)</f>
        <v>0</v>
      </c>
      <c r="AA76" s="4">
        <f>SUMIFS(super1[Qtde],super1[Item],tab_alimentos[[#This Row],[Item]],super1[Bairro],mercado16)+SUMIFS(supercb[Qtde],supercb[Item],tab_alimentos[[#This Row],[Item]],supercb[Bairro],mercado16)</f>
        <v>0</v>
      </c>
      <c r="AB76" s="4">
        <f>SUMIFS(super1[Qtde],super1[Item],tab_alimentos[[#This Row],[Item]],super1[Bairro],mercado17)+SUMIFS(supercb[Qtde],supercb[Item],tab_alimentos[[#This Row],[Item]],supercb[Bairro],mercado17)</f>
        <v>0</v>
      </c>
      <c r="AC76" s="4">
        <f>SUMIFS(super1[Qtde],super1[Item],tab_alimentos[[#This Row],[Item]],super1[Bairro],mercado18)+SUMIFS(supercb[Qtde],supercb[Item],tab_alimentos[[#This Row],[Item]],supercb[Bairro],mercado18)</f>
        <v>0</v>
      </c>
      <c r="AD76" s="4">
        <f>SUMIFS(super1[Qtde],super1[Item],tab_alimentos[[#This Row],[Item]],super1[Bairro],extras)+SUMIFS(supercb[Qtde],supercb[Item],tab_alimentos[[#This Row],[Item]],supercb[Bairro],extras)</f>
        <v>0</v>
      </c>
      <c r="AE76" s="4">
        <f t="shared" si="27"/>
        <v>0</v>
      </c>
      <c r="AF76" s="4">
        <f t="shared" si="28"/>
        <v>0</v>
      </c>
      <c r="AG76" s="6">
        <f t="shared" si="29"/>
        <v>0</v>
      </c>
      <c r="AH76" s="19" t="str">
        <f>higiene[[#This Row],[Item]]</f>
        <v>Enxaguante Bucal (500mL)</v>
      </c>
      <c r="AI76" s="4">
        <f>IFERROR(higiene[[#This Row],[Kg equivalente]],0)</f>
        <v>0</v>
      </c>
      <c r="AJ76" s="4">
        <f>IFERROR(higiene[[#This Row],[Preço por produto]],0)</f>
        <v>14.34</v>
      </c>
      <c r="AK76" s="4">
        <f>SUMIFS(super1[Qtde],super1[Item],tab_higiene[[#This Row],[Item]],super1[Bairro],mercado1)+SUMIFS(supercb[Qtde],supercb[Item],tab_higiene[[#This Row],[Item]],supercb[Bairro],mercado1)</f>
        <v>0</v>
      </c>
      <c r="AL76" s="4">
        <f>SUMIFS(super1[Qtde],super1[Item],tab_higiene[[#This Row],[Item]],super1[Bairro],mercado2)+SUMIFS(supercb[Qtde],supercb[Item],tab_higiene[[#This Row],[Item]],supercb[Bairro],mercado2)</f>
        <v>0</v>
      </c>
      <c r="AM76" s="4">
        <f>SUMIFS(super1[Qtde],super1[Item],tab_higiene[[#This Row],[Item]],super1[Bairro],mercado3)+SUMIFS(supercb[Qtde],supercb[Item],tab_higiene[[#This Row],[Item]],supercb[Bairro],mercado3)</f>
        <v>0</v>
      </c>
      <c r="AN76" s="4">
        <f>SUMIFS(super1[Qtde],super1[Item],tab_higiene[[#This Row],[Item]],super1[Bairro],mercado4)+SUMIFS(supercb[Qtde],supercb[Item],tab_higiene[[#This Row],[Item]],supercb[Bairro],mercado4)</f>
        <v>0</v>
      </c>
      <c r="AO76" s="4">
        <f>SUMIFS(super1[Qtde],super1[Item],tab_higiene[[#This Row],[Item]],super1[Bairro],mercado5)+SUMIFS(supercb[Qtde],supercb[Item],tab_higiene[[#This Row],[Item]],supercb[Bairro],mercado5)</f>
        <v>0</v>
      </c>
      <c r="AP76" s="4">
        <f>SUMIFS(super1[Qtde],super1[Item],tab_higiene[[#This Row],[Item]],super1[Bairro],mercado6)+SUMIFS(supercb[Qtde],supercb[Item],tab_higiene[[#This Row],[Item]],supercb[Bairro],mercado6)</f>
        <v>0</v>
      </c>
      <c r="AQ76" s="4">
        <f>SUMIFS(super1[Qtde],super1[Item],tab_higiene[[#This Row],[Item]],super1[Bairro],mercado7)+SUMIFS(supercb[Qtde],supercb[Item],tab_higiene[[#This Row],[Item]],supercb[Bairro],mercado7)</f>
        <v>0</v>
      </c>
      <c r="AR76" s="4">
        <f>SUMIFS(super1[Qtde],super1[Item],tab_higiene[[#This Row],[Item]],super1[Bairro],mercado8)+SUMIFS(supercb[Qtde],supercb[Item],tab_higiene[[#This Row],[Item]],supercb[Bairro],mercado8)</f>
        <v>0</v>
      </c>
      <c r="AS76" s="4">
        <f>SUMIFS(super1[Qtde],super1[Item],tab_higiene[[#This Row],[Item]],super1[Bairro],mercado9)+SUMIFS(supercb[Qtde],supercb[Item],tab_higiene[[#This Row],[Item]],supercb[Bairro],mercado9)</f>
        <v>0</v>
      </c>
      <c r="AT76" s="4">
        <f>SUMIFS(super1[Qtde],super1[Item],tab_higiene[[#This Row],[Item]],super1[Bairro],mercado10)+SUMIFS(supercb[Qtde],supercb[Item],tab_higiene[[#This Row],[Item]],supercb[Bairro],mercado10)</f>
        <v>0</v>
      </c>
      <c r="AU76" s="4">
        <f>SUMIFS(super1[Qtde],super1[Item],tab_higiene[[#This Row],[Item]],super1[Bairro],mercado11)+SUMIFS(supercb[Qtde],supercb[Item],tab_higiene[[#This Row],[Item]],supercb[Bairro],mercado11)</f>
        <v>0</v>
      </c>
      <c r="AV76" s="4">
        <f>SUMIFS(super1[Qtde],super1[Item],tab_higiene[[#This Row],[Item]],super1[Bairro],mercado12)+SUMIFS(supercb[Qtde],supercb[Item],tab_higiene[[#This Row],[Item]],supercb[Bairro],mercado12)</f>
        <v>0</v>
      </c>
      <c r="AW76" s="4">
        <f>SUMIFS(super1[Qtde],super1[Item],tab_higiene[[#This Row],[Item]],super1[Bairro],mercado13)+SUMIFS(supercb[Qtde],supercb[Item],tab_higiene[[#This Row],[Item]],supercb[Bairro],mercado13)</f>
        <v>0</v>
      </c>
      <c r="AX76" s="4">
        <f>SUMIFS(super1[Qtde],super1[Item],tab_higiene[[#This Row],[Item]],super1[Bairro],mercado14)+SUMIFS(supercb[Qtde],supercb[Item],tab_higiene[[#This Row],[Item]],supercb[Bairro],mercado14)</f>
        <v>0</v>
      </c>
      <c r="AY76" s="4">
        <f>SUMIFS(super1[Qtde],super1[Item],tab_higiene[[#This Row],[Item]],super1[Bairro],mercado15)+SUMIFS(supercb[Qtde],supercb[Item],tab_higiene[[#This Row],[Item]],supercb[Bairro],mercado15)</f>
        <v>0</v>
      </c>
      <c r="AZ76" s="4">
        <f>SUMIFS(super1[Qtde],super1[Item],tab_higiene[[#This Row],[Item]],super1[Bairro],mercado16)+SUMIFS(supercb[Qtde],supercb[Item],tab_higiene[[#This Row],[Item]],supercb[Bairro],mercado16)</f>
        <v>0</v>
      </c>
      <c r="BA76" s="4">
        <f>SUMIFS(super1[Qtde],super1[Item],tab_higiene[[#This Row],[Item]],super1[Bairro],mercado17)+SUMIFS(supercb[Qtde],supercb[Item],tab_higiene[[#This Row],[Item]],supercb[Bairro],mercado17)</f>
        <v>0</v>
      </c>
      <c r="BB76" s="4">
        <f>SUMIFS(super1[Qtde],super1[Item],tab_higiene[[#This Row],[Item]],super1[Bairro],mercado18)+SUMIFS(supercb[Qtde],supercb[Item],tab_higiene[[#This Row],[Item]],supercb[Bairro],mercado18)</f>
        <v>0</v>
      </c>
      <c r="BC76" s="4">
        <f>SUMIFS(super1[Qtde],super1[Item],tab_higiene[[#This Row],[Item]],super1[Bairro],extras)+SUMIFS(supercb[Qtde],supercb[Item],tab_higiene[[#This Row],[Item]],supercb[Bairro],extras)</f>
        <v>0</v>
      </c>
      <c r="BD76" s="4">
        <f t="shared" si="30"/>
        <v>0</v>
      </c>
      <c r="BE76" s="4">
        <f t="shared" si="31"/>
        <v>0</v>
      </c>
      <c r="BF76" s="6">
        <f t="shared" si="32"/>
        <v>0</v>
      </c>
      <c r="BI76" s="1" t="str">
        <f>tab_alimentos[[#This Row],[Item]]</f>
        <v>Bife Vegetal (400g)</v>
      </c>
      <c r="BJ76" s="1">
        <f t="shared" si="25"/>
        <v>13</v>
      </c>
      <c r="BK76" s="1" t="str">
        <f t="shared" si="26"/>
        <v>Bife Vegetal</v>
      </c>
      <c r="BL76" s="1">
        <f>tab_alimentos[[#This Row],[kg]]</f>
        <v>0</v>
      </c>
      <c r="BM76" s="25" t="s">
        <v>125</v>
      </c>
      <c r="BN76" s="1">
        <f t="shared" si="36"/>
        <v>0</v>
      </c>
      <c r="BP76" s="1" t="str">
        <f>tab_higiene[[#This Row],[Item]]</f>
        <v>Enxaguante Bucal (500mL)</v>
      </c>
      <c r="BQ76" s="1">
        <f t="shared" si="33"/>
        <v>17</v>
      </c>
      <c r="BR76" s="1" t="str">
        <f t="shared" si="34"/>
        <v>Enxaguante Bucal</v>
      </c>
      <c r="BS76" s="1">
        <f>higiene[[#This Row],[Quantidade]]</f>
        <v>18</v>
      </c>
      <c r="BT76" s="1">
        <f>tab_higiene[[#This Row],[Qtde (tot)]]</f>
        <v>0</v>
      </c>
      <c r="BU76" s="1">
        <f t="shared" si="37"/>
        <v>0</v>
      </c>
      <c r="BW76" s="1">
        <f t="shared" si="35"/>
        <v>0</v>
      </c>
    </row>
    <row r="77" spans="9:75" x14ac:dyDescent="0.25">
      <c r="I77" s="19" t="str">
        <f>alimentos[[#This Row],[Item]]</f>
        <v>Biscoito de Polvilho Doce (100g)</v>
      </c>
      <c r="J77" s="4">
        <f>IFERROR(alimentos[[#This Row],[kg/embalagem]],0)</f>
        <v>0.1</v>
      </c>
      <c r="K77" s="4">
        <f>IFERROR(alimentos[[#This Row],[Preço]],0)</f>
        <v>4.78</v>
      </c>
      <c r="L77" s="4">
        <f>SUMIFS(super1[Qtde],super1[Item],tab_alimentos[[#This Row],[Item]],super1[Bairro],mercado1)+SUMIFS(supercb[Qtde],supercb[Item],tab_alimentos[[#This Row],[Item]],supercb[Bairro],mercado1)</f>
        <v>0</v>
      </c>
      <c r="M77" s="4">
        <f>SUMIFS(super1[Qtde],super1[Item],tab_alimentos[[#This Row],[Item]],super1[Bairro],mercado2)+SUMIFS(supercb[Qtde],supercb[Item],tab_alimentos[[#This Row],[Item]],supercb[Bairro],mercado2)</f>
        <v>0</v>
      </c>
      <c r="N77" s="4">
        <f>SUMIFS(super1[Qtde],super1[Item],tab_alimentos[[#This Row],[Item]],super1[Bairro],mercado3)+SUMIFS(supercb[Qtde],supercb[Item],tab_alimentos[[#This Row],[Item]],supercb[Bairro],mercado3)</f>
        <v>0</v>
      </c>
      <c r="O77" s="4">
        <f>SUMIFS(super1[Qtde],super1[Item],tab_alimentos[[#This Row],[Item]],super1[Bairro],mercado4)+SUMIFS(supercb[Qtde],supercb[Item],tab_alimentos[[#This Row],[Item]],supercb[Bairro],mercado4)</f>
        <v>0</v>
      </c>
      <c r="P77" s="4">
        <f>SUMIFS(super1[Qtde],super1[Item],tab_alimentos[[#This Row],[Item]],super1[Bairro],mercado5)+SUMIFS(supercb[Qtde],supercb[Item],tab_alimentos[[#This Row],[Item]],supercb[Bairro],mercado5)</f>
        <v>0</v>
      </c>
      <c r="Q77" s="4">
        <f>SUMIFS(super1[Qtde],super1[Item],tab_alimentos[[#This Row],[Item]],super1[Bairro],mercado6)+SUMIFS(supercb[Qtde],supercb[Item],tab_alimentos[[#This Row],[Item]],supercb[Bairro],mercado6)</f>
        <v>0</v>
      </c>
      <c r="R77" s="4">
        <f>SUMIFS(super1[Qtde],super1[Item],tab_alimentos[[#This Row],[Item]],super1[Bairro],mercado7)+SUMIFS(supercb[Qtde],supercb[Item],tab_alimentos[[#This Row],[Item]],supercb[Bairro],mercado7)</f>
        <v>0</v>
      </c>
      <c r="S77" s="4">
        <f>SUMIFS(super1[Qtde],super1[Item],tab_alimentos[[#This Row],[Item]],super1[Bairro],mercado8)+SUMIFS(supercb[Qtde],supercb[Item],tab_alimentos[[#This Row],[Item]],supercb[Bairro],mercado8)</f>
        <v>0</v>
      </c>
      <c r="T77" s="4">
        <f>SUMIFS(super1[Qtde],super1[Item],tab_alimentos[[#This Row],[Item]],super1[Bairro],mercado9)+SUMIFS(supercb[Qtde],supercb[Item],tab_alimentos[[#This Row],[Item]],supercb[Bairro],mercado9)</f>
        <v>0</v>
      </c>
      <c r="U77" s="4">
        <f>SUMIFS(super1[Qtde],super1[Item],tab_alimentos[[#This Row],[Item]],super1[Bairro],mercado10)+SUMIFS(supercb[Qtde],supercb[Item],tab_alimentos[[#This Row],[Item]],supercb[Bairro],mercado10)</f>
        <v>0</v>
      </c>
      <c r="V77" s="4">
        <f>SUMIFS(super1[Qtde],super1[Item],tab_alimentos[[#This Row],[Item]],super1[Bairro],mercado11)+SUMIFS(supercb[Qtde],supercb[Item],tab_alimentos[[#This Row],[Item]],supercb[Bairro],mercado11)</f>
        <v>0</v>
      </c>
      <c r="W77" s="4">
        <f>SUMIFS(super1[Qtde],super1[Item],tab_alimentos[[#This Row],[Item]],super1[Bairro],mercado12)+SUMIFS(supercb[Qtde],supercb[Item],tab_alimentos[[#This Row],[Item]],supercb[Bairro],mercado12)</f>
        <v>0</v>
      </c>
      <c r="X77" s="4">
        <f>SUMIFS(super1[Qtde],super1[Item],tab_alimentos[[#This Row],[Item]],super1[Bairro],mercado13)+SUMIFS(supercb[Qtde],supercb[Item],tab_alimentos[[#This Row],[Item]],supercb[Bairro],mercado13)</f>
        <v>0</v>
      </c>
      <c r="Y77" s="4">
        <f>SUMIFS(super1[Qtde],super1[Item],tab_alimentos[[#This Row],[Item]],super1[Bairro],mercado14)+SUMIFS(supercb[Qtde],supercb[Item],tab_alimentos[[#This Row],[Item]],supercb[Bairro],mercado14)</f>
        <v>0</v>
      </c>
      <c r="Z77" s="4">
        <f>SUMIFS(super1[Qtde],super1[Item],tab_alimentos[[#This Row],[Item]],super1[Bairro],mercado15)+SUMIFS(supercb[Qtde],supercb[Item],tab_alimentos[[#This Row],[Item]],supercb[Bairro],mercado15)</f>
        <v>0</v>
      </c>
      <c r="AA77" s="4">
        <f>SUMIFS(super1[Qtde],super1[Item],tab_alimentos[[#This Row],[Item]],super1[Bairro],mercado16)+SUMIFS(supercb[Qtde],supercb[Item],tab_alimentos[[#This Row],[Item]],supercb[Bairro],mercado16)</f>
        <v>0</v>
      </c>
      <c r="AB77" s="4">
        <f>SUMIFS(super1[Qtde],super1[Item],tab_alimentos[[#This Row],[Item]],super1[Bairro],mercado17)+SUMIFS(supercb[Qtde],supercb[Item],tab_alimentos[[#This Row],[Item]],supercb[Bairro],mercado17)</f>
        <v>0</v>
      </c>
      <c r="AC77" s="4">
        <f>SUMIFS(super1[Qtde],super1[Item],tab_alimentos[[#This Row],[Item]],super1[Bairro],mercado18)+SUMIFS(supercb[Qtde],supercb[Item],tab_alimentos[[#This Row],[Item]],supercb[Bairro],mercado18)</f>
        <v>0</v>
      </c>
      <c r="AD77" s="4">
        <f>SUMIFS(super1[Qtde],super1[Item],tab_alimentos[[#This Row],[Item]],super1[Bairro],extras)+SUMIFS(supercb[Qtde],supercb[Item],tab_alimentos[[#This Row],[Item]],supercb[Bairro],extras)</f>
        <v>0</v>
      </c>
      <c r="AE77" s="4">
        <f t="shared" si="27"/>
        <v>0</v>
      </c>
      <c r="AF77" s="4">
        <f t="shared" si="28"/>
        <v>0</v>
      </c>
      <c r="AG77" s="6">
        <f t="shared" si="29"/>
        <v>0</v>
      </c>
      <c r="AH77" s="19" t="str">
        <f>higiene[[#This Row],[Item]]</f>
        <v>Escova de Dente (1un)</v>
      </c>
      <c r="AI77" s="4">
        <f>IFERROR(higiene[[#This Row],[Kg equivalente]],0)</f>
        <v>0</v>
      </c>
      <c r="AJ77" s="4">
        <f>IFERROR(higiene[[#This Row],[Preço por produto]],0)</f>
        <v>2.39</v>
      </c>
      <c r="AK77" s="4">
        <f>SUMIFS(super1[Qtde],super1[Item],tab_higiene[[#This Row],[Item]],super1[Bairro],mercado1)+SUMIFS(supercb[Qtde],supercb[Item],tab_higiene[[#This Row],[Item]],supercb[Bairro],mercado1)</f>
        <v>0</v>
      </c>
      <c r="AL77" s="4">
        <f>SUMIFS(super1[Qtde],super1[Item],tab_higiene[[#This Row],[Item]],super1[Bairro],mercado2)+SUMIFS(supercb[Qtde],supercb[Item],tab_higiene[[#This Row],[Item]],supercb[Bairro],mercado2)</f>
        <v>0</v>
      </c>
      <c r="AM77" s="4">
        <f>SUMIFS(super1[Qtde],super1[Item],tab_higiene[[#This Row],[Item]],super1[Bairro],mercado3)+SUMIFS(supercb[Qtde],supercb[Item],tab_higiene[[#This Row],[Item]],supercb[Bairro],mercado3)</f>
        <v>0</v>
      </c>
      <c r="AN77" s="4">
        <f>SUMIFS(super1[Qtde],super1[Item],tab_higiene[[#This Row],[Item]],super1[Bairro],mercado4)+SUMIFS(supercb[Qtde],supercb[Item],tab_higiene[[#This Row],[Item]],supercb[Bairro],mercado4)</f>
        <v>0</v>
      </c>
      <c r="AO77" s="4">
        <f>SUMIFS(super1[Qtde],super1[Item],tab_higiene[[#This Row],[Item]],super1[Bairro],mercado5)+SUMIFS(supercb[Qtde],supercb[Item],tab_higiene[[#This Row],[Item]],supercb[Bairro],mercado5)</f>
        <v>0</v>
      </c>
      <c r="AP77" s="4">
        <f>SUMIFS(super1[Qtde],super1[Item],tab_higiene[[#This Row],[Item]],super1[Bairro],mercado6)+SUMIFS(supercb[Qtde],supercb[Item],tab_higiene[[#This Row],[Item]],supercb[Bairro],mercado6)</f>
        <v>0</v>
      </c>
      <c r="AQ77" s="4">
        <f>SUMIFS(super1[Qtde],super1[Item],tab_higiene[[#This Row],[Item]],super1[Bairro],mercado7)+SUMIFS(supercb[Qtde],supercb[Item],tab_higiene[[#This Row],[Item]],supercb[Bairro],mercado7)</f>
        <v>0</v>
      </c>
      <c r="AR77" s="4">
        <f>SUMIFS(super1[Qtde],super1[Item],tab_higiene[[#This Row],[Item]],super1[Bairro],mercado8)+SUMIFS(supercb[Qtde],supercb[Item],tab_higiene[[#This Row],[Item]],supercb[Bairro],mercado8)</f>
        <v>0</v>
      </c>
      <c r="AS77" s="4">
        <f>SUMIFS(super1[Qtde],super1[Item],tab_higiene[[#This Row],[Item]],super1[Bairro],mercado9)+SUMIFS(supercb[Qtde],supercb[Item],tab_higiene[[#This Row],[Item]],supercb[Bairro],mercado9)</f>
        <v>0</v>
      </c>
      <c r="AT77" s="4">
        <f>SUMIFS(super1[Qtde],super1[Item],tab_higiene[[#This Row],[Item]],super1[Bairro],mercado10)+SUMIFS(supercb[Qtde],supercb[Item],tab_higiene[[#This Row],[Item]],supercb[Bairro],mercado10)</f>
        <v>0</v>
      </c>
      <c r="AU77" s="4">
        <f>SUMIFS(super1[Qtde],super1[Item],tab_higiene[[#This Row],[Item]],super1[Bairro],mercado11)+SUMIFS(supercb[Qtde],supercb[Item],tab_higiene[[#This Row],[Item]],supercb[Bairro],mercado11)</f>
        <v>0</v>
      </c>
      <c r="AV77" s="4">
        <f>SUMIFS(super1[Qtde],super1[Item],tab_higiene[[#This Row],[Item]],super1[Bairro],mercado12)+SUMIFS(supercb[Qtde],supercb[Item],tab_higiene[[#This Row],[Item]],supercb[Bairro],mercado12)</f>
        <v>0</v>
      </c>
      <c r="AW77" s="4">
        <f>SUMIFS(super1[Qtde],super1[Item],tab_higiene[[#This Row],[Item]],super1[Bairro],mercado13)+SUMIFS(supercb[Qtde],supercb[Item],tab_higiene[[#This Row],[Item]],supercb[Bairro],mercado13)</f>
        <v>0</v>
      </c>
      <c r="AX77" s="4">
        <f>SUMIFS(super1[Qtde],super1[Item],tab_higiene[[#This Row],[Item]],super1[Bairro],mercado14)+SUMIFS(supercb[Qtde],supercb[Item],tab_higiene[[#This Row],[Item]],supercb[Bairro],mercado14)</f>
        <v>0</v>
      </c>
      <c r="AY77" s="4">
        <f>SUMIFS(super1[Qtde],super1[Item],tab_higiene[[#This Row],[Item]],super1[Bairro],mercado15)+SUMIFS(supercb[Qtde],supercb[Item],tab_higiene[[#This Row],[Item]],supercb[Bairro],mercado15)</f>
        <v>0</v>
      </c>
      <c r="AZ77" s="4">
        <f>SUMIFS(super1[Qtde],super1[Item],tab_higiene[[#This Row],[Item]],super1[Bairro],mercado16)+SUMIFS(supercb[Qtde],supercb[Item],tab_higiene[[#This Row],[Item]],supercb[Bairro],mercado16)</f>
        <v>0</v>
      </c>
      <c r="BA77" s="4">
        <f>SUMIFS(super1[Qtde],super1[Item],tab_higiene[[#This Row],[Item]],super1[Bairro],mercado17)+SUMIFS(supercb[Qtde],supercb[Item],tab_higiene[[#This Row],[Item]],supercb[Bairro],mercado17)</f>
        <v>0</v>
      </c>
      <c r="BB77" s="4">
        <f>SUMIFS(super1[Qtde],super1[Item],tab_higiene[[#This Row],[Item]],super1[Bairro],mercado18)+SUMIFS(supercb[Qtde],supercb[Item],tab_higiene[[#This Row],[Item]],supercb[Bairro],mercado18)</f>
        <v>0</v>
      </c>
      <c r="BC77" s="4">
        <f>SUMIFS(super1[Qtde],super1[Item],tab_higiene[[#This Row],[Item]],super1[Bairro],extras)+SUMIFS(supercb[Qtde],supercb[Item],tab_higiene[[#This Row],[Item]],supercb[Bairro],extras)</f>
        <v>0</v>
      </c>
      <c r="BD77" s="4">
        <f t="shared" si="30"/>
        <v>0</v>
      </c>
      <c r="BE77" s="4">
        <f t="shared" si="31"/>
        <v>0</v>
      </c>
      <c r="BF77" s="6">
        <f t="shared" si="32"/>
        <v>0</v>
      </c>
      <c r="BI77" s="1" t="str">
        <f>tab_alimentos[[#This Row],[Item]]</f>
        <v>Biscoito de Polvilho Doce (100g)</v>
      </c>
      <c r="BJ77" s="1">
        <f t="shared" si="25"/>
        <v>26</v>
      </c>
      <c r="BK77" s="1" t="str">
        <f t="shared" si="26"/>
        <v>Biscoito de Polvilho Doce</v>
      </c>
      <c r="BL77" s="1">
        <f>tab_alimentos[[#This Row],[kg]]</f>
        <v>0</v>
      </c>
      <c r="BM77" s="25" t="s">
        <v>126</v>
      </c>
      <c r="BN77" s="1">
        <f t="shared" si="36"/>
        <v>0</v>
      </c>
      <c r="BP77" s="1" t="str">
        <f>tab_higiene[[#This Row],[Item]]</f>
        <v>Escova de Dente (1un)</v>
      </c>
      <c r="BQ77" s="1">
        <f t="shared" si="33"/>
        <v>16</v>
      </c>
      <c r="BR77" s="1" t="str">
        <f t="shared" si="34"/>
        <v>Escova de Dente</v>
      </c>
      <c r="BS77" s="1">
        <f>higiene[[#This Row],[Quantidade]]</f>
        <v>20</v>
      </c>
      <c r="BT77" s="1">
        <f>tab_higiene[[#This Row],[Qtde (tot)]]</f>
        <v>0</v>
      </c>
      <c r="BU77" s="1">
        <f t="shared" si="37"/>
        <v>0</v>
      </c>
      <c r="BW77" s="1">
        <f t="shared" si="35"/>
        <v>0</v>
      </c>
    </row>
    <row r="78" spans="9:75" x14ac:dyDescent="0.25">
      <c r="I78" s="19" t="str">
        <f>alimentos[[#This Row],[Item]]</f>
        <v>Biscoito de Polvilho Salgado (100g)</v>
      </c>
      <c r="J78" s="4">
        <f>IFERROR(alimentos[[#This Row],[kg/embalagem]],0)</f>
        <v>0.1</v>
      </c>
      <c r="K78" s="4">
        <f>IFERROR(alimentos[[#This Row],[Preço]],0)</f>
        <v>3.71</v>
      </c>
      <c r="L78" s="4">
        <f>SUMIFS(super1[Qtde],super1[Item],tab_alimentos[[#This Row],[Item]],super1[Bairro],mercado1)+SUMIFS(supercb[Qtde],supercb[Item],tab_alimentos[[#This Row],[Item]],supercb[Bairro],mercado1)</f>
        <v>0</v>
      </c>
      <c r="M78" s="4">
        <f>SUMIFS(super1[Qtde],super1[Item],tab_alimentos[[#This Row],[Item]],super1[Bairro],mercado2)+SUMIFS(supercb[Qtde],supercb[Item],tab_alimentos[[#This Row],[Item]],supercb[Bairro],mercado2)</f>
        <v>0</v>
      </c>
      <c r="N78" s="4">
        <f>SUMIFS(super1[Qtde],super1[Item],tab_alimentos[[#This Row],[Item]],super1[Bairro],mercado3)+SUMIFS(supercb[Qtde],supercb[Item],tab_alimentos[[#This Row],[Item]],supercb[Bairro],mercado3)</f>
        <v>0</v>
      </c>
      <c r="O78" s="4">
        <f>SUMIFS(super1[Qtde],super1[Item],tab_alimentos[[#This Row],[Item]],super1[Bairro],mercado4)+SUMIFS(supercb[Qtde],supercb[Item],tab_alimentos[[#This Row],[Item]],supercb[Bairro],mercado4)</f>
        <v>0</v>
      </c>
      <c r="P78" s="4">
        <f>SUMIFS(super1[Qtde],super1[Item],tab_alimentos[[#This Row],[Item]],super1[Bairro],mercado5)+SUMIFS(supercb[Qtde],supercb[Item],tab_alimentos[[#This Row],[Item]],supercb[Bairro],mercado5)</f>
        <v>0</v>
      </c>
      <c r="Q78" s="4">
        <f>SUMIFS(super1[Qtde],super1[Item],tab_alimentos[[#This Row],[Item]],super1[Bairro],mercado6)+SUMIFS(supercb[Qtde],supercb[Item],tab_alimentos[[#This Row],[Item]],supercb[Bairro],mercado6)</f>
        <v>0</v>
      </c>
      <c r="R78" s="4">
        <f>SUMIFS(super1[Qtde],super1[Item],tab_alimentos[[#This Row],[Item]],super1[Bairro],mercado7)+SUMIFS(supercb[Qtde],supercb[Item],tab_alimentos[[#This Row],[Item]],supercb[Bairro],mercado7)</f>
        <v>0</v>
      </c>
      <c r="S78" s="4">
        <f>SUMIFS(super1[Qtde],super1[Item],tab_alimentos[[#This Row],[Item]],super1[Bairro],mercado8)+SUMIFS(supercb[Qtde],supercb[Item],tab_alimentos[[#This Row],[Item]],supercb[Bairro],mercado8)</f>
        <v>0</v>
      </c>
      <c r="T78" s="4">
        <f>SUMIFS(super1[Qtde],super1[Item],tab_alimentos[[#This Row],[Item]],super1[Bairro],mercado9)+SUMIFS(supercb[Qtde],supercb[Item],tab_alimentos[[#This Row],[Item]],supercb[Bairro],mercado9)</f>
        <v>0</v>
      </c>
      <c r="U78" s="4">
        <f>SUMIFS(super1[Qtde],super1[Item],tab_alimentos[[#This Row],[Item]],super1[Bairro],mercado10)+SUMIFS(supercb[Qtde],supercb[Item],tab_alimentos[[#This Row],[Item]],supercb[Bairro],mercado10)</f>
        <v>0</v>
      </c>
      <c r="V78" s="4">
        <f>SUMIFS(super1[Qtde],super1[Item],tab_alimentos[[#This Row],[Item]],super1[Bairro],mercado11)+SUMIFS(supercb[Qtde],supercb[Item],tab_alimentos[[#This Row],[Item]],supercb[Bairro],mercado11)</f>
        <v>0</v>
      </c>
      <c r="W78" s="4">
        <f>SUMIFS(super1[Qtde],super1[Item],tab_alimentos[[#This Row],[Item]],super1[Bairro],mercado12)+SUMIFS(supercb[Qtde],supercb[Item],tab_alimentos[[#This Row],[Item]],supercb[Bairro],mercado12)</f>
        <v>0</v>
      </c>
      <c r="X78" s="4">
        <f>SUMIFS(super1[Qtde],super1[Item],tab_alimentos[[#This Row],[Item]],super1[Bairro],mercado13)+SUMIFS(supercb[Qtde],supercb[Item],tab_alimentos[[#This Row],[Item]],supercb[Bairro],mercado13)</f>
        <v>0</v>
      </c>
      <c r="Y78" s="4">
        <f>SUMIFS(super1[Qtde],super1[Item],tab_alimentos[[#This Row],[Item]],super1[Bairro],mercado14)+SUMIFS(supercb[Qtde],supercb[Item],tab_alimentos[[#This Row],[Item]],supercb[Bairro],mercado14)</f>
        <v>0</v>
      </c>
      <c r="Z78" s="4">
        <f>SUMIFS(super1[Qtde],super1[Item],tab_alimentos[[#This Row],[Item]],super1[Bairro],mercado15)+SUMIFS(supercb[Qtde],supercb[Item],tab_alimentos[[#This Row],[Item]],supercb[Bairro],mercado15)</f>
        <v>0</v>
      </c>
      <c r="AA78" s="4">
        <f>SUMIFS(super1[Qtde],super1[Item],tab_alimentos[[#This Row],[Item]],super1[Bairro],mercado16)+SUMIFS(supercb[Qtde],supercb[Item],tab_alimentos[[#This Row],[Item]],supercb[Bairro],mercado16)</f>
        <v>0</v>
      </c>
      <c r="AB78" s="4">
        <f>SUMIFS(super1[Qtde],super1[Item],tab_alimentos[[#This Row],[Item]],super1[Bairro],mercado17)+SUMIFS(supercb[Qtde],supercb[Item],tab_alimentos[[#This Row],[Item]],supercb[Bairro],mercado17)</f>
        <v>0</v>
      </c>
      <c r="AC78" s="4">
        <f>SUMIFS(super1[Qtde],super1[Item],tab_alimentos[[#This Row],[Item]],super1[Bairro],mercado18)+SUMIFS(supercb[Qtde],supercb[Item],tab_alimentos[[#This Row],[Item]],supercb[Bairro],mercado18)</f>
        <v>0</v>
      </c>
      <c r="AD78" s="4">
        <f>SUMIFS(super1[Qtde],super1[Item],tab_alimentos[[#This Row],[Item]],super1[Bairro],extras)+SUMIFS(supercb[Qtde],supercb[Item],tab_alimentos[[#This Row],[Item]],supercb[Bairro],extras)</f>
        <v>0</v>
      </c>
      <c r="AE78" s="4">
        <f t="shared" si="27"/>
        <v>0</v>
      </c>
      <c r="AF78" s="4">
        <f t="shared" si="28"/>
        <v>0</v>
      </c>
      <c r="AG78" s="6">
        <f t="shared" si="29"/>
        <v>0</v>
      </c>
      <c r="AH78" s="19" t="str">
        <f>higiene[[#This Row],[Item]]</f>
        <v>Escova de Dente (2un)</v>
      </c>
      <c r="AI78" s="4">
        <f>IFERROR(higiene[[#This Row],[Kg equivalente]],0)</f>
        <v>0</v>
      </c>
      <c r="AJ78" s="4">
        <f>IFERROR(higiene[[#This Row],[Preço por produto]],0)</f>
        <v>11.99</v>
      </c>
      <c r="AK78" s="4">
        <f>SUMIFS(super1[Qtde],super1[Item],tab_higiene[[#This Row],[Item]],super1[Bairro],mercado1)+SUMIFS(supercb[Qtde],supercb[Item],tab_higiene[[#This Row],[Item]],supercb[Bairro],mercado1)</f>
        <v>0</v>
      </c>
      <c r="AL78" s="4">
        <f>SUMIFS(super1[Qtde],super1[Item],tab_higiene[[#This Row],[Item]],super1[Bairro],mercado2)+SUMIFS(supercb[Qtde],supercb[Item],tab_higiene[[#This Row],[Item]],supercb[Bairro],mercado2)</f>
        <v>0</v>
      </c>
      <c r="AM78" s="4">
        <f>SUMIFS(super1[Qtde],super1[Item],tab_higiene[[#This Row],[Item]],super1[Bairro],mercado3)+SUMIFS(supercb[Qtde],supercb[Item],tab_higiene[[#This Row],[Item]],supercb[Bairro],mercado3)</f>
        <v>0</v>
      </c>
      <c r="AN78" s="4">
        <f>SUMIFS(super1[Qtde],super1[Item],tab_higiene[[#This Row],[Item]],super1[Bairro],mercado4)+SUMIFS(supercb[Qtde],supercb[Item],tab_higiene[[#This Row],[Item]],supercb[Bairro],mercado4)</f>
        <v>0</v>
      </c>
      <c r="AO78" s="4">
        <f>SUMIFS(super1[Qtde],super1[Item],tab_higiene[[#This Row],[Item]],super1[Bairro],mercado5)+SUMIFS(supercb[Qtde],supercb[Item],tab_higiene[[#This Row],[Item]],supercb[Bairro],mercado5)</f>
        <v>0</v>
      </c>
      <c r="AP78" s="4">
        <f>SUMIFS(super1[Qtde],super1[Item],tab_higiene[[#This Row],[Item]],super1[Bairro],mercado6)+SUMIFS(supercb[Qtde],supercb[Item],tab_higiene[[#This Row],[Item]],supercb[Bairro],mercado6)</f>
        <v>0</v>
      </c>
      <c r="AQ78" s="4">
        <f>SUMIFS(super1[Qtde],super1[Item],tab_higiene[[#This Row],[Item]],super1[Bairro],mercado7)+SUMIFS(supercb[Qtde],supercb[Item],tab_higiene[[#This Row],[Item]],supercb[Bairro],mercado7)</f>
        <v>0</v>
      </c>
      <c r="AR78" s="4">
        <f>SUMIFS(super1[Qtde],super1[Item],tab_higiene[[#This Row],[Item]],super1[Bairro],mercado8)+SUMIFS(supercb[Qtde],supercb[Item],tab_higiene[[#This Row],[Item]],supercb[Bairro],mercado8)</f>
        <v>0</v>
      </c>
      <c r="AS78" s="4">
        <f>SUMIFS(super1[Qtde],super1[Item],tab_higiene[[#This Row],[Item]],super1[Bairro],mercado9)+SUMIFS(supercb[Qtde],supercb[Item],tab_higiene[[#This Row],[Item]],supercb[Bairro],mercado9)</f>
        <v>0</v>
      </c>
      <c r="AT78" s="4">
        <f>SUMIFS(super1[Qtde],super1[Item],tab_higiene[[#This Row],[Item]],super1[Bairro],mercado10)+SUMIFS(supercb[Qtde],supercb[Item],tab_higiene[[#This Row],[Item]],supercb[Bairro],mercado10)</f>
        <v>0</v>
      </c>
      <c r="AU78" s="4">
        <f>SUMIFS(super1[Qtde],super1[Item],tab_higiene[[#This Row],[Item]],super1[Bairro],mercado11)+SUMIFS(supercb[Qtde],supercb[Item],tab_higiene[[#This Row],[Item]],supercb[Bairro],mercado11)</f>
        <v>0</v>
      </c>
      <c r="AV78" s="4">
        <f>SUMIFS(super1[Qtde],super1[Item],tab_higiene[[#This Row],[Item]],super1[Bairro],mercado12)+SUMIFS(supercb[Qtde],supercb[Item],tab_higiene[[#This Row],[Item]],supercb[Bairro],mercado12)</f>
        <v>0</v>
      </c>
      <c r="AW78" s="4">
        <f>SUMIFS(super1[Qtde],super1[Item],tab_higiene[[#This Row],[Item]],super1[Bairro],mercado13)+SUMIFS(supercb[Qtde],supercb[Item],tab_higiene[[#This Row],[Item]],supercb[Bairro],mercado13)</f>
        <v>0</v>
      </c>
      <c r="AX78" s="4">
        <f>SUMIFS(super1[Qtde],super1[Item],tab_higiene[[#This Row],[Item]],super1[Bairro],mercado14)+SUMIFS(supercb[Qtde],supercb[Item],tab_higiene[[#This Row],[Item]],supercb[Bairro],mercado14)</f>
        <v>0</v>
      </c>
      <c r="AY78" s="4">
        <f>SUMIFS(super1[Qtde],super1[Item],tab_higiene[[#This Row],[Item]],super1[Bairro],mercado15)+SUMIFS(supercb[Qtde],supercb[Item],tab_higiene[[#This Row],[Item]],supercb[Bairro],mercado15)</f>
        <v>0</v>
      </c>
      <c r="AZ78" s="4">
        <f>SUMIFS(super1[Qtde],super1[Item],tab_higiene[[#This Row],[Item]],super1[Bairro],mercado16)+SUMIFS(supercb[Qtde],supercb[Item],tab_higiene[[#This Row],[Item]],supercb[Bairro],mercado16)</f>
        <v>0</v>
      </c>
      <c r="BA78" s="4">
        <f>SUMIFS(super1[Qtde],super1[Item],tab_higiene[[#This Row],[Item]],super1[Bairro],mercado17)+SUMIFS(supercb[Qtde],supercb[Item],tab_higiene[[#This Row],[Item]],supercb[Bairro],mercado17)</f>
        <v>0</v>
      </c>
      <c r="BB78" s="4">
        <f>SUMIFS(super1[Qtde],super1[Item],tab_higiene[[#This Row],[Item]],super1[Bairro],mercado18)+SUMIFS(supercb[Qtde],supercb[Item],tab_higiene[[#This Row],[Item]],supercb[Bairro],mercado18)</f>
        <v>0</v>
      </c>
      <c r="BC78" s="4">
        <f>SUMIFS(super1[Qtde],super1[Item],tab_higiene[[#This Row],[Item]],super1[Bairro],extras)+SUMIFS(supercb[Qtde],supercb[Item],tab_higiene[[#This Row],[Item]],supercb[Bairro],extras)</f>
        <v>0</v>
      </c>
      <c r="BD78" s="4">
        <f t="shared" si="30"/>
        <v>0</v>
      </c>
      <c r="BE78" s="4">
        <f t="shared" si="31"/>
        <v>0</v>
      </c>
      <c r="BF78" s="6">
        <f t="shared" si="32"/>
        <v>0</v>
      </c>
      <c r="BI78" s="1" t="str">
        <f>tab_alimentos[[#This Row],[Item]]</f>
        <v>Biscoito de Polvilho Salgado (100g)</v>
      </c>
      <c r="BJ78" s="1">
        <f t="shared" si="25"/>
        <v>29</v>
      </c>
      <c r="BK78" s="1" t="str">
        <f t="shared" si="26"/>
        <v>Biscoito de Polvilho Salgado</v>
      </c>
      <c r="BL78" s="1">
        <f>tab_alimentos[[#This Row],[kg]]</f>
        <v>0</v>
      </c>
      <c r="BM78" s="25" t="s">
        <v>281</v>
      </c>
      <c r="BN78" s="1">
        <f t="shared" si="36"/>
        <v>0</v>
      </c>
      <c r="BP78" s="1" t="str">
        <f>tab_higiene[[#This Row],[Item]]</f>
        <v>Escova de Dente (2un)</v>
      </c>
      <c r="BQ78" s="1">
        <f t="shared" si="33"/>
        <v>16</v>
      </c>
      <c r="BR78" s="1" t="str">
        <f t="shared" si="34"/>
        <v>Escova de Dente</v>
      </c>
      <c r="BS78" s="1">
        <f>higiene[[#This Row],[Quantidade]]</f>
        <v>24</v>
      </c>
      <c r="BT78" s="1">
        <f>tab_higiene[[#This Row],[Qtde (tot)]]</f>
        <v>0</v>
      </c>
      <c r="BU78" s="1">
        <f t="shared" si="37"/>
        <v>0</v>
      </c>
      <c r="BW78" s="1">
        <f t="shared" si="35"/>
        <v>0</v>
      </c>
    </row>
    <row r="79" spans="9:75" x14ac:dyDescent="0.25">
      <c r="I79" s="19" t="str">
        <f>alimentos[[#This Row],[Item]]</f>
        <v>Biscoito de Polvinho Doce (300g)</v>
      </c>
      <c r="J79" s="4">
        <f>IFERROR(alimentos[[#This Row],[kg/embalagem]],0)</f>
        <v>0.3</v>
      </c>
      <c r="K79" s="4">
        <f>IFERROR(alimentos[[#This Row],[Preço]],0)</f>
        <v>6.19</v>
      </c>
      <c r="L79" s="4">
        <f>SUMIFS(super1[Qtde],super1[Item],tab_alimentos[[#This Row],[Item]],super1[Bairro],mercado1)+SUMIFS(supercb[Qtde],supercb[Item],tab_alimentos[[#This Row],[Item]],supercb[Bairro],mercado1)</f>
        <v>0</v>
      </c>
      <c r="M79" s="4">
        <f>SUMIFS(super1[Qtde],super1[Item],tab_alimentos[[#This Row],[Item]],super1[Bairro],mercado2)+SUMIFS(supercb[Qtde],supercb[Item],tab_alimentos[[#This Row],[Item]],supercb[Bairro],mercado2)</f>
        <v>0</v>
      </c>
      <c r="N79" s="4">
        <f>SUMIFS(super1[Qtde],super1[Item],tab_alimentos[[#This Row],[Item]],super1[Bairro],mercado3)+SUMIFS(supercb[Qtde],supercb[Item],tab_alimentos[[#This Row],[Item]],supercb[Bairro],mercado3)</f>
        <v>0</v>
      </c>
      <c r="O79" s="4">
        <f>SUMIFS(super1[Qtde],super1[Item],tab_alimentos[[#This Row],[Item]],super1[Bairro],mercado4)+SUMIFS(supercb[Qtde],supercb[Item],tab_alimentos[[#This Row],[Item]],supercb[Bairro],mercado4)</f>
        <v>0</v>
      </c>
      <c r="P79" s="4">
        <f>SUMIFS(super1[Qtde],super1[Item],tab_alimentos[[#This Row],[Item]],super1[Bairro],mercado5)+SUMIFS(supercb[Qtde],supercb[Item],tab_alimentos[[#This Row],[Item]],supercb[Bairro],mercado5)</f>
        <v>0</v>
      </c>
      <c r="Q79" s="4">
        <f>SUMIFS(super1[Qtde],super1[Item],tab_alimentos[[#This Row],[Item]],super1[Bairro],mercado6)+SUMIFS(supercb[Qtde],supercb[Item],tab_alimentos[[#This Row],[Item]],supercb[Bairro],mercado6)</f>
        <v>0</v>
      </c>
      <c r="R79" s="4">
        <f>SUMIFS(super1[Qtde],super1[Item],tab_alimentos[[#This Row],[Item]],super1[Bairro],mercado7)+SUMIFS(supercb[Qtde],supercb[Item],tab_alimentos[[#This Row],[Item]],supercb[Bairro],mercado7)</f>
        <v>0</v>
      </c>
      <c r="S79" s="4">
        <f>SUMIFS(super1[Qtde],super1[Item],tab_alimentos[[#This Row],[Item]],super1[Bairro],mercado8)+SUMIFS(supercb[Qtde],supercb[Item],tab_alimentos[[#This Row],[Item]],supercb[Bairro],mercado8)</f>
        <v>0</v>
      </c>
      <c r="T79" s="4">
        <f>SUMIFS(super1[Qtde],super1[Item],tab_alimentos[[#This Row],[Item]],super1[Bairro],mercado9)+SUMIFS(supercb[Qtde],supercb[Item],tab_alimentos[[#This Row],[Item]],supercb[Bairro],mercado9)</f>
        <v>0</v>
      </c>
      <c r="U79" s="4">
        <f>SUMIFS(super1[Qtde],super1[Item],tab_alimentos[[#This Row],[Item]],super1[Bairro],mercado10)+SUMIFS(supercb[Qtde],supercb[Item],tab_alimentos[[#This Row],[Item]],supercb[Bairro],mercado10)</f>
        <v>0</v>
      </c>
      <c r="V79" s="4">
        <f>SUMIFS(super1[Qtde],super1[Item],tab_alimentos[[#This Row],[Item]],super1[Bairro],mercado11)+SUMIFS(supercb[Qtde],supercb[Item],tab_alimentos[[#This Row],[Item]],supercb[Bairro],mercado11)</f>
        <v>0</v>
      </c>
      <c r="W79" s="4">
        <f>SUMIFS(super1[Qtde],super1[Item],tab_alimentos[[#This Row],[Item]],super1[Bairro],mercado12)+SUMIFS(supercb[Qtde],supercb[Item],tab_alimentos[[#This Row],[Item]],supercb[Bairro],mercado12)</f>
        <v>0</v>
      </c>
      <c r="X79" s="4">
        <f>SUMIFS(super1[Qtde],super1[Item],tab_alimentos[[#This Row],[Item]],super1[Bairro],mercado13)+SUMIFS(supercb[Qtde],supercb[Item],tab_alimentos[[#This Row],[Item]],supercb[Bairro],mercado13)</f>
        <v>0</v>
      </c>
      <c r="Y79" s="4">
        <f>SUMIFS(super1[Qtde],super1[Item],tab_alimentos[[#This Row],[Item]],super1[Bairro],mercado14)+SUMIFS(supercb[Qtde],supercb[Item],tab_alimentos[[#This Row],[Item]],supercb[Bairro],mercado14)</f>
        <v>0</v>
      </c>
      <c r="Z79" s="4">
        <f>SUMIFS(super1[Qtde],super1[Item],tab_alimentos[[#This Row],[Item]],super1[Bairro],mercado15)+SUMIFS(supercb[Qtde],supercb[Item],tab_alimentos[[#This Row],[Item]],supercb[Bairro],mercado15)</f>
        <v>0</v>
      </c>
      <c r="AA79" s="4">
        <f>SUMIFS(super1[Qtde],super1[Item],tab_alimentos[[#This Row],[Item]],super1[Bairro],mercado16)+SUMIFS(supercb[Qtde],supercb[Item],tab_alimentos[[#This Row],[Item]],supercb[Bairro],mercado16)</f>
        <v>0</v>
      </c>
      <c r="AB79" s="4">
        <f>SUMIFS(super1[Qtde],super1[Item],tab_alimentos[[#This Row],[Item]],super1[Bairro],mercado17)+SUMIFS(supercb[Qtde],supercb[Item],tab_alimentos[[#This Row],[Item]],supercb[Bairro],mercado17)</f>
        <v>0</v>
      </c>
      <c r="AC79" s="4">
        <f>SUMIFS(super1[Qtde],super1[Item],tab_alimentos[[#This Row],[Item]],super1[Bairro],mercado18)+SUMIFS(supercb[Qtde],supercb[Item],tab_alimentos[[#This Row],[Item]],supercb[Bairro],mercado18)</f>
        <v>0</v>
      </c>
      <c r="AD79" s="4">
        <f>SUMIFS(super1[Qtde],super1[Item],tab_alimentos[[#This Row],[Item]],super1[Bairro],extras)+SUMIFS(supercb[Qtde],supercb[Item],tab_alimentos[[#This Row],[Item]],supercb[Bairro],extras)</f>
        <v>0</v>
      </c>
      <c r="AE79" s="4">
        <f t="shared" si="27"/>
        <v>0</v>
      </c>
      <c r="AF79" s="4">
        <f t="shared" si="28"/>
        <v>0</v>
      </c>
      <c r="AG79" s="6">
        <f t="shared" si="29"/>
        <v>0</v>
      </c>
      <c r="AH79" s="19" t="str">
        <f>higiene[[#This Row],[Item]]</f>
        <v>Escova de Dente (3un)</v>
      </c>
      <c r="AI79" s="4">
        <f>IFERROR(higiene[[#This Row],[Kg equivalente]],0)</f>
        <v>0</v>
      </c>
      <c r="AJ79" s="4">
        <f>IFERROR(higiene[[#This Row],[Preço por produto]],0)</f>
        <v>19.989999999999998</v>
      </c>
      <c r="AK79" s="4">
        <f>SUMIFS(super1[Qtde],super1[Item],tab_higiene[[#This Row],[Item]],super1[Bairro],mercado1)+SUMIFS(supercb[Qtde],supercb[Item],tab_higiene[[#This Row],[Item]],supercb[Bairro],mercado1)</f>
        <v>0</v>
      </c>
      <c r="AL79" s="4">
        <f>SUMIFS(super1[Qtde],super1[Item],tab_higiene[[#This Row],[Item]],super1[Bairro],mercado2)+SUMIFS(supercb[Qtde],supercb[Item],tab_higiene[[#This Row],[Item]],supercb[Bairro],mercado2)</f>
        <v>0</v>
      </c>
      <c r="AM79" s="4">
        <f>SUMIFS(super1[Qtde],super1[Item],tab_higiene[[#This Row],[Item]],super1[Bairro],mercado3)+SUMIFS(supercb[Qtde],supercb[Item],tab_higiene[[#This Row],[Item]],supercb[Bairro],mercado3)</f>
        <v>0</v>
      </c>
      <c r="AN79" s="4">
        <f>SUMIFS(super1[Qtde],super1[Item],tab_higiene[[#This Row],[Item]],super1[Bairro],mercado4)+SUMIFS(supercb[Qtde],supercb[Item],tab_higiene[[#This Row],[Item]],supercb[Bairro],mercado4)</f>
        <v>0</v>
      </c>
      <c r="AO79" s="4">
        <f>SUMIFS(super1[Qtde],super1[Item],tab_higiene[[#This Row],[Item]],super1[Bairro],mercado5)+SUMIFS(supercb[Qtde],supercb[Item],tab_higiene[[#This Row],[Item]],supercb[Bairro],mercado5)</f>
        <v>0</v>
      </c>
      <c r="AP79" s="4">
        <f>SUMIFS(super1[Qtde],super1[Item],tab_higiene[[#This Row],[Item]],super1[Bairro],mercado6)+SUMIFS(supercb[Qtde],supercb[Item],tab_higiene[[#This Row],[Item]],supercb[Bairro],mercado6)</f>
        <v>0</v>
      </c>
      <c r="AQ79" s="4">
        <f>SUMIFS(super1[Qtde],super1[Item],tab_higiene[[#This Row],[Item]],super1[Bairro],mercado7)+SUMIFS(supercb[Qtde],supercb[Item],tab_higiene[[#This Row],[Item]],supercb[Bairro],mercado7)</f>
        <v>0</v>
      </c>
      <c r="AR79" s="4">
        <f>SUMIFS(super1[Qtde],super1[Item],tab_higiene[[#This Row],[Item]],super1[Bairro],mercado8)+SUMIFS(supercb[Qtde],supercb[Item],tab_higiene[[#This Row],[Item]],supercb[Bairro],mercado8)</f>
        <v>0</v>
      </c>
      <c r="AS79" s="4">
        <f>SUMIFS(super1[Qtde],super1[Item],tab_higiene[[#This Row],[Item]],super1[Bairro],mercado9)+SUMIFS(supercb[Qtde],supercb[Item],tab_higiene[[#This Row],[Item]],supercb[Bairro],mercado9)</f>
        <v>0</v>
      </c>
      <c r="AT79" s="4">
        <f>SUMIFS(super1[Qtde],super1[Item],tab_higiene[[#This Row],[Item]],super1[Bairro],mercado10)+SUMIFS(supercb[Qtde],supercb[Item],tab_higiene[[#This Row],[Item]],supercb[Bairro],mercado10)</f>
        <v>0</v>
      </c>
      <c r="AU79" s="4">
        <f>SUMIFS(super1[Qtde],super1[Item],tab_higiene[[#This Row],[Item]],super1[Bairro],mercado11)+SUMIFS(supercb[Qtde],supercb[Item],tab_higiene[[#This Row],[Item]],supercb[Bairro],mercado11)</f>
        <v>0</v>
      </c>
      <c r="AV79" s="4">
        <f>SUMIFS(super1[Qtde],super1[Item],tab_higiene[[#This Row],[Item]],super1[Bairro],mercado12)+SUMIFS(supercb[Qtde],supercb[Item],tab_higiene[[#This Row],[Item]],supercb[Bairro],mercado12)</f>
        <v>0</v>
      </c>
      <c r="AW79" s="4">
        <f>SUMIFS(super1[Qtde],super1[Item],tab_higiene[[#This Row],[Item]],super1[Bairro],mercado13)+SUMIFS(supercb[Qtde],supercb[Item],tab_higiene[[#This Row],[Item]],supercb[Bairro],mercado13)</f>
        <v>0</v>
      </c>
      <c r="AX79" s="4">
        <f>SUMIFS(super1[Qtde],super1[Item],tab_higiene[[#This Row],[Item]],super1[Bairro],mercado14)+SUMIFS(supercb[Qtde],supercb[Item],tab_higiene[[#This Row],[Item]],supercb[Bairro],mercado14)</f>
        <v>0</v>
      </c>
      <c r="AY79" s="4">
        <f>SUMIFS(super1[Qtde],super1[Item],tab_higiene[[#This Row],[Item]],super1[Bairro],mercado15)+SUMIFS(supercb[Qtde],supercb[Item],tab_higiene[[#This Row],[Item]],supercb[Bairro],mercado15)</f>
        <v>0</v>
      </c>
      <c r="AZ79" s="4">
        <f>SUMIFS(super1[Qtde],super1[Item],tab_higiene[[#This Row],[Item]],super1[Bairro],mercado16)+SUMIFS(supercb[Qtde],supercb[Item],tab_higiene[[#This Row],[Item]],supercb[Bairro],mercado16)</f>
        <v>0</v>
      </c>
      <c r="BA79" s="4">
        <f>SUMIFS(super1[Qtde],super1[Item],tab_higiene[[#This Row],[Item]],super1[Bairro],mercado17)+SUMIFS(supercb[Qtde],supercb[Item],tab_higiene[[#This Row],[Item]],supercb[Bairro],mercado17)</f>
        <v>0</v>
      </c>
      <c r="BB79" s="4">
        <f>SUMIFS(super1[Qtde],super1[Item],tab_higiene[[#This Row],[Item]],super1[Bairro],mercado18)+SUMIFS(supercb[Qtde],supercb[Item],tab_higiene[[#This Row],[Item]],supercb[Bairro],mercado18)</f>
        <v>0</v>
      </c>
      <c r="BC79" s="4">
        <f>SUMIFS(super1[Qtde],super1[Item],tab_higiene[[#This Row],[Item]],super1[Bairro],extras)+SUMIFS(supercb[Qtde],supercb[Item],tab_higiene[[#This Row],[Item]],supercb[Bairro],extras)</f>
        <v>0</v>
      </c>
      <c r="BD79" s="4">
        <f t="shared" si="30"/>
        <v>0</v>
      </c>
      <c r="BE79" s="4">
        <f t="shared" si="31"/>
        <v>0</v>
      </c>
      <c r="BF79" s="6">
        <f t="shared" si="32"/>
        <v>0</v>
      </c>
      <c r="BI79" s="1" t="str">
        <f>tab_alimentos[[#This Row],[Item]]</f>
        <v>Biscoito de Polvinho Doce (300g)</v>
      </c>
      <c r="BJ79" s="1">
        <f t="shared" si="25"/>
        <v>26</v>
      </c>
      <c r="BK79" s="1" t="str">
        <f t="shared" si="26"/>
        <v>Biscoito de Polvinho Doce</v>
      </c>
      <c r="BL79" s="1">
        <f>tab_alimentos[[#This Row],[kg]]</f>
        <v>0</v>
      </c>
      <c r="BM79" s="25" t="s">
        <v>223</v>
      </c>
      <c r="BN79" s="1">
        <f t="shared" si="36"/>
        <v>0</v>
      </c>
      <c r="BP79" s="1" t="str">
        <f>tab_higiene[[#This Row],[Item]]</f>
        <v>Escova de Dente (3un)</v>
      </c>
      <c r="BQ79" s="1">
        <f t="shared" si="33"/>
        <v>16</v>
      </c>
      <c r="BR79" s="1" t="str">
        <f t="shared" si="34"/>
        <v>Escova de Dente</v>
      </c>
      <c r="BS79" s="1">
        <f>higiene[[#This Row],[Quantidade]]</f>
        <v>30</v>
      </c>
      <c r="BT79" s="1">
        <f>tab_higiene[[#This Row],[Qtde (tot)]]</f>
        <v>0</v>
      </c>
      <c r="BU79" s="1">
        <f t="shared" si="37"/>
        <v>0</v>
      </c>
      <c r="BW79" s="1">
        <f t="shared" si="35"/>
        <v>0</v>
      </c>
    </row>
    <row r="80" spans="9:75" x14ac:dyDescent="0.25">
      <c r="I80" s="19" t="str">
        <f>alimentos[[#This Row],[Item]]</f>
        <v>Biscoito de Polvinho Salgado (300g)</v>
      </c>
      <c r="J80" s="4">
        <f>IFERROR(alimentos[[#This Row],[kg/embalagem]],0)</f>
        <v>0.3</v>
      </c>
      <c r="K80" s="4">
        <f>IFERROR(alimentos[[#This Row],[Preço]],0)</f>
        <v>7.59</v>
      </c>
      <c r="L80" s="4">
        <f>SUMIFS(super1[Qtde],super1[Item],tab_alimentos[[#This Row],[Item]],super1[Bairro],mercado1)+SUMIFS(supercb[Qtde],supercb[Item],tab_alimentos[[#This Row],[Item]],supercb[Bairro],mercado1)</f>
        <v>0</v>
      </c>
      <c r="M80" s="4">
        <f>SUMIFS(super1[Qtde],super1[Item],tab_alimentos[[#This Row],[Item]],super1[Bairro],mercado2)+SUMIFS(supercb[Qtde],supercb[Item],tab_alimentos[[#This Row],[Item]],supercb[Bairro],mercado2)</f>
        <v>0</v>
      </c>
      <c r="N80" s="4">
        <f>SUMIFS(super1[Qtde],super1[Item],tab_alimentos[[#This Row],[Item]],super1[Bairro],mercado3)+SUMIFS(supercb[Qtde],supercb[Item],tab_alimentos[[#This Row],[Item]],supercb[Bairro],mercado3)</f>
        <v>0</v>
      </c>
      <c r="O80" s="4">
        <f>SUMIFS(super1[Qtde],super1[Item],tab_alimentos[[#This Row],[Item]],super1[Bairro],mercado4)+SUMIFS(supercb[Qtde],supercb[Item],tab_alimentos[[#This Row],[Item]],supercb[Bairro],mercado4)</f>
        <v>0</v>
      </c>
      <c r="P80" s="4">
        <f>SUMIFS(super1[Qtde],super1[Item],tab_alimentos[[#This Row],[Item]],super1[Bairro],mercado5)+SUMIFS(supercb[Qtde],supercb[Item],tab_alimentos[[#This Row],[Item]],supercb[Bairro],mercado5)</f>
        <v>0</v>
      </c>
      <c r="Q80" s="4">
        <f>SUMIFS(super1[Qtde],super1[Item],tab_alimentos[[#This Row],[Item]],super1[Bairro],mercado6)+SUMIFS(supercb[Qtde],supercb[Item],tab_alimentos[[#This Row],[Item]],supercb[Bairro],mercado6)</f>
        <v>0</v>
      </c>
      <c r="R80" s="4">
        <f>SUMIFS(super1[Qtde],super1[Item],tab_alimentos[[#This Row],[Item]],super1[Bairro],mercado7)+SUMIFS(supercb[Qtde],supercb[Item],tab_alimentos[[#This Row],[Item]],supercb[Bairro],mercado7)</f>
        <v>0</v>
      </c>
      <c r="S80" s="4">
        <f>SUMIFS(super1[Qtde],super1[Item],tab_alimentos[[#This Row],[Item]],super1[Bairro],mercado8)+SUMIFS(supercb[Qtde],supercb[Item],tab_alimentos[[#This Row],[Item]],supercb[Bairro],mercado8)</f>
        <v>0</v>
      </c>
      <c r="T80" s="4">
        <f>SUMIFS(super1[Qtde],super1[Item],tab_alimentos[[#This Row],[Item]],super1[Bairro],mercado9)+SUMIFS(supercb[Qtde],supercb[Item],tab_alimentos[[#This Row],[Item]],supercb[Bairro],mercado9)</f>
        <v>0</v>
      </c>
      <c r="U80" s="4">
        <f>SUMIFS(super1[Qtde],super1[Item],tab_alimentos[[#This Row],[Item]],super1[Bairro],mercado10)+SUMIFS(supercb[Qtde],supercb[Item],tab_alimentos[[#This Row],[Item]],supercb[Bairro],mercado10)</f>
        <v>0</v>
      </c>
      <c r="V80" s="4">
        <f>SUMIFS(super1[Qtde],super1[Item],tab_alimentos[[#This Row],[Item]],super1[Bairro],mercado11)+SUMIFS(supercb[Qtde],supercb[Item],tab_alimentos[[#This Row],[Item]],supercb[Bairro],mercado11)</f>
        <v>0</v>
      </c>
      <c r="W80" s="4">
        <f>SUMIFS(super1[Qtde],super1[Item],tab_alimentos[[#This Row],[Item]],super1[Bairro],mercado12)+SUMIFS(supercb[Qtde],supercb[Item],tab_alimentos[[#This Row],[Item]],supercb[Bairro],mercado12)</f>
        <v>0</v>
      </c>
      <c r="X80" s="4">
        <f>SUMIFS(super1[Qtde],super1[Item],tab_alimentos[[#This Row],[Item]],super1[Bairro],mercado13)+SUMIFS(supercb[Qtde],supercb[Item],tab_alimentos[[#This Row],[Item]],supercb[Bairro],mercado13)</f>
        <v>0</v>
      </c>
      <c r="Y80" s="4">
        <f>SUMIFS(super1[Qtde],super1[Item],tab_alimentos[[#This Row],[Item]],super1[Bairro],mercado14)+SUMIFS(supercb[Qtde],supercb[Item],tab_alimentos[[#This Row],[Item]],supercb[Bairro],mercado14)</f>
        <v>0</v>
      </c>
      <c r="Z80" s="4">
        <f>SUMIFS(super1[Qtde],super1[Item],tab_alimentos[[#This Row],[Item]],super1[Bairro],mercado15)+SUMIFS(supercb[Qtde],supercb[Item],tab_alimentos[[#This Row],[Item]],supercb[Bairro],mercado15)</f>
        <v>0</v>
      </c>
      <c r="AA80" s="4">
        <f>SUMIFS(super1[Qtde],super1[Item],tab_alimentos[[#This Row],[Item]],super1[Bairro],mercado16)+SUMIFS(supercb[Qtde],supercb[Item],tab_alimentos[[#This Row],[Item]],supercb[Bairro],mercado16)</f>
        <v>0</v>
      </c>
      <c r="AB80" s="4">
        <f>SUMIFS(super1[Qtde],super1[Item],tab_alimentos[[#This Row],[Item]],super1[Bairro],mercado17)+SUMIFS(supercb[Qtde],supercb[Item],tab_alimentos[[#This Row],[Item]],supercb[Bairro],mercado17)</f>
        <v>0</v>
      </c>
      <c r="AC80" s="4">
        <f>SUMIFS(super1[Qtde],super1[Item],tab_alimentos[[#This Row],[Item]],super1[Bairro],mercado18)+SUMIFS(supercb[Qtde],supercb[Item],tab_alimentos[[#This Row],[Item]],supercb[Bairro],mercado18)</f>
        <v>0</v>
      </c>
      <c r="AD80" s="4">
        <f>SUMIFS(super1[Qtde],super1[Item],tab_alimentos[[#This Row],[Item]],super1[Bairro],extras)+SUMIFS(supercb[Qtde],supercb[Item],tab_alimentos[[#This Row],[Item]],supercb[Bairro],extras)</f>
        <v>0</v>
      </c>
      <c r="AE80" s="4">
        <f t="shared" si="27"/>
        <v>0</v>
      </c>
      <c r="AF80" s="4">
        <f t="shared" si="28"/>
        <v>0</v>
      </c>
      <c r="AG80" s="6">
        <f t="shared" si="29"/>
        <v>0</v>
      </c>
      <c r="AH80" s="19" t="str">
        <f>higiene[[#This Row],[Item]]</f>
        <v>Escova de Dente (4un)</v>
      </c>
      <c r="AI80" s="4">
        <f>IFERROR(higiene[[#This Row],[Kg equivalente]],0)</f>
        <v>0</v>
      </c>
      <c r="AJ80" s="4">
        <f>IFERROR(higiene[[#This Row],[Preço por produto]],0)</f>
        <v>36.49</v>
      </c>
      <c r="AK80" s="4">
        <f>SUMIFS(super1[Qtde],super1[Item],tab_higiene[[#This Row],[Item]],super1[Bairro],mercado1)+SUMIFS(supercb[Qtde],supercb[Item],tab_higiene[[#This Row],[Item]],supercb[Bairro],mercado1)</f>
        <v>0</v>
      </c>
      <c r="AL80" s="4">
        <f>SUMIFS(super1[Qtde],super1[Item],tab_higiene[[#This Row],[Item]],super1[Bairro],mercado2)+SUMIFS(supercb[Qtde],supercb[Item],tab_higiene[[#This Row],[Item]],supercb[Bairro],mercado2)</f>
        <v>0</v>
      </c>
      <c r="AM80" s="4">
        <f>SUMIFS(super1[Qtde],super1[Item],tab_higiene[[#This Row],[Item]],super1[Bairro],mercado3)+SUMIFS(supercb[Qtde],supercb[Item],tab_higiene[[#This Row],[Item]],supercb[Bairro],mercado3)</f>
        <v>0</v>
      </c>
      <c r="AN80" s="4">
        <f>SUMIFS(super1[Qtde],super1[Item],tab_higiene[[#This Row],[Item]],super1[Bairro],mercado4)+SUMIFS(supercb[Qtde],supercb[Item],tab_higiene[[#This Row],[Item]],supercb[Bairro],mercado4)</f>
        <v>0</v>
      </c>
      <c r="AO80" s="4">
        <f>SUMIFS(super1[Qtde],super1[Item],tab_higiene[[#This Row],[Item]],super1[Bairro],mercado5)+SUMIFS(supercb[Qtde],supercb[Item],tab_higiene[[#This Row],[Item]],supercb[Bairro],mercado5)</f>
        <v>0</v>
      </c>
      <c r="AP80" s="4">
        <f>SUMIFS(super1[Qtde],super1[Item],tab_higiene[[#This Row],[Item]],super1[Bairro],mercado6)+SUMIFS(supercb[Qtde],supercb[Item],tab_higiene[[#This Row],[Item]],supercb[Bairro],mercado6)</f>
        <v>0</v>
      </c>
      <c r="AQ80" s="4">
        <f>SUMIFS(super1[Qtde],super1[Item],tab_higiene[[#This Row],[Item]],super1[Bairro],mercado7)+SUMIFS(supercb[Qtde],supercb[Item],tab_higiene[[#This Row],[Item]],supercb[Bairro],mercado7)</f>
        <v>0</v>
      </c>
      <c r="AR80" s="4">
        <f>SUMIFS(super1[Qtde],super1[Item],tab_higiene[[#This Row],[Item]],super1[Bairro],mercado8)+SUMIFS(supercb[Qtde],supercb[Item],tab_higiene[[#This Row],[Item]],supercb[Bairro],mercado8)</f>
        <v>0</v>
      </c>
      <c r="AS80" s="4">
        <f>SUMIFS(super1[Qtde],super1[Item],tab_higiene[[#This Row],[Item]],super1[Bairro],mercado9)+SUMIFS(supercb[Qtde],supercb[Item],tab_higiene[[#This Row],[Item]],supercb[Bairro],mercado9)</f>
        <v>0</v>
      </c>
      <c r="AT80" s="4">
        <f>SUMIFS(super1[Qtde],super1[Item],tab_higiene[[#This Row],[Item]],super1[Bairro],mercado10)+SUMIFS(supercb[Qtde],supercb[Item],tab_higiene[[#This Row],[Item]],supercb[Bairro],mercado10)</f>
        <v>0</v>
      </c>
      <c r="AU80" s="4">
        <f>SUMIFS(super1[Qtde],super1[Item],tab_higiene[[#This Row],[Item]],super1[Bairro],mercado11)+SUMIFS(supercb[Qtde],supercb[Item],tab_higiene[[#This Row],[Item]],supercb[Bairro],mercado11)</f>
        <v>0</v>
      </c>
      <c r="AV80" s="4">
        <f>SUMIFS(super1[Qtde],super1[Item],tab_higiene[[#This Row],[Item]],super1[Bairro],mercado12)+SUMIFS(supercb[Qtde],supercb[Item],tab_higiene[[#This Row],[Item]],supercb[Bairro],mercado12)</f>
        <v>0</v>
      </c>
      <c r="AW80" s="4">
        <f>SUMIFS(super1[Qtde],super1[Item],tab_higiene[[#This Row],[Item]],super1[Bairro],mercado13)+SUMIFS(supercb[Qtde],supercb[Item],tab_higiene[[#This Row],[Item]],supercb[Bairro],mercado13)</f>
        <v>0</v>
      </c>
      <c r="AX80" s="4">
        <f>SUMIFS(super1[Qtde],super1[Item],tab_higiene[[#This Row],[Item]],super1[Bairro],mercado14)+SUMIFS(supercb[Qtde],supercb[Item],tab_higiene[[#This Row],[Item]],supercb[Bairro],mercado14)</f>
        <v>0</v>
      </c>
      <c r="AY80" s="4">
        <f>SUMIFS(super1[Qtde],super1[Item],tab_higiene[[#This Row],[Item]],super1[Bairro],mercado15)+SUMIFS(supercb[Qtde],supercb[Item],tab_higiene[[#This Row],[Item]],supercb[Bairro],mercado15)</f>
        <v>0</v>
      </c>
      <c r="AZ80" s="4">
        <f>SUMIFS(super1[Qtde],super1[Item],tab_higiene[[#This Row],[Item]],super1[Bairro],mercado16)+SUMIFS(supercb[Qtde],supercb[Item],tab_higiene[[#This Row],[Item]],supercb[Bairro],mercado16)</f>
        <v>0</v>
      </c>
      <c r="BA80" s="4">
        <f>SUMIFS(super1[Qtde],super1[Item],tab_higiene[[#This Row],[Item]],super1[Bairro],mercado17)+SUMIFS(supercb[Qtde],supercb[Item],tab_higiene[[#This Row],[Item]],supercb[Bairro],mercado17)</f>
        <v>0</v>
      </c>
      <c r="BB80" s="4">
        <f>SUMIFS(super1[Qtde],super1[Item],tab_higiene[[#This Row],[Item]],super1[Bairro],mercado18)+SUMIFS(supercb[Qtde],supercb[Item],tab_higiene[[#This Row],[Item]],supercb[Bairro],mercado18)</f>
        <v>0</v>
      </c>
      <c r="BC80" s="4">
        <f>SUMIFS(super1[Qtde],super1[Item],tab_higiene[[#This Row],[Item]],super1[Bairro],extras)+SUMIFS(supercb[Qtde],supercb[Item],tab_higiene[[#This Row],[Item]],supercb[Bairro],extras)</f>
        <v>0</v>
      </c>
      <c r="BD80" s="4">
        <f t="shared" si="30"/>
        <v>0</v>
      </c>
      <c r="BE80" s="4">
        <f t="shared" si="31"/>
        <v>0</v>
      </c>
      <c r="BF80" s="6">
        <f t="shared" si="32"/>
        <v>0</v>
      </c>
      <c r="BI80" s="1" t="str">
        <f>tab_alimentos[[#This Row],[Item]]</f>
        <v>Biscoito de Polvinho Salgado (300g)</v>
      </c>
      <c r="BJ80" s="1">
        <f t="shared" si="25"/>
        <v>29</v>
      </c>
      <c r="BK80" s="1" t="str">
        <f t="shared" si="26"/>
        <v>Biscoito de Polvinho Salgado</v>
      </c>
      <c r="BL80" s="1">
        <f>tab_alimentos[[#This Row],[kg]]</f>
        <v>0</v>
      </c>
      <c r="BM80" s="25" t="s">
        <v>224</v>
      </c>
      <c r="BN80" s="1">
        <f t="shared" si="36"/>
        <v>0</v>
      </c>
      <c r="BP80" s="1" t="str">
        <f>tab_higiene[[#This Row],[Item]]</f>
        <v>Escova de Dente (4un)</v>
      </c>
      <c r="BQ80" s="1">
        <f t="shared" si="33"/>
        <v>16</v>
      </c>
      <c r="BR80" s="1" t="str">
        <f t="shared" si="34"/>
        <v>Escova de Dente</v>
      </c>
      <c r="BS80" s="1">
        <f>higiene[[#This Row],[Quantidade]]</f>
        <v>4</v>
      </c>
      <c r="BT80" s="1">
        <f>tab_higiene[[#This Row],[Qtde (tot)]]</f>
        <v>0</v>
      </c>
      <c r="BU80" s="1">
        <f t="shared" si="37"/>
        <v>0</v>
      </c>
      <c r="BW80" s="1">
        <f t="shared" si="35"/>
        <v>0</v>
      </c>
    </row>
    <row r="81" spans="9:75" x14ac:dyDescent="0.25">
      <c r="I81" s="19" t="str">
        <f>alimentos[[#This Row],[Item]]</f>
        <v>Biscoito Doce (140g)</v>
      </c>
      <c r="J81" s="4">
        <f>IFERROR(alimentos[[#This Row],[kg/embalagem]],0)</f>
        <v>0.14499999999999999</v>
      </c>
      <c r="K81" s="4">
        <f>IFERROR(alimentos[[#This Row],[Preço]],0)</f>
        <v>4.59</v>
      </c>
      <c r="L81" s="4">
        <f>SUMIFS(super1[Qtde],super1[Item],tab_alimentos[[#This Row],[Item]],super1[Bairro],mercado1)+SUMIFS(supercb[Qtde],supercb[Item],tab_alimentos[[#This Row],[Item]],supercb[Bairro],mercado1)</f>
        <v>0</v>
      </c>
      <c r="M81" s="4">
        <f>SUMIFS(super1[Qtde],super1[Item],tab_alimentos[[#This Row],[Item]],super1[Bairro],mercado2)+SUMIFS(supercb[Qtde],supercb[Item],tab_alimentos[[#This Row],[Item]],supercb[Bairro],mercado2)</f>
        <v>0</v>
      </c>
      <c r="N81" s="4">
        <f>SUMIFS(super1[Qtde],super1[Item],tab_alimentos[[#This Row],[Item]],super1[Bairro],mercado3)+SUMIFS(supercb[Qtde],supercb[Item],tab_alimentos[[#This Row],[Item]],supercb[Bairro],mercado3)</f>
        <v>0</v>
      </c>
      <c r="O81" s="4">
        <f>SUMIFS(super1[Qtde],super1[Item],tab_alimentos[[#This Row],[Item]],super1[Bairro],mercado4)+SUMIFS(supercb[Qtde],supercb[Item],tab_alimentos[[#This Row],[Item]],supercb[Bairro],mercado4)</f>
        <v>0</v>
      </c>
      <c r="P81" s="4">
        <f>SUMIFS(super1[Qtde],super1[Item],tab_alimentos[[#This Row],[Item]],super1[Bairro],mercado5)+SUMIFS(supercb[Qtde],supercb[Item],tab_alimentos[[#This Row],[Item]],supercb[Bairro],mercado5)</f>
        <v>0</v>
      </c>
      <c r="Q81" s="4">
        <f>SUMIFS(super1[Qtde],super1[Item],tab_alimentos[[#This Row],[Item]],super1[Bairro],mercado6)+SUMIFS(supercb[Qtde],supercb[Item],tab_alimentos[[#This Row],[Item]],supercb[Bairro],mercado6)</f>
        <v>0</v>
      </c>
      <c r="R81" s="4">
        <f>SUMIFS(super1[Qtde],super1[Item],tab_alimentos[[#This Row],[Item]],super1[Bairro],mercado7)+SUMIFS(supercb[Qtde],supercb[Item],tab_alimentos[[#This Row],[Item]],supercb[Bairro],mercado7)</f>
        <v>0</v>
      </c>
      <c r="S81" s="4">
        <f>SUMIFS(super1[Qtde],super1[Item],tab_alimentos[[#This Row],[Item]],super1[Bairro],mercado8)+SUMIFS(supercb[Qtde],supercb[Item],tab_alimentos[[#This Row],[Item]],supercb[Bairro],mercado8)</f>
        <v>0</v>
      </c>
      <c r="T81" s="4">
        <f>SUMIFS(super1[Qtde],super1[Item],tab_alimentos[[#This Row],[Item]],super1[Bairro],mercado9)+SUMIFS(supercb[Qtde],supercb[Item],tab_alimentos[[#This Row],[Item]],supercb[Bairro],mercado9)</f>
        <v>0</v>
      </c>
      <c r="U81" s="4">
        <f>SUMIFS(super1[Qtde],super1[Item],tab_alimentos[[#This Row],[Item]],super1[Bairro],mercado10)+SUMIFS(supercb[Qtde],supercb[Item],tab_alimentos[[#This Row],[Item]],supercb[Bairro],mercado10)</f>
        <v>0</v>
      </c>
      <c r="V81" s="4">
        <f>SUMIFS(super1[Qtde],super1[Item],tab_alimentos[[#This Row],[Item]],super1[Bairro],mercado11)+SUMIFS(supercb[Qtde],supercb[Item],tab_alimentos[[#This Row],[Item]],supercb[Bairro],mercado11)</f>
        <v>0</v>
      </c>
      <c r="W81" s="4">
        <f>SUMIFS(super1[Qtde],super1[Item],tab_alimentos[[#This Row],[Item]],super1[Bairro],mercado12)+SUMIFS(supercb[Qtde],supercb[Item],tab_alimentos[[#This Row],[Item]],supercb[Bairro],mercado12)</f>
        <v>0</v>
      </c>
      <c r="X81" s="4">
        <f>SUMIFS(super1[Qtde],super1[Item],tab_alimentos[[#This Row],[Item]],super1[Bairro],mercado13)+SUMIFS(supercb[Qtde],supercb[Item],tab_alimentos[[#This Row],[Item]],supercb[Bairro],mercado13)</f>
        <v>0</v>
      </c>
      <c r="Y81" s="4">
        <f>SUMIFS(super1[Qtde],super1[Item],tab_alimentos[[#This Row],[Item]],super1[Bairro],mercado14)+SUMIFS(supercb[Qtde],supercb[Item],tab_alimentos[[#This Row],[Item]],supercb[Bairro],mercado14)</f>
        <v>0</v>
      </c>
      <c r="Z81" s="4">
        <f>SUMIFS(super1[Qtde],super1[Item],tab_alimentos[[#This Row],[Item]],super1[Bairro],mercado15)+SUMIFS(supercb[Qtde],supercb[Item],tab_alimentos[[#This Row],[Item]],supercb[Bairro],mercado15)</f>
        <v>0</v>
      </c>
      <c r="AA81" s="4">
        <f>SUMIFS(super1[Qtde],super1[Item],tab_alimentos[[#This Row],[Item]],super1[Bairro],mercado16)+SUMIFS(supercb[Qtde],supercb[Item],tab_alimentos[[#This Row],[Item]],supercb[Bairro],mercado16)</f>
        <v>0</v>
      </c>
      <c r="AB81" s="4">
        <f>SUMIFS(super1[Qtde],super1[Item],tab_alimentos[[#This Row],[Item]],super1[Bairro],mercado17)+SUMIFS(supercb[Qtde],supercb[Item],tab_alimentos[[#This Row],[Item]],supercb[Bairro],mercado17)</f>
        <v>0</v>
      </c>
      <c r="AC81" s="4">
        <f>SUMIFS(super1[Qtde],super1[Item],tab_alimentos[[#This Row],[Item]],super1[Bairro],mercado18)+SUMIFS(supercb[Qtde],supercb[Item],tab_alimentos[[#This Row],[Item]],supercb[Bairro],mercado18)</f>
        <v>0</v>
      </c>
      <c r="AD81" s="4">
        <f>SUMIFS(super1[Qtde],super1[Item],tab_alimentos[[#This Row],[Item]],super1[Bairro],extras)+SUMIFS(supercb[Qtde],supercb[Item],tab_alimentos[[#This Row],[Item]],supercb[Bairro],extras)</f>
        <v>0</v>
      </c>
      <c r="AE81" s="4">
        <f t="shared" si="27"/>
        <v>0</v>
      </c>
      <c r="AF81" s="4">
        <f t="shared" si="28"/>
        <v>0</v>
      </c>
      <c r="AG81" s="6">
        <f t="shared" si="29"/>
        <v>0</v>
      </c>
      <c r="AH81" s="19" t="str">
        <f>higiene[[#This Row],[Item]]</f>
        <v>Escova de Dente (5un)</v>
      </c>
      <c r="AI81" s="4">
        <f>IFERROR(higiene[[#This Row],[Kg equivalente]],0)</f>
        <v>0</v>
      </c>
      <c r="AJ81" s="4">
        <f>IFERROR(higiene[[#This Row],[Preço por produto]],0)</f>
        <v>28.99</v>
      </c>
      <c r="AK81" s="4">
        <f>SUMIFS(super1[Qtde],super1[Item],tab_higiene[[#This Row],[Item]],super1[Bairro],mercado1)+SUMIFS(supercb[Qtde],supercb[Item],tab_higiene[[#This Row],[Item]],supercb[Bairro],mercado1)</f>
        <v>0</v>
      </c>
      <c r="AL81" s="4">
        <f>SUMIFS(super1[Qtde],super1[Item],tab_higiene[[#This Row],[Item]],super1[Bairro],mercado2)+SUMIFS(supercb[Qtde],supercb[Item],tab_higiene[[#This Row],[Item]],supercb[Bairro],mercado2)</f>
        <v>0</v>
      </c>
      <c r="AM81" s="4">
        <f>SUMIFS(super1[Qtde],super1[Item],tab_higiene[[#This Row],[Item]],super1[Bairro],mercado3)+SUMIFS(supercb[Qtde],supercb[Item],tab_higiene[[#This Row],[Item]],supercb[Bairro],mercado3)</f>
        <v>0</v>
      </c>
      <c r="AN81" s="4">
        <f>SUMIFS(super1[Qtde],super1[Item],tab_higiene[[#This Row],[Item]],super1[Bairro],mercado4)+SUMIFS(supercb[Qtde],supercb[Item],tab_higiene[[#This Row],[Item]],supercb[Bairro],mercado4)</f>
        <v>0</v>
      </c>
      <c r="AO81" s="4">
        <f>SUMIFS(super1[Qtde],super1[Item],tab_higiene[[#This Row],[Item]],super1[Bairro],mercado5)+SUMIFS(supercb[Qtde],supercb[Item],tab_higiene[[#This Row],[Item]],supercb[Bairro],mercado5)</f>
        <v>0</v>
      </c>
      <c r="AP81" s="4">
        <f>SUMIFS(super1[Qtde],super1[Item],tab_higiene[[#This Row],[Item]],super1[Bairro],mercado6)+SUMIFS(supercb[Qtde],supercb[Item],tab_higiene[[#This Row],[Item]],supercb[Bairro],mercado6)</f>
        <v>0</v>
      </c>
      <c r="AQ81" s="4">
        <f>SUMIFS(super1[Qtde],super1[Item],tab_higiene[[#This Row],[Item]],super1[Bairro],mercado7)+SUMIFS(supercb[Qtde],supercb[Item],tab_higiene[[#This Row],[Item]],supercb[Bairro],mercado7)</f>
        <v>0</v>
      </c>
      <c r="AR81" s="4">
        <f>SUMIFS(super1[Qtde],super1[Item],tab_higiene[[#This Row],[Item]],super1[Bairro],mercado8)+SUMIFS(supercb[Qtde],supercb[Item],tab_higiene[[#This Row],[Item]],supercb[Bairro],mercado8)</f>
        <v>0</v>
      </c>
      <c r="AS81" s="4">
        <f>SUMIFS(super1[Qtde],super1[Item],tab_higiene[[#This Row],[Item]],super1[Bairro],mercado9)+SUMIFS(supercb[Qtde],supercb[Item],tab_higiene[[#This Row],[Item]],supercb[Bairro],mercado9)</f>
        <v>0</v>
      </c>
      <c r="AT81" s="4">
        <f>SUMIFS(super1[Qtde],super1[Item],tab_higiene[[#This Row],[Item]],super1[Bairro],mercado10)+SUMIFS(supercb[Qtde],supercb[Item],tab_higiene[[#This Row],[Item]],supercb[Bairro],mercado10)</f>
        <v>0</v>
      </c>
      <c r="AU81" s="4">
        <f>SUMIFS(super1[Qtde],super1[Item],tab_higiene[[#This Row],[Item]],super1[Bairro],mercado11)+SUMIFS(supercb[Qtde],supercb[Item],tab_higiene[[#This Row],[Item]],supercb[Bairro],mercado11)</f>
        <v>0</v>
      </c>
      <c r="AV81" s="4">
        <f>SUMIFS(super1[Qtde],super1[Item],tab_higiene[[#This Row],[Item]],super1[Bairro],mercado12)+SUMIFS(supercb[Qtde],supercb[Item],tab_higiene[[#This Row],[Item]],supercb[Bairro],mercado12)</f>
        <v>0</v>
      </c>
      <c r="AW81" s="4">
        <f>SUMIFS(super1[Qtde],super1[Item],tab_higiene[[#This Row],[Item]],super1[Bairro],mercado13)+SUMIFS(supercb[Qtde],supercb[Item],tab_higiene[[#This Row],[Item]],supercb[Bairro],mercado13)</f>
        <v>0</v>
      </c>
      <c r="AX81" s="4">
        <f>SUMIFS(super1[Qtde],super1[Item],tab_higiene[[#This Row],[Item]],super1[Bairro],mercado14)+SUMIFS(supercb[Qtde],supercb[Item],tab_higiene[[#This Row],[Item]],supercb[Bairro],mercado14)</f>
        <v>0</v>
      </c>
      <c r="AY81" s="4">
        <f>SUMIFS(super1[Qtde],super1[Item],tab_higiene[[#This Row],[Item]],super1[Bairro],mercado15)+SUMIFS(supercb[Qtde],supercb[Item],tab_higiene[[#This Row],[Item]],supercb[Bairro],mercado15)</f>
        <v>0</v>
      </c>
      <c r="AZ81" s="4">
        <f>SUMIFS(super1[Qtde],super1[Item],tab_higiene[[#This Row],[Item]],super1[Bairro],mercado16)+SUMIFS(supercb[Qtde],supercb[Item],tab_higiene[[#This Row],[Item]],supercb[Bairro],mercado16)</f>
        <v>0</v>
      </c>
      <c r="BA81" s="4">
        <f>SUMIFS(super1[Qtde],super1[Item],tab_higiene[[#This Row],[Item]],super1[Bairro],mercado17)+SUMIFS(supercb[Qtde],supercb[Item],tab_higiene[[#This Row],[Item]],supercb[Bairro],mercado17)</f>
        <v>0</v>
      </c>
      <c r="BB81" s="4">
        <f>SUMIFS(super1[Qtde],super1[Item],tab_higiene[[#This Row],[Item]],super1[Bairro],mercado18)+SUMIFS(supercb[Qtde],supercb[Item],tab_higiene[[#This Row],[Item]],supercb[Bairro],mercado18)</f>
        <v>0</v>
      </c>
      <c r="BC81" s="4">
        <f>SUMIFS(super1[Qtde],super1[Item],tab_higiene[[#This Row],[Item]],super1[Bairro],extras)+SUMIFS(supercb[Qtde],supercb[Item],tab_higiene[[#This Row],[Item]],supercb[Bairro],extras)</f>
        <v>0</v>
      </c>
      <c r="BD81" s="4">
        <f t="shared" si="30"/>
        <v>0</v>
      </c>
      <c r="BE81" s="4">
        <f t="shared" si="31"/>
        <v>0</v>
      </c>
      <c r="BF81" s="6">
        <f t="shared" si="32"/>
        <v>0</v>
      </c>
      <c r="BI81" s="1" t="str">
        <f>tab_alimentos[[#This Row],[Item]]</f>
        <v>Biscoito Doce (140g)</v>
      </c>
      <c r="BJ81" s="1">
        <f t="shared" si="25"/>
        <v>14</v>
      </c>
      <c r="BK81" s="1" t="str">
        <f t="shared" si="26"/>
        <v>Biscoito Doce</v>
      </c>
      <c r="BL81" s="1">
        <f>tab_alimentos[[#This Row],[kg]]</f>
        <v>0</v>
      </c>
      <c r="BM81" s="25" t="s">
        <v>225</v>
      </c>
      <c r="BN81" s="1">
        <f t="shared" si="36"/>
        <v>0</v>
      </c>
      <c r="BP81" s="1" t="str">
        <f>tab_higiene[[#This Row],[Item]]</f>
        <v>Escova de Dente (5un)</v>
      </c>
      <c r="BQ81" s="1">
        <f t="shared" si="33"/>
        <v>16</v>
      </c>
      <c r="BR81" s="1" t="str">
        <f t="shared" si="34"/>
        <v>Escova de Dente</v>
      </c>
      <c r="BS81" s="1">
        <f>higiene[[#This Row],[Quantidade]]</f>
        <v>1</v>
      </c>
      <c r="BT81" s="1">
        <f>tab_higiene[[#This Row],[Qtde (tot)]]</f>
        <v>0</v>
      </c>
      <c r="BU81" s="1">
        <f t="shared" si="37"/>
        <v>0</v>
      </c>
      <c r="BW81" s="1">
        <f t="shared" si="35"/>
        <v>0</v>
      </c>
    </row>
    <row r="82" spans="9:75" x14ac:dyDescent="0.25">
      <c r="I82" s="19" t="str">
        <f>alimentos[[#This Row],[Item]]</f>
        <v>Biscoito Doce (140g)</v>
      </c>
      <c r="J82" s="4">
        <f>IFERROR(alimentos[[#This Row],[kg/embalagem]],0)</f>
        <v>0.15</v>
      </c>
      <c r="K82" s="4">
        <f>IFERROR(alimentos[[#This Row],[Preço]],0)</f>
        <v>4.3899999999999997</v>
      </c>
      <c r="L82" s="4">
        <f>SUMIFS(super1[Qtde],super1[Item],tab_alimentos[[#This Row],[Item]],super1[Bairro],mercado1)+SUMIFS(supercb[Qtde],supercb[Item],tab_alimentos[[#This Row],[Item]],supercb[Bairro],mercado1)</f>
        <v>0</v>
      </c>
      <c r="M82" s="4">
        <f>SUMIFS(super1[Qtde],super1[Item],tab_alimentos[[#This Row],[Item]],super1[Bairro],mercado2)+SUMIFS(supercb[Qtde],supercb[Item],tab_alimentos[[#This Row],[Item]],supercb[Bairro],mercado2)</f>
        <v>0</v>
      </c>
      <c r="N82" s="4">
        <f>SUMIFS(super1[Qtde],super1[Item],tab_alimentos[[#This Row],[Item]],super1[Bairro],mercado3)+SUMIFS(supercb[Qtde],supercb[Item],tab_alimentos[[#This Row],[Item]],supercb[Bairro],mercado3)</f>
        <v>0</v>
      </c>
      <c r="O82" s="4">
        <f>SUMIFS(super1[Qtde],super1[Item],tab_alimentos[[#This Row],[Item]],super1[Bairro],mercado4)+SUMIFS(supercb[Qtde],supercb[Item],tab_alimentos[[#This Row],[Item]],supercb[Bairro],mercado4)</f>
        <v>0</v>
      </c>
      <c r="P82" s="4">
        <f>SUMIFS(super1[Qtde],super1[Item],tab_alimentos[[#This Row],[Item]],super1[Bairro],mercado5)+SUMIFS(supercb[Qtde],supercb[Item],tab_alimentos[[#This Row],[Item]],supercb[Bairro],mercado5)</f>
        <v>0</v>
      </c>
      <c r="Q82" s="4">
        <f>SUMIFS(super1[Qtde],super1[Item],tab_alimentos[[#This Row],[Item]],super1[Bairro],mercado6)+SUMIFS(supercb[Qtde],supercb[Item],tab_alimentos[[#This Row],[Item]],supercb[Bairro],mercado6)</f>
        <v>0</v>
      </c>
      <c r="R82" s="4">
        <f>SUMIFS(super1[Qtde],super1[Item],tab_alimentos[[#This Row],[Item]],super1[Bairro],mercado7)+SUMIFS(supercb[Qtde],supercb[Item],tab_alimentos[[#This Row],[Item]],supercb[Bairro],mercado7)</f>
        <v>0</v>
      </c>
      <c r="S82" s="4">
        <f>SUMIFS(super1[Qtde],super1[Item],tab_alimentos[[#This Row],[Item]],super1[Bairro],mercado8)+SUMIFS(supercb[Qtde],supercb[Item],tab_alimentos[[#This Row],[Item]],supercb[Bairro],mercado8)</f>
        <v>0</v>
      </c>
      <c r="T82" s="4">
        <f>SUMIFS(super1[Qtde],super1[Item],tab_alimentos[[#This Row],[Item]],super1[Bairro],mercado9)+SUMIFS(supercb[Qtde],supercb[Item],tab_alimentos[[#This Row],[Item]],supercb[Bairro],mercado9)</f>
        <v>0</v>
      </c>
      <c r="U82" s="4">
        <f>SUMIFS(super1[Qtde],super1[Item],tab_alimentos[[#This Row],[Item]],super1[Bairro],mercado10)+SUMIFS(supercb[Qtde],supercb[Item],tab_alimentos[[#This Row],[Item]],supercb[Bairro],mercado10)</f>
        <v>0</v>
      </c>
      <c r="V82" s="4">
        <f>SUMIFS(super1[Qtde],super1[Item],tab_alimentos[[#This Row],[Item]],super1[Bairro],mercado11)+SUMIFS(supercb[Qtde],supercb[Item],tab_alimentos[[#This Row],[Item]],supercb[Bairro],mercado11)</f>
        <v>0</v>
      </c>
      <c r="W82" s="4">
        <f>SUMIFS(super1[Qtde],super1[Item],tab_alimentos[[#This Row],[Item]],super1[Bairro],mercado12)+SUMIFS(supercb[Qtde],supercb[Item],tab_alimentos[[#This Row],[Item]],supercb[Bairro],mercado12)</f>
        <v>0</v>
      </c>
      <c r="X82" s="4">
        <f>SUMIFS(super1[Qtde],super1[Item],tab_alimentos[[#This Row],[Item]],super1[Bairro],mercado13)+SUMIFS(supercb[Qtde],supercb[Item],tab_alimentos[[#This Row],[Item]],supercb[Bairro],mercado13)</f>
        <v>0</v>
      </c>
      <c r="Y82" s="4">
        <f>SUMIFS(super1[Qtde],super1[Item],tab_alimentos[[#This Row],[Item]],super1[Bairro],mercado14)+SUMIFS(supercb[Qtde],supercb[Item],tab_alimentos[[#This Row],[Item]],supercb[Bairro],mercado14)</f>
        <v>0</v>
      </c>
      <c r="Z82" s="4">
        <f>SUMIFS(super1[Qtde],super1[Item],tab_alimentos[[#This Row],[Item]],super1[Bairro],mercado15)+SUMIFS(supercb[Qtde],supercb[Item],tab_alimentos[[#This Row],[Item]],supercb[Bairro],mercado15)</f>
        <v>0</v>
      </c>
      <c r="AA82" s="4">
        <f>SUMIFS(super1[Qtde],super1[Item],tab_alimentos[[#This Row],[Item]],super1[Bairro],mercado16)+SUMIFS(supercb[Qtde],supercb[Item],tab_alimentos[[#This Row],[Item]],supercb[Bairro],mercado16)</f>
        <v>0</v>
      </c>
      <c r="AB82" s="4">
        <f>SUMIFS(super1[Qtde],super1[Item],tab_alimentos[[#This Row],[Item]],super1[Bairro],mercado17)+SUMIFS(supercb[Qtde],supercb[Item],tab_alimentos[[#This Row],[Item]],supercb[Bairro],mercado17)</f>
        <v>0</v>
      </c>
      <c r="AC82" s="4">
        <f>SUMIFS(super1[Qtde],super1[Item],tab_alimentos[[#This Row],[Item]],super1[Bairro],mercado18)+SUMIFS(supercb[Qtde],supercb[Item],tab_alimentos[[#This Row],[Item]],supercb[Bairro],mercado18)</f>
        <v>0</v>
      </c>
      <c r="AD82" s="4">
        <f>SUMIFS(super1[Qtde],super1[Item],tab_alimentos[[#This Row],[Item]],super1[Bairro],extras)+SUMIFS(supercb[Qtde],supercb[Item],tab_alimentos[[#This Row],[Item]],supercb[Bairro],extras)</f>
        <v>0</v>
      </c>
      <c r="AE82" s="4">
        <f t="shared" si="27"/>
        <v>0</v>
      </c>
      <c r="AF82" s="4">
        <f t="shared" si="28"/>
        <v>0</v>
      </c>
      <c r="AG82" s="6">
        <f t="shared" si="29"/>
        <v>0</v>
      </c>
      <c r="AH82" s="19" t="str">
        <f>higiene[[#This Row],[Item]]</f>
        <v>Esponja (1un)</v>
      </c>
      <c r="AI82" s="4">
        <f>IFERROR(higiene[[#This Row],[Kg equivalente]],0)</f>
        <v>0</v>
      </c>
      <c r="AJ82" s="4">
        <f>IFERROR(higiene[[#This Row],[Preço por produto]],0)</f>
        <v>2.99</v>
      </c>
      <c r="AK82" s="4">
        <f>SUMIFS(super1[Qtde],super1[Item],tab_higiene[[#This Row],[Item]],super1[Bairro],mercado1)+SUMIFS(supercb[Qtde],supercb[Item],tab_higiene[[#This Row],[Item]],supercb[Bairro],mercado1)</f>
        <v>0</v>
      </c>
      <c r="AL82" s="4">
        <f>SUMIFS(super1[Qtde],super1[Item],tab_higiene[[#This Row],[Item]],super1[Bairro],mercado2)+SUMIFS(supercb[Qtde],supercb[Item],tab_higiene[[#This Row],[Item]],supercb[Bairro],mercado2)</f>
        <v>0</v>
      </c>
      <c r="AM82" s="4">
        <f>SUMIFS(super1[Qtde],super1[Item],tab_higiene[[#This Row],[Item]],super1[Bairro],mercado3)+SUMIFS(supercb[Qtde],supercb[Item],tab_higiene[[#This Row],[Item]],supercb[Bairro],mercado3)</f>
        <v>0</v>
      </c>
      <c r="AN82" s="4">
        <f>SUMIFS(super1[Qtde],super1[Item],tab_higiene[[#This Row],[Item]],super1[Bairro],mercado4)+SUMIFS(supercb[Qtde],supercb[Item],tab_higiene[[#This Row],[Item]],supercb[Bairro],mercado4)</f>
        <v>0</v>
      </c>
      <c r="AO82" s="4">
        <f>SUMIFS(super1[Qtde],super1[Item],tab_higiene[[#This Row],[Item]],super1[Bairro],mercado5)+SUMIFS(supercb[Qtde],supercb[Item],tab_higiene[[#This Row],[Item]],supercb[Bairro],mercado5)</f>
        <v>0</v>
      </c>
      <c r="AP82" s="4">
        <f>SUMIFS(super1[Qtde],super1[Item],tab_higiene[[#This Row],[Item]],super1[Bairro],mercado6)+SUMIFS(supercb[Qtde],supercb[Item],tab_higiene[[#This Row],[Item]],supercb[Bairro],mercado6)</f>
        <v>0</v>
      </c>
      <c r="AQ82" s="4">
        <f>SUMIFS(super1[Qtde],super1[Item],tab_higiene[[#This Row],[Item]],super1[Bairro],mercado7)+SUMIFS(supercb[Qtde],supercb[Item],tab_higiene[[#This Row],[Item]],supercb[Bairro],mercado7)</f>
        <v>0</v>
      </c>
      <c r="AR82" s="4">
        <f>SUMIFS(super1[Qtde],super1[Item],tab_higiene[[#This Row],[Item]],super1[Bairro],mercado8)+SUMIFS(supercb[Qtde],supercb[Item],tab_higiene[[#This Row],[Item]],supercb[Bairro],mercado8)</f>
        <v>0</v>
      </c>
      <c r="AS82" s="4">
        <f>SUMIFS(super1[Qtde],super1[Item],tab_higiene[[#This Row],[Item]],super1[Bairro],mercado9)+SUMIFS(supercb[Qtde],supercb[Item],tab_higiene[[#This Row],[Item]],supercb[Bairro],mercado9)</f>
        <v>0</v>
      </c>
      <c r="AT82" s="4">
        <f>SUMIFS(super1[Qtde],super1[Item],tab_higiene[[#This Row],[Item]],super1[Bairro],mercado10)+SUMIFS(supercb[Qtde],supercb[Item],tab_higiene[[#This Row],[Item]],supercb[Bairro],mercado10)</f>
        <v>0</v>
      </c>
      <c r="AU82" s="4">
        <f>SUMIFS(super1[Qtde],super1[Item],tab_higiene[[#This Row],[Item]],super1[Bairro],mercado11)+SUMIFS(supercb[Qtde],supercb[Item],tab_higiene[[#This Row],[Item]],supercb[Bairro],mercado11)</f>
        <v>0</v>
      </c>
      <c r="AV82" s="4">
        <f>SUMIFS(super1[Qtde],super1[Item],tab_higiene[[#This Row],[Item]],super1[Bairro],mercado12)+SUMIFS(supercb[Qtde],supercb[Item],tab_higiene[[#This Row],[Item]],supercb[Bairro],mercado12)</f>
        <v>0</v>
      </c>
      <c r="AW82" s="4">
        <f>SUMIFS(super1[Qtde],super1[Item],tab_higiene[[#This Row],[Item]],super1[Bairro],mercado13)+SUMIFS(supercb[Qtde],supercb[Item],tab_higiene[[#This Row],[Item]],supercb[Bairro],mercado13)</f>
        <v>0</v>
      </c>
      <c r="AX82" s="4">
        <f>SUMIFS(super1[Qtde],super1[Item],tab_higiene[[#This Row],[Item]],super1[Bairro],mercado14)+SUMIFS(supercb[Qtde],supercb[Item],tab_higiene[[#This Row],[Item]],supercb[Bairro],mercado14)</f>
        <v>0</v>
      </c>
      <c r="AY82" s="4">
        <f>SUMIFS(super1[Qtde],super1[Item],tab_higiene[[#This Row],[Item]],super1[Bairro],mercado15)+SUMIFS(supercb[Qtde],supercb[Item],tab_higiene[[#This Row],[Item]],supercb[Bairro],mercado15)</f>
        <v>0</v>
      </c>
      <c r="AZ82" s="4">
        <f>SUMIFS(super1[Qtde],super1[Item],tab_higiene[[#This Row],[Item]],super1[Bairro],mercado16)+SUMIFS(supercb[Qtde],supercb[Item],tab_higiene[[#This Row],[Item]],supercb[Bairro],mercado16)</f>
        <v>0</v>
      </c>
      <c r="BA82" s="4">
        <f>SUMIFS(super1[Qtde],super1[Item],tab_higiene[[#This Row],[Item]],super1[Bairro],mercado17)+SUMIFS(supercb[Qtde],supercb[Item],tab_higiene[[#This Row],[Item]],supercb[Bairro],mercado17)</f>
        <v>0</v>
      </c>
      <c r="BB82" s="4">
        <f>SUMIFS(super1[Qtde],super1[Item],tab_higiene[[#This Row],[Item]],super1[Bairro],mercado18)+SUMIFS(supercb[Qtde],supercb[Item],tab_higiene[[#This Row],[Item]],supercb[Bairro],mercado18)</f>
        <v>0</v>
      </c>
      <c r="BC82" s="4">
        <f>SUMIFS(super1[Qtde],super1[Item],tab_higiene[[#This Row],[Item]],super1[Bairro],extras)+SUMIFS(supercb[Qtde],supercb[Item],tab_higiene[[#This Row],[Item]],supercb[Bairro],extras)</f>
        <v>0</v>
      </c>
      <c r="BD82" s="4">
        <f t="shared" si="30"/>
        <v>0</v>
      </c>
      <c r="BE82" s="4">
        <f t="shared" si="31"/>
        <v>0</v>
      </c>
      <c r="BF82" s="6">
        <f t="shared" si="32"/>
        <v>0</v>
      </c>
      <c r="BI82" s="1" t="str">
        <f>tab_alimentos[[#This Row],[Item]]</f>
        <v>Biscoito Doce (140g)</v>
      </c>
      <c r="BJ82" s="1">
        <f t="shared" si="25"/>
        <v>14</v>
      </c>
      <c r="BK82" s="1" t="str">
        <f t="shared" si="26"/>
        <v>Biscoito Doce</v>
      </c>
      <c r="BL82" s="1">
        <f>tab_alimentos[[#This Row],[kg]]</f>
        <v>0</v>
      </c>
      <c r="BM82" t="s">
        <v>270</v>
      </c>
      <c r="BN82" s="1">
        <f t="shared" si="36"/>
        <v>0</v>
      </c>
      <c r="BP82" s="1" t="str">
        <f>tab_higiene[[#This Row],[Item]]</f>
        <v>Esponja (1un)</v>
      </c>
      <c r="BQ82" s="1">
        <f t="shared" si="33"/>
        <v>8</v>
      </c>
      <c r="BR82" s="1" t="str">
        <f t="shared" si="34"/>
        <v>Esponja</v>
      </c>
      <c r="BS82" s="1">
        <f>higiene[[#This Row],[Quantidade]]</f>
        <v>14</v>
      </c>
      <c r="BT82" s="1">
        <f>tab_higiene[[#This Row],[Qtde (tot)]]</f>
        <v>0</v>
      </c>
      <c r="BU82" s="1">
        <f t="shared" si="37"/>
        <v>0</v>
      </c>
      <c r="BW82" s="1">
        <f t="shared" si="35"/>
        <v>0</v>
      </c>
    </row>
    <row r="83" spans="9:75" x14ac:dyDescent="0.25">
      <c r="I83" s="19" t="str">
        <f>alimentos[[#This Row],[Item]]</f>
        <v>Biscoito Doce (170g)</v>
      </c>
      <c r="J83" s="4">
        <f>IFERROR(alimentos[[#This Row],[kg/embalagem]],0)</f>
        <v>17</v>
      </c>
      <c r="K83" s="4">
        <f>IFERROR(alimentos[[#This Row],[Preço]],0)</f>
        <v>3.69</v>
      </c>
      <c r="L83" s="4">
        <f>SUMIFS(super1[Qtde],super1[Item],tab_alimentos[[#This Row],[Item]],super1[Bairro],mercado1)+SUMIFS(supercb[Qtde],supercb[Item],tab_alimentos[[#This Row],[Item]],supercb[Bairro],mercado1)</f>
        <v>0</v>
      </c>
      <c r="M83" s="4">
        <f>SUMIFS(super1[Qtde],super1[Item],tab_alimentos[[#This Row],[Item]],super1[Bairro],mercado2)+SUMIFS(supercb[Qtde],supercb[Item],tab_alimentos[[#This Row],[Item]],supercb[Bairro],mercado2)</f>
        <v>0</v>
      </c>
      <c r="N83" s="4">
        <f>SUMIFS(super1[Qtde],super1[Item],tab_alimentos[[#This Row],[Item]],super1[Bairro],mercado3)+SUMIFS(supercb[Qtde],supercb[Item],tab_alimentos[[#This Row],[Item]],supercb[Bairro],mercado3)</f>
        <v>0</v>
      </c>
      <c r="O83" s="4">
        <f>SUMIFS(super1[Qtde],super1[Item],tab_alimentos[[#This Row],[Item]],super1[Bairro],mercado4)+SUMIFS(supercb[Qtde],supercb[Item],tab_alimentos[[#This Row],[Item]],supercb[Bairro],mercado4)</f>
        <v>0</v>
      </c>
      <c r="P83" s="4">
        <f>SUMIFS(super1[Qtde],super1[Item],tab_alimentos[[#This Row],[Item]],super1[Bairro],mercado5)+SUMIFS(supercb[Qtde],supercb[Item],tab_alimentos[[#This Row],[Item]],supercb[Bairro],mercado5)</f>
        <v>0</v>
      </c>
      <c r="Q83" s="4">
        <f>SUMIFS(super1[Qtde],super1[Item],tab_alimentos[[#This Row],[Item]],super1[Bairro],mercado6)+SUMIFS(supercb[Qtde],supercb[Item],tab_alimentos[[#This Row],[Item]],supercb[Bairro],mercado6)</f>
        <v>0</v>
      </c>
      <c r="R83" s="4">
        <f>SUMIFS(super1[Qtde],super1[Item],tab_alimentos[[#This Row],[Item]],super1[Bairro],mercado7)+SUMIFS(supercb[Qtde],supercb[Item],tab_alimentos[[#This Row],[Item]],supercb[Bairro],mercado7)</f>
        <v>0</v>
      </c>
      <c r="S83" s="4">
        <f>SUMIFS(super1[Qtde],super1[Item],tab_alimentos[[#This Row],[Item]],super1[Bairro],mercado8)+SUMIFS(supercb[Qtde],supercb[Item],tab_alimentos[[#This Row],[Item]],supercb[Bairro],mercado8)</f>
        <v>0</v>
      </c>
      <c r="T83" s="4">
        <f>SUMIFS(super1[Qtde],super1[Item],tab_alimentos[[#This Row],[Item]],super1[Bairro],mercado9)+SUMIFS(supercb[Qtde],supercb[Item],tab_alimentos[[#This Row],[Item]],supercb[Bairro],mercado9)</f>
        <v>0</v>
      </c>
      <c r="U83" s="4">
        <f>SUMIFS(super1[Qtde],super1[Item],tab_alimentos[[#This Row],[Item]],super1[Bairro],mercado10)+SUMIFS(supercb[Qtde],supercb[Item],tab_alimentos[[#This Row],[Item]],supercb[Bairro],mercado10)</f>
        <v>0</v>
      </c>
      <c r="V83" s="4">
        <f>SUMIFS(super1[Qtde],super1[Item],tab_alimentos[[#This Row],[Item]],super1[Bairro],mercado11)+SUMIFS(supercb[Qtde],supercb[Item],tab_alimentos[[#This Row],[Item]],supercb[Bairro],mercado11)</f>
        <v>0</v>
      </c>
      <c r="W83" s="4">
        <f>SUMIFS(super1[Qtde],super1[Item],tab_alimentos[[#This Row],[Item]],super1[Bairro],mercado12)+SUMIFS(supercb[Qtde],supercb[Item],tab_alimentos[[#This Row],[Item]],supercb[Bairro],mercado12)</f>
        <v>0</v>
      </c>
      <c r="X83" s="4">
        <f>SUMIFS(super1[Qtde],super1[Item],tab_alimentos[[#This Row],[Item]],super1[Bairro],mercado13)+SUMIFS(supercb[Qtde],supercb[Item],tab_alimentos[[#This Row],[Item]],supercb[Bairro],mercado13)</f>
        <v>0</v>
      </c>
      <c r="Y83" s="4">
        <f>SUMIFS(super1[Qtde],super1[Item],tab_alimentos[[#This Row],[Item]],super1[Bairro],mercado14)+SUMIFS(supercb[Qtde],supercb[Item],tab_alimentos[[#This Row],[Item]],supercb[Bairro],mercado14)</f>
        <v>0</v>
      </c>
      <c r="Z83" s="4">
        <f>SUMIFS(super1[Qtde],super1[Item],tab_alimentos[[#This Row],[Item]],super1[Bairro],mercado15)+SUMIFS(supercb[Qtde],supercb[Item],tab_alimentos[[#This Row],[Item]],supercb[Bairro],mercado15)</f>
        <v>0</v>
      </c>
      <c r="AA83" s="4">
        <f>SUMIFS(super1[Qtde],super1[Item],tab_alimentos[[#This Row],[Item]],super1[Bairro],mercado16)+SUMIFS(supercb[Qtde],supercb[Item],tab_alimentos[[#This Row],[Item]],supercb[Bairro],mercado16)</f>
        <v>0</v>
      </c>
      <c r="AB83" s="4">
        <f>SUMIFS(super1[Qtde],super1[Item],tab_alimentos[[#This Row],[Item]],super1[Bairro],mercado17)+SUMIFS(supercb[Qtde],supercb[Item],tab_alimentos[[#This Row],[Item]],supercb[Bairro],mercado17)</f>
        <v>0</v>
      </c>
      <c r="AC83" s="4">
        <f>SUMIFS(super1[Qtde],super1[Item],tab_alimentos[[#This Row],[Item]],super1[Bairro],mercado18)+SUMIFS(supercb[Qtde],supercb[Item],tab_alimentos[[#This Row],[Item]],supercb[Bairro],mercado18)</f>
        <v>0</v>
      </c>
      <c r="AD83" s="4">
        <f>SUMIFS(super1[Qtde],super1[Item],tab_alimentos[[#This Row],[Item]],super1[Bairro],extras)+SUMIFS(supercb[Qtde],supercb[Item],tab_alimentos[[#This Row],[Item]],supercb[Bairro],extras)</f>
        <v>0</v>
      </c>
      <c r="AE83" s="4">
        <f t="shared" si="27"/>
        <v>0</v>
      </c>
      <c r="AF83" s="4">
        <f t="shared" si="28"/>
        <v>0</v>
      </c>
      <c r="AG83" s="6">
        <f t="shared" si="29"/>
        <v>0</v>
      </c>
      <c r="AH83" s="19" t="str">
        <f>higiene[[#This Row],[Item]]</f>
        <v>Esponja (3un)</v>
      </c>
      <c r="AI83" s="4">
        <f>IFERROR(higiene[[#This Row],[Kg equivalente]],0)</f>
        <v>0</v>
      </c>
      <c r="AJ83" s="4">
        <f>IFERROR(higiene[[#This Row],[Preço por produto]],0)</f>
        <v>6</v>
      </c>
      <c r="AK83" s="4">
        <f>SUMIFS(super1[Qtde],super1[Item],tab_higiene[[#This Row],[Item]],super1[Bairro],mercado1)+SUMIFS(supercb[Qtde],supercb[Item],tab_higiene[[#This Row],[Item]],supercb[Bairro],mercado1)</f>
        <v>0</v>
      </c>
      <c r="AL83" s="4">
        <f>SUMIFS(super1[Qtde],super1[Item],tab_higiene[[#This Row],[Item]],super1[Bairro],mercado2)+SUMIFS(supercb[Qtde],supercb[Item],tab_higiene[[#This Row],[Item]],supercb[Bairro],mercado2)</f>
        <v>0</v>
      </c>
      <c r="AM83" s="4">
        <f>SUMIFS(super1[Qtde],super1[Item],tab_higiene[[#This Row],[Item]],super1[Bairro],mercado3)+SUMIFS(supercb[Qtde],supercb[Item],tab_higiene[[#This Row],[Item]],supercb[Bairro],mercado3)</f>
        <v>0</v>
      </c>
      <c r="AN83" s="4">
        <f>SUMIFS(super1[Qtde],super1[Item],tab_higiene[[#This Row],[Item]],super1[Bairro],mercado4)+SUMIFS(supercb[Qtde],supercb[Item],tab_higiene[[#This Row],[Item]],supercb[Bairro],mercado4)</f>
        <v>0</v>
      </c>
      <c r="AO83" s="4">
        <f>SUMIFS(super1[Qtde],super1[Item],tab_higiene[[#This Row],[Item]],super1[Bairro],mercado5)+SUMIFS(supercb[Qtde],supercb[Item],tab_higiene[[#This Row],[Item]],supercb[Bairro],mercado5)</f>
        <v>0</v>
      </c>
      <c r="AP83" s="4">
        <f>SUMIFS(super1[Qtde],super1[Item],tab_higiene[[#This Row],[Item]],super1[Bairro],mercado6)+SUMIFS(supercb[Qtde],supercb[Item],tab_higiene[[#This Row],[Item]],supercb[Bairro],mercado6)</f>
        <v>0</v>
      </c>
      <c r="AQ83" s="4">
        <f>SUMIFS(super1[Qtde],super1[Item],tab_higiene[[#This Row],[Item]],super1[Bairro],mercado7)+SUMIFS(supercb[Qtde],supercb[Item],tab_higiene[[#This Row],[Item]],supercb[Bairro],mercado7)</f>
        <v>0</v>
      </c>
      <c r="AR83" s="4">
        <f>SUMIFS(super1[Qtde],super1[Item],tab_higiene[[#This Row],[Item]],super1[Bairro],mercado8)+SUMIFS(supercb[Qtde],supercb[Item],tab_higiene[[#This Row],[Item]],supercb[Bairro],mercado8)</f>
        <v>0</v>
      </c>
      <c r="AS83" s="4">
        <f>SUMIFS(super1[Qtde],super1[Item],tab_higiene[[#This Row],[Item]],super1[Bairro],mercado9)+SUMIFS(supercb[Qtde],supercb[Item],tab_higiene[[#This Row],[Item]],supercb[Bairro],mercado9)</f>
        <v>0</v>
      </c>
      <c r="AT83" s="4">
        <f>SUMIFS(super1[Qtde],super1[Item],tab_higiene[[#This Row],[Item]],super1[Bairro],mercado10)+SUMIFS(supercb[Qtde],supercb[Item],tab_higiene[[#This Row],[Item]],supercb[Bairro],mercado10)</f>
        <v>0</v>
      </c>
      <c r="AU83" s="4">
        <f>SUMIFS(super1[Qtde],super1[Item],tab_higiene[[#This Row],[Item]],super1[Bairro],mercado11)+SUMIFS(supercb[Qtde],supercb[Item],tab_higiene[[#This Row],[Item]],supercb[Bairro],mercado11)</f>
        <v>0</v>
      </c>
      <c r="AV83" s="4">
        <f>SUMIFS(super1[Qtde],super1[Item],tab_higiene[[#This Row],[Item]],super1[Bairro],mercado12)+SUMIFS(supercb[Qtde],supercb[Item],tab_higiene[[#This Row],[Item]],supercb[Bairro],mercado12)</f>
        <v>0</v>
      </c>
      <c r="AW83" s="4">
        <f>SUMIFS(super1[Qtde],super1[Item],tab_higiene[[#This Row],[Item]],super1[Bairro],mercado13)+SUMIFS(supercb[Qtde],supercb[Item],tab_higiene[[#This Row],[Item]],supercb[Bairro],mercado13)</f>
        <v>0</v>
      </c>
      <c r="AX83" s="4">
        <f>SUMIFS(super1[Qtde],super1[Item],tab_higiene[[#This Row],[Item]],super1[Bairro],mercado14)+SUMIFS(supercb[Qtde],supercb[Item],tab_higiene[[#This Row],[Item]],supercb[Bairro],mercado14)</f>
        <v>0</v>
      </c>
      <c r="AY83" s="4">
        <f>SUMIFS(super1[Qtde],super1[Item],tab_higiene[[#This Row],[Item]],super1[Bairro],mercado15)+SUMIFS(supercb[Qtde],supercb[Item],tab_higiene[[#This Row],[Item]],supercb[Bairro],mercado15)</f>
        <v>0</v>
      </c>
      <c r="AZ83" s="4">
        <f>SUMIFS(super1[Qtde],super1[Item],tab_higiene[[#This Row],[Item]],super1[Bairro],mercado16)+SUMIFS(supercb[Qtde],supercb[Item],tab_higiene[[#This Row],[Item]],supercb[Bairro],mercado16)</f>
        <v>0</v>
      </c>
      <c r="BA83" s="4">
        <f>SUMIFS(super1[Qtde],super1[Item],tab_higiene[[#This Row],[Item]],super1[Bairro],mercado17)+SUMIFS(supercb[Qtde],supercb[Item],tab_higiene[[#This Row],[Item]],supercb[Bairro],mercado17)</f>
        <v>0</v>
      </c>
      <c r="BB83" s="4">
        <f>SUMIFS(super1[Qtde],super1[Item],tab_higiene[[#This Row],[Item]],super1[Bairro],mercado18)+SUMIFS(supercb[Qtde],supercb[Item],tab_higiene[[#This Row],[Item]],supercb[Bairro],mercado18)</f>
        <v>0</v>
      </c>
      <c r="BC83" s="4">
        <f>SUMIFS(super1[Qtde],super1[Item],tab_higiene[[#This Row],[Item]],super1[Bairro],extras)+SUMIFS(supercb[Qtde],supercb[Item],tab_higiene[[#This Row],[Item]],supercb[Bairro],extras)</f>
        <v>0</v>
      </c>
      <c r="BD83" s="4">
        <f t="shared" si="30"/>
        <v>0</v>
      </c>
      <c r="BE83" s="4">
        <f t="shared" si="31"/>
        <v>0</v>
      </c>
      <c r="BF83" s="6">
        <f t="shared" si="32"/>
        <v>0</v>
      </c>
      <c r="BI83" s="1" t="str">
        <f>tab_alimentos[[#This Row],[Item]]</f>
        <v>Biscoito Doce (170g)</v>
      </c>
      <c r="BJ83" s="1">
        <f t="shared" si="25"/>
        <v>14</v>
      </c>
      <c r="BK83" s="1" t="str">
        <f t="shared" si="26"/>
        <v>Biscoito Doce</v>
      </c>
      <c r="BL83" s="1">
        <f>tab_alimentos[[#This Row],[kg]]</f>
        <v>0</v>
      </c>
      <c r="BM83" t="s">
        <v>74</v>
      </c>
      <c r="BN83" s="1">
        <f t="shared" si="36"/>
        <v>0</v>
      </c>
      <c r="BP83" s="1" t="str">
        <f>tab_higiene[[#This Row],[Item]]</f>
        <v>Esponja (3un)</v>
      </c>
      <c r="BQ83" s="1">
        <f t="shared" si="33"/>
        <v>8</v>
      </c>
      <c r="BR83" s="1" t="str">
        <f t="shared" si="34"/>
        <v>Esponja</v>
      </c>
      <c r="BS83" s="1">
        <f>higiene[[#This Row],[Quantidade]]</f>
        <v>16</v>
      </c>
      <c r="BT83" s="1">
        <f>tab_higiene[[#This Row],[Qtde (tot)]]</f>
        <v>0</v>
      </c>
      <c r="BU83" s="1">
        <f t="shared" si="37"/>
        <v>0</v>
      </c>
      <c r="BW83" s="1">
        <f t="shared" si="35"/>
        <v>0</v>
      </c>
    </row>
    <row r="84" spans="9:75" x14ac:dyDescent="0.25">
      <c r="I84" s="19" t="str">
        <f>alimentos[[#This Row],[Item]]</f>
        <v>Biscoito Doce (200g)</v>
      </c>
      <c r="J84" s="4">
        <f>IFERROR(alimentos[[#This Row],[kg/embalagem]],0)</f>
        <v>0.2</v>
      </c>
      <c r="K84" s="4">
        <f>IFERROR(alimentos[[#This Row],[Preço]],0)</f>
        <v>3.99</v>
      </c>
      <c r="L84" s="4">
        <f>SUMIFS(super1[Qtde],super1[Item],tab_alimentos[[#This Row],[Item]],super1[Bairro],mercado1)+SUMIFS(supercb[Qtde],supercb[Item],tab_alimentos[[#This Row],[Item]],supercb[Bairro],mercado1)</f>
        <v>0</v>
      </c>
      <c r="M84" s="4">
        <f>SUMIFS(super1[Qtde],super1[Item],tab_alimentos[[#This Row],[Item]],super1[Bairro],mercado2)+SUMIFS(supercb[Qtde],supercb[Item],tab_alimentos[[#This Row],[Item]],supercb[Bairro],mercado2)</f>
        <v>0</v>
      </c>
      <c r="N84" s="4">
        <f>SUMIFS(super1[Qtde],super1[Item],tab_alimentos[[#This Row],[Item]],super1[Bairro],mercado3)+SUMIFS(supercb[Qtde],supercb[Item],tab_alimentos[[#This Row],[Item]],supercb[Bairro],mercado3)</f>
        <v>0</v>
      </c>
      <c r="O84" s="4">
        <f>SUMIFS(super1[Qtde],super1[Item],tab_alimentos[[#This Row],[Item]],super1[Bairro],mercado4)+SUMIFS(supercb[Qtde],supercb[Item],tab_alimentos[[#This Row],[Item]],supercb[Bairro],mercado4)</f>
        <v>0</v>
      </c>
      <c r="P84" s="4">
        <f>SUMIFS(super1[Qtde],super1[Item],tab_alimentos[[#This Row],[Item]],super1[Bairro],mercado5)+SUMIFS(supercb[Qtde],supercb[Item],tab_alimentos[[#This Row],[Item]],supercb[Bairro],mercado5)</f>
        <v>0</v>
      </c>
      <c r="Q84" s="4">
        <f>SUMIFS(super1[Qtde],super1[Item],tab_alimentos[[#This Row],[Item]],super1[Bairro],mercado6)+SUMIFS(supercb[Qtde],supercb[Item],tab_alimentos[[#This Row],[Item]],supercb[Bairro],mercado6)</f>
        <v>0</v>
      </c>
      <c r="R84" s="4">
        <f>SUMIFS(super1[Qtde],super1[Item],tab_alimentos[[#This Row],[Item]],super1[Bairro],mercado7)+SUMIFS(supercb[Qtde],supercb[Item],tab_alimentos[[#This Row],[Item]],supercb[Bairro],mercado7)</f>
        <v>0</v>
      </c>
      <c r="S84" s="4">
        <f>SUMIFS(super1[Qtde],super1[Item],tab_alimentos[[#This Row],[Item]],super1[Bairro],mercado8)+SUMIFS(supercb[Qtde],supercb[Item],tab_alimentos[[#This Row],[Item]],supercb[Bairro],mercado8)</f>
        <v>0</v>
      </c>
      <c r="T84" s="4">
        <f>SUMIFS(super1[Qtde],super1[Item],tab_alimentos[[#This Row],[Item]],super1[Bairro],mercado9)+SUMIFS(supercb[Qtde],supercb[Item],tab_alimentos[[#This Row],[Item]],supercb[Bairro],mercado9)</f>
        <v>0</v>
      </c>
      <c r="U84" s="4">
        <f>SUMIFS(super1[Qtde],super1[Item],tab_alimentos[[#This Row],[Item]],super1[Bairro],mercado10)+SUMIFS(supercb[Qtde],supercb[Item],tab_alimentos[[#This Row],[Item]],supercb[Bairro],mercado10)</f>
        <v>0</v>
      </c>
      <c r="V84" s="4">
        <f>SUMIFS(super1[Qtde],super1[Item],tab_alimentos[[#This Row],[Item]],super1[Bairro],mercado11)+SUMIFS(supercb[Qtde],supercb[Item],tab_alimentos[[#This Row],[Item]],supercb[Bairro],mercado11)</f>
        <v>0</v>
      </c>
      <c r="W84" s="4">
        <f>SUMIFS(super1[Qtde],super1[Item],tab_alimentos[[#This Row],[Item]],super1[Bairro],mercado12)+SUMIFS(supercb[Qtde],supercb[Item],tab_alimentos[[#This Row],[Item]],supercb[Bairro],mercado12)</f>
        <v>0</v>
      </c>
      <c r="X84" s="4">
        <f>SUMIFS(super1[Qtde],super1[Item],tab_alimentos[[#This Row],[Item]],super1[Bairro],mercado13)+SUMIFS(supercb[Qtde],supercb[Item],tab_alimentos[[#This Row],[Item]],supercb[Bairro],mercado13)</f>
        <v>0</v>
      </c>
      <c r="Y84" s="4">
        <f>SUMIFS(super1[Qtde],super1[Item],tab_alimentos[[#This Row],[Item]],super1[Bairro],mercado14)+SUMIFS(supercb[Qtde],supercb[Item],tab_alimentos[[#This Row],[Item]],supercb[Bairro],mercado14)</f>
        <v>0</v>
      </c>
      <c r="Z84" s="4">
        <f>SUMIFS(super1[Qtde],super1[Item],tab_alimentos[[#This Row],[Item]],super1[Bairro],mercado15)+SUMIFS(supercb[Qtde],supercb[Item],tab_alimentos[[#This Row],[Item]],supercb[Bairro],mercado15)</f>
        <v>0</v>
      </c>
      <c r="AA84" s="4">
        <f>SUMIFS(super1[Qtde],super1[Item],tab_alimentos[[#This Row],[Item]],super1[Bairro],mercado16)+SUMIFS(supercb[Qtde],supercb[Item],tab_alimentos[[#This Row],[Item]],supercb[Bairro],mercado16)</f>
        <v>0</v>
      </c>
      <c r="AB84" s="4">
        <f>SUMIFS(super1[Qtde],super1[Item],tab_alimentos[[#This Row],[Item]],super1[Bairro],mercado17)+SUMIFS(supercb[Qtde],supercb[Item],tab_alimentos[[#This Row],[Item]],supercb[Bairro],mercado17)</f>
        <v>0</v>
      </c>
      <c r="AC84" s="4">
        <f>SUMIFS(super1[Qtde],super1[Item],tab_alimentos[[#This Row],[Item]],super1[Bairro],mercado18)+SUMIFS(supercb[Qtde],supercb[Item],tab_alimentos[[#This Row],[Item]],supercb[Bairro],mercado18)</f>
        <v>0</v>
      </c>
      <c r="AD84" s="4">
        <f>SUMIFS(super1[Qtde],super1[Item],tab_alimentos[[#This Row],[Item]],super1[Bairro],extras)+SUMIFS(supercb[Qtde],supercb[Item],tab_alimentos[[#This Row],[Item]],supercb[Bairro],extras)</f>
        <v>0</v>
      </c>
      <c r="AE84" s="4">
        <f t="shared" si="27"/>
        <v>0</v>
      </c>
      <c r="AF84" s="4">
        <f t="shared" si="28"/>
        <v>0</v>
      </c>
      <c r="AG84" s="6">
        <f t="shared" si="29"/>
        <v>0</v>
      </c>
      <c r="AH84" s="19" t="str">
        <f>higiene[[#This Row],[Item]]</f>
        <v>Esponja (4un)</v>
      </c>
      <c r="AI84" s="4">
        <f>IFERROR(higiene[[#This Row],[Kg equivalente]],0)</f>
        <v>0</v>
      </c>
      <c r="AJ84" s="4">
        <f>IFERROR(higiene[[#This Row],[Preço por produto]],0)</f>
        <v>3.75</v>
      </c>
      <c r="AK84" s="4">
        <f>SUMIFS(super1[Qtde],super1[Item],tab_higiene[[#This Row],[Item]],super1[Bairro],mercado1)+SUMIFS(supercb[Qtde],supercb[Item],tab_higiene[[#This Row],[Item]],supercb[Bairro],mercado1)</f>
        <v>0</v>
      </c>
      <c r="AL84" s="4">
        <f>SUMIFS(super1[Qtde],super1[Item],tab_higiene[[#This Row],[Item]],super1[Bairro],mercado2)+SUMIFS(supercb[Qtde],supercb[Item],tab_higiene[[#This Row],[Item]],supercb[Bairro],mercado2)</f>
        <v>0</v>
      </c>
      <c r="AM84" s="4">
        <f>SUMIFS(super1[Qtde],super1[Item],tab_higiene[[#This Row],[Item]],super1[Bairro],mercado3)+SUMIFS(supercb[Qtde],supercb[Item],tab_higiene[[#This Row],[Item]],supercb[Bairro],mercado3)</f>
        <v>0</v>
      </c>
      <c r="AN84" s="4">
        <f>SUMIFS(super1[Qtde],super1[Item],tab_higiene[[#This Row],[Item]],super1[Bairro],mercado4)+SUMIFS(supercb[Qtde],supercb[Item],tab_higiene[[#This Row],[Item]],supercb[Bairro],mercado4)</f>
        <v>0</v>
      </c>
      <c r="AO84" s="4">
        <f>SUMIFS(super1[Qtde],super1[Item],tab_higiene[[#This Row],[Item]],super1[Bairro],mercado5)+SUMIFS(supercb[Qtde],supercb[Item],tab_higiene[[#This Row],[Item]],supercb[Bairro],mercado5)</f>
        <v>0</v>
      </c>
      <c r="AP84" s="4">
        <f>SUMIFS(super1[Qtde],super1[Item],tab_higiene[[#This Row],[Item]],super1[Bairro],mercado6)+SUMIFS(supercb[Qtde],supercb[Item],tab_higiene[[#This Row],[Item]],supercb[Bairro],mercado6)</f>
        <v>0</v>
      </c>
      <c r="AQ84" s="4">
        <f>SUMIFS(super1[Qtde],super1[Item],tab_higiene[[#This Row],[Item]],super1[Bairro],mercado7)+SUMIFS(supercb[Qtde],supercb[Item],tab_higiene[[#This Row],[Item]],supercb[Bairro],mercado7)</f>
        <v>0</v>
      </c>
      <c r="AR84" s="4">
        <f>SUMIFS(super1[Qtde],super1[Item],tab_higiene[[#This Row],[Item]],super1[Bairro],mercado8)+SUMIFS(supercb[Qtde],supercb[Item],tab_higiene[[#This Row],[Item]],supercb[Bairro],mercado8)</f>
        <v>0</v>
      </c>
      <c r="AS84" s="4">
        <f>SUMIFS(super1[Qtde],super1[Item],tab_higiene[[#This Row],[Item]],super1[Bairro],mercado9)+SUMIFS(supercb[Qtde],supercb[Item],tab_higiene[[#This Row],[Item]],supercb[Bairro],mercado9)</f>
        <v>0</v>
      </c>
      <c r="AT84" s="4">
        <f>SUMIFS(super1[Qtde],super1[Item],tab_higiene[[#This Row],[Item]],super1[Bairro],mercado10)+SUMIFS(supercb[Qtde],supercb[Item],tab_higiene[[#This Row],[Item]],supercb[Bairro],mercado10)</f>
        <v>0</v>
      </c>
      <c r="AU84" s="4">
        <f>SUMIFS(super1[Qtde],super1[Item],tab_higiene[[#This Row],[Item]],super1[Bairro],mercado11)+SUMIFS(supercb[Qtde],supercb[Item],tab_higiene[[#This Row],[Item]],supercb[Bairro],mercado11)</f>
        <v>0</v>
      </c>
      <c r="AV84" s="4">
        <f>SUMIFS(super1[Qtde],super1[Item],tab_higiene[[#This Row],[Item]],super1[Bairro],mercado12)+SUMIFS(supercb[Qtde],supercb[Item],tab_higiene[[#This Row],[Item]],supercb[Bairro],mercado12)</f>
        <v>0</v>
      </c>
      <c r="AW84" s="4">
        <f>SUMIFS(super1[Qtde],super1[Item],tab_higiene[[#This Row],[Item]],super1[Bairro],mercado13)+SUMIFS(supercb[Qtde],supercb[Item],tab_higiene[[#This Row],[Item]],supercb[Bairro],mercado13)</f>
        <v>0</v>
      </c>
      <c r="AX84" s="4">
        <f>SUMIFS(super1[Qtde],super1[Item],tab_higiene[[#This Row],[Item]],super1[Bairro],mercado14)+SUMIFS(supercb[Qtde],supercb[Item],tab_higiene[[#This Row],[Item]],supercb[Bairro],mercado14)</f>
        <v>0</v>
      </c>
      <c r="AY84" s="4">
        <f>SUMIFS(super1[Qtde],super1[Item],tab_higiene[[#This Row],[Item]],super1[Bairro],mercado15)+SUMIFS(supercb[Qtde],supercb[Item],tab_higiene[[#This Row],[Item]],supercb[Bairro],mercado15)</f>
        <v>0</v>
      </c>
      <c r="AZ84" s="4">
        <f>SUMIFS(super1[Qtde],super1[Item],tab_higiene[[#This Row],[Item]],super1[Bairro],mercado16)+SUMIFS(supercb[Qtde],supercb[Item],tab_higiene[[#This Row],[Item]],supercb[Bairro],mercado16)</f>
        <v>0</v>
      </c>
      <c r="BA84" s="4">
        <f>SUMIFS(super1[Qtde],super1[Item],tab_higiene[[#This Row],[Item]],super1[Bairro],mercado17)+SUMIFS(supercb[Qtde],supercb[Item],tab_higiene[[#This Row],[Item]],supercb[Bairro],mercado17)</f>
        <v>0</v>
      </c>
      <c r="BB84" s="4">
        <f>SUMIFS(super1[Qtde],super1[Item],tab_higiene[[#This Row],[Item]],super1[Bairro],mercado18)+SUMIFS(supercb[Qtde],supercb[Item],tab_higiene[[#This Row],[Item]],supercb[Bairro],mercado18)</f>
        <v>0</v>
      </c>
      <c r="BC84" s="4">
        <f>SUMIFS(super1[Qtde],super1[Item],tab_higiene[[#This Row],[Item]],super1[Bairro],extras)+SUMIFS(supercb[Qtde],supercb[Item],tab_higiene[[#This Row],[Item]],supercb[Bairro],extras)</f>
        <v>0</v>
      </c>
      <c r="BD84" s="4">
        <f t="shared" si="30"/>
        <v>0</v>
      </c>
      <c r="BE84" s="4">
        <f t="shared" si="31"/>
        <v>0</v>
      </c>
      <c r="BF84" s="6">
        <f t="shared" si="32"/>
        <v>0</v>
      </c>
      <c r="BI84" s="1" t="str">
        <f>tab_alimentos[[#This Row],[Item]]</f>
        <v>Biscoito Doce (200g)</v>
      </c>
      <c r="BJ84" s="1">
        <f t="shared" si="25"/>
        <v>14</v>
      </c>
      <c r="BK84" s="1" t="str">
        <f t="shared" si="26"/>
        <v>Biscoito Doce</v>
      </c>
      <c r="BL84" s="1">
        <f>tab_alimentos[[#This Row],[kg]]</f>
        <v>0</v>
      </c>
      <c r="BM84" t="s">
        <v>127</v>
      </c>
      <c r="BN84" s="1">
        <f t="shared" si="36"/>
        <v>0</v>
      </c>
      <c r="BP84" s="1" t="str">
        <f>tab_higiene[[#This Row],[Item]]</f>
        <v>Esponja (4un)</v>
      </c>
      <c r="BQ84" s="1">
        <f t="shared" si="33"/>
        <v>8</v>
      </c>
      <c r="BR84" s="1" t="str">
        <f t="shared" si="34"/>
        <v>Esponja</v>
      </c>
      <c r="BS84" s="1">
        <f>higiene[[#This Row],[Quantidade]]</f>
        <v>18</v>
      </c>
      <c r="BT84" s="1">
        <f>tab_higiene[[#This Row],[Qtde (tot)]]</f>
        <v>0</v>
      </c>
      <c r="BU84" s="1">
        <f t="shared" si="37"/>
        <v>0</v>
      </c>
      <c r="BW84" s="1">
        <f t="shared" si="35"/>
        <v>0</v>
      </c>
    </row>
    <row r="85" spans="9:75" x14ac:dyDescent="0.25">
      <c r="I85" s="19" t="str">
        <f>alimentos[[#This Row],[Item]]</f>
        <v>Biscoito Doce (300g)</v>
      </c>
      <c r="J85" s="4">
        <f>IFERROR(alimentos[[#This Row],[kg/embalagem]],0)</f>
        <v>0.3</v>
      </c>
      <c r="K85" s="4">
        <f>IFERROR(alimentos[[#This Row],[Preço]],0)</f>
        <v>10.49</v>
      </c>
      <c r="L85" s="4">
        <f>SUMIFS(super1[Qtde],super1[Item],tab_alimentos[[#This Row],[Item]],super1[Bairro],mercado1)+SUMIFS(supercb[Qtde],supercb[Item],tab_alimentos[[#This Row],[Item]],supercb[Bairro],mercado1)</f>
        <v>0</v>
      </c>
      <c r="M85" s="4">
        <f>SUMIFS(super1[Qtde],super1[Item],tab_alimentos[[#This Row],[Item]],super1[Bairro],mercado2)+SUMIFS(supercb[Qtde],supercb[Item],tab_alimentos[[#This Row],[Item]],supercb[Bairro],mercado2)</f>
        <v>0</v>
      </c>
      <c r="N85" s="4">
        <f>SUMIFS(super1[Qtde],super1[Item],tab_alimentos[[#This Row],[Item]],super1[Bairro],mercado3)+SUMIFS(supercb[Qtde],supercb[Item],tab_alimentos[[#This Row],[Item]],supercb[Bairro],mercado3)</f>
        <v>0</v>
      </c>
      <c r="O85" s="4">
        <f>SUMIFS(super1[Qtde],super1[Item],tab_alimentos[[#This Row],[Item]],super1[Bairro],mercado4)+SUMIFS(supercb[Qtde],supercb[Item],tab_alimentos[[#This Row],[Item]],supercb[Bairro],mercado4)</f>
        <v>0</v>
      </c>
      <c r="P85" s="4">
        <f>SUMIFS(super1[Qtde],super1[Item],tab_alimentos[[#This Row],[Item]],super1[Bairro],mercado5)+SUMIFS(supercb[Qtde],supercb[Item],tab_alimentos[[#This Row],[Item]],supercb[Bairro],mercado5)</f>
        <v>0</v>
      </c>
      <c r="Q85" s="4">
        <f>SUMIFS(super1[Qtde],super1[Item],tab_alimentos[[#This Row],[Item]],super1[Bairro],mercado6)+SUMIFS(supercb[Qtde],supercb[Item],tab_alimentos[[#This Row],[Item]],supercb[Bairro],mercado6)</f>
        <v>0</v>
      </c>
      <c r="R85" s="4">
        <f>SUMIFS(super1[Qtde],super1[Item],tab_alimentos[[#This Row],[Item]],super1[Bairro],mercado7)+SUMIFS(supercb[Qtde],supercb[Item],tab_alimentos[[#This Row],[Item]],supercb[Bairro],mercado7)</f>
        <v>0</v>
      </c>
      <c r="S85" s="4">
        <f>SUMIFS(super1[Qtde],super1[Item],tab_alimentos[[#This Row],[Item]],super1[Bairro],mercado8)+SUMIFS(supercb[Qtde],supercb[Item],tab_alimentos[[#This Row],[Item]],supercb[Bairro],mercado8)</f>
        <v>0</v>
      </c>
      <c r="T85" s="4">
        <f>SUMIFS(super1[Qtde],super1[Item],tab_alimentos[[#This Row],[Item]],super1[Bairro],mercado9)+SUMIFS(supercb[Qtde],supercb[Item],tab_alimentos[[#This Row],[Item]],supercb[Bairro],mercado9)</f>
        <v>0</v>
      </c>
      <c r="U85" s="4">
        <f>SUMIFS(super1[Qtde],super1[Item],tab_alimentos[[#This Row],[Item]],super1[Bairro],mercado10)+SUMIFS(supercb[Qtde],supercb[Item],tab_alimentos[[#This Row],[Item]],supercb[Bairro],mercado10)</f>
        <v>0</v>
      </c>
      <c r="V85" s="4">
        <f>SUMIFS(super1[Qtde],super1[Item],tab_alimentos[[#This Row],[Item]],super1[Bairro],mercado11)+SUMIFS(supercb[Qtde],supercb[Item],tab_alimentos[[#This Row],[Item]],supercb[Bairro],mercado11)</f>
        <v>0</v>
      </c>
      <c r="W85" s="4">
        <f>SUMIFS(super1[Qtde],super1[Item],tab_alimentos[[#This Row],[Item]],super1[Bairro],mercado12)+SUMIFS(supercb[Qtde],supercb[Item],tab_alimentos[[#This Row],[Item]],supercb[Bairro],mercado12)</f>
        <v>0</v>
      </c>
      <c r="X85" s="4">
        <f>SUMIFS(super1[Qtde],super1[Item],tab_alimentos[[#This Row],[Item]],super1[Bairro],mercado13)+SUMIFS(supercb[Qtde],supercb[Item],tab_alimentos[[#This Row],[Item]],supercb[Bairro],mercado13)</f>
        <v>0</v>
      </c>
      <c r="Y85" s="4">
        <f>SUMIFS(super1[Qtde],super1[Item],tab_alimentos[[#This Row],[Item]],super1[Bairro],mercado14)+SUMIFS(supercb[Qtde],supercb[Item],tab_alimentos[[#This Row],[Item]],supercb[Bairro],mercado14)</f>
        <v>0</v>
      </c>
      <c r="Z85" s="4">
        <f>SUMIFS(super1[Qtde],super1[Item],tab_alimentos[[#This Row],[Item]],super1[Bairro],mercado15)+SUMIFS(supercb[Qtde],supercb[Item],tab_alimentos[[#This Row],[Item]],supercb[Bairro],mercado15)</f>
        <v>0</v>
      </c>
      <c r="AA85" s="4">
        <f>SUMIFS(super1[Qtde],super1[Item],tab_alimentos[[#This Row],[Item]],super1[Bairro],mercado16)+SUMIFS(supercb[Qtde],supercb[Item],tab_alimentos[[#This Row],[Item]],supercb[Bairro],mercado16)</f>
        <v>0</v>
      </c>
      <c r="AB85" s="4">
        <f>SUMIFS(super1[Qtde],super1[Item],tab_alimentos[[#This Row],[Item]],super1[Bairro],mercado17)+SUMIFS(supercb[Qtde],supercb[Item],tab_alimentos[[#This Row],[Item]],supercb[Bairro],mercado17)</f>
        <v>0</v>
      </c>
      <c r="AC85" s="4">
        <f>SUMIFS(super1[Qtde],super1[Item],tab_alimentos[[#This Row],[Item]],super1[Bairro],mercado18)+SUMIFS(supercb[Qtde],supercb[Item],tab_alimentos[[#This Row],[Item]],supercb[Bairro],mercado18)</f>
        <v>0</v>
      </c>
      <c r="AD85" s="4">
        <f>SUMIFS(super1[Qtde],super1[Item],tab_alimentos[[#This Row],[Item]],super1[Bairro],extras)+SUMIFS(supercb[Qtde],supercb[Item],tab_alimentos[[#This Row],[Item]],supercb[Bairro],extras)</f>
        <v>0</v>
      </c>
      <c r="AE85" s="4">
        <f t="shared" si="27"/>
        <v>0</v>
      </c>
      <c r="AF85" s="4">
        <f t="shared" si="28"/>
        <v>0</v>
      </c>
      <c r="AG85" s="6">
        <f t="shared" si="29"/>
        <v>0</v>
      </c>
      <c r="AH85" s="19" t="str">
        <f>higiene[[#This Row],[Item]]</f>
        <v>esponja lã de aço</v>
      </c>
      <c r="AI85" s="4">
        <f>IFERROR(higiene[[#This Row],[Kg equivalente]],0)</f>
        <v>0</v>
      </c>
      <c r="AJ85" s="4">
        <f>IFERROR(higiene[[#This Row],[Preço por produto]],0)</f>
        <v>2</v>
      </c>
      <c r="AK85" s="4">
        <f>SUMIFS(super1[Qtde],super1[Item],tab_higiene[[#This Row],[Item]],super1[Bairro],mercado1)+SUMIFS(supercb[Qtde],supercb[Item],tab_higiene[[#This Row],[Item]],supercb[Bairro],mercado1)</f>
        <v>0</v>
      </c>
      <c r="AL85" s="4">
        <f>SUMIFS(super1[Qtde],super1[Item],tab_higiene[[#This Row],[Item]],super1[Bairro],mercado2)+SUMIFS(supercb[Qtde],supercb[Item],tab_higiene[[#This Row],[Item]],supercb[Bairro],mercado2)</f>
        <v>0</v>
      </c>
      <c r="AM85" s="4">
        <f>SUMIFS(super1[Qtde],super1[Item],tab_higiene[[#This Row],[Item]],super1[Bairro],mercado3)+SUMIFS(supercb[Qtde],supercb[Item],tab_higiene[[#This Row],[Item]],supercb[Bairro],mercado3)</f>
        <v>0</v>
      </c>
      <c r="AN85" s="4">
        <f>SUMIFS(super1[Qtde],super1[Item],tab_higiene[[#This Row],[Item]],super1[Bairro],mercado4)+SUMIFS(supercb[Qtde],supercb[Item],tab_higiene[[#This Row],[Item]],supercb[Bairro],mercado4)</f>
        <v>0</v>
      </c>
      <c r="AO85" s="4">
        <f>SUMIFS(super1[Qtde],super1[Item],tab_higiene[[#This Row],[Item]],super1[Bairro],mercado5)+SUMIFS(supercb[Qtde],supercb[Item],tab_higiene[[#This Row],[Item]],supercb[Bairro],mercado5)</f>
        <v>0</v>
      </c>
      <c r="AP85" s="4">
        <f>SUMIFS(super1[Qtde],super1[Item],tab_higiene[[#This Row],[Item]],super1[Bairro],mercado6)+SUMIFS(supercb[Qtde],supercb[Item],tab_higiene[[#This Row],[Item]],supercb[Bairro],mercado6)</f>
        <v>0</v>
      </c>
      <c r="AQ85" s="4">
        <f>SUMIFS(super1[Qtde],super1[Item],tab_higiene[[#This Row],[Item]],super1[Bairro],mercado7)+SUMIFS(supercb[Qtde],supercb[Item],tab_higiene[[#This Row],[Item]],supercb[Bairro],mercado7)</f>
        <v>0</v>
      </c>
      <c r="AR85" s="4">
        <f>SUMIFS(super1[Qtde],super1[Item],tab_higiene[[#This Row],[Item]],super1[Bairro],mercado8)+SUMIFS(supercb[Qtde],supercb[Item],tab_higiene[[#This Row],[Item]],supercb[Bairro],mercado8)</f>
        <v>0</v>
      </c>
      <c r="AS85" s="4">
        <f>SUMIFS(super1[Qtde],super1[Item],tab_higiene[[#This Row],[Item]],super1[Bairro],mercado9)+SUMIFS(supercb[Qtde],supercb[Item],tab_higiene[[#This Row],[Item]],supercb[Bairro],mercado9)</f>
        <v>0</v>
      </c>
      <c r="AT85" s="4">
        <f>SUMIFS(super1[Qtde],super1[Item],tab_higiene[[#This Row],[Item]],super1[Bairro],mercado10)+SUMIFS(supercb[Qtde],supercb[Item],tab_higiene[[#This Row],[Item]],supercb[Bairro],mercado10)</f>
        <v>0</v>
      </c>
      <c r="AU85" s="4">
        <f>SUMIFS(super1[Qtde],super1[Item],tab_higiene[[#This Row],[Item]],super1[Bairro],mercado11)+SUMIFS(supercb[Qtde],supercb[Item],tab_higiene[[#This Row],[Item]],supercb[Bairro],mercado11)</f>
        <v>0</v>
      </c>
      <c r="AV85" s="4">
        <f>SUMIFS(super1[Qtde],super1[Item],tab_higiene[[#This Row],[Item]],super1[Bairro],mercado12)+SUMIFS(supercb[Qtde],supercb[Item],tab_higiene[[#This Row],[Item]],supercb[Bairro],mercado12)</f>
        <v>0</v>
      </c>
      <c r="AW85" s="4">
        <f>SUMIFS(super1[Qtde],super1[Item],tab_higiene[[#This Row],[Item]],super1[Bairro],mercado13)+SUMIFS(supercb[Qtde],supercb[Item],tab_higiene[[#This Row],[Item]],supercb[Bairro],mercado13)</f>
        <v>0</v>
      </c>
      <c r="AX85" s="4">
        <f>SUMIFS(super1[Qtde],super1[Item],tab_higiene[[#This Row],[Item]],super1[Bairro],mercado14)+SUMIFS(supercb[Qtde],supercb[Item],tab_higiene[[#This Row],[Item]],supercb[Bairro],mercado14)</f>
        <v>0</v>
      </c>
      <c r="AY85" s="4">
        <f>SUMIFS(super1[Qtde],super1[Item],tab_higiene[[#This Row],[Item]],super1[Bairro],mercado15)+SUMIFS(supercb[Qtde],supercb[Item],tab_higiene[[#This Row],[Item]],supercb[Bairro],mercado15)</f>
        <v>0</v>
      </c>
      <c r="AZ85" s="4">
        <f>SUMIFS(super1[Qtde],super1[Item],tab_higiene[[#This Row],[Item]],super1[Bairro],mercado16)+SUMIFS(supercb[Qtde],supercb[Item],tab_higiene[[#This Row],[Item]],supercb[Bairro],mercado16)</f>
        <v>0</v>
      </c>
      <c r="BA85" s="4">
        <f>SUMIFS(super1[Qtde],super1[Item],tab_higiene[[#This Row],[Item]],super1[Bairro],mercado17)+SUMIFS(supercb[Qtde],supercb[Item],tab_higiene[[#This Row],[Item]],supercb[Bairro],mercado17)</f>
        <v>0</v>
      </c>
      <c r="BB85" s="4">
        <f>SUMIFS(super1[Qtde],super1[Item],tab_higiene[[#This Row],[Item]],super1[Bairro],mercado18)+SUMIFS(supercb[Qtde],supercb[Item],tab_higiene[[#This Row],[Item]],supercb[Bairro],mercado18)</f>
        <v>0</v>
      </c>
      <c r="BC85" s="4">
        <f>SUMIFS(super1[Qtde],super1[Item],tab_higiene[[#This Row],[Item]],super1[Bairro],extras)+SUMIFS(supercb[Qtde],supercb[Item],tab_higiene[[#This Row],[Item]],supercb[Bairro],extras)</f>
        <v>0</v>
      </c>
      <c r="BD85" s="4">
        <f t="shared" si="30"/>
        <v>0</v>
      </c>
      <c r="BE85" s="4">
        <f t="shared" si="31"/>
        <v>0</v>
      </c>
      <c r="BF85" s="6">
        <f t="shared" si="32"/>
        <v>0</v>
      </c>
      <c r="BI85" s="1" t="str">
        <f>tab_alimentos[[#This Row],[Item]]</f>
        <v>Biscoito Doce (300g)</v>
      </c>
      <c r="BJ85" s="1">
        <f t="shared" si="25"/>
        <v>14</v>
      </c>
      <c r="BK85" s="1" t="str">
        <f t="shared" si="26"/>
        <v>Biscoito Doce</v>
      </c>
      <c r="BL85" s="1">
        <f>tab_alimentos[[#This Row],[kg]]</f>
        <v>0</v>
      </c>
      <c r="BM85" t="s">
        <v>226</v>
      </c>
      <c r="BN85" s="1">
        <f t="shared" si="36"/>
        <v>0</v>
      </c>
      <c r="BP85" s="1" t="str">
        <f>tab_higiene[[#This Row],[Item]]</f>
        <v>esponja lã de aço</v>
      </c>
      <c r="BQ85" s="1">
        <f t="shared" si="33"/>
        <v>0</v>
      </c>
      <c r="BR85" s="1" t="str">
        <f t="shared" si="34"/>
        <v>esponja lã de aço</v>
      </c>
      <c r="BS85" s="1" t="str">
        <f>higiene[[#This Row],[Quantidade]]</f>
        <v>45g</v>
      </c>
      <c r="BT85" s="1">
        <f>tab_higiene[[#This Row],[Qtde (tot)]]</f>
        <v>0</v>
      </c>
      <c r="BU85" s="1" t="e">
        <f t="shared" si="37"/>
        <v>#VALUE!</v>
      </c>
      <c r="BW85" s="1">
        <f t="shared" si="35"/>
        <v>0</v>
      </c>
    </row>
    <row r="86" spans="9:75" x14ac:dyDescent="0.25">
      <c r="I86" s="19" t="str">
        <f>alimentos[[#This Row],[Item]]</f>
        <v>Biscoito Doce (330g)</v>
      </c>
      <c r="J86" s="4">
        <f>IFERROR(alimentos[[#This Row],[kg/embalagem]],0)</f>
        <v>0.33</v>
      </c>
      <c r="K86" s="4">
        <f>IFERROR(alimentos[[#This Row],[Preço]],0)</f>
        <v>6.9</v>
      </c>
      <c r="L86" s="4">
        <f>SUMIFS(super1[Qtde],super1[Item],tab_alimentos[[#This Row],[Item]],super1[Bairro],mercado1)+SUMIFS(supercb[Qtde],supercb[Item],tab_alimentos[[#This Row],[Item]],supercb[Bairro],mercado1)</f>
        <v>0</v>
      </c>
      <c r="M86" s="4">
        <f>SUMIFS(super1[Qtde],super1[Item],tab_alimentos[[#This Row],[Item]],super1[Bairro],mercado2)+SUMIFS(supercb[Qtde],supercb[Item],tab_alimentos[[#This Row],[Item]],supercb[Bairro],mercado2)</f>
        <v>0</v>
      </c>
      <c r="N86" s="4">
        <f>SUMIFS(super1[Qtde],super1[Item],tab_alimentos[[#This Row],[Item]],super1[Bairro],mercado3)+SUMIFS(supercb[Qtde],supercb[Item],tab_alimentos[[#This Row],[Item]],supercb[Bairro],mercado3)</f>
        <v>0</v>
      </c>
      <c r="O86" s="4">
        <f>SUMIFS(super1[Qtde],super1[Item],tab_alimentos[[#This Row],[Item]],super1[Bairro],mercado4)+SUMIFS(supercb[Qtde],supercb[Item],tab_alimentos[[#This Row],[Item]],supercb[Bairro],mercado4)</f>
        <v>0</v>
      </c>
      <c r="P86" s="4">
        <f>SUMIFS(super1[Qtde],super1[Item],tab_alimentos[[#This Row],[Item]],super1[Bairro],mercado5)+SUMIFS(supercb[Qtde],supercb[Item],tab_alimentos[[#This Row],[Item]],supercb[Bairro],mercado5)</f>
        <v>0</v>
      </c>
      <c r="Q86" s="4">
        <f>SUMIFS(super1[Qtde],super1[Item],tab_alimentos[[#This Row],[Item]],super1[Bairro],mercado6)+SUMIFS(supercb[Qtde],supercb[Item],tab_alimentos[[#This Row],[Item]],supercb[Bairro],mercado6)</f>
        <v>0</v>
      </c>
      <c r="R86" s="4">
        <f>SUMIFS(super1[Qtde],super1[Item],tab_alimentos[[#This Row],[Item]],super1[Bairro],mercado7)+SUMIFS(supercb[Qtde],supercb[Item],tab_alimentos[[#This Row],[Item]],supercb[Bairro],mercado7)</f>
        <v>0</v>
      </c>
      <c r="S86" s="4">
        <f>SUMIFS(super1[Qtde],super1[Item],tab_alimentos[[#This Row],[Item]],super1[Bairro],mercado8)+SUMIFS(supercb[Qtde],supercb[Item],tab_alimentos[[#This Row],[Item]],supercb[Bairro],mercado8)</f>
        <v>0</v>
      </c>
      <c r="T86" s="4">
        <f>SUMIFS(super1[Qtde],super1[Item],tab_alimentos[[#This Row],[Item]],super1[Bairro],mercado9)+SUMIFS(supercb[Qtde],supercb[Item],tab_alimentos[[#This Row],[Item]],supercb[Bairro],mercado9)</f>
        <v>0</v>
      </c>
      <c r="U86" s="4">
        <f>SUMIFS(super1[Qtde],super1[Item],tab_alimentos[[#This Row],[Item]],super1[Bairro],mercado10)+SUMIFS(supercb[Qtde],supercb[Item],tab_alimentos[[#This Row],[Item]],supercb[Bairro],mercado10)</f>
        <v>0</v>
      </c>
      <c r="V86" s="4">
        <f>SUMIFS(super1[Qtde],super1[Item],tab_alimentos[[#This Row],[Item]],super1[Bairro],mercado11)+SUMIFS(supercb[Qtde],supercb[Item],tab_alimentos[[#This Row],[Item]],supercb[Bairro],mercado11)</f>
        <v>0</v>
      </c>
      <c r="W86" s="4">
        <f>SUMIFS(super1[Qtde],super1[Item],tab_alimentos[[#This Row],[Item]],super1[Bairro],mercado12)+SUMIFS(supercb[Qtde],supercb[Item],tab_alimentos[[#This Row],[Item]],supercb[Bairro],mercado12)</f>
        <v>0</v>
      </c>
      <c r="X86" s="4">
        <f>SUMIFS(super1[Qtde],super1[Item],tab_alimentos[[#This Row],[Item]],super1[Bairro],mercado13)+SUMIFS(supercb[Qtde],supercb[Item],tab_alimentos[[#This Row],[Item]],supercb[Bairro],mercado13)</f>
        <v>0</v>
      </c>
      <c r="Y86" s="4">
        <f>SUMIFS(super1[Qtde],super1[Item],tab_alimentos[[#This Row],[Item]],super1[Bairro],mercado14)+SUMIFS(supercb[Qtde],supercb[Item],tab_alimentos[[#This Row],[Item]],supercb[Bairro],mercado14)</f>
        <v>0</v>
      </c>
      <c r="Z86" s="4">
        <f>SUMIFS(super1[Qtde],super1[Item],tab_alimentos[[#This Row],[Item]],super1[Bairro],mercado15)+SUMIFS(supercb[Qtde],supercb[Item],tab_alimentos[[#This Row],[Item]],supercb[Bairro],mercado15)</f>
        <v>0</v>
      </c>
      <c r="AA86" s="4">
        <f>SUMIFS(super1[Qtde],super1[Item],tab_alimentos[[#This Row],[Item]],super1[Bairro],mercado16)+SUMIFS(supercb[Qtde],supercb[Item],tab_alimentos[[#This Row],[Item]],supercb[Bairro],mercado16)</f>
        <v>0</v>
      </c>
      <c r="AB86" s="4">
        <f>SUMIFS(super1[Qtde],super1[Item],tab_alimentos[[#This Row],[Item]],super1[Bairro],mercado17)+SUMIFS(supercb[Qtde],supercb[Item],tab_alimentos[[#This Row],[Item]],supercb[Bairro],mercado17)</f>
        <v>0</v>
      </c>
      <c r="AC86" s="4">
        <f>SUMIFS(super1[Qtde],super1[Item],tab_alimentos[[#This Row],[Item]],super1[Bairro],mercado18)+SUMIFS(supercb[Qtde],supercb[Item],tab_alimentos[[#This Row],[Item]],supercb[Bairro],mercado18)</f>
        <v>0</v>
      </c>
      <c r="AD86" s="4">
        <f>SUMIFS(super1[Qtde],super1[Item],tab_alimentos[[#This Row],[Item]],super1[Bairro],extras)+SUMIFS(supercb[Qtde],supercb[Item],tab_alimentos[[#This Row],[Item]],supercb[Bairro],extras)</f>
        <v>0</v>
      </c>
      <c r="AE86" s="4">
        <f t="shared" si="27"/>
        <v>0</v>
      </c>
      <c r="AF86" s="4">
        <f t="shared" si="28"/>
        <v>0</v>
      </c>
      <c r="AG86" s="6">
        <f t="shared" si="29"/>
        <v>0</v>
      </c>
      <c r="AH86" s="19" t="str">
        <f>higiene[[#This Row],[Item]]</f>
        <v>F</v>
      </c>
      <c r="AI86" s="4">
        <f>IFERROR(higiene[[#This Row],[Kg equivalente]],0)</f>
        <v>0</v>
      </c>
      <c r="AJ86" s="4">
        <f>IFERROR(higiene[[#This Row],[Preço por produto]],0)</f>
        <v>0</v>
      </c>
      <c r="AK86" s="4">
        <f>SUMIFS(super1[Qtde],super1[Item],tab_higiene[[#This Row],[Item]],super1[Bairro],mercado1)+SUMIFS(supercb[Qtde],supercb[Item],tab_higiene[[#This Row],[Item]],supercb[Bairro],mercado1)</f>
        <v>0</v>
      </c>
      <c r="AL86" s="4">
        <f>SUMIFS(super1[Qtde],super1[Item],tab_higiene[[#This Row],[Item]],super1[Bairro],mercado2)+SUMIFS(supercb[Qtde],supercb[Item],tab_higiene[[#This Row],[Item]],supercb[Bairro],mercado2)</f>
        <v>0</v>
      </c>
      <c r="AM86" s="4">
        <f>SUMIFS(super1[Qtde],super1[Item],tab_higiene[[#This Row],[Item]],super1[Bairro],mercado3)+SUMIFS(supercb[Qtde],supercb[Item],tab_higiene[[#This Row],[Item]],supercb[Bairro],mercado3)</f>
        <v>0</v>
      </c>
      <c r="AN86" s="4">
        <f>SUMIFS(super1[Qtde],super1[Item],tab_higiene[[#This Row],[Item]],super1[Bairro],mercado4)+SUMIFS(supercb[Qtde],supercb[Item],tab_higiene[[#This Row],[Item]],supercb[Bairro],mercado4)</f>
        <v>0</v>
      </c>
      <c r="AO86" s="4">
        <f>SUMIFS(super1[Qtde],super1[Item],tab_higiene[[#This Row],[Item]],super1[Bairro],mercado5)+SUMIFS(supercb[Qtde],supercb[Item],tab_higiene[[#This Row],[Item]],supercb[Bairro],mercado5)</f>
        <v>0</v>
      </c>
      <c r="AP86" s="4">
        <f>SUMIFS(super1[Qtde],super1[Item],tab_higiene[[#This Row],[Item]],super1[Bairro],mercado6)+SUMIFS(supercb[Qtde],supercb[Item],tab_higiene[[#This Row],[Item]],supercb[Bairro],mercado6)</f>
        <v>0</v>
      </c>
      <c r="AQ86" s="4">
        <f>SUMIFS(super1[Qtde],super1[Item],tab_higiene[[#This Row],[Item]],super1[Bairro],mercado7)+SUMIFS(supercb[Qtde],supercb[Item],tab_higiene[[#This Row],[Item]],supercb[Bairro],mercado7)</f>
        <v>0</v>
      </c>
      <c r="AR86" s="4">
        <f>SUMIFS(super1[Qtde],super1[Item],tab_higiene[[#This Row],[Item]],super1[Bairro],mercado8)+SUMIFS(supercb[Qtde],supercb[Item],tab_higiene[[#This Row],[Item]],supercb[Bairro],mercado8)</f>
        <v>0</v>
      </c>
      <c r="AS86" s="4">
        <f>SUMIFS(super1[Qtde],super1[Item],tab_higiene[[#This Row],[Item]],super1[Bairro],mercado9)+SUMIFS(supercb[Qtde],supercb[Item],tab_higiene[[#This Row],[Item]],supercb[Bairro],mercado9)</f>
        <v>0</v>
      </c>
      <c r="AT86" s="4">
        <f>SUMIFS(super1[Qtde],super1[Item],tab_higiene[[#This Row],[Item]],super1[Bairro],mercado10)+SUMIFS(supercb[Qtde],supercb[Item],tab_higiene[[#This Row],[Item]],supercb[Bairro],mercado10)</f>
        <v>0</v>
      </c>
      <c r="AU86" s="4">
        <f>SUMIFS(super1[Qtde],super1[Item],tab_higiene[[#This Row],[Item]],super1[Bairro],mercado11)+SUMIFS(supercb[Qtde],supercb[Item],tab_higiene[[#This Row],[Item]],supercb[Bairro],mercado11)</f>
        <v>0</v>
      </c>
      <c r="AV86" s="4">
        <f>SUMIFS(super1[Qtde],super1[Item],tab_higiene[[#This Row],[Item]],super1[Bairro],mercado12)+SUMIFS(supercb[Qtde],supercb[Item],tab_higiene[[#This Row],[Item]],supercb[Bairro],mercado12)</f>
        <v>0</v>
      </c>
      <c r="AW86" s="4">
        <f>SUMIFS(super1[Qtde],super1[Item],tab_higiene[[#This Row],[Item]],super1[Bairro],mercado13)+SUMIFS(supercb[Qtde],supercb[Item],tab_higiene[[#This Row],[Item]],supercb[Bairro],mercado13)</f>
        <v>0</v>
      </c>
      <c r="AX86" s="4">
        <f>SUMIFS(super1[Qtde],super1[Item],tab_higiene[[#This Row],[Item]],super1[Bairro],mercado14)+SUMIFS(supercb[Qtde],supercb[Item],tab_higiene[[#This Row],[Item]],supercb[Bairro],mercado14)</f>
        <v>0</v>
      </c>
      <c r="AY86" s="4">
        <f>SUMIFS(super1[Qtde],super1[Item],tab_higiene[[#This Row],[Item]],super1[Bairro],mercado15)+SUMIFS(supercb[Qtde],supercb[Item],tab_higiene[[#This Row],[Item]],supercb[Bairro],mercado15)</f>
        <v>0</v>
      </c>
      <c r="AZ86" s="4">
        <f>SUMIFS(super1[Qtde],super1[Item],tab_higiene[[#This Row],[Item]],super1[Bairro],mercado16)+SUMIFS(supercb[Qtde],supercb[Item],tab_higiene[[#This Row],[Item]],supercb[Bairro],mercado16)</f>
        <v>0</v>
      </c>
      <c r="BA86" s="4">
        <f>SUMIFS(super1[Qtde],super1[Item],tab_higiene[[#This Row],[Item]],super1[Bairro],mercado17)+SUMIFS(supercb[Qtde],supercb[Item],tab_higiene[[#This Row],[Item]],supercb[Bairro],mercado17)</f>
        <v>0</v>
      </c>
      <c r="BB86" s="4">
        <f>SUMIFS(super1[Qtde],super1[Item],tab_higiene[[#This Row],[Item]],super1[Bairro],mercado18)+SUMIFS(supercb[Qtde],supercb[Item],tab_higiene[[#This Row],[Item]],supercb[Bairro],mercado18)</f>
        <v>0</v>
      </c>
      <c r="BC86" s="4">
        <f>SUMIFS(super1[Qtde],super1[Item],tab_higiene[[#This Row],[Item]],super1[Bairro],extras)+SUMIFS(supercb[Qtde],supercb[Item],tab_higiene[[#This Row],[Item]],supercb[Bairro],extras)</f>
        <v>0</v>
      </c>
      <c r="BD86" s="4">
        <f t="shared" si="30"/>
        <v>0</v>
      </c>
      <c r="BE86" s="4">
        <f t="shared" si="31"/>
        <v>0</v>
      </c>
      <c r="BF86" s="6">
        <f t="shared" si="32"/>
        <v>0</v>
      </c>
      <c r="BI86" s="1" t="str">
        <f>tab_alimentos[[#This Row],[Item]]</f>
        <v>Biscoito Doce (330g)</v>
      </c>
      <c r="BJ86" s="1">
        <f t="shared" si="25"/>
        <v>14</v>
      </c>
      <c r="BK86" s="1" t="str">
        <f t="shared" si="26"/>
        <v>Biscoito Doce</v>
      </c>
      <c r="BL86" s="1">
        <f>tab_alimentos[[#This Row],[kg]]</f>
        <v>0</v>
      </c>
      <c r="BM86" t="s">
        <v>17</v>
      </c>
      <c r="BN86" s="1">
        <f t="shared" si="36"/>
        <v>0</v>
      </c>
      <c r="BP86" s="1" t="str">
        <f>tab_higiene[[#This Row],[Item]]</f>
        <v>F</v>
      </c>
      <c r="BQ86" s="1">
        <f t="shared" si="33"/>
        <v>0</v>
      </c>
      <c r="BR86" s="1" t="str">
        <f t="shared" si="34"/>
        <v>F</v>
      </c>
      <c r="BS86" s="1">
        <f>higiene[[#This Row],[Quantidade]]</f>
        <v>0</v>
      </c>
      <c r="BT86" s="1">
        <f>tab_higiene[[#This Row],[Qtde (tot)]]</f>
        <v>0</v>
      </c>
      <c r="BU86" s="1">
        <f t="shared" si="37"/>
        <v>0</v>
      </c>
      <c r="BW86" s="1">
        <f t="shared" si="35"/>
        <v>0</v>
      </c>
    </row>
    <row r="87" spans="9:75" x14ac:dyDescent="0.25">
      <c r="I87" s="19" t="str">
        <f>alimentos[[#This Row],[Item]]</f>
        <v>Biscoito Doce (350g)</v>
      </c>
      <c r="J87" s="4">
        <f>IFERROR(alimentos[[#This Row],[kg/embalagem]],0)</f>
        <v>0.35</v>
      </c>
      <c r="K87" s="4">
        <f>IFERROR(alimentos[[#This Row],[Preço]],0)</f>
        <v>6.29</v>
      </c>
      <c r="L87" s="4">
        <f>SUMIFS(super1[Qtde],super1[Item],tab_alimentos[[#This Row],[Item]],super1[Bairro],mercado1)+SUMIFS(supercb[Qtde],supercb[Item],tab_alimentos[[#This Row],[Item]],supercb[Bairro],mercado1)</f>
        <v>0</v>
      </c>
      <c r="M87" s="4">
        <f>SUMIFS(super1[Qtde],super1[Item],tab_alimentos[[#This Row],[Item]],super1[Bairro],mercado2)+SUMIFS(supercb[Qtde],supercb[Item],tab_alimentos[[#This Row],[Item]],supercb[Bairro],mercado2)</f>
        <v>0</v>
      </c>
      <c r="N87" s="4">
        <f>SUMIFS(super1[Qtde],super1[Item],tab_alimentos[[#This Row],[Item]],super1[Bairro],mercado3)+SUMIFS(supercb[Qtde],supercb[Item],tab_alimentos[[#This Row],[Item]],supercb[Bairro],mercado3)</f>
        <v>0</v>
      </c>
      <c r="O87" s="4">
        <f>SUMIFS(super1[Qtde],super1[Item],tab_alimentos[[#This Row],[Item]],super1[Bairro],mercado4)+SUMIFS(supercb[Qtde],supercb[Item],tab_alimentos[[#This Row],[Item]],supercb[Bairro],mercado4)</f>
        <v>0</v>
      </c>
      <c r="P87" s="4">
        <f>SUMIFS(super1[Qtde],super1[Item],tab_alimentos[[#This Row],[Item]],super1[Bairro],mercado5)+SUMIFS(supercb[Qtde],supercb[Item],tab_alimentos[[#This Row],[Item]],supercb[Bairro],mercado5)</f>
        <v>0</v>
      </c>
      <c r="Q87" s="4">
        <f>SUMIFS(super1[Qtde],super1[Item],tab_alimentos[[#This Row],[Item]],super1[Bairro],mercado6)+SUMIFS(supercb[Qtde],supercb[Item],tab_alimentos[[#This Row],[Item]],supercb[Bairro],mercado6)</f>
        <v>0</v>
      </c>
      <c r="R87" s="4">
        <f>SUMIFS(super1[Qtde],super1[Item],tab_alimentos[[#This Row],[Item]],super1[Bairro],mercado7)+SUMIFS(supercb[Qtde],supercb[Item],tab_alimentos[[#This Row],[Item]],supercb[Bairro],mercado7)</f>
        <v>0</v>
      </c>
      <c r="S87" s="4">
        <f>SUMIFS(super1[Qtde],super1[Item],tab_alimentos[[#This Row],[Item]],super1[Bairro],mercado8)+SUMIFS(supercb[Qtde],supercb[Item],tab_alimentos[[#This Row],[Item]],supercb[Bairro],mercado8)</f>
        <v>0</v>
      </c>
      <c r="T87" s="4">
        <f>SUMIFS(super1[Qtde],super1[Item],tab_alimentos[[#This Row],[Item]],super1[Bairro],mercado9)+SUMIFS(supercb[Qtde],supercb[Item],tab_alimentos[[#This Row],[Item]],supercb[Bairro],mercado9)</f>
        <v>0</v>
      </c>
      <c r="U87" s="4">
        <f>SUMIFS(super1[Qtde],super1[Item],tab_alimentos[[#This Row],[Item]],super1[Bairro],mercado10)+SUMIFS(supercb[Qtde],supercb[Item],tab_alimentos[[#This Row],[Item]],supercb[Bairro],mercado10)</f>
        <v>0</v>
      </c>
      <c r="V87" s="4">
        <f>SUMIFS(super1[Qtde],super1[Item],tab_alimentos[[#This Row],[Item]],super1[Bairro],mercado11)+SUMIFS(supercb[Qtde],supercb[Item],tab_alimentos[[#This Row],[Item]],supercb[Bairro],mercado11)</f>
        <v>0</v>
      </c>
      <c r="W87" s="4">
        <f>SUMIFS(super1[Qtde],super1[Item],tab_alimentos[[#This Row],[Item]],super1[Bairro],mercado12)+SUMIFS(supercb[Qtde],supercb[Item],tab_alimentos[[#This Row],[Item]],supercb[Bairro],mercado12)</f>
        <v>0</v>
      </c>
      <c r="X87" s="4">
        <f>SUMIFS(super1[Qtde],super1[Item],tab_alimentos[[#This Row],[Item]],super1[Bairro],mercado13)+SUMIFS(supercb[Qtde],supercb[Item],tab_alimentos[[#This Row],[Item]],supercb[Bairro],mercado13)</f>
        <v>0</v>
      </c>
      <c r="Y87" s="4">
        <f>SUMIFS(super1[Qtde],super1[Item],tab_alimentos[[#This Row],[Item]],super1[Bairro],mercado14)+SUMIFS(supercb[Qtde],supercb[Item],tab_alimentos[[#This Row],[Item]],supercb[Bairro],mercado14)</f>
        <v>0</v>
      </c>
      <c r="Z87" s="4">
        <f>SUMIFS(super1[Qtde],super1[Item],tab_alimentos[[#This Row],[Item]],super1[Bairro],mercado15)+SUMIFS(supercb[Qtde],supercb[Item],tab_alimentos[[#This Row],[Item]],supercb[Bairro],mercado15)</f>
        <v>0</v>
      </c>
      <c r="AA87" s="4">
        <f>SUMIFS(super1[Qtde],super1[Item],tab_alimentos[[#This Row],[Item]],super1[Bairro],mercado16)+SUMIFS(supercb[Qtde],supercb[Item],tab_alimentos[[#This Row],[Item]],supercb[Bairro],mercado16)</f>
        <v>0</v>
      </c>
      <c r="AB87" s="4">
        <f>SUMIFS(super1[Qtde],super1[Item],tab_alimentos[[#This Row],[Item]],super1[Bairro],mercado17)+SUMIFS(supercb[Qtde],supercb[Item],tab_alimentos[[#This Row],[Item]],supercb[Bairro],mercado17)</f>
        <v>0</v>
      </c>
      <c r="AC87" s="4">
        <f>SUMIFS(super1[Qtde],super1[Item],tab_alimentos[[#This Row],[Item]],super1[Bairro],mercado18)+SUMIFS(supercb[Qtde],supercb[Item],tab_alimentos[[#This Row],[Item]],supercb[Bairro],mercado18)</f>
        <v>0</v>
      </c>
      <c r="AD87" s="4">
        <f>SUMIFS(super1[Qtde],super1[Item],tab_alimentos[[#This Row],[Item]],super1[Bairro],extras)+SUMIFS(supercb[Qtde],supercb[Item],tab_alimentos[[#This Row],[Item]],supercb[Bairro],extras)</f>
        <v>0</v>
      </c>
      <c r="AE87" s="4">
        <f t="shared" si="27"/>
        <v>0</v>
      </c>
      <c r="AF87" s="4">
        <f t="shared" si="28"/>
        <v>0</v>
      </c>
      <c r="AG87" s="6">
        <f t="shared" si="29"/>
        <v>0</v>
      </c>
      <c r="AH87" s="19" t="str">
        <f>higiene[[#This Row],[Item]]</f>
        <v>Filtro de Café (30un)</v>
      </c>
      <c r="AI87" s="4">
        <f>IFERROR(higiene[[#This Row],[Kg equivalente]],0)</f>
        <v>0</v>
      </c>
      <c r="AJ87" s="4">
        <f>IFERROR(higiene[[#This Row],[Preço por produto]],0)</f>
        <v>3.49</v>
      </c>
      <c r="AK87" s="4">
        <f>SUMIFS(super1[Qtde],super1[Item],tab_higiene[[#This Row],[Item]],super1[Bairro],mercado1)+SUMIFS(supercb[Qtde],supercb[Item],tab_higiene[[#This Row],[Item]],supercb[Bairro],mercado1)</f>
        <v>0</v>
      </c>
      <c r="AL87" s="4">
        <f>SUMIFS(super1[Qtde],super1[Item],tab_higiene[[#This Row],[Item]],super1[Bairro],mercado2)+SUMIFS(supercb[Qtde],supercb[Item],tab_higiene[[#This Row],[Item]],supercb[Bairro],mercado2)</f>
        <v>0</v>
      </c>
      <c r="AM87" s="4">
        <f>SUMIFS(super1[Qtde],super1[Item],tab_higiene[[#This Row],[Item]],super1[Bairro],mercado3)+SUMIFS(supercb[Qtde],supercb[Item],tab_higiene[[#This Row],[Item]],supercb[Bairro],mercado3)</f>
        <v>0</v>
      </c>
      <c r="AN87" s="4">
        <f>SUMIFS(super1[Qtde],super1[Item],tab_higiene[[#This Row],[Item]],super1[Bairro],mercado4)+SUMIFS(supercb[Qtde],supercb[Item],tab_higiene[[#This Row],[Item]],supercb[Bairro],mercado4)</f>
        <v>0</v>
      </c>
      <c r="AO87" s="4">
        <f>SUMIFS(super1[Qtde],super1[Item],tab_higiene[[#This Row],[Item]],super1[Bairro],mercado5)+SUMIFS(supercb[Qtde],supercb[Item],tab_higiene[[#This Row],[Item]],supercb[Bairro],mercado5)</f>
        <v>0</v>
      </c>
      <c r="AP87" s="4">
        <f>SUMIFS(super1[Qtde],super1[Item],tab_higiene[[#This Row],[Item]],super1[Bairro],mercado6)+SUMIFS(supercb[Qtde],supercb[Item],tab_higiene[[#This Row],[Item]],supercb[Bairro],mercado6)</f>
        <v>0</v>
      </c>
      <c r="AQ87" s="4">
        <f>SUMIFS(super1[Qtde],super1[Item],tab_higiene[[#This Row],[Item]],super1[Bairro],mercado7)+SUMIFS(supercb[Qtde],supercb[Item],tab_higiene[[#This Row],[Item]],supercb[Bairro],mercado7)</f>
        <v>0</v>
      </c>
      <c r="AR87" s="4">
        <f>SUMIFS(super1[Qtde],super1[Item],tab_higiene[[#This Row],[Item]],super1[Bairro],mercado8)+SUMIFS(supercb[Qtde],supercb[Item],tab_higiene[[#This Row],[Item]],supercb[Bairro],mercado8)</f>
        <v>0</v>
      </c>
      <c r="AS87" s="4">
        <f>SUMIFS(super1[Qtde],super1[Item],tab_higiene[[#This Row],[Item]],super1[Bairro],mercado9)+SUMIFS(supercb[Qtde],supercb[Item],tab_higiene[[#This Row],[Item]],supercb[Bairro],mercado9)</f>
        <v>0</v>
      </c>
      <c r="AT87" s="4">
        <f>SUMIFS(super1[Qtde],super1[Item],tab_higiene[[#This Row],[Item]],super1[Bairro],mercado10)+SUMIFS(supercb[Qtde],supercb[Item],tab_higiene[[#This Row],[Item]],supercb[Bairro],mercado10)</f>
        <v>0</v>
      </c>
      <c r="AU87" s="4">
        <f>SUMIFS(super1[Qtde],super1[Item],tab_higiene[[#This Row],[Item]],super1[Bairro],mercado11)+SUMIFS(supercb[Qtde],supercb[Item],tab_higiene[[#This Row],[Item]],supercb[Bairro],mercado11)</f>
        <v>0</v>
      </c>
      <c r="AV87" s="4">
        <f>SUMIFS(super1[Qtde],super1[Item],tab_higiene[[#This Row],[Item]],super1[Bairro],mercado12)+SUMIFS(supercb[Qtde],supercb[Item],tab_higiene[[#This Row],[Item]],supercb[Bairro],mercado12)</f>
        <v>0</v>
      </c>
      <c r="AW87" s="4">
        <f>SUMIFS(super1[Qtde],super1[Item],tab_higiene[[#This Row],[Item]],super1[Bairro],mercado13)+SUMIFS(supercb[Qtde],supercb[Item],tab_higiene[[#This Row],[Item]],supercb[Bairro],mercado13)</f>
        <v>0</v>
      </c>
      <c r="AX87" s="4">
        <f>SUMIFS(super1[Qtde],super1[Item],tab_higiene[[#This Row],[Item]],super1[Bairro],mercado14)+SUMIFS(supercb[Qtde],supercb[Item],tab_higiene[[#This Row],[Item]],supercb[Bairro],mercado14)</f>
        <v>0</v>
      </c>
      <c r="AY87" s="4">
        <f>SUMIFS(super1[Qtde],super1[Item],tab_higiene[[#This Row],[Item]],super1[Bairro],mercado15)+SUMIFS(supercb[Qtde],supercb[Item],tab_higiene[[#This Row],[Item]],supercb[Bairro],mercado15)</f>
        <v>0</v>
      </c>
      <c r="AZ87" s="4">
        <f>SUMIFS(super1[Qtde],super1[Item],tab_higiene[[#This Row],[Item]],super1[Bairro],mercado16)+SUMIFS(supercb[Qtde],supercb[Item],tab_higiene[[#This Row],[Item]],supercb[Bairro],mercado16)</f>
        <v>0</v>
      </c>
      <c r="BA87" s="4">
        <f>SUMIFS(super1[Qtde],super1[Item],tab_higiene[[#This Row],[Item]],super1[Bairro],mercado17)+SUMIFS(supercb[Qtde],supercb[Item],tab_higiene[[#This Row],[Item]],supercb[Bairro],mercado17)</f>
        <v>0</v>
      </c>
      <c r="BB87" s="4">
        <f>SUMIFS(super1[Qtde],super1[Item],tab_higiene[[#This Row],[Item]],super1[Bairro],mercado18)+SUMIFS(supercb[Qtde],supercb[Item],tab_higiene[[#This Row],[Item]],supercb[Bairro],mercado18)</f>
        <v>0</v>
      </c>
      <c r="BC87" s="4">
        <f>SUMIFS(super1[Qtde],super1[Item],tab_higiene[[#This Row],[Item]],super1[Bairro],extras)+SUMIFS(supercb[Qtde],supercb[Item],tab_higiene[[#This Row],[Item]],supercb[Bairro],extras)</f>
        <v>0</v>
      </c>
      <c r="BD87" s="4">
        <f t="shared" si="30"/>
        <v>0</v>
      </c>
      <c r="BE87" s="4">
        <f t="shared" si="31"/>
        <v>0</v>
      </c>
      <c r="BF87" s="6">
        <f t="shared" si="32"/>
        <v>0</v>
      </c>
      <c r="BI87" s="1" t="str">
        <f>tab_alimentos[[#This Row],[Item]]</f>
        <v>Biscoito Doce (350g)</v>
      </c>
      <c r="BJ87" s="1">
        <f t="shared" si="25"/>
        <v>14</v>
      </c>
      <c r="BK87" s="1" t="str">
        <f t="shared" si="26"/>
        <v>Biscoito Doce</v>
      </c>
      <c r="BL87" s="1">
        <f>tab_alimentos[[#This Row],[kg]]</f>
        <v>0</v>
      </c>
      <c r="BM87" t="s">
        <v>75</v>
      </c>
      <c r="BN87" s="1">
        <f t="shared" si="36"/>
        <v>0</v>
      </c>
      <c r="BP87" s="1" t="str">
        <f>tab_higiene[[#This Row],[Item]]</f>
        <v>Filtro de Café (30un)</v>
      </c>
      <c r="BQ87" s="1">
        <f t="shared" si="33"/>
        <v>15</v>
      </c>
      <c r="BR87" s="1" t="str">
        <f t="shared" si="34"/>
        <v>Filtro de Café</v>
      </c>
      <c r="BS87" s="1">
        <f>higiene[[#This Row],[Quantidade]]</f>
        <v>24</v>
      </c>
      <c r="BT87" s="1">
        <f>tab_higiene[[#This Row],[Qtde (tot)]]</f>
        <v>0</v>
      </c>
      <c r="BU87" s="1">
        <f t="shared" si="37"/>
        <v>0</v>
      </c>
      <c r="BW87" s="1">
        <f t="shared" si="35"/>
        <v>0</v>
      </c>
    </row>
    <row r="88" spans="9:75" x14ac:dyDescent="0.25">
      <c r="I88" s="19" t="str">
        <f>alimentos[[#This Row],[Item]]</f>
        <v>Biscoito Doce (360g)</v>
      </c>
      <c r="J88" s="4">
        <f>IFERROR(alimentos[[#This Row],[kg/embalagem]],0)</f>
        <v>0.36</v>
      </c>
      <c r="K88" s="4">
        <f>IFERROR(alimentos[[#This Row],[Preço]],0)</f>
        <v>5.98</v>
      </c>
      <c r="L88" s="4">
        <f>SUMIFS(super1[Qtde],super1[Item],tab_alimentos[[#This Row],[Item]],super1[Bairro],mercado1)+SUMIFS(supercb[Qtde],supercb[Item],tab_alimentos[[#This Row],[Item]],supercb[Bairro],mercado1)</f>
        <v>0</v>
      </c>
      <c r="M88" s="4">
        <f>SUMIFS(super1[Qtde],super1[Item],tab_alimentos[[#This Row],[Item]],super1[Bairro],mercado2)+SUMIFS(supercb[Qtde],supercb[Item],tab_alimentos[[#This Row],[Item]],supercb[Bairro],mercado2)</f>
        <v>0</v>
      </c>
      <c r="N88" s="4">
        <f>SUMIFS(super1[Qtde],super1[Item],tab_alimentos[[#This Row],[Item]],super1[Bairro],mercado3)+SUMIFS(supercb[Qtde],supercb[Item],tab_alimentos[[#This Row],[Item]],supercb[Bairro],mercado3)</f>
        <v>0</v>
      </c>
      <c r="O88" s="4">
        <f>SUMIFS(super1[Qtde],super1[Item],tab_alimentos[[#This Row],[Item]],super1[Bairro],mercado4)+SUMIFS(supercb[Qtde],supercb[Item],tab_alimentos[[#This Row],[Item]],supercb[Bairro],mercado4)</f>
        <v>0</v>
      </c>
      <c r="P88" s="4">
        <f>SUMIFS(super1[Qtde],super1[Item],tab_alimentos[[#This Row],[Item]],super1[Bairro],mercado5)+SUMIFS(supercb[Qtde],supercb[Item],tab_alimentos[[#This Row],[Item]],supercb[Bairro],mercado5)</f>
        <v>0</v>
      </c>
      <c r="Q88" s="4">
        <f>SUMIFS(super1[Qtde],super1[Item],tab_alimentos[[#This Row],[Item]],super1[Bairro],mercado6)+SUMIFS(supercb[Qtde],supercb[Item],tab_alimentos[[#This Row],[Item]],supercb[Bairro],mercado6)</f>
        <v>0</v>
      </c>
      <c r="R88" s="4">
        <f>SUMIFS(super1[Qtde],super1[Item],tab_alimentos[[#This Row],[Item]],super1[Bairro],mercado7)+SUMIFS(supercb[Qtde],supercb[Item],tab_alimentos[[#This Row],[Item]],supercb[Bairro],mercado7)</f>
        <v>0</v>
      </c>
      <c r="S88" s="4">
        <f>SUMIFS(super1[Qtde],super1[Item],tab_alimentos[[#This Row],[Item]],super1[Bairro],mercado8)+SUMIFS(supercb[Qtde],supercb[Item],tab_alimentos[[#This Row],[Item]],supercb[Bairro],mercado8)</f>
        <v>0</v>
      </c>
      <c r="T88" s="4">
        <f>SUMIFS(super1[Qtde],super1[Item],tab_alimentos[[#This Row],[Item]],super1[Bairro],mercado9)+SUMIFS(supercb[Qtde],supercb[Item],tab_alimentos[[#This Row],[Item]],supercb[Bairro],mercado9)</f>
        <v>0</v>
      </c>
      <c r="U88" s="4">
        <f>SUMIFS(super1[Qtde],super1[Item],tab_alimentos[[#This Row],[Item]],super1[Bairro],mercado10)+SUMIFS(supercb[Qtde],supercb[Item],tab_alimentos[[#This Row],[Item]],supercb[Bairro],mercado10)</f>
        <v>0</v>
      </c>
      <c r="V88" s="4">
        <f>SUMIFS(super1[Qtde],super1[Item],tab_alimentos[[#This Row],[Item]],super1[Bairro],mercado11)+SUMIFS(supercb[Qtde],supercb[Item],tab_alimentos[[#This Row],[Item]],supercb[Bairro],mercado11)</f>
        <v>0</v>
      </c>
      <c r="W88" s="4">
        <f>SUMIFS(super1[Qtde],super1[Item],tab_alimentos[[#This Row],[Item]],super1[Bairro],mercado12)+SUMIFS(supercb[Qtde],supercb[Item],tab_alimentos[[#This Row],[Item]],supercb[Bairro],mercado12)</f>
        <v>0</v>
      </c>
      <c r="X88" s="4">
        <f>SUMIFS(super1[Qtde],super1[Item],tab_alimentos[[#This Row],[Item]],super1[Bairro],mercado13)+SUMIFS(supercb[Qtde],supercb[Item],tab_alimentos[[#This Row],[Item]],supercb[Bairro],mercado13)</f>
        <v>0</v>
      </c>
      <c r="Y88" s="4">
        <f>SUMIFS(super1[Qtde],super1[Item],tab_alimentos[[#This Row],[Item]],super1[Bairro],mercado14)+SUMIFS(supercb[Qtde],supercb[Item],tab_alimentos[[#This Row],[Item]],supercb[Bairro],mercado14)</f>
        <v>0</v>
      </c>
      <c r="Z88" s="4">
        <f>SUMIFS(super1[Qtde],super1[Item],tab_alimentos[[#This Row],[Item]],super1[Bairro],mercado15)+SUMIFS(supercb[Qtde],supercb[Item],tab_alimentos[[#This Row],[Item]],supercb[Bairro],mercado15)</f>
        <v>0</v>
      </c>
      <c r="AA88" s="4">
        <f>SUMIFS(super1[Qtde],super1[Item],tab_alimentos[[#This Row],[Item]],super1[Bairro],mercado16)+SUMIFS(supercb[Qtde],supercb[Item],tab_alimentos[[#This Row],[Item]],supercb[Bairro],mercado16)</f>
        <v>0</v>
      </c>
      <c r="AB88" s="4">
        <f>SUMIFS(super1[Qtde],super1[Item],tab_alimentos[[#This Row],[Item]],super1[Bairro],mercado17)+SUMIFS(supercb[Qtde],supercb[Item],tab_alimentos[[#This Row],[Item]],supercb[Bairro],mercado17)</f>
        <v>0</v>
      </c>
      <c r="AC88" s="4">
        <f>SUMIFS(super1[Qtde],super1[Item],tab_alimentos[[#This Row],[Item]],super1[Bairro],mercado18)+SUMIFS(supercb[Qtde],supercb[Item],tab_alimentos[[#This Row],[Item]],supercb[Bairro],mercado18)</f>
        <v>0</v>
      </c>
      <c r="AD88" s="4">
        <f>SUMIFS(super1[Qtde],super1[Item],tab_alimentos[[#This Row],[Item]],super1[Bairro],extras)+SUMIFS(supercb[Qtde],supercb[Item],tab_alimentos[[#This Row],[Item]],supercb[Bairro],extras)</f>
        <v>0</v>
      </c>
      <c r="AE88" s="4">
        <f t="shared" si="27"/>
        <v>0</v>
      </c>
      <c r="AF88" s="4">
        <f t="shared" si="28"/>
        <v>0</v>
      </c>
      <c r="AG88" s="6">
        <f t="shared" si="29"/>
        <v>0</v>
      </c>
      <c r="AH88" s="19" t="str">
        <f>higiene[[#This Row],[Item]]</f>
        <v>Fio Dental</v>
      </c>
      <c r="AI88" s="4">
        <f>IFERROR(higiene[[#This Row],[Kg equivalente]],0)</f>
        <v>0</v>
      </c>
      <c r="AJ88" s="4">
        <f>IFERROR(higiene[[#This Row],[Preço por produto]],0)</f>
        <v>4.1900000000000004</v>
      </c>
      <c r="AK88" s="4">
        <f>SUMIFS(super1[Qtde],super1[Item],tab_higiene[[#This Row],[Item]],super1[Bairro],mercado1)+SUMIFS(supercb[Qtde],supercb[Item],tab_higiene[[#This Row],[Item]],supercb[Bairro],mercado1)</f>
        <v>0</v>
      </c>
      <c r="AL88" s="4">
        <f>SUMIFS(super1[Qtde],super1[Item],tab_higiene[[#This Row],[Item]],super1[Bairro],mercado2)+SUMIFS(supercb[Qtde],supercb[Item],tab_higiene[[#This Row],[Item]],supercb[Bairro],mercado2)</f>
        <v>0</v>
      </c>
      <c r="AM88" s="4">
        <f>SUMIFS(super1[Qtde],super1[Item],tab_higiene[[#This Row],[Item]],super1[Bairro],mercado3)+SUMIFS(supercb[Qtde],supercb[Item],tab_higiene[[#This Row],[Item]],supercb[Bairro],mercado3)</f>
        <v>0</v>
      </c>
      <c r="AN88" s="4">
        <f>SUMIFS(super1[Qtde],super1[Item],tab_higiene[[#This Row],[Item]],super1[Bairro],mercado4)+SUMIFS(supercb[Qtde],supercb[Item],tab_higiene[[#This Row],[Item]],supercb[Bairro],mercado4)</f>
        <v>0</v>
      </c>
      <c r="AO88" s="4">
        <f>SUMIFS(super1[Qtde],super1[Item],tab_higiene[[#This Row],[Item]],super1[Bairro],mercado5)+SUMIFS(supercb[Qtde],supercb[Item],tab_higiene[[#This Row],[Item]],supercb[Bairro],mercado5)</f>
        <v>0</v>
      </c>
      <c r="AP88" s="4">
        <f>SUMIFS(super1[Qtde],super1[Item],tab_higiene[[#This Row],[Item]],super1[Bairro],mercado6)+SUMIFS(supercb[Qtde],supercb[Item],tab_higiene[[#This Row],[Item]],supercb[Bairro],mercado6)</f>
        <v>0</v>
      </c>
      <c r="AQ88" s="4">
        <f>SUMIFS(super1[Qtde],super1[Item],tab_higiene[[#This Row],[Item]],super1[Bairro],mercado7)+SUMIFS(supercb[Qtde],supercb[Item],tab_higiene[[#This Row],[Item]],supercb[Bairro],mercado7)</f>
        <v>0</v>
      </c>
      <c r="AR88" s="4">
        <f>SUMIFS(super1[Qtde],super1[Item],tab_higiene[[#This Row],[Item]],super1[Bairro],mercado8)+SUMIFS(supercb[Qtde],supercb[Item],tab_higiene[[#This Row],[Item]],supercb[Bairro],mercado8)</f>
        <v>0</v>
      </c>
      <c r="AS88" s="4">
        <f>SUMIFS(super1[Qtde],super1[Item],tab_higiene[[#This Row],[Item]],super1[Bairro],mercado9)+SUMIFS(supercb[Qtde],supercb[Item],tab_higiene[[#This Row],[Item]],supercb[Bairro],mercado9)</f>
        <v>0</v>
      </c>
      <c r="AT88" s="4">
        <f>SUMIFS(super1[Qtde],super1[Item],tab_higiene[[#This Row],[Item]],super1[Bairro],mercado10)+SUMIFS(supercb[Qtde],supercb[Item],tab_higiene[[#This Row],[Item]],supercb[Bairro],mercado10)</f>
        <v>0</v>
      </c>
      <c r="AU88" s="4">
        <f>SUMIFS(super1[Qtde],super1[Item],tab_higiene[[#This Row],[Item]],super1[Bairro],mercado11)+SUMIFS(supercb[Qtde],supercb[Item],tab_higiene[[#This Row],[Item]],supercb[Bairro],mercado11)</f>
        <v>0</v>
      </c>
      <c r="AV88" s="4">
        <f>SUMIFS(super1[Qtde],super1[Item],tab_higiene[[#This Row],[Item]],super1[Bairro],mercado12)+SUMIFS(supercb[Qtde],supercb[Item],tab_higiene[[#This Row],[Item]],supercb[Bairro],mercado12)</f>
        <v>0</v>
      </c>
      <c r="AW88" s="4">
        <f>SUMIFS(super1[Qtde],super1[Item],tab_higiene[[#This Row],[Item]],super1[Bairro],mercado13)+SUMIFS(supercb[Qtde],supercb[Item],tab_higiene[[#This Row],[Item]],supercb[Bairro],mercado13)</f>
        <v>0</v>
      </c>
      <c r="AX88" s="4">
        <f>SUMIFS(super1[Qtde],super1[Item],tab_higiene[[#This Row],[Item]],super1[Bairro],mercado14)+SUMIFS(supercb[Qtde],supercb[Item],tab_higiene[[#This Row],[Item]],supercb[Bairro],mercado14)</f>
        <v>0</v>
      </c>
      <c r="AY88" s="4">
        <f>SUMIFS(super1[Qtde],super1[Item],tab_higiene[[#This Row],[Item]],super1[Bairro],mercado15)+SUMIFS(supercb[Qtde],supercb[Item],tab_higiene[[#This Row],[Item]],supercb[Bairro],mercado15)</f>
        <v>0</v>
      </c>
      <c r="AZ88" s="4">
        <f>SUMIFS(super1[Qtde],super1[Item],tab_higiene[[#This Row],[Item]],super1[Bairro],mercado16)+SUMIFS(supercb[Qtde],supercb[Item],tab_higiene[[#This Row],[Item]],supercb[Bairro],mercado16)</f>
        <v>0</v>
      </c>
      <c r="BA88" s="4">
        <f>SUMIFS(super1[Qtde],super1[Item],tab_higiene[[#This Row],[Item]],super1[Bairro],mercado17)+SUMIFS(supercb[Qtde],supercb[Item],tab_higiene[[#This Row],[Item]],supercb[Bairro],mercado17)</f>
        <v>0</v>
      </c>
      <c r="BB88" s="4">
        <f>SUMIFS(super1[Qtde],super1[Item],tab_higiene[[#This Row],[Item]],super1[Bairro],mercado18)+SUMIFS(supercb[Qtde],supercb[Item],tab_higiene[[#This Row],[Item]],supercb[Bairro],mercado18)</f>
        <v>0</v>
      </c>
      <c r="BC88" s="4">
        <f>SUMIFS(super1[Qtde],super1[Item],tab_higiene[[#This Row],[Item]],super1[Bairro],extras)+SUMIFS(supercb[Qtde],supercb[Item],tab_higiene[[#This Row],[Item]],supercb[Bairro],extras)</f>
        <v>0</v>
      </c>
      <c r="BD88" s="4">
        <f t="shared" si="30"/>
        <v>0</v>
      </c>
      <c r="BE88" s="4">
        <f t="shared" si="31"/>
        <v>0</v>
      </c>
      <c r="BF88" s="6">
        <f t="shared" si="32"/>
        <v>0</v>
      </c>
      <c r="BI88" s="1" t="str">
        <f>tab_alimentos[[#This Row],[Item]]</f>
        <v>Biscoito Doce (360g)</v>
      </c>
      <c r="BJ88" s="1">
        <f t="shared" si="25"/>
        <v>14</v>
      </c>
      <c r="BK88" s="1" t="str">
        <f t="shared" si="26"/>
        <v>Biscoito Doce</v>
      </c>
      <c r="BL88" s="1">
        <f>tab_alimentos[[#This Row],[kg]]</f>
        <v>0</v>
      </c>
      <c r="BM88" t="s">
        <v>76</v>
      </c>
      <c r="BN88" s="1">
        <f t="shared" si="36"/>
        <v>0</v>
      </c>
      <c r="BP88" s="1" t="str">
        <f>tab_higiene[[#This Row],[Item]]</f>
        <v>Fio Dental</v>
      </c>
      <c r="BQ88" s="1">
        <f t="shared" si="33"/>
        <v>0</v>
      </c>
      <c r="BR88" s="1" t="str">
        <f t="shared" si="34"/>
        <v>Fio Dental</v>
      </c>
      <c r="BS88" s="1">
        <f>higiene[[#This Row],[Quantidade]]</f>
        <v>26</v>
      </c>
      <c r="BT88" s="1">
        <f>tab_higiene[[#This Row],[Qtde (tot)]]</f>
        <v>0</v>
      </c>
      <c r="BU88" s="1">
        <f t="shared" si="37"/>
        <v>0</v>
      </c>
      <c r="BW88" s="1">
        <f t="shared" si="35"/>
        <v>0</v>
      </c>
    </row>
    <row r="89" spans="9:75" x14ac:dyDescent="0.25">
      <c r="I89" s="19" t="str">
        <f>alimentos[[#This Row],[Item]]</f>
        <v>Biscoito Doce (375g)</v>
      </c>
      <c r="J89" s="4">
        <f>IFERROR(alimentos[[#This Row],[kg/embalagem]],0)</f>
        <v>0.375</v>
      </c>
      <c r="K89" s="4">
        <f>IFERROR(alimentos[[#This Row],[Preço]],0)</f>
        <v>4.67</v>
      </c>
      <c r="L89" s="4">
        <f>SUMIFS(super1[Qtde],super1[Item],tab_alimentos[[#This Row],[Item]],super1[Bairro],mercado1)+SUMIFS(supercb[Qtde],supercb[Item],tab_alimentos[[#This Row],[Item]],supercb[Bairro],mercado1)</f>
        <v>0</v>
      </c>
      <c r="M89" s="4">
        <f>SUMIFS(super1[Qtde],super1[Item],tab_alimentos[[#This Row],[Item]],super1[Bairro],mercado2)+SUMIFS(supercb[Qtde],supercb[Item],tab_alimentos[[#This Row],[Item]],supercb[Bairro],mercado2)</f>
        <v>0</v>
      </c>
      <c r="N89" s="4">
        <f>SUMIFS(super1[Qtde],super1[Item],tab_alimentos[[#This Row],[Item]],super1[Bairro],mercado3)+SUMIFS(supercb[Qtde],supercb[Item],tab_alimentos[[#This Row],[Item]],supercb[Bairro],mercado3)</f>
        <v>0</v>
      </c>
      <c r="O89" s="4">
        <f>SUMIFS(super1[Qtde],super1[Item],tab_alimentos[[#This Row],[Item]],super1[Bairro],mercado4)+SUMIFS(supercb[Qtde],supercb[Item],tab_alimentos[[#This Row],[Item]],supercb[Bairro],mercado4)</f>
        <v>0</v>
      </c>
      <c r="P89" s="4">
        <f>SUMIFS(super1[Qtde],super1[Item],tab_alimentos[[#This Row],[Item]],super1[Bairro],mercado5)+SUMIFS(supercb[Qtde],supercb[Item],tab_alimentos[[#This Row],[Item]],supercb[Bairro],mercado5)</f>
        <v>0</v>
      </c>
      <c r="Q89" s="4">
        <f>SUMIFS(super1[Qtde],super1[Item],tab_alimentos[[#This Row],[Item]],super1[Bairro],mercado6)+SUMIFS(supercb[Qtde],supercb[Item],tab_alimentos[[#This Row],[Item]],supercb[Bairro],mercado6)</f>
        <v>0</v>
      </c>
      <c r="R89" s="4">
        <f>SUMIFS(super1[Qtde],super1[Item],tab_alimentos[[#This Row],[Item]],super1[Bairro],mercado7)+SUMIFS(supercb[Qtde],supercb[Item],tab_alimentos[[#This Row],[Item]],supercb[Bairro],mercado7)</f>
        <v>0</v>
      </c>
      <c r="S89" s="4">
        <f>SUMIFS(super1[Qtde],super1[Item],tab_alimentos[[#This Row],[Item]],super1[Bairro],mercado8)+SUMIFS(supercb[Qtde],supercb[Item],tab_alimentos[[#This Row],[Item]],supercb[Bairro],mercado8)</f>
        <v>0</v>
      </c>
      <c r="T89" s="4">
        <f>SUMIFS(super1[Qtde],super1[Item],tab_alimentos[[#This Row],[Item]],super1[Bairro],mercado9)+SUMIFS(supercb[Qtde],supercb[Item],tab_alimentos[[#This Row],[Item]],supercb[Bairro],mercado9)</f>
        <v>0</v>
      </c>
      <c r="U89" s="4">
        <f>SUMIFS(super1[Qtde],super1[Item],tab_alimentos[[#This Row],[Item]],super1[Bairro],mercado10)+SUMIFS(supercb[Qtde],supercb[Item],tab_alimentos[[#This Row],[Item]],supercb[Bairro],mercado10)</f>
        <v>0</v>
      </c>
      <c r="V89" s="4">
        <f>SUMIFS(super1[Qtde],super1[Item],tab_alimentos[[#This Row],[Item]],super1[Bairro],mercado11)+SUMIFS(supercb[Qtde],supercb[Item],tab_alimentos[[#This Row],[Item]],supercb[Bairro],mercado11)</f>
        <v>0</v>
      </c>
      <c r="W89" s="4">
        <f>SUMIFS(super1[Qtde],super1[Item],tab_alimentos[[#This Row],[Item]],super1[Bairro],mercado12)+SUMIFS(supercb[Qtde],supercb[Item],tab_alimentos[[#This Row],[Item]],supercb[Bairro],mercado12)</f>
        <v>0</v>
      </c>
      <c r="X89" s="4">
        <f>SUMIFS(super1[Qtde],super1[Item],tab_alimentos[[#This Row],[Item]],super1[Bairro],mercado13)+SUMIFS(supercb[Qtde],supercb[Item],tab_alimentos[[#This Row],[Item]],supercb[Bairro],mercado13)</f>
        <v>0</v>
      </c>
      <c r="Y89" s="4">
        <f>SUMIFS(super1[Qtde],super1[Item],tab_alimentos[[#This Row],[Item]],super1[Bairro],mercado14)+SUMIFS(supercb[Qtde],supercb[Item],tab_alimentos[[#This Row],[Item]],supercb[Bairro],mercado14)</f>
        <v>0</v>
      </c>
      <c r="Z89" s="4">
        <f>SUMIFS(super1[Qtde],super1[Item],tab_alimentos[[#This Row],[Item]],super1[Bairro],mercado15)+SUMIFS(supercb[Qtde],supercb[Item],tab_alimentos[[#This Row],[Item]],supercb[Bairro],mercado15)</f>
        <v>0</v>
      </c>
      <c r="AA89" s="4">
        <f>SUMIFS(super1[Qtde],super1[Item],tab_alimentos[[#This Row],[Item]],super1[Bairro],mercado16)+SUMIFS(supercb[Qtde],supercb[Item],tab_alimentos[[#This Row],[Item]],supercb[Bairro],mercado16)</f>
        <v>0</v>
      </c>
      <c r="AB89" s="4">
        <f>SUMIFS(super1[Qtde],super1[Item],tab_alimentos[[#This Row],[Item]],super1[Bairro],mercado17)+SUMIFS(supercb[Qtde],supercb[Item],tab_alimentos[[#This Row],[Item]],supercb[Bairro],mercado17)</f>
        <v>0</v>
      </c>
      <c r="AC89" s="4">
        <f>SUMIFS(super1[Qtde],super1[Item],tab_alimentos[[#This Row],[Item]],super1[Bairro],mercado18)+SUMIFS(supercb[Qtde],supercb[Item],tab_alimentos[[#This Row],[Item]],supercb[Bairro],mercado18)</f>
        <v>0</v>
      </c>
      <c r="AD89" s="4">
        <f>SUMIFS(super1[Qtde],super1[Item],tab_alimentos[[#This Row],[Item]],super1[Bairro],extras)+SUMIFS(supercb[Qtde],supercb[Item],tab_alimentos[[#This Row],[Item]],supercb[Bairro],extras)</f>
        <v>0</v>
      </c>
      <c r="AE89" s="4">
        <f t="shared" si="27"/>
        <v>0</v>
      </c>
      <c r="AF89" s="4">
        <f t="shared" si="28"/>
        <v>0</v>
      </c>
      <c r="AG89" s="6">
        <f t="shared" si="29"/>
        <v>0</v>
      </c>
      <c r="AH89" s="19" t="str">
        <f>higiene[[#This Row],[Item]]</f>
        <v>Fósforo (200un)</v>
      </c>
      <c r="AI89" s="4">
        <f>IFERROR(higiene[[#This Row],[Kg equivalente]],0)</f>
        <v>0</v>
      </c>
      <c r="AJ89" s="4">
        <f>IFERROR(higiene[[#This Row],[Preço por produto]],0)</f>
        <v>4.6500000000000004</v>
      </c>
      <c r="AK89" s="4">
        <f>SUMIFS(super1[Qtde],super1[Item],tab_higiene[[#This Row],[Item]],super1[Bairro],mercado1)+SUMIFS(supercb[Qtde],supercb[Item],tab_higiene[[#This Row],[Item]],supercb[Bairro],mercado1)</f>
        <v>0</v>
      </c>
      <c r="AL89" s="4">
        <f>SUMIFS(super1[Qtde],super1[Item],tab_higiene[[#This Row],[Item]],super1[Bairro],mercado2)+SUMIFS(supercb[Qtde],supercb[Item],tab_higiene[[#This Row],[Item]],supercb[Bairro],mercado2)</f>
        <v>0</v>
      </c>
      <c r="AM89" s="4">
        <f>SUMIFS(super1[Qtde],super1[Item],tab_higiene[[#This Row],[Item]],super1[Bairro],mercado3)+SUMIFS(supercb[Qtde],supercb[Item],tab_higiene[[#This Row],[Item]],supercb[Bairro],mercado3)</f>
        <v>0</v>
      </c>
      <c r="AN89" s="4">
        <f>SUMIFS(super1[Qtde],super1[Item],tab_higiene[[#This Row],[Item]],super1[Bairro],mercado4)+SUMIFS(supercb[Qtde],supercb[Item],tab_higiene[[#This Row],[Item]],supercb[Bairro],mercado4)</f>
        <v>0</v>
      </c>
      <c r="AO89" s="4">
        <f>SUMIFS(super1[Qtde],super1[Item],tab_higiene[[#This Row],[Item]],super1[Bairro],mercado5)+SUMIFS(supercb[Qtde],supercb[Item],tab_higiene[[#This Row],[Item]],supercb[Bairro],mercado5)</f>
        <v>0</v>
      </c>
      <c r="AP89" s="4">
        <f>SUMIFS(super1[Qtde],super1[Item],tab_higiene[[#This Row],[Item]],super1[Bairro],mercado6)+SUMIFS(supercb[Qtde],supercb[Item],tab_higiene[[#This Row],[Item]],supercb[Bairro],mercado6)</f>
        <v>0</v>
      </c>
      <c r="AQ89" s="4">
        <f>SUMIFS(super1[Qtde],super1[Item],tab_higiene[[#This Row],[Item]],super1[Bairro],mercado7)+SUMIFS(supercb[Qtde],supercb[Item],tab_higiene[[#This Row],[Item]],supercb[Bairro],mercado7)</f>
        <v>0</v>
      </c>
      <c r="AR89" s="4">
        <f>SUMIFS(super1[Qtde],super1[Item],tab_higiene[[#This Row],[Item]],super1[Bairro],mercado8)+SUMIFS(supercb[Qtde],supercb[Item],tab_higiene[[#This Row],[Item]],supercb[Bairro],mercado8)</f>
        <v>0</v>
      </c>
      <c r="AS89" s="4">
        <f>SUMIFS(super1[Qtde],super1[Item],tab_higiene[[#This Row],[Item]],super1[Bairro],mercado9)+SUMIFS(supercb[Qtde],supercb[Item],tab_higiene[[#This Row],[Item]],supercb[Bairro],mercado9)</f>
        <v>0</v>
      </c>
      <c r="AT89" s="4">
        <f>SUMIFS(super1[Qtde],super1[Item],tab_higiene[[#This Row],[Item]],super1[Bairro],mercado10)+SUMIFS(supercb[Qtde],supercb[Item],tab_higiene[[#This Row],[Item]],supercb[Bairro],mercado10)</f>
        <v>0</v>
      </c>
      <c r="AU89" s="4">
        <f>SUMIFS(super1[Qtde],super1[Item],tab_higiene[[#This Row],[Item]],super1[Bairro],mercado11)+SUMIFS(supercb[Qtde],supercb[Item],tab_higiene[[#This Row],[Item]],supercb[Bairro],mercado11)</f>
        <v>0</v>
      </c>
      <c r="AV89" s="4">
        <f>SUMIFS(super1[Qtde],super1[Item],tab_higiene[[#This Row],[Item]],super1[Bairro],mercado12)+SUMIFS(supercb[Qtde],supercb[Item],tab_higiene[[#This Row],[Item]],supercb[Bairro],mercado12)</f>
        <v>0</v>
      </c>
      <c r="AW89" s="4">
        <f>SUMIFS(super1[Qtde],super1[Item],tab_higiene[[#This Row],[Item]],super1[Bairro],mercado13)+SUMIFS(supercb[Qtde],supercb[Item],tab_higiene[[#This Row],[Item]],supercb[Bairro],mercado13)</f>
        <v>0</v>
      </c>
      <c r="AX89" s="4">
        <f>SUMIFS(super1[Qtde],super1[Item],tab_higiene[[#This Row],[Item]],super1[Bairro],mercado14)+SUMIFS(supercb[Qtde],supercb[Item],tab_higiene[[#This Row],[Item]],supercb[Bairro],mercado14)</f>
        <v>0</v>
      </c>
      <c r="AY89" s="4">
        <f>SUMIFS(super1[Qtde],super1[Item],tab_higiene[[#This Row],[Item]],super1[Bairro],mercado15)+SUMIFS(supercb[Qtde],supercb[Item],tab_higiene[[#This Row],[Item]],supercb[Bairro],mercado15)</f>
        <v>0</v>
      </c>
      <c r="AZ89" s="4">
        <f>SUMIFS(super1[Qtde],super1[Item],tab_higiene[[#This Row],[Item]],super1[Bairro],mercado16)+SUMIFS(supercb[Qtde],supercb[Item],tab_higiene[[#This Row],[Item]],supercb[Bairro],mercado16)</f>
        <v>0</v>
      </c>
      <c r="BA89" s="4">
        <f>SUMIFS(super1[Qtde],super1[Item],tab_higiene[[#This Row],[Item]],super1[Bairro],mercado17)+SUMIFS(supercb[Qtde],supercb[Item],tab_higiene[[#This Row],[Item]],supercb[Bairro],mercado17)</f>
        <v>0</v>
      </c>
      <c r="BB89" s="4">
        <f>SUMIFS(super1[Qtde],super1[Item],tab_higiene[[#This Row],[Item]],super1[Bairro],mercado18)+SUMIFS(supercb[Qtde],supercb[Item],tab_higiene[[#This Row],[Item]],supercb[Bairro],mercado18)</f>
        <v>0</v>
      </c>
      <c r="BC89" s="4">
        <f>SUMIFS(super1[Qtde],super1[Item],tab_higiene[[#This Row],[Item]],super1[Bairro],extras)+SUMIFS(supercb[Qtde],supercb[Item],tab_higiene[[#This Row],[Item]],supercb[Bairro],extras)</f>
        <v>0</v>
      </c>
      <c r="BD89" s="4">
        <f t="shared" si="30"/>
        <v>0</v>
      </c>
      <c r="BE89" s="4">
        <f t="shared" si="31"/>
        <v>0</v>
      </c>
      <c r="BF89" s="6">
        <f t="shared" si="32"/>
        <v>0</v>
      </c>
      <c r="BI89" s="1" t="str">
        <f>tab_alimentos[[#This Row],[Item]]</f>
        <v>Biscoito Doce (375g)</v>
      </c>
      <c r="BJ89" s="1">
        <f t="shared" si="25"/>
        <v>14</v>
      </c>
      <c r="BK89" s="1" t="str">
        <f t="shared" si="26"/>
        <v>Biscoito Doce</v>
      </c>
      <c r="BL89" s="1">
        <f>tab_alimentos[[#This Row],[kg]]</f>
        <v>0</v>
      </c>
      <c r="BM89" t="s">
        <v>227</v>
      </c>
      <c r="BN89" s="1">
        <f t="shared" si="36"/>
        <v>0</v>
      </c>
      <c r="BP89" s="1" t="str">
        <f>tab_higiene[[#This Row],[Item]]</f>
        <v>Fósforo (200un)</v>
      </c>
      <c r="BQ89" s="1">
        <f t="shared" si="33"/>
        <v>8</v>
      </c>
      <c r="BR89" s="1" t="str">
        <f t="shared" si="34"/>
        <v>Fósforo</v>
      </c>
      <c r="BS89" s="1">
        <f>higiene[[#This Row],[Quantidade]]</f>
        <v>34</v>
      </c>
      <c r="BT89" s="1">
        <f>tab_higiene[[#This Row],[Qtde (tot)]]</f>
        <v>0</v>
      </c>
      <c r="BU89" s="1">
        <f t="shared" si="37"/>
        <v>0</v>
      </c>
      <c r="BW89" s="1">
        <f t="shared" si="35"/>
        <v>0</v>
      </c>
    </row>
    <row r="90" spans="9:75" x14ac:dyDescent="0.25">
      <c r="I90" s="19" t="str">
        <f>alimentos[[#This Row],[Item]]</f>
        <v>Biscoito Doce (400g)</v>
      </c>
      <c r="J90" s="4">
        <f>IFERROR(alimentos[[#This Row],[kg/embalagem]],0)</f>
        <v>0.4</v>
      </c>
      <c r="K90" s="4">
        <f>IFERROR(alimentos[[#This Row],[Preço]],0)</f>
        <v>7.99</v>
      </c>
      <c r="L90" s="4">
        <f>SUMIFS(super1[Qtde],super1[Item],tab_alimentos[[#This Row],[Item]],super1[Bairro],mercado1)+SUMIFS(supercb[Qtde],supercb[Item],tab_alimentos[[#This Row],[Item]],supercb[Bairro],mercado1)</f>
        <v>0</v>
      </c>
      <c r="M90" s="4">
        <f>SUMIFS(super1[Qtde],super1[Item],tab_alimentos[[#This Row],[Item]],super1[Bairro],mercado2)+SUMIFS(supercb[Qtde],supercb[Item],tab_alimentos[[#This Row],[Item]],supercb[Bairro],mercado2)</f>
        <v>0</v>
      </c>
      <c r="N90" s="4">
        <f>SUMIFS(super1[Qtde],super1[Item],tab_alimentos[[#This Row],[Item]],super1[Bairro],mercado3)+SUMIFS(supercb[Qtde],supercb[Item],tab_alimentos[[#This Row],[Item]],supercb[Bairro],mercado3)</f>
        <v>0</v>
      </c>
      <c r="O90" s="4">
        <f>SUMIFS(super1[Qtde],super1[Item],tab_alimentos[[#This Row],[Item]],super1[Bairro],mercado4)+SUMIFS(supercb[Qtde],supercb[Item],tab_alimentos[[#This Row],[Item]],supercb[Bairro],mercado4)</f>
        <v>0</v>
      </c>
      <c r="P90" s="4">
        <f>SUMIFS(super1[Qtde],super1[Item],tab_alimentos[[#This Row],[Item]],super1[Bairro],mercado5)+SUMIFS(supercb[Qtde],supercb[Item],tab_alimentos[[#This Row],[Item]],supercb[Bairro],mercado5)</f>
        <v>0</v>
      </c>
      <c r="Q90" s="4">
        <f>SUMIFS(super1[Qtde],super1[Item],tab_alimentos[[#This Row],[Item]],super1[Bairro],mercado6)+SUMIFS(supercb[Qtde],supercb[Item],tab_alimentos[[#This Row],[Item]],supercb[Bairro],mercado6)</f>
        <v>0</v>
      </c>
      <c r="R90" s="4">
        <f>SUMIFS(super1[Qtde],super1[Item],tab_alimentos[[#This Row],[Item]],super1[Bairro],mercado7)+SUMIFS(supercb[Qtde],supercb[Item],tab_alimentos[[#This Row],[Item]],supercb[Bairro],mercado7)</f>
        <v>0</v>
      </c>
      <c r="S90" s="4">
        <f>SUMIFS(super1[Qtde],super1[Item],tab_alimentos[[#This Row],[Item]],super1[Bairro],mercado8)+SUMIFS(supercb[Qtde],supercb[Item],tab_alimentos[[#This Row],[Item]],supercb[Bairro],mercado8)</f>
        <v>0</v>
      </c>
      <c r="T90" s="4">
        <f>SUMIFS(super1[Qtde],super1[Item],tab_alimentos[[#This Row],[Item]],super1[Bairro],mercado9)+SUMIFS(supercb[Qtde],supercb[Item],tab_alimentos[[#This Row],[Item]],supercb[Bairro],mercado9)</f>
        <v>0</v>
      </c>
      <c r="U90" s="4">
        <f>SUMIFS(super1[Qtde],super1[Item],tab_alimentos[[#This Row],[Item]],super1[Bairro],mercado10)+SUMIFS(supercb[Qtde],supercb[Item],tab_alimentos[[#This Row],[Item]],supercb[Bairro],mercado10)</f>
        <v>0</v>
      </c>
      <c r="V90" s="4">
        <f>SUMIFS(super1[Qtde],super1[Item],tab_alimentos[[#This Row],[Item]],super1[Bairro],mercado11)+SUMIFS(supercb[Qtde],supercb[Item],tab_alimentos[[#This Row],[Item]],supercb[Bairro],mercado11)</f>
        <v>0</v>
      </c>
      <c r="W90" s="4">
        <f>SUMIFS(super1[Qtde],super1[Item],tab_alimentos[[#This Row],[Item]],super1[Bairro],mercado12)+SUMIFS(supercb[Qtde],supercb[Item],tab_alimentos[[#This Row],[Item]],supercb[Bairro],mercado12)</f>
        <v>0</v>
      </c>
      <c r="X90" s="4">
        <f>SUMIFS(super1[Qtde],super1[Item],tab_alimentos[[#This Row],[Item]],super1[Bairro],mercado13)+SUMIFS(supercb[Qtde],supercb[Item],tab_alimentos[[#This Row],[Item]],supercb[Bairro],mercado13)</f>
        <v>0</v>
      </c>
      <c r="Y90" s="4">
        <f>SUMIFS(super1[Qtde],super1[Item],tab_alimentos[[#This Row],[Item]],super1[Bairro],mercado14)+SUMIFS(supercb[Qtde],supercb[Item],tab_alimentos[[#This Row],[Item]],supercb[Bairro],mercado14)</f>
        <v>0</v>
      </c>
      <c r="Z90" s="4">
        <f>SUMIFS(super1[Qtde],super1[Item],tab_alimentos[[#This Row],[Item]],super1[Bairro],mercado15)+SUMIFS(supercb[Qtde],supercb[Item],tab_alimentos[[#This Row],[Item]],supercb[Bairro],mercado15)</f>
        <v>0</v>
      </c>
      <c r="AA90" s="4">
        <f>SUMIFS(super1[Qtde],super1[Item],tab_alimentos[[#This Row],[Item]],super1[Bairro],mercado16)+SUMIFS(supercb[Qtde],supercb[Item],tab_alimentos[[#This Row],[Item]],supercb[Bairro],mercado16)</f>
        <v>0</v>
      </c>
      <c r="AB90" s="4">
        <f>SUMIFS(super1[Qtde],super1[Item],tab_alimentos[[#This Row],[Item]],super1[Bairro],mercado17)+SUMIFS(supercb[Qtde],supercb[Item],tab_alimentos[[#This Row],[Item]],supercb[Bairro],mercado17)</f>
        <v>0</v>
      </c>
      <c r="AC90" s="4">
        <f>SUMIFS(super1[Qtde],super1[Item],tab_alimentos[[#This Row],[Item]],super1[Bairro],mercado18)+SUMIFS(supercb[Qtde],supercb[Item],tab_alimentos[[#This Row],[Item]],supercb[Bairro],mercado18)</f>
        <v>0</v>
      </c>
      <c r="AD90" s="4">
        <f>SUMIFS(super1[Qtde],super1[Item],tab_alimentos[[#This Row],[Item]],super1[Bairro],extras)+SUMIFS(supercb[Qtde],supercb[Item],tab_alimentos[[#This Row],[Item]],supercb[Bairro],extras)</f>
        <v>0</v>
      </c>
      <c r="AE90" s="4">
        <f t="shared" si="27"/>
        <v>0</v>
      </c>
      <c r="AF90" s="4">
        <f t="shared" si="28"/>
        <v>0</v>
      </c>
      <c r="AG90" s="6">
        <f t="shared" si="29"/>
        <v>0</v>
      </c>
      <c r="AH90" s="19" t="str">
        <f>higiene[[#This Row],[Item]]</f>
        <v>Fósforo (40un)</v>
      </c>
      <c r="AI90" s="4">
        <f>IFERROR(higiene[[#This Row],[Kg equivalente]],0)</f>
        <v>0</v>
      </c>
      <c r="AJ90" s="4">
        <f>IFERROR(higiene[[#This Row],[Preço por produto]],0)</f>
        <v>5.5</v>
      </c>
      <c r="AK90" s="4">
        <f>SUMIFS(super1[Qtde],super1[Item],tab_higiene[[#This Row],[Item]],super1[Bairro],mercado1)+SUMIFS(supercb[Qtde],supercb[Item],tab_higiene[[#This Row],[Item]],supercb[Bairro],mercado1)</f>
        <v>0</v>
      </c>
      <c r="AL90" s="4">
        <f>SUMIFS(super1[Qtde],super1[Item],tab_higiene[[#This Row],[Item]],super1[Bairro],mercado2)+SUMIFS(supercb[Qtde],supercb[Item],tab_higiene[[#This Row],[Item]],supercb[Bairro],mercado2)</f>
        <v>0</v>
      </c>
      <c r="AM90" s="4">
        <f>SUMIFS(super1[Qtde],super1[Item],tab_higiene[[#This Row],[Item]],super1[Bairro],mercado3)+SUMIFS(supercb[Qtde],supercb[Item],tab_higiene[[#This Row],[Item]],supercb[Bairro],mercado3)</f>
        <v>0</v>
      </c>
      <c r="AN90" s="4">
        <f>SUMIFS(super1[Qtde],super1[Item],tab_higiene[[#This Row],[Item]],super1[Bairro],mercado4)+SUMIFS(supercb[Qtde],supercb[Item],tab_higiene[[#This Row],[Item]],supercb[Bairro],mercado4)</f>
        <v>0</v>
      </c>
      <c r="AO90" s="4">
        <f>SUMIFS(super1[Qtde],super1[Item],tab_higiene[[#This Row],[Item]],super1[Bairro],mercado5)+SUMIFS(supercb[Qtde],supercb[Item],tab_higiene[[#This Row],[Item]],supercb[Bairro],mercado5)</f>
        <v>0</v>
      </c>
      <c r="AP90" s="4">
        <f>SUMIFS(super1[Qtde],super1[Item],tab_higiene[[#This Row],[Item]],super1[Bairro],mercado6)+SUMIFS(supercb[Qtde],supercb[Item],tab_higiene[[#This Row],[Item]],supercb[Bairro],mercado6)</f>
        <v>0</v>
      </c>
      <c r="AQ90" s="4">
        <f>SUMIFS(super1[Qtde],super1[Item],tab_higiene[[#This Row],[Item]],super1[Bairro],mercado7)+SUMIFS(supercb[Qtde],supercb[Item],tab_higiene[[#This Row],[Item]],supercb[Bairro],mercado7)</f>
        <v>0</v>
      </c>
      <c r="AR90" s="4">
        <f>SUMIFS(super1[Qtde],super1[Item],tab_higiene[[#This Row],[Item]],super1[Bairro],mercado8)+SUMIFS(supercb[Qtde],supercb[Item],tab_higiene[[#This Row],[Item]],supercb[Bairro],mercado8)</f>
        <v>0</v>
      </c>
      <c r="AS90" s="4">
        <f>SUMIFS(super1[Qtde],super1[Item],tab_higiene[[#This Row],[Item]],super1[Bairro],mercado9)+SUMIFS(supercb[Qtde],supercb[Item],tab_higiene[[#This Row],[Item]],supercb[Bairro],mercado9)</f>
        <v>0</v>
      </c>
      <c r="AT90" s="4">
        <f>SUMIFS(super1[Qtde],super1[Item],tab_higiene[[#This Row],[Item]],super1[Bairro],mercado10)+SUMIFS(supercb[Qtde],supercb[Item],tab_higiene[[#This Row],[Item]],supercb[Bairro],mercado10)</f>
        <v>0</v>
      </c>
      <c r="AU90" s="4">
        <f>SUMIFS(super1[Qtde],super1[Item],tab_higiene[[#This Row],[Item]],super1[Bairro],mercado11)+SUMIFS(supercb[Qtde],supercb[Item],tab_higiene[[#This Row],[Item]],supercb[Bairro],mercado11)</f>
        <v>0</v>
      </c>
      <c r="AV90" s="4">
        <f>SUMIFS(super1[Qtde],super1[Item],tab_higiene[[#This Row],[Item]],super1[Bairro],mercado12)+SUMIFS(supercb[Qtde],supercb[Item],tab_higiene[[#This Row],[Item]],supercb[Bairro],mercado12)</f>
        <v>0</v>
      </c>
      <c r="AW90" s="4">
        <f>SUMIFS(super1[Qtde],super1[Item],tab_higiene[[#This Row],[Item]],super1[Bairro],mercado13)+SUMIFS(supercb[Qtde],supercb[Item],tab_higiene[[#This Row],[Item]],supercb[Bairro],mercado13)</f>
        <v>0</v>
      </c>
      <c r="AX90" s="4">
        <f>SUMIFS(super1[Qtde],super1[Item],tab_higiene[[#This Row],[Item]],super1[Bairro],mercado14)+SUMIFS(supercb[Qtde],supercb[Item],tab_higiene[[#This Row],[Item]],supercb[Bairro],mercado14)</f>
        <v>0</v>
      </c>
      <c r="AY90" s="4">
        <f>SUMIFS(super1[Qtde],super1[Item],tab_higiene[[#This Row],[Item]],super1[Bairro],mercado15)+SUMIFS(supercb[Qtde],supercb[Item],tab_higiene[[#This Row],[Item]],supercb[Bairro],mercado15)</f>
        <v>0</v>
      </c>
      <c r="AZ90" s="4">
        <f>SUMIFS(super1[Qtde],super1[Item],tab_higiene[[#This Row],[Item]],super1[Bairro],mercado16)+SUMIFS(supercb[Qtde],supercb[Item],tab_higiene[[#This Row],[Item]],supercb[Bairro],mercado16)</f>
        <v>0</v>
      </c>
      <c r="BA90" s="4">
        <f>SUMIFS(super1[Qtde],super1[Item],tab_higiene[[#This Row],[Item]],super1[Bairro],mercado17)+SUMIFS(supercb[Qtde],supercb[Item],tab_higiene[[#This Row],[Item]],supercb[Bairro],mercado17)</f>
        <v>0</v>
      </c>
      <c r="BB90" s="4">
        <f>SUMIFS(super1[Qtde],super1[Item],tab_higiene[[#This Row],[Item]],super1[Bairro],mercado18)+SUMIFS(supercb[Qtde],supercb[Item],tab_higiene[[#This Row],[Item]],supercb[Bairro],mercado18)</f>
        <v>0</v>
      </c>
      <c r="BC90" s="4">
        <f>SUMIFS(super1[Qtde],super1[Item],tab_higiene[[#This Row],[Item]],super1[Bairro],extras)+SUMIFS(supercb[Qtde],supercb[Item],tab_higiene[[#This Row],[Item]],supercb[Bairro],extras)</f>
        <v>0</v>
      </c>
      <c r="BD90" s="4">
        <f t="shared" si="30"/>
        <v>0</v>
      </c>
      <c r="BE90" s="4">
        <f t="shared" si="31"/>
        <v>0</v>
      </c>
      <c r="BF90" s="6">
        <f t="shared" si="32"/>
        <v>0</v>
      </c>
      <c r="BI90" s="1" t="str">
        <f>tab_alimentos[[#This Row],[Item]]</f>
        <v>Biscoito Doce (400g)</v>
      </c>
      <c r="BJ90" s="1">
        <f t="shared" si="25"/>
        <v>14</v>
      </c>
      <c r="BK90" s="1" t="str">
        <f t="shared" si="26"/>
        <v>Biscoito Doce</v>
      </c>
      <c r="BL90" s="1">
        <f>tab_alimentos[[#This Row],[kg]]</f>
        <v>0</v>
      </c>
      <c r="BM90">
        <v>0</v>
      </c>
      <c r="BN90" s="1">
        <f t="shared" si="36"/>
        <v>0</v>
      </c>
      <c r="BP90" s="1" t="str">
        <f>tab_higiene[[#This Row],[Item]]</f>
        <v>Fósforo (40un)</v>
      </c>
      <c r="BQ90" s="1">
        <f t="shared" si="33"/>
        <v>8</v>
      </c>
      <c r="BR90" s="1" t="str">
        <f t="shared" si="34"/>
        <v>Fósforo</v>
      </c>
      <c r="BS90" s="1">
        <f>higiene[[#This Row],[Quantidade]]</f>
        <v>40</v>
      </c>
      <c r="BT90" s="1">
        <f>tab_higiene[[#This Row],[Qtde (tot)]]</f>
        <v>0</v>
      </c>
      <c r="BU90" s="1">
        <f t="shared" si="37"/>
        <v>0</v>
      </c>
      <c r="BW90" s="1">
        <f t="shared" si="35"/>
        <v>0</v>
      </c>
    </row>
    <row r="91" spans="9:75" x14ac:dyDescent="0.25">
      <c r="I91" s="19" t="str">
        <f>alimentos[[#This Row],[Item]]</f>
        <v>Biscoito Doce (500g)</v>
      </c>
      <c r="J91" s="4">
        <f>IFERROR(alimentos[[#This Row],[kg/embalagem]],0)</f>
        <v>0.5</v>
      </c>
      <c r="K91" s="4">
        <f>IFERROR(alimentos[[#This Row],[Preço]],0)</f>
        <v>8.99</v>
      </c>
      <c r="L91" s="4">
        <f>SUMIFS(super1[Qtde],super1[Item],tab_alimentos[[#This Row],[Item]],super1[Bairro],mercado1)+SUMIFS(supercb[Qtde],supercb[Item],tab_alimentos[[#This Row],[Item]],supercb[Bairro],mercado1)</f>
        <v>0</v>
      </c>
      <c r="M91" s="4">
        <f>SUMIFS(super1[Qtde],super1[Item],tab_alimentos[[#This Row],[Item]],super1[Bairro],mercado2)+SUMIFS(supercb[Qtde],supercb[Item],tab_alimentos[[#This Row],[Item]],supercb[Bairro],mercado2)</f>
        <v>0</v>
      </c>
      <c r="N91" s="4">
        <f>SUMIFS(super1[Qtde],super1[Item],tab_alimentos[[#This Row],[Item]],super1[Bairro],mercado3)+SUMIFS(supercb[Qtde],supercb[Item],tab_alimentos[[#This Row],[Item]],supercb[Bairro],mercado3)</f>
        <v>0</v>
      </c>
      <c r="O91" s="4">
        <f>SUMIFS(super1[Qtde],super1[Item],tab_alimentos[[#This Row],[Item]],super1[Bairro],mercado4)+SUMIFS(supercb[Qtde],supercb[Item],tab_alimentos[[#This Row],[Item]],supercb[Bairro],mercado4)</f>
        <v>0</v>
      </c>
      <c r="P91" s="4">
        <f>SUMIFS(super1[Qtde],super1[Item],tab_alimentos[[#This Row],[Item]],super1[Bairro],mercado5)+SUMIFS(supercb[Qtde],supercb[Item],tab_alimentos[[#This Row],[Item]],supercb[Bairro],mercado5)</f>
        <v>0</v>
      </c>
      <c r="Q91" s="4">
        <f>SUMIFS(super1[Qtde],super1[Item],tab_alimentos[[#This Row],[Item]],super1[Bairro],mercado6)+SUMIFS(supercb[Qtde],supercb[Item],tab_alimentos[[#This Row],[Item]],supercb[Bairro],mercado6)</f>
        <v>0</v>
      </c>
      <c r="R91" s="4">
        <f>SUMIFS(super1[Qtde],super1[Item],tab_alimentos[[#This Row],[Item]],super1[Bairro],mercado7)+SUMIFS(supercb[Qtde],supercb[Item],tab_alimentos[[#This Row],[Item]],supercb[Bairro],mercado7)</f>
        <v>0</v>
      </c>
      <c r="S91" s="4">
        <f>SUMIFS(super1[Qtde],super1[Item],tab_alimentos[[#This Row],[Item]],super1[Bairro],mercado8)+SUMIFS(supercb[Qtde],supercb[Item],tab_alimentos[[#This Row],[Item]],supercb[Bairro],mercado8)</f>
        <v>0</v>
      </c>
      <c r="T91" s="4">
        <f>SUMIFS(super1[Qtde],super1[Item],tab_alimentos[[#This Row],[Item]],super1[Bairro],mercado9)+SUMIFS(supercb[Qtde],supercb[Item],tab_alimentos[[#This Row],[Item]],supercb[Bairro],mercado9)</f>
        <v>0</v>
      </c>
      <c r="U91" s="4">
        <f>SUMIFS(super1[Qtde],super1[Item],tab_alimentos[[#This Row],[Item]],super1[Bairro],mercado10)+SUMIFS(supercb[Qtde],supercb[Item],tab_alimentos[[#This Row],[Item]],supercb[Bairro],mercado10)</f>
        <v>0</v>
      </c>
      <c r="V91" s="4">
        <f>SUMIFS(super1[Qtde],super1[Item],tab_alimentos[[#This Row],[Item]],super1[Bairro],mercado11)+SUMIFS(supercb[Qtde],supercb[Item],tab_alimentos[[#This Row],[Item]],supercb[Bairro],mercado11)</f>
        <v>0</v>
      </c>
      <c r="W91" s="4">
        <f>SUMIFS(super1[Qtde],super1[Item],tab_alimentos[[#This Row],[Item]],super1[Bairro],mercado12)+SUMIFS(supercb[Qtde],supercb[Item],tab_alimentos[[#This Row],[Item]],supercb[Bairro],mercado12)</f>
        <v>0</v>
      </c>
      <c r="X91" s="4">
        <f>SUMIFS(super1[Qtde],super1[Item],tab_alimentos[[#This Row],[Item]],super1[Bairro],mercado13)+SUMIFS(supercb[Qtde],supercb[Item],tab_alimentos[[#This Row],[Item]],supercb[Bairro],mercado13)</f>
        <v>0</v>
      </c>
      <c r="Y91" s="4">
        <f>SUMIFS(super1[Qtde],super1[Item],tab_alimentos[[#This Row],[Item]],super1[Bairro],mercado14)+SUMIFS(supercb[Qtde],supercb[Item],tab_alimentos[[#This Row],[Item]],supercb[Bairro],mercado14)</f>
        <v>0</v>
      </c>
      <c r="Z91" s="4">
        <f>SUMIFS(super1[Qtde],super1[Item],tab_alimentos[[#This Row],[Item]],super1[Bairro],mercado15)+SUMIFS(supercb[Qtde],supercb[Item],tab_alimentos[[#This Row],[Item]],supercb[Bairro],mercado15)</f>
        <v>0</v>
      </c>
      <c r="AA91" s="4">
        <f>SUMIFS(super1[Qtde],super1[Item],tab_alimentos[[#This Row],[Item]],super1[Bairro],mercado16)+SUMIFS(supercb[Qtde],supercb[Item],tab_alimentos[[#This Row],[Item]],supercb[Bairro],mercado16)</f>
        <v>0</v>
      </c>
      <c r="AB91" s="4">
        <f>SUMIFS(super1[Qtde],super1[Item],tab_alimentos[[#This Row],[Item]],super1[Bairro],mercado17)+SUMIFS(supercb[Qtde],supercb[Item],tab_alimentos[[#This Row],[Item]],supercb[Bairro],mercado17)</f>
        <v>0</v>
      </c>
      <c r="AC91" s="4">
        <f>SUMIFS(super1[Qtde],super1[Item],tab_alimentos[[#This Row],[Item]],super1[Bairro],mercado18)+SUMIFS(supercb[Qtde],supercb[Item],tab_alimentos[[#This Row],[Item]],supercb[Bairro],mercado18)</f>
        <v>0</v>
      </c>
      <c r="AD91" s="4">
        <f>SUMIFS(super1[Qtde],super1[Item],tab_alimentos[[#This Row],[Item]],super1[Bairro],extras)+SUMIFS(supercb[Qtde],supercb[Item],tab_alimentos[[#This Row],[Item]],supercb[Bairro],extras)</f>
        <v>0</v>
      </c>
      <c r="AE91" s="4">
        <f t="shared" si="27"/>
        <v>0</v>
      </c>
      <c r="AF91" s="4">
        <f t="shared" si="28"/>
        <v>0</v>
      </c>
      <c r="AG91" s="6">
        <f t="shared" si="29"/>
        <v>0</v>
      </c>
      <c r="AH91" s="19" t="str">
        <f>higiene[[#This Row],[Item]]</f>
        <v>Fósforo (50un)</v>
      </c>
      <c r="AI91" s="4">
        <f>IFERROR(higiene[[#This Row],[Kg equivalente]],0)</f>
        <v>0</v>
      </c>
      <c r="AJ91" s="4">
        <f>IFERROR(higiene[[#This Row],[Preço por produto]],0)</f>
        <v>2.29</v>
      </c>
      <c r="AK91" s="4">
        <f>SUMIFS(super1[Qtde],super1[Item],tab_higiene[[#This Row],[Item]],super1[Bairro],mercado1)+SUMIFS(supercb[Qtde],supercb[Item],tab_higiene[[#This Row],[Item]],supercb[Bairro],mercado1)</f>
        <v>0</v>
      </c>
      <c r="AL91" s="4">
        <f>SUMIFS(super1[Qtde],super1[Item],tab_higiene[[#This Row],[Item]],super1[Bairro],mercado2)+SUMIFS(supercb[Qtde],supercb[Item],tab_higiene[[#This Row],[Item]],supercb[Bairro],mercado2)</f>
        <v>0</v>
      </c>
      <c r="AM91" s="4">
        <f>SUMIFS(super1[Qtde],super1[Item],tab_higiene[[#This Row],[Item]],super1[Bairro],mercado3)+SUMIFS(supercb[Qtde],supercb[Item],tab_higiene[[#This Row],[Item]],supercb[Bairro],mercado3)</f>
        <v>0</v>
      </c>
      <c r="AN91" s="4">
        <f>SUMIFS(super1[Qtde],super1[Item],tab_higiene[[#This Row],[Item]],super1[Bairro],mercado4)+SUMIFS(supercb[Qtde],supercb[Item],tab_higiene[[#This Row],[Item]],supercb[Bairro],mercado4)</f>
        <v>0</v>
      </c>
      <c r="AO91" s="4">
        <f>SUMIFS(super1[Qtde],super1[Item],tab_higiene[[#This Row],[Item]],super1[Bairro],mercado5)+SUMIFS(supercb[Qtde],supercb[Item],tab_higiene[[#This Row],[Item]],supercb[Bairro],mercado5)</f>
        <v>0</v>
      </c>
      <c r="AP91" s="4">
        <f>SUMIFS(super1[Qtde],super1[Item],tab_higiene[[#This Row],[Item]],super1[Bairro],mercado6)+SUMIFS(supercb[Qtde],supercb[Item],tab_higiene[[#This Row],[Item]],supercb[Bairro],mercado6)</f>
        <v>0</v>
      </c>
      <c r="AQ91" s="4">
        <f>SUMIFS(super1[Qtde],super1[Item],tab_higiene[[#This Row],[Item]],super1[Bairro],mercado7)+SUMIFS(supercb[Qtde],supercb[Item],tab_higiene[[#This Row],[Item]],supercb[Bairro],mercado7)</f>
        <v>0</v>
      </c>
      <c r="AR91" s="4">
        <f>SUMIFS(super1[Qtde],super1[Item],tab_higiene[[#This Row],[Item]],super1[Bairro],mercado8)+SUMIFS(supercb[Qtde],supercb[Item],tab_higiene[[#This Row],[Item]],supercb[Bairro],mercado8)</f>
        <v>0</v>
      </c>
      <c r="AS91" s="4">
        <f>SUMIFS(super1[Qtde],super1[Item],tab_higiene[[#This Row],[Item]],super1[Bairro],mercado9)+SUMIFS(supercb[Qtde],supercb[Item],tab_higiene[[#This Row],[Item]],supercb[Bairro],mercado9)</f>
        <v>0</v>
      </c>
      <c r="AT91" s="4">
        <f>SUMIFS(super1[Qtde],super1[Item],tab_higiene[[#This Row],[Item]],super1[Bairro],mercado10)+SUMIFS(supercb[Qtde],supercb[Item],tab_higiene[[#This Row],[Item]],supercb[Bairro],mercado10)</f>
        <v>0</v>
      </c>
      <c r="AU91" s="4">
        <f>SUMIFS(super1[Qtde],super1[Item],tab_higiene[[#This Row],[Item]],super1[Bairro],mercado11)+SUMIFS(supercb[Qtde],supercb[Item],tab_higiene[[#This Row],[Item]],supercb[Bairro],mercado11)</f>
        <v>0</v>
      </c>
      <c r="AV91" s="4">
        <f>SUMIFS(super1[Qtde],super1[Item],tab_higiene[[#This Row],[Item]],super1[Bairro],mercado12)+SUMIFS(supercb[Qtde],supercb[Item],tab_higiene[[#This Row],[Item]],supercb[Bairro],mercado12)</f>
        <v>0</v>
      </c>
      <c r="AW91" s="4">
        <f>SUMIFS(super1[Qtde],super1[Item],tab_higiene[[#This Row],[Item]],super1[Bairro],mercado13)+SUMIFS(supercb[Qtde],supercb[Item],tab_higiene[[#This Row],[Item]],supercb[Bairro],mercado13)</f>
        <v>0</v>
      </c>
      <c r="AX91" s="4">
        <f>SUMIFS(super1[Qtde],super1[Item],tab_higiene[[#This Row],[Item]],super1[Bairro],mercado14)+SUMIFS(supercb[Qtde],supercb[Item],tab_higiene[[#This Row],[Item]],supercb[Bairro],mercado14)</f>
        <v>0</v>
      </c>
      <c r="AY91" s="4">
        <f>SUMIFS(super1[Qtde],super1[Item],tab_higiene[[#This Row],[Item]],super1[Bairro],mercado15)+SUMIFS(supercb[Qtde],supercb[Item],tab_higiene[[#This Row],[Item]],supercb[Bairro],mercado15)</f>
        <v>0</v>
      </c>
      <c r="AZ91" s="4">
        <f>SUMIFS(super1[Qtde],super1[Item],tab_higiene[[#This Row],[Item]],super1[Bairro],mercado16)+SUMIFS(supercb[Qtde],supercb[Item],tab_higiene[[#This Row],[Item]],supercb[Bairro],mercado16)</f>
        <v>0</v>
      </c>
      <c r="BA91" s="4">
        <f>SUMIFS(super1[Qtde],super1[Item],tab_higiene[[#This Row],[Item]],super1[Bairro],mercado17)+SUMIFS(supercb[Qtde],supercb[Item],tab_higiene[[#This Row],[Item]],supercb[Bairro],mercado17)</f>
        <v>0</v>
      </c>
      <c r="BB91" s="4">
        <f>SUMIFS(super1[Qtde],super1[Item],tab_higiene[[#This Row],[Item]],super1[Bairro],mercado18)+SUMIFS(supercb[Qtde],supercb[Item],tab_higiene[[#This Row],[Item]],supercb[Bairro],mercado18)</f>
        <v>0</v>
      </c>
      <c r="BC91" s="4">
        <f>SUMIFS(super1[Qtde],super1[Item],tab_higiene[[#This Row],[Item]],super1[Bairro],extras)+SUMIFS(supercb[Qtde],supercb[Item],tab_higiene[[#This Row],[Item]],supercb[Bairro],extras)</f>
        <v>0</v>
      </c>
      <c r="BD91" s="4">
        <f t="shared" si="30"/>
        <v>0</v>
      </c>
      <c r="BE91" s="4">
        <f t="shared" si="31"/>
        <v>0</v>
      </c>
      <c r="BF91" s="6">
        <f t="shared" si="32"/>
        <v>0</v>
      </c>
      <c r="BI91" s="1" t="str">
        <f>tab_alimentos[[#This Row],[Item]]</f>
        <v>Biscoito Doce (500g)</v>
      </c>
      <c r="BJ91" s="1">
        <f t="shared" si="25"/>
        <v>14</v>
      </c>
      <c r="BK91" s="1" t="str">
        <f t="shared" si="26"/>
        <v>Biscoito Doce</v>
      </c>
      <c r="BL91" s="1">
        <f>tab_alimentos[[#This Row],[kg]]</f>
        <v>0</v>
      </c>
      <c r="BM91" t="e">
        <v>#VALUE!</v>
      </c>
      <c r="BN91" s="1">
        <f t="shared" si="36"/>
        <v>0</v>
      </c>
      <c r="BP91" s="1" t="str">
        <f>tab_higiene[[#This Row],[Item]]</f>
        <v>Fósforo (50un)</v>
      </c>
      <c r="BQ91" s="1">
        <f t="shared" si="33"/>
        <v>8</v>
      </c>
      <c r="BR91" s="1" t="str">
        <f t="shared" si="34"/>
        <v>Fósforo</v>
      </c>
      <c r="BS91" s="1">
        <f>higiene[[#This Row],[Quantidade]]</f>
        <v>46</v>
      </c>
      <c r="BT91" s="1">
        <f>tab_higiene[[#This Row],[Qtde (tot)]]</f>
        <v>0</v>
      </c>
      <c r="BU91" s="1">
        <f t="shared" si="37"/>
        <v>0</v>
      </c>
      <c r="BW91" s="1">
        <f t="shared" si="35"/>
        <v>0</v>
      </c>
    </row>
    <row r="92" spans="9:75" x14ac:dyDescent="0.25">
      <c r="I92" s="19" t="str">
        <f>alimentos[[#This Row],[Item]]</f>
        <v>Biscoito Doce (60g)</v>
      </c>
      <c r="J92" s="4">
        <f>IFERROR(alimentos[[#This Row],[kg/embalagem]],0)</f>
        <v>0.06</v>
      </c>
      <c r="K92" s="4">
        <f>IFERROR(alimentos[[#This Row],[Preço]],0)</f>
        <v>3.34</v>
      </c>
      <c r="L92" s="4">
        <f>SUMIFS(super1[Qtde],super1[Item],tab_alimentos[[#This Row],[Item]],super1[Bairro],mercado1)+SUMIFS(supercb[Qtde],supercb[Item],tab_alimentos[[#This Row],[Item]],supercb[Bairro],mercado1)</f>
        <v>0</v>
      </c>
      <c r="M92" s="4">
        <f>SUMIFS(super1[Qtde],super1[Item],tab_alimentos[[#This Row],[Item]],super1[Bairro],mercado2)+SUMIFS(supercb[Qtde],supercb[Item],tab_alimentos[[#This Row],[Item]],supercb[Bairro],mercado2)</f>
        <v>0</v>
      </c>
      <c r="N92" s="4">
        <f>SUMIFS(super1[Qtde],super1[Item],tab_alimentos[[#This Row],[Item]],super1[Bairro],mercado3)+SUMIFS(supercb[Qtde],supercb[Item],tab_alimentos[[#This Row],[Item]],supercb[Bairro],mercado3)</f>
        <v>0</v>
      </c>
      <c r="O92" s="4">
        <f>SUMIFS(super1[Qtde],super1[Item],tab_alimentos[[#This Row],[Item]],super1[Bairro],mercado4)+SUMIFS(supercb[Qtde],supercb[Item],tab_alimentos[[#This Row],[Item]],supercb[Bairro],mercado4)</f>
        <v>0</v>
      </c>
      <c r="P92" s="4">
        <f>SUMIFS(super1[Qtde],super1[Item],tab_alimentos[[#This Row],[Item]],super1[Bairro],mercado5)+SUMIFS(supercb[Qtde],supercb[Item],tab_alimentos[[#This Row],[Item]],supercb[Bairro],mercado5)</f>
        <v>0</v>
      </c>
      <c r="Q92" s="4">
        <f>SUMIFS(super1[Qtde],super1[Item],tab_alimentos[[#This Row],[Item]],super1[Bairro],mercado6)+SUMIFS(supercb[Qtde],supercb[Item],tab_alimentos[[#This Row],[Item]],supercb[Bairro],mercado6)</f>
        <v>0</v>
      </c>
      <c r="R92" s="4">
        <f>SUMIFS(super1[Qtde],super1[Item],tab_alimentos[[#This Row],[Item]],super1[Bairro],mercado7)+SUMIFS(supercb[Qtde],supercb[Item],tab_alimentos[[#This Row],[Item]],supercb[Bairro],mercado7)</f>
        <v>0</v>
      </c>
      <c r="S92" s="4">
        <f>SUMIFS(super1[Qtde],super1[Item],tab_alimentos[[#This Row],[Item]],super1[Bairro],mercado8)+SUMIFS(supercb[Qtde],supercb[Item],tab_alimentos[[#This Row],[Item]],supercb[Bairro],mercado8)</f>
        <v>0</v>
      </c>
      <c r="T92" s="4">
        <f>SUMIFS(super1[Qtde],super1[Item],tab_alimentos[[#This Row],[Item]],super1[Bairro],mercado9)+SUMIFS(supercb[Qtde],supercb[Item],tab_alimentos[[#This Row],[Item]],supercb[Bairro],mercado9)</f>
        <v>0</v>
      </c>
      <c r="U92" s="4">
        <f>SUMIFS(super1[Qtde],super1[Item],tab_alimentos[[#This Row],[Item]],super1[Bairro],mercado10)+SUMIFS(supercb[Qtde],supercb[Item],tab_alimentos[[#This Row],[Item]],supercb[Bairro],mercado10)</f>
        <v>0</v>
      </c>
      <c r="V92" s="4">
        <f>SUMIFS(super1[Qtde],super1[Item],tab_alimentos[[#This Row],[Item]],super1[Bairro],mercado11)+SUMIFS(supercb[Qtde],supercb[Item],tab_alimentos[[#This Row],[Item]],supercb[Bairro],mercado11)</f>
        <v>0</v>
      </c>
      <c r="W92" s="4">
        <f>SUMIFS(super1[Qtde],super1[Item],tab_alimentos[[#This Row],[Item]],super1[Bairro],mercado12)+SUMIFS(supercb[Qtde],supercb[Item],tab_alimentos[[#This Row],[Item]],supercb[Bairro],mercado12)</f>
        <v>0</v>
      </c>
      <c r="X92" s="4">
        <f>SUMIFS(super1[Qtde],super1[Item],tab_alimentos[[#This Row],[Item]],super1[Bairro],mercado13)+SUMIFS(supercb[Qtde],supercb[Item],tab_alimentos[[#This Row],[Item]],supercb[Bairro],mercado13)</f>
        <v>0</v>
      </c>
      <c r="Y92" s="4">
        <f>SUMIFS(super1[Qtde],super1[Item],tab_alimentos[[#This Row],[Item]],super1[Bairro],mercado14)+SUMIFS(supercb[Qtde],supercb[Item],tab_alimentos[[#This Row],[Item]],supercb[Bairro],mercado14)</f>
        <v>0</v>
      </c>
      <c r="Z92" s="4">
        <f>SUMIFS(super1[Qtde],super1[Item],tab_alimentos[[#This Row],[Item]],super1[Bairro],mercado15)+SUMIFS(supercb[Qtde],supercb[Item],tab_alimentos[[#This Row],[Item]],supercb[Bairro],mercado15)</f>
        <v>0</v>
      </c>
      <c r="AA92" s="4">
        <f>SUMIFS(super1[Qtde],super1[Item],tab_alimentos[[#This Row],[Item]],super1[Bairro],mercado16)+SUMIFS(supercb[Qtde],supercb[Item],tab_alimentos[[#This Row],[Item]],supercb[Bairro],mercado16)</f>
        <v>0</v>
      </c>
      <c r="AB92" s="4">
        <f>SUMIFS(super1[Qtde],super1[Item],tab_alimentos[[#This Row],[Item]],super1[Bairro],mercado17)+SUMIFS(supercb[Qtde],supercb[Item],tab_alimentos[[#This Row],[Item]],supercb[Bairro],mercado17)</f>
        <v>0</v>
      </c>
      <c r="AC92" s="4">
        <f>SUMIFS(super1[Qtde],super1[Item],tab_alimentos[[#This Row],[Item]],super1[Bairro],mercado18)+SUMIFS(supercb[Qtde],supercb[Item],tab_alimentos[[#This Row],[Item]],supercb[Bairro],mercado18)</f>
        <v>0</v>
      </c>
      <c r="AD92" s="4">
        <f>SUMIFS(super1[Qtde],super1[Item],tab_alimentos[[#This Row],[Item]],super1[Bairro],extras)+SUMIFS(supercb[Qtde],supercb[Item],tab_alimentos[[#This Row],[Item]],supercb[Bairro],extras)</f>
        <v>0</v>
      </c>
      <c r="AE92" s="4">
        <f t="shared" si="27"/>
        <v>0</v>
      </c>
      <c r="AF92" s="4">
        <f t="shared" si="28"/>
        <v>0</v>
      </c>
      <c r="AG92" s="6">
        <f t="shared" si="29"/>
        <v>0</v>
      </c>
      <c r="AH92" s="19" t="str">
        <f>higiene[[#This Row],[Item]]</f>
        <v>Fósforo Pacote 10 Caixas (40un)</v>
      </c>
      <c r="AI92" s="4">
        <f>IFERROR(higiene[[#This Row],[Kg equivalente]],0)</f>
        <v>0</v>
      </c>
      <c r="AJ92" s="4">
        <f>IFERROR(higiene[[#This Row],[Preço por produto]],0)</f>
        <v>3.8</v>
      </c>
      <c r="AK92" s="4">
        <f>SUMIFS(super1[Qtde],super1[Item],tab_higiene[[#This Row],[Item]],super1[Bairro],mercado1)+SUMIFS(supercb[Qtde],supercb[Item],tab_higiene[[#This Row],[Item]],supercb[Bairro],mercado1)</f>
        <v>0</v>
      </c>
      <c r="AL92" s="4">
        <f>SUMIFS(super1[Qtde],super1[Item],tab_higiene[[#This Row],[Item]],super1[Bairro],mercado2)+SUMIFS(supercb[Qtde],supercb[Item],tab_higiene[[#This Row],[Item]],supercb[Bairro],mercado2)</f>
        <v>0</v>
      </c>
      <c r="AM92" s="4">
        <f>SUMIFS(super1[Qtde],super1[Item],tab_higiene[[#This Row],[Item]],super1[Bairro],mercado3)+SUMIFS(supercb[Qtde],supercb[Item],tab_higiene[[#This Row],[Item]],supercb[Bairro],mercado3)</f>
        <v>0</v>
      </c>
      <c r="AN92" s="4">
        <f>SUMIFS(super1[Qtde],super1[Item],tab_higiene[[#This Row],[Item]],super1[Bairro],mercado4)+SUMIFS(supercb[Qtde],supercb[Item],tab_higiene[[#This Row],[Item]],supercb[Bairro],mercado4)</f>
        <v>0</v>
      </c>
      <c r="AO92" s="4">
        <f>SUMIFS(super1[Qtde],super1[Item],tab_higiene[[#This Row],[Item]],super1[Bairro],mercado5)+SUMIFS(supercb[Qtde],supercb[Item],tab_higiene[[#This Row],[Item]],supercb[Bairro],mercado5)</f>
        <v>0</v>
      </c>
      <c r="AP92" s="4">
        <f>SUMIFS(super1[Qtde],super1[Item],tab_higiene[[#This Row],[Item]],super1[Bairro],mercado6)+SUMIFS(supercb[Qtde],supercb[Item],tab_higiene[[#This Row],[Item]],supercb[Bairro],mercado6)</f>
        <v>0</v>
      </c>
      <c r="AQ92" s="4">
        <f>SUMIFS(super1[Qtde],super1[Item],tab_higiene[[#This Row],[Item]],super1[Bairro],mercado7)+SUMIFS(supercb[Qtde],supercb[Item],tab_higiene[[#This Row],[Item]],supercb[Bairro],mercado7)</f>
        <v>0</v>
      </c>
      <c r="AR92" s="4">
        <f>SUMIFS(super1[Qtde],super1[Item],tab_higiene[[#This Row],[Item]],super1[Bairro],mercado8)+SUMIFS(supercb[Qtde],supercb[Item],tab_higiene[[#This Row],[Item]],supercb[Bairro],mercado8)</f>
        <v>0</v>
      </c>
      <c r="AS92" s="4">
        <f>SUMIFS(super1[Qtde],super1[Item],tab_higiene[[#This Row],[Item]],super1[Bairro],mercado9)+SUMIFS(supercb[Qtde],supercb[Item],tab_higiene[[#This Row],[Item]],supercb[Bairro],mercado9)</f>
        <v>0</v>
      </c>
      <c r="AT92" s="4">
        <f>SUMIFS(super1[Qtde],super1[Item],tab_higiene[[#This Row],[Item]],super1[Bairro],mercado10)+SUMIFS(supercb[Qtde],supercb[Item],tab_higiene[[#This Row],[Item]],supercb[Bairro],mercado10)</f>
        <v>0</v>
      </c>
      <c r="AU92" s="4">
        <f>SUMIFS(super1[Qtde],super1[Item],tab_higiene[[#This Row],[Item]],super1[Bairro],mercado11)+SUMIFS(supercb[Qtde],supercb[Item],tab_higiene[[#This Row],[Item]],supercb[Bairro],mercado11)</f>
        <v>0</v>
      </c>
      <c r="AV92" s="4">
        <f>SUMIFS(super1[Qtde],super1[Item],tab_higiene[[#This Row],[Item]],super1[Bairro],mercado12)+SUMIFS(supercb[Qtde],supercb[Item],tab_higiene[[#This Row],[Item]],supercb[Bairro],mercado12)</f>
        <v>0</v>
      </c>
      <c r="AW92" s="4">
        <f>SUMIFS(super1[Qtde],super1[Item],tab_higiene[[#This Row],[Item]],super1[Bairro],mercado13)+SUMIFS(supercb[Qtde],supercb[Item],tab_higiene[[#This Row],[Item]],supercb[Bairro],mercado13)</f>
        <v>0</v>
      </c>
      <c r="AX92" s="4">
        <f>SUMIFS(super1[Qtde],super1[Item],tab_higiene[[#This Row],[Item]],super1[Bairro],mercado14)+SUMIFS(supercb[Qtde],supercb[Item],tab_higiene[[#This Row],[Item]],supercb[Bairro],mercado14)</f>
        <v>0</v>
      </c>
      <c r="AY92" s="4">
        <f>SUMIFS(super1[Qtde],super1[Item],tab_higiene[[#This Row],[Item]],super1[Bairro],mercado15)+SUMIFS(supercb[Qtde],supercb[Item],tab_higiene[[#This Row],[Item]],supercb[Bairro],mercado15)</f>
        <v>0</v>
      </c>
      <c r="AZ92" s="4">
        <f>SUMIFS(super1[Qtde],super1[Item],tab_higiene[[#This Row],[Item]],super1[Bairro],mercado16)+SUMIFS(supercb[Qtde],supercb[Item],tab_higiene[[#This Row],[Item]],supercb[Bairro],mercado16)</f>
        <v>0</v>
      </c>
      <c r="BA92" s="4">
        <f>SUMIFS(super1[Qtde],super1[Item],tab_higiene[[#This Row],[Item]],super1[Bairro],mercado17)+SUMIFS(supercb[Qtde],supercb[Item],tab_higiene[[#This Row],[Item]],supercb[Bairro],mercado17)</f>
        <v>0</v>
      </c>
      <c r="BB92" s="4">
        <f>SUMIFS(super1[Qtde],super1[Item],tab_higiene[[#This Row],[Item]],super1[Bairro],mercado18)+SUMIFS(supercb[Qtde],supercb[Item],tab_higiene[[#This Row],[Item]],supercb[Bairro],mercado18)</f>
        <v>0</v>
      </c>
      <c r="BC92" s="4">
        <f>SUMIFS(super1[Qtde],super1[Item],tab_higiene[[#This Row],[Item]],super1[Bairro],extras)+SUMIFS(supercb[Qtde],supercb[Item],tab_higiene[[#This Row],[Item]],supercb[Bairro],extras)</f>
        <v>0</v>
      </c>
      <c r="BD92" s="4">
        <f t="shared" si="30"/>
        <v>0</v>
      </c>
      <c r="BE92" s="4">
        <f t="shared" si="31"/>
        <v>0</v>
      </c>
      <c r="BF92" s="6">
        <f t="shared" si="32"/>
        <v>0</v>
      </c>
      <c r="BI92" s="1" t="str">
        <f>tab_alimentos[[#This Row],[Item]]</f>
        <v>Biscoito Doce (60g)</v>
      </c>
      <c r="BJ92" s="1">
        <f t="shared" si="25"/>
        <v>14</v>
      </c>
      <c r="BK92" s="1" t="str">
        <f t="shared" si="26"/>
        <v>Biscoito Doce</v>
      </c>
      <c r="BL92" s="1">
        <f>tab_alimentos[[#This Row],[kg]]</f>
        <v>0</v>
      </c>
      <c r="BN92" s="1">
        <f t="shared" si="36"/>
        <v>0</v>
      </c>
      <c r="BP92" s="1" t="str">
        <f>tab_higiene[[#This Row],[Item]]</f>
        <v>Fósforo Pacote 10 Caixas (40un)</v>
      </c>
      <c r="BQ92" s="1">
        <f t="shared" si="33"/>
        <v>25</v>
      </c>
      <c r="BR92" s="1" t="str">
        <f t="shared" si="34"/>
        <v>Fósforo Pacote 10 Caixas</v>
      </c>
      <c r="BS92" s="1">
        <f>higiene[[#This Row],[Quantidade]]</f>
        <v>32</v>
      </c>
      <c r="BT92" s="1">
        <f>tab_higiene[[#This Row],[Qtde (tot)]]</f>
        <v>0</v>
      </c>
      <c r="BU92" s="1">
        <f t="shared" si="37"/>
        <v>0</v>
      </c>
      <c r="BW92" s="1">
        <f t="shared" si="35"/>
        <v>0</v>
      </c>
    </row>
    <row r="93" spans="9:75" x14ac:dyDescent="0.25">
      <c r="I93" s="19" t="str">
        <f>alimentos[[#This Row],[Item]]</f>
        <v>Biscoito Doce (90g)</v>
      </c>
      <c r="J93" s="4">
        <f>IFERROR(alimentos[[#This Row],[kg/embalagem]],0)</f>
        <v>0.09</v>
      </c>
      <c r="K93" s="4">
        <f>IFERROR(alimentos[[#This Row],[Preço]],0)</f>
        <v>2.68</v>
      </c>
      <c r="L93" s="4">
        <f>SUMIFS(super1[Qtde],super1[Item],tab_alimentos[[#This Row],[Item]],super1[Bairro],mercado1)+SUMIFS(supercb[Qtde],supercb[Item],tab_alimentos[[#This Row],[Item]],supercb[Bairro],mercado1)</f>
        <v>0</v>
      </c>
      <c r="M93" s="4">
        <f>SUMIFS(super1[Qtde],super1[Item],tab_alimentos[[#This Row],[Item]],super1[Bairro],mercado2)+SUMIFS(supercb[Qtde],supercb[Item],tab_alimentos[[#This Row],[Item]],supercb[Bairro],mercado2)</f>
        <v>0</v>
      </c>
      <c r="N93" s="4">
        <f>SUMIFS(super1[Qtde],super1[Item],tab_alimentos[[#This Row],[Item]],super1[Bairro],mercado3)+SUMIFS(supercb[Qtde],supercb[Item],tab_alimentos[[#This Row],[Item]],supercb[Bairro],mercado3)</f>
        <v>0</v>
      </c>
      <c r="O93" s="4">
        <f>SUMIFS(super1[Qtde],super1[Item],tab_alimentos[[#This Row],[Item]],super1[Bairro],mercado4)+SUMIFS(supercb[Qtde],supercb[Item],tab_alimentos[[#This Row],[Item]],supercb[Bairro],mercado4)</f>
        <v>0</v>
      </c>
      <c r="P93" s="4">
        <f>SUMIFS(super1[Qtde],super1[Item],tab_alimentos[[#This Row],[Item]],super1[Bairro],mercado5)+SUMIFS(supercb[Qtde],supercb[Item],tab_alimentos[[#This Row],[Item]],supercb[Bairro],mercado5)</f>
        <v>0</v>
      </c>
      <c r="Q93" s="4">
        <f>SUMIFS(super1[Qtde],super1[Item],tab_alimentos[[#This Row],[Item]],super1[Bairro],mercado6)+SUMIFS(supercb[Qtde],supercb[Item],tab_alimentos[[#This Row],[Item]],supercb[Bairro],mercado6)</f>
        <v>0</v>
      </c>
      <c r="R93" s="4">
        <f>SUMIFS(super1[Qtde],super1[Item],tab_alimentos[[#This Row],[Item]],super1[Bairro],mercado7)+SUMIFS(supercb[Qtde],supercb[Item],tab_alimentos[[#This Row],[Item]],supercb[Bairro],mercado7)</f>
        <v>0</v>
      </c>
      <c r="S93" s="4">
        <f>SUMIFS(super1[Qtde],super1[Item],tab_alimentos[[#This Row],[Item]],super1[Bairro],mercado8)+SUMIFS(supercb[Qtde],supercb[Item],tab_alimentos[[#This Row],[Item]],supercb[Bairro],mercado8)</f>
        <v>0</v>
      </c>
      <c r="T93" s="4">
        <f>SUMIFS(super1[Qtde],super1[Item],tab_alimentos[[#This Row],[Item]],super1[Bairro],mercado9)+SUMIFS(supercb[Qtde],supercb[Item],tab_alimentos[[#This Row],[Item]],supercb[Bairro],mercado9)</f>
        <v>0</v>
      </c>
      <c r="U93" s="4">
        <f>SUMIFS(super1[Qtde],super1[Item],tab_alimentos[[#This Row],[Item]],super1[Bairro],mercado10)+SUMIFS(supercb[Qtde],supercb[Item],tab_alimentos[[#This Row],[Item]],supercb[Bairro],mercado10)</f>
        <v>0</v>
      </c>
      <c r="V93" s="4">
        <f>SUMIFS(super1[Qtde],super1[Item],tab_alimentos[[#This Row],[Item]],super1[Bairro],mercado11)+SUMIFS(supercb[Qtde],supercb[Item],tab_alimentos[[#This Row],[Item]],supercb[Bairro],mercado11)</f>
        <v>0</v>
      </c>
      <c r="W93" s="4">
        <f>SUMIFS(super1[Qtde],super1[Item],tab_alimentos[[#This Row],[Item]],super1[Bairro],mercado12)+SUMIFS(supercb[Qtde],supercb[Item],tab_alimentos[[#This Row],[Item]],supercb[Bairro],mercado12)</f>
        <v>0</v>
      </c>
      <c r="X93" s="4">
        <f>SUMIFS(super1[Qtde],super1[Item],tab_alimentos[[#This Row],[Item]],super1[Bairro],mercado13)+SUMIFS(supercb[Qtde],supercb[Item],tab_alimentos[[#This Row],[Item]],supercb[Bairro],mercado13)</f>
        <v>0</v>
      </c>
      <c r="Y93" s="4">
        <f>SUMIFS(super1[Qtde],super1[Item],tab_alimentos[[#This Row],[Item]],super1[Bairro],mercado14)+SUMIFS(supercb[Qtde],supercb[Item],tab_alimentos[[#This Row],[Item]],supercb[Bairro],mercado14)</f>
        <v>0</v>
      </c>
      <c r="Z93" s="4">
        <f>SUMIFS(super1[Qtde],super1[Item],tab_alimentos[[#This Row],[Item]],super1[Bairro],mercado15)+SUMIFS(supercb[Qtde],supercb[Item],tab_alimentos[[#This Row],[Item]],supercb[Bairro],mercado15)</f>
        <v>0</v>
      </c>
      <c r="AA93" s="4">
        <f>SUMIFS(super1[Qtde],super1[Item],tab_alimentos[[#This Row],[Item]],super1[Bairro],mercado16)+SUMIFS(supercb[Qtde],supercb[Item],tab_alimentos[[#This Row],[Item]],supercb[Bairro],mercado16)</f>
        <v>0</v>
      </c>
      <c r="AB93" s="4">
        <f>SUMIFS(super1[Qtde],super1[Item],tab_alimentos[[#This Row],[Item]],super1[Bairro],mercado17)+SUMIFS(supercb[Qtde],supercb[Item],tab_alimentos[[#This Row],[Item]],supercb[Bairro],mercado17)</f>
        <v>0</v>
      </c>
      <c r="AC93" s="4">
        <f>SUMIFS(super1[Qtde],super1[Item],tab_alimentos[[#This Row],[Item]],super1[Bairro],mercado18)+SUMIFS(supercb[Qtde],supercb[Item],tab_alimentos[[#This Row],[Item]],supercb[Bairro],mercado18)</f>
        <v>0</v>
      </c>
      <c r="AD93" s="4">
        <f>SUMIFS(super1[Qtde],super1[Item],tab_alimentos[[#This Row],[Item]],super1[Bairro],extras)+SUMIFS(supercb[Qtde],supercb[Item],tab_alimentos[[#This Row],[Item]],supercb[Bairro],extras)</f>
        <v>0</v>
      </c>
      <c r="AE93" s="4">
        <f t="shared" si="27"/>
        <v>0</v>
      </c>
      <c r="AF93" s="4">
        <f t="shared" si="28"/>
        <v>0</v>
      </c>
      <c r="AG93" s="6">
        <f t="shared" si="29"/>
        <v>0</v>
      </c>
      <c r="AH93" s="19" t="str">
        <f>higiene[[#This Row],[Item]]</f>
        <v>Fraldas Geriátricas (10un)</v>
      </c>
      <c r="AI93" s="4">
        <f>IFERROR(higiene[[#This Row],[Kg equivalente]],0)</f>
        <v>0</v>
      </c>
      <c r="AJ93" s="4">
        <f>IFERROR(higiene[[#This Row],[Preço por produto]],0)</f>
        <v>36.700000000000003</v>
      </c>
      <c r="AK93" s="4">
        <f>SUMIFS(super1[Qtde],super1[Item],tab_higiene[[#This Row],[Item]],super1[Bairro],mercado1)+SUMIFS(supercb[Qtde],supercb[Item],tab_higiene[[#This Row],[Item]],supercb[Bairro],mercado1)</f>
        <v>0</v>
      </c>
      <c r="AL93" s="4">
        <f>SUMIFS(super1[Qtde],super1[Item],tab_higiene[[#This Row],[Item]],super1[Bairro],mercado2)+SUMIFS(supercb[Qtde],supercb[Item],tab_higiene[[#This Row],[Item]],supercb[Bairro],mercado2)</f>
        <v>0</v>
      </c>
      <c r="AM93" s="4">
        <f>SUMIFS(super1[Qtde],super1[Item],tab_higiene[[#This Row],[Item]],super1[Bairro],mercado3)+SUMIFS(supercb[Qtde],supercb[Item],tab_higiene[[#This Row],[Item]],supercb[Bairro],mercado3)</f>
        <v>0</v>
      </c>
      <c r="AN93" s="4">
        <f>SUMIFS(super1[Qtde],super1[Item],tab_higiene[[#This Row],[Item]],super1[Bairro],mercado4)+SUMIFS(supercb[Qtde],supercb[Item],tab_higiene[[#This Row],[Item]],supercb[Bairro],mercado4)</f>
        <v>0</v>
      </c>
      <c r="AO93" s="4">
        <f>SUMIFS(super1[Qtde],super1[Item],tab_higiene[[#This Row],[Item]],super1[Bairro],mercado5)+SUMIFS(supercb[Qtde],supercb[Item],tab_higiene[[#This Row],[Item]],supercb[Bairro],mercado5)</f>
        <v>0</v>
      </c>
      <c r="AP93" s="4">
        <f>SUMIFS(super1[Qtde],super1[Item],tab_higiene[[#This Row],[Item]],super1[Bairro],mercado6)+SUMIFS(supercb[Qtde],supercb[Item],tab_higiene[[#This Row],[Item]],supercb[Bairro],mercado6)</f>
        <v>0</v>
      </c>
      <c r="AQ93" s="4">
        <f>SUMIFS(super1[Qtde],super1[Item],tab_higiene[[#This Row],[Item]],super1[Bairro],mercado7)+SUMIFS(supercb[Qtde],supercb[Item],tab_higiene[[#This Row],[Item]],supercb[Bairro],mercado7)</f>
        <v>0</v>
      </c>
      <c r="AR93" s="4">
        <f>SUMIFS(super1[Qtde],super1[Item],tab_higiene[[#This Row],[Item]],super1[Bairro],mercado8)+SUMIFS(supercb[Qtde],supercb[Item],tab_higiene[[#This Row],[Item]],supercb[Bairro],mercado8)</f>
        <v>0</v>
      </c>
      <c r="AS93" s="4">
        <f>SUMIFS(super1[Qtde],super1[Item],tab_higiene[[#This Row],[Item]],super1[Bairro],mercado9)+SUMIFS(supercb[Qtde],supercb[Item],tab_higiene[[#This Row],[Item]],supercb[Bairro],mercado9)</f>
        <v>0</v>
      </c>
      <c r="AT93" s="4">
        <f>SUMIFS(super1[Qtde],super1[Item],tab_higiene[[#This Row],[Item]],super1[Bairro],mercado10)+SUMIFS(supercb[Qtde],supercb[Item],tab_higiene[[#This Row],[Item]],supercb[Bairro],mercado10)</f>
        <v>0</v>
      </c>
      <c r="AU93" s="4">
        <f>SUMIFS(super1[Qtde],super1[Item],tab_higiene[[#This Row],[Item]],super1[Bairro],mercado11)+SUMIFS(supercb[Qtde],supercb[Item],tab_higiene[[#This Row],[Item]],supercb[Bairro],mercado11)</f>
        <v>0</v>
      </c>
      <c r="AV93" s="4">
        <f>SUMIFS(super1[Qtde],super1[Item],tab_higiene[[#This Row],[Item]],super1[Bairro],mercado12)+SUMIFS(supercb[Qtde],supercb[Item],tab_higiene[[#This Row],[Item]],supercb[Bairro],mercado12)</f>
        <v>0</v>
      </c>
      <c r="AW93" s="4">
        <f>SUMIFS(super1[Qtde],super1[Item],tab_higiene[[#This Row],[Item]],super1[Bairro],mercado13)+SUMIFS(supercb[Qtde],supercb[Item],tab_higiene[[#This Row],[Item]],supercb[Bairro],mercado13)</f>
        <v>0</v>
      </c>
      <c r="AX93" s="4">
        <f>SUMIFS(super1[Qtde],super1[Item],tab_higiene[[#This Row],[Item]],super1[Bairro],mercado14)+SUMIFS(supercb[Qtde],supercb[Item],tab_higiene[[#This Row],[Item]],supercb[Bairro],mercado14)</f>
        <v>0</v>
      </c>
      <c r="AY93" s="4">
        <f>SUMIFS(super1[Qtde],super1[Item],tab_higiene[[#This Row],[Item]],super1[Bairro],mercado15)+SUMIFS(supercb[Qtde],supercb[Item],tab_higiene[[#This Row],[Item]],supercb[Bairro],mercado15)</f>
        <v>0</v>
      </c>
      <c r="AZ93" s="4">
        <f>SUMIFS(super1[Qtde],super1[Item],tab_higiene[[#This Row],[Item]],super1[Bairro],mercado16)+SUMIFS(supercb[Qtde],supercb[Item],tab_higiene[[#This Row],[Item]],supercb[Bairro],mercado16)</f>
        <v>0</v>
      </c>
      <c r="BA93" s="4">
        <f>SUMIFS(super1[Qtde],super1[Item],tab_higiene[[#This Row],[Item]],super1[Bairro],mercado17)+SUMIFS(supercb[Qtde],supercb[Item],tab_higiene[[#This Row],[Item]],supercb[Bairro],mercado17)</f>
        <v>0</v>
      </c>
      <c r="BB93" s="4">
        <f>SUMIFS(super1[Qtde],super1[Item],tab_higiene[[#This Row],[Item]],super1[Bairro],mercado18)+SUMIFS(supercb[Qtde],supercb[Item],tab_higiene[[#This Row],[Item]],supercb[Bairro],mercado18)</f>
        <v>0</v>
      </c>
      <c r="BC93" s="4">
        <f>SUMIFS(super1[Qtde],super1[Item],tab_higiene[[#This Row],[Item]],super1[Bairro],extras)+SUMIFS(supercb[Qtde],supercb[Item],tab_higiene[[#This Row],[Item]],supercb[Bairro],extras)</f>
        <v>0</v>
      </c>
      <c r="BD93" s="4">
        <f t="shared" si="30"/>
        <v>0</v>
      </c>
      <c r="BE93" s="4">
        <f t="shared" si="31"/>
        <v>0</v>
      </c>
      <c r="BF93" s="6">
        <f t="shared" si="32"/>
        <v>0</v>
      </c>
      <c r="BI93" s="1" t="str">
        <f>tab_alimentos[[#This Row],[Item]]</f>
        <v>Biscoito Doce (90g)</v>
      </c>
      <c r="BJ93" s="1">
        <f t="shared" si="25"/>
        <v>14</v>
      </c>
      <c r="BK93" s="1" t="str">
        <f t="shared" si="26"/>
        <v>Biscoito Doce</v>
      </c>
      <c r="BL93" s="1">
        <f>tab_alimentos[[#This Row],[kg]]</f>
        <v>0</v>
      </c>
      <c r="BN93" s="1">
        <f t="shared" si="36"/>
        <v>0</v>
      </c>
      <c r="BP93" s="1" t="str">
        <f>tab_higiene[[#This Row],[Item]]</f>
        <v>Fraldas Geriátricas (10un)</v>
      </c>
      <c r="BQ93" s="1">
        <f t="shared" si="33"/>
        <v>20</v>
      </c>
      <c r="BR93" s="1" t="str">
        <f t="shared" si="34"/>
        <v>Fraldas Geriátricas</v>
      </c>
      <c r="BS93" s="1">
        <f>higiene[[#This Row],[Quantidade]]</f>
        <v>0</v>
      </c>
      <c r="BT93" s="1">
        <f>tab_higiene[[#This Row],[Qtde (tot)]]</f>
        <v>0</v>
      </c>
      <c r="BU93" s="1">
        <f t="shared" si="37"/>
        <v>0</v>
      </c>
      <c r="BW93" s="1">
        <f t="shared" si="35"/>
        <v>0</v>
      </c>
    </row>
    <row r="94" spans="9:75" x14ac:dyDescent="0.25">
      <c r="I94" s="19" t="str">
        <f>alimentos[[#This Row],[Item]]</f>
        <v>Biscoito Maisena (400g)</v>
      </c>
      <c r="J94" s="4">
        <f>IFERROR(alimentos[[#This Row],[kg/embalagem]],0)</f>
        <v>0.4</v>
      </c>
      <c r="K94" s="4">
        <f>IFERROR(alimentos[[#This Row],[Preço]],0)</f>
        <v>6</v>
      </c>
      <c r="L94" s="4">
        <f>SUMIFS(super1[Qtde],super1[Item],tab_alimentos[[#This Row],[Item]],super1[Bairro],mercado1)+SUMIFS(supercb[Qtde],supercb[Item],tab_alimentos[[#This Row],[Item]],supercb[Bairro],mercado1)</f>
        <v>0</v>
      </c>
      <c r="M94" s="4">
        <f>SUMIFS(super1[Qtde],super1[Item],tab_alimentos[[#This Row],[Item]],super1[Bairro],mercado2)+SUMIFS(supercb[Qtde],supercb[Item],tab_alimentos[[#This Row],[Item]],supercb[Bairro],mercado2)</f>
        <v>0</v>
      </c>
      <c r="N94" s="4">
        <f>SUMIFS(super1[Qtde],super1[Item],tab_alimentos[[#This Row],[Item]],super1[Bairro],mercado3)+SUMIFS(supercb[Qtde],supercb[Item],tab_alimentos[[#This Row],[Item]],supercb[Bairro],mercado3)</f>
        <v>0</v>
      </c>
      <c r="O94" s="4">
        <f>SUMIFS(super1[Qtde],super1[Item],tab_alimentos[[#This Row],[Item]],super1[Bairro],mercado4)+SUMIFS(supercb[Qtde],supercb[Item],tab_alimentos[[#This Row],[Item]],supercb[Bairro],mercado4)</f>
        <v>0</v>
      </c>
      <c r="P94" s="4">
        <f>SUMIFS(super1[Qtde],super1[Item],tab_alimentos[[#This Row],[Item]],super1[Bairro],mercado5)+SUMIFS(supercb[Qtde],supercb[Item],tab_alimentos[[#This Row],[Item]],supercb[Bairro],mercado5)</f>
        <v>0</v>
      </c>
      <c r="Q94" s="4">
        <f>SUMIFS(super1[Qtde],super1[Item],tab_alimentos[[#This Row],[Item]],super1[Bairro],mercado6)+SUMIFS(supercb[Qtde],supercb[Item],tab_alimentos[[#This Row],[Item]],supercb[Bairro],mercado6)</f>
        <v>0</v>
      </c>
      <c r="R94" s="4">
        <f>SUMIFS(super1[Qtde],super1[Item],tab_alimentos[[#This Row],[Item]],super1[Bairro],mercado7)+SUMIFS(supercb[Qtde],supercb[Item],tab_alimentos[[#This Row],[Item]],supercb[Bairro],mercado7)</f>
        <v>0</v>
      </c>
      <c r="S94" s="4">
        <f>SUMIFS(super1[Qtde],super1[Item],tab_alimentos[[#This Row],[Item]],super1[Bairro],mercado8)+SUMIFS(supercb[Qtde],supercb[Item],tab_alimentos[[#This Row],[Item]],supercb[Bairro],mercado8)</f>
        <v>0</v>
      </c>
      <c r="T94" s="4">
        <f>SUMIFS(super1[Qtde],super1[Item],tab_alimentos[[#This Row],[Item]],super1[Bairro],mercado9)+SUMIFS(supercb[Qtde],supercb[Item],tab_alimentos[[#This Row],[Item]],supercb[Bairro],mercado9)</f>
        <v>0</v>
      </c>
      <c r="U94" s="4">
        <f>SUMIFS(super1[Qtde],super1[Item],tab_alimentos[[#This Row],[Item]],super1[Bairro],mercado10)+SUMIFS(supercb[Qtde],supercb[Item],tab_alimentos[[#This Row],[Item]],supercb[Bairro],mercado10)</f>
        <v>0</v>
      </c>
      <c r="V94" s="4">
        <f>SUMIFS(super1[Qtde],super1[Item],tab_alimentos[[#This Row],[Item]],super1[Bairro],mercado11)+SUMIFS(supercb[Qtde],supercb[Item],tab_alimentos[[#This Row],[Item]],supercb[Bairro],mercado11)</f>
        <v>0</v>
      </c>
      <c r="W94" s="4">
        <f>SUMIFS(super1[Qtde],super1[Item],tab_alimentos[[#This Row],[Item]],super1[Bairro],mercado12)+SUMIFS(supercb[Qtde],supercb[Item],tab_alimentos[[#This Row],[Item]],supercb[Bairro],mercado12)</f>
        <v>0</v>
      </c>
      <c r="X94" s="4">
        <f>SUMIFS(super1[Qtde],super1[Item],tab_alimentos[[#This Row],[Item]],super1[Bairro],mercado13)+SUMIFS(supercb[Qtde],supercb[Item],tab_alimentos[[#This Row],[Item]],supercb[Bairro],mercado13)</f>
        <v>0</v>
      </c>
      <c r="Y94" s="4">
        <f>SUMIFS(super1[Qtde],super1[Item],tab_alimentos[[#This Row],[Item]],super1[Bairro],mercado14)+SUMIFS(supercb[Qtde],supercb[Item],tab_alimentos[[#This Row],[Item]],supercb[Bairro],mercado14)</f>
        <v>0</v>
      </c>
      <c r="Z94" s="4">
        <f>SUMIFS(super1[Qtde],super1[Item],tab_alimentos[[#This Row],[Item]],super1[Bairro],mercado15)+SUMIFS(supercb[Qtde],supercb[Item],tab_alimentos[[#This Row],[Item]],supercb[Bairro],mercado15)</f>
        <v>0</v>
      </c>
      <c r="AA94" s="4">
        <f>SUMIFS(super1[Qtde],super1[Item],tab_alimentos[[#This Row],[Item]],super1[Bairro],mercado16)+SUMIFS(supercb[Qtde],supercb[Item],tab_alimentos[[#This Row],[Item]],supercb[Bairro],mercado16)</f>
        <v>0</v>
      </c>
      <c r="AB94" s="4">
        <f>SUMIFS(super1[Qtde],super1[Item],tab_alimentos[[#This Row],[Item]],super1[Bairro],mercado17)+SUMIFS(supercb[Qtde],supercb[Item],tab_alimentos[[#This Row],[Item]],supercb[Bairro],mercado17)</f>
        <v>0</v>
      </c>
      <c r="AC94" s="4">
        <f>SUMIFS(super1[Qtde],super1[Item],tab_alimentos[[#This Row],[Item]],super1[Bairro],mercado18)+SUMIFS(supercb[Qtde],supercb[Item],tab_alimentos[[#This Row],[Item]],supercb[Bairro],mercado18)</f>
        <v>0</v>
      </c>
      <c r="AD94" s="4">
        <f>SUMIFS(super1[Qtde],super1[Item],tab_alimentos[[#This Row],[Item]],super1[Bairro],extras)+SUMIFS(supercb[Qtde],supercb[Item],tab_alimentos[[#This Row],[Item]],supercb[Bairro],extras)</f>
        <v>0</v>
      </c>
      <c r="AE94" s="4">
        <f t="shared" si="27"/>
        <v>0</v>
      </c>
      <c r="AF94" s="4">
        <f t="shared" si="28"/>
        <v>0</v>
      </c>
      <c r="AG94" s="6">
        <f t="shared" si="29"/>
        <v>0</v>
      </c>
      <c r="AH94" s="19" t="str">
        <f>higiene[[#This Row],[Item]]</f>
        <v>Fraldas Geriátricas (16un)</v>
      </c>
      <c r="AI94" s="4">
        <f>IFERROR(higiene[[#This Row],[Kg equivalente]],0)</f>
        <v>0</v>
      </c>
      <c r="AJ94" s="4">
        <f>IFERROR(higiene[[#This Row],[Preço por produto]],0)</f>
        <v>51.9</v>
      </c>
      <c r="AK94" s="4">
        <f>SUMIFS(super1[Qtde],super1[Item],tab_higiene[[#This Row],[Item]],super1[Bairro],mercado1)+SUMIFS(supercb[Qtde],supercb[Item],tab_higiene[[#This Row],[Item]],supercb[Bairro],mercado1)</f>
        <v>0</v>
      </c>
      <c r="AL94" s="4">
        <f>SUMIFS(super1[Qtde],super1[Item],tab_higiene[[#This Row],[Item]],super1[Bairro],mercado2)+SUMIFS(supercb[Qtde],supercb[Item],tab_higiene[[#This Row],[Item]],supercb[Bairro],mercado2)</f>
        <v>0</v>
      </c>
      <c r="AM94" s="4">
        <f>SUMIFS(super1[Qtde],super1[Item],tab_higiene[[#This Row],[Item]],super1[Bairro],mercado3)+SUMIFS(supercb[Qtde],supercb[Item],tab_higiene[[#This Row],[Item]],supercb[Bairro],mercado3)</f>
        <v>0</v>
      </c>
      <c r="AN94" s="4">
        <f>SUMIFS(super1[Qtde],super1[Item],tab_higiene[[#This Row],[Item]],super1[Bairro],mercado4)+SUMIFS(supercb[Qtde],supercb[Item],tab_higiene[[#This Row],[Item]],supercb[Bairro],mercado4)</f>
        <v>0</v>
      </c>
      <c r="AO94" s="4">
        <f>SUMIFS(super1[Qtde],super1[Item],tab_higiene[[#This Row],[Item]],super1[Bairro],mercado5)+SUMIFS(supercb[Qtde],supercb[Item],tab_higiene[[#This Row],[Item]],supercb[Bairro],mercado5)</f>
        <v>0</v>
      </c>
      <c r="AP94" s="4">
        <f>SUMIFS(super1[Qtde],super1[Item],tab_higiene[[#This Row],[Item]],super1[Bairro],mercado6)+SUMIFS(supercb[Qtde],supercb[Item],tab_higiene[[#This Row],[Item]],supercb[Bairro],mercado6)</f>
        <v>0</v>
      </c>
      <c r="AQ94" s="4">
        <f>SUMIFS(super1[Qtde],super1[Item],tab_higiene[[#This Row],[Item]],super1[Bairro],mercado7)+SUMIFS(supercb[Qtde],supercb[Item],tab_higiene[[#This Row],[Item]],supercb[Bairro],mercado7)</f>
        <v>0</v>
      </c>
      <c r="AR94" s="4">
        <f>SUMIFS(super1[Qtde],super1[Item],tab_higiene[[#This Row],[Item]],super1[Bairro],mercado8)+SUMIFS(supercb[Qtde],supercb[Item],tab_higiene[[#This Row],[Item]],supercb[Bairro],mercado8)</f>
        <v>0</v>
      </c>
      <c r="AS94" s="4">
        <f>SUMIFS(super1[Qtde],super1[Item],tab_higiene[[#This Row],[Item]],super1[Bairro],mercado9)+SUMIFS(supercb[Qtde],supercb[Item],tab_higiene[[#This Row],[Item]],supercb[Bairro],mercado9)</f>
        <v>0</v>
      </c>
      <c r="AT94" s="4">
        <f>SUMIFS(super1[Qtde],super1[Item],tab_higiene[[#This Row],[Item]],super1[Bairro],mercado10)+SUMIFS(supercb[Qtde],supercb[Item],tab_higiene[[#This Row],[Item]],supercb[Bairro],mercado10)</f>
        <v>0</v>
      </c>
      <c r="AU94" s="4">
        <f>SUMIFS(super1[Qtde],super1[Item],tab_higiene[[#This Row],[Item]],super1[Bairro],mercado11)+SUMIFS(supercb[Qtde],supercb[Item],tab_higiene[[#This Row],[Item]],supercb[Bairro],mercado11)</f>
        <v>0</v>
      </c>
      <c r="AV94" s="4">
        <f>SUMIFS(super1[Qtde],super1[Item],tab_higiene[[#This Row],[Item]],super1[Bairro],mercado12)+SUMIFS(supercb[Qtde],supercb[Item],tab_higiene[[#This Row],[Item]],supercb[Bairro],mercado12)</f>
        <v>0</v>
      </c>
      <c r="AW94" s="4">
        <f>SUMIFS(super1[Qtde],super1[Item],tab_higiene[[#This Row],[Item]],super1[Bairro],mercado13)+SUMIFS(supercb[Qtde],supercb[Item],tab_higiene[[#This Row],[Item]],supercb[Bairro],mercado13)</f>
        <v>0</v>
      </c>
      <c r="AX94" s="4">
        <f>SUMIFS(super1[Qtde],super1[Item],tab_higiene[[#This Row],[Item]],super1[Bairro],mercado14)+SUMIFS(supercb[Qtde],supercb[Item],tab_higiene[[#This Row],[Item]],supercb[Bairro],mercado14)</f>
        <v>0</v>
      </c>
      <c r="AY94" s="4">
        <f>SUMIFS(super1[Qtde],super1[Item],tab_higiene[[#This Row],[Item]],super1[Bairro],mercado15)+SUMIFS(supercb[Qtde],supercb[Item],tab_higiene[[#This Row],[Item]],supercb[Bairro],mercado15)</f>
        <v>0</v>
      </c>
      <c r="AZ94" s="4">
        <f>SUMIFS(super1[Qtde],super1[Item],tab_higiene[[#This Row],[Item]],super1[Bairro],mercado16)+SUMIFS(supercb[Qtde],supercb[Item],tab_higiene[[#This Row],[Item]],supercb[Bairro],mercado16)</f>
        <v>0</v>
      </c>
      <c r="BA94" s="4">
        <f>SUMIFS(super1[Qtde],super1[Item],tab_higiene[[#This Row],[Item]],super1[Bairro],mercado17)+SUMIFS(supercb[Qtde],supercb[Item],tab_higiene[[#This Row],[Item]],supercb[Bairro],mercado17)</f>
        <v>0</v>
      </c>
      <c r="BB94" s="4">
        <f>SUMIFS(super1[Qtde],super1[Item],tab_higiene[[#This Row],[Item]],super1[Bairro],mercado18)+SUMIFS(supercb[Qtde],supercb[Item],tab_higiene[[#This Row],[Item]],supercb[Bairro],mercado18)</f>
        <v>0</v>
      </c>
      <c r="BC94" s="4">
        <f>SUMIFS(super1[Qtde],super1[Item],tab_higiene[[#This Row],[Item]],super1[Bairro],extras)+SUMIFS(supercb[Qtde],supercb[Item],tab_higiene[[#This Row],[Item]],supercb[Bairro],extras)</f>
        <v>0</v>
      </c>
      <c r="BD94" s="4">
        <f t="shared" si="30"/>
        <v>0</v>
      </c>
      <c r="BE94" s="4">
        <f t="shared" si="31"/>
        <v>0</v>
      </c>
      <c r="BF94" s="6">
        <f t="shared" si="32"/>
        <v>0</v>
      </c>
      <c r="BI94" s="1" t="str">
        <f>tab_alimentos[[#This Row],[Item]]</f>
        <v>Biscoito Maisena (400g)</v>
      </c>
      <c r="BJ94" s="1">
        <f t="shared" si="25"/>
        <v>17</v>
      </c>
      <c r="BK94" s="1" t="str">
        <f t="shared" si="26"/>
        <v>Biscoito Maisena</v>
      </c>
      <c r="BL94" s="1">
        <f>tab_alimentos[[#This Row],[kg]]</f>
        <v>0</v>
      </c>
      <c r="BN94" s="1">
        <f t="shared" si="36"/>
        <v>0</v>
      </c>
      <c r="BP94" s="1" t="str">
        <f>tab_higiene[[#This Row],[Item]]</f>
        <v>Fraldas Geriátricas (16un)</v>
      </c>
      <c r="BQ94" s="1">
        <f t="shared" si="33"/>
        <v>20</v>
      </c>
      <c r="BR94" s="1" t="str">
        <f t="shared" si="34"/>
        <v>Fraldas Geriátricas</v>
      </c>
      <c r="BS94" s="1">
        <f>higiene[[#This Row],[Quantidade]]</f>
        <v>16</v>
      </c>
      <c r="BT94" s="1">
        <f>tab_higiene[[#This Row],[Qtde (tot)]]</f>
        <v>0</v>
      </c>
      <c r="BU94" s="1">
        <f t="shared" si="37"/>
        <v>0</v>
      </c>
      <c r="BW94" s="1">
        <f t="shared" si="35"/>
        <v>0</v>
      </c>
    </row>
    <row r="95" spans="9:75" x14ac:dyDescent="0.25">
      <c r="I95" s="19" t="str">
        <f>alimentos[[#This Row],[Item]]</f>
        <v>Biscoito Salgado (100g)</v>
      </c>
      <c r="J95" s="4">
        <f>IFERROR(alimentos[[#This Row],[kg/embalagem]],0)</f>
        <v>0.1</v>
      </c>
      <c r="K95" s="4">
        <f>IFERROR(alimentos[[#This Row],[Preço]],0)</f>
        <v>5.48</v>
      </c>
      <c r="L95" s="4">
        <f>SUMIFS(super1[Qtde],super1[Item],tab_alimentos[[#This Row],[Item]],super1[Bairro],mercado1)+SUMIFS(supercb[Qtde],supercb[Item],tab_alimentos[[#This Row],[Item]],supercb[Bairro],mercado1)</f>
        <v>0</v>
      </c>
      <c r="M95" s="4">
        <f>SUMIFS(super1[Qtde],super1[Item],tab_alimentos[[#This Row],[Item]],super1[Bairro],mercado2)+SUMIFS(supercb[Qtde],supercb[Item],tab_alimentos[[#This Row],[Item]],supercb[Bairro],mercado2)</f>
        <v>0</v>
      </c>
      <c r="N95" s="4">
        <f>SUMIFS(super1[Qtde],super1[Item],tab_alimentos[[#This Row],[Item]],super1[Bairro],mercado3)+SUMIFS(supercb[Qtde],supercb[Item],tab_alimentos[[#This Row],[Item]],supercb[Bairro],mercado3)</f>
        <v>0</v>
      </c>
      <c r="O95" s="4">
        <f>SUMIFS(super1[Qtde],super1[Item],tab_alimentos[[#This Row],[Item]],super1[Bairro],mercado4)+SUMIFS(supercb[Qtde],supercb[Item],tab_alimentos[[#This Row],[Item]],supercb[Bairro],mercado4)</f>
        <v>0</v>
      </c>
      <c r="P95" s="4">
        <f>SUMIFS(super1[Qtde],super1[Item],tab_alimentos[[#This Row],[Item]],super1[Bairro],mercado5)+SUMIFS(supercb[Qtde],supercb[Item],tab_alimentos[[#This Row],[Item]],supercb[Bairro],mercado5)</f>
        <v>0</v>
      </c>
      <c r="Q95" s="4">
        <f>SUMIFS(super1[Qtde],super1[Item],tab_alimentos[[#This Row],[Item]],super1[Bairro],mercado6)+SUMIFS(supercb[Qtde],supercb[Item],tab_alimentos[[#This Row],[Item]],supercb[Bairro],mercado6)</f>
        <v>0</v>
      </c>
      <c r="R95" s="4">
        <f>SUMIFS(super1[Qtde],super1[Item],tab_alimentos[[#This Row],[Item]],super1[Bairro],mercado7)+SUMIFS(supercb[Qtde],supercb[Item],tab_alimentos[[#This Row],[Item]],supercb[Bairro],mercado7)</f>
        <v>0</v>
      </c>
      <c r="S95" s="4">
        <f>SUMIFS(super1[Qtde],super1[Item],tab_alimentos[[#This Row],[Item]],super1[Bairro],mercado8)+SUMIFS(supercb[Qtde],supercb[Item],tab_alimentos[[#This Row],[Item]],supercb[Bairro],mercado8)</f>
        <v>0</v>
      </c>
      <c r="T95" s="4">
        <f>SUMIFS(super1[Qtde],super1[Item],tab_alimentos[[#This Row],[Item]],super1[Bairro],mercado9)+SUMIFS(supercb[Qtde],supercb[Item],tab_alimentos[[#This Row],[Item]],supercb[Bairro],mercado9)</f>
        <v>0</v>
      </c>
      <c r="U95" s="4">
        <f>SUMIFS(super1[Qtde],super1[Item],tab_alimentos[[#This Row],[Item]],super1[Bairro],mercado10)+SUMIFS(supercb[Qtde],supercb[Item],tab_alimentos[[#This Row],[Item]],supercb[Bairro],mercado10)</f>
        <v>0</v>
      </c>
      <c r="V95" s="4">
        <f>SUMIFS(super1[Qtde],super1[Item],tab_alimentos[[#This Row],[Item]],super1[Bairro],mercado11)+SUMIFS(supercb[Qtde],supercb[Item],tab_alimentos[[#This Row],[Item]],supercb[Bairro],mercado11)</f>
        <v>0</v>
      </c>
      <c r="W95" s="4">
        <f>SUMIFS(super1[Qtde],super1[Item],tab_alimentos[[#This Row],[Item]],super1[Bairro],mercado12)+SUMIFS(supercb[Qtde],supercb[Item],tab_alimentos[[#This Row],[Item]],supercb[Bairro],mercado12)</f>
        <v>0</v>
      </c>
      <c r="X95" s="4">
        <f>SUMIFS(super1[Qtde],super1[Item],tab_alimentos[[#This Row],[Item]],super1[Bairro],mercado13)+SUMIFS(supercb[Qtde],supercb[Item],tab_alimentos[[#This Row],[Item]],supercb[Bairro],mercado13)</f>
        <v>0</v>
      </c>
      <c r="Y95" s="4">
        <f>SUMIFS(super1[Qtde],super1[Item],tab_alimentos[[#This Row],[Item]],super1[Bairro],mercado14)+SUMIFS(supercb[Qtde],supercb[Item],tab_alimentos[[#This Row],[Item]],supercb[Bairro],mercado14)</f>
        <v>0</v>
      </c>
      <c r="Z95" s="4">
        <f>SUMIFS(super1[Qtde],super1[Item],tab_alimentos[[#This Row],[Item]],super1[Bairro],mercado15)+SUMIFS(supercb[Qtde],supercb[Item],tab_alimentos[[#This Row],[Item]],supercb[Bairro],mercado15)</f>
        <v>0</v>
      </c>
      <c r="AA95" s="4">
        <f>SUMIFS(super1[Qtde],super1[Item],tab_alimentos[[#This Row],[Item]],super1[Bairro],mercado16)+SUMIFS(supercb[Qtde],supercb[Item],tab_alimentos[[#This Row],[Item]],supercb[Bairro],mercado16)</f>
        <v>0</v>
      </c>
      <c r="AB95" s="4">
        <f>SUMIFS(super1[Qtde],super1[Item],tab_alimentos[[#This Row],[Item]],super1[Bairro],mercado17)+SUMIFS(supercb[Qtde],supercb[Item],tab_alimentos[[#This Row],[Item]],supercb[Bairro],mercado17)</f>
        <v>0</v>
      </c>
      <c r="AC95" s="4">
        <f>SUMIFS(super1[Qtde],super1[Item],tab_alimentos[[#This Row],[Item]],super1[Bairro],mercado18)+SUMIFS(supercb[Qtde],supercb[Item],tab_alimentos[[#This Row],[Item]],supercb[Bairro],mercado18)</f>
        <v>0</v>
      </c>
      <c r="AD95" s="4">
        <f>SUMIFS(super1[Qtde],super1[Item],tab_alimentos[[#This Row],[Item]],super1[Bairro],extras)+SUMIFS(supercb[Qtde],supercb[Item],tab_alimentos[[#This Row],[Item]],supercb[Bairro],extras)</f>
        <v>0</v>
      </c>
      <c r="AE95" s="4">
        <f t="shared" si="27"/>
        <v>0</v>
      </c>
      <c r="AF95" s="4">
        <f t="shared" si="28"/>
        <v>0</v>
      </c>
      <c r="AG95" s="6">
        <f t="shared" si="29"/>
        <v>0</v>
      </c>
      <c r="AH95" s="19" t="str">
        <f>higiene[[#This Row],[Item]]</f>
        <v>Fraldas Geriátricas (18un)</v>
      </c>
      <c r="AI95" s="4">
        <f>IFERROR(higiene[[#This Row],[Kg equivalente]],0)</f>
        <v>0</v>
      </c>
      <c r="AJ95" s="4">
        <f>IFERROR(higiene[[#This Row],[Preço por produto]],0)</f>
        <v>56.9</v>
      </c>
      <c r="AK95" s="4">
        <f>SUMIFS(super1[Qtde],super1[Item],tab_higiene[[#This Row],[Item]],super1[Bairro],mercado1)+SUMIFS(supercb[Qtde],supercb[Item],tab_higiene[[#This Row],[Item]],supercb[Bairro],mercado1)</f>
        <v>0</v>
      </c>
      <c r="AL95" s="4">
        <f>SUMIFS(super1[Qtde],super1[Item],tab_higiene[[#This Row],[Item]],super1[Bairro],mercado2)+SUMIFS(supercb[Qtde],supercb[Item],tab_higiene[[#This Row],[Item]],supercb[Bairro],mercado2)</f>
        <v>0</v>
      </c>
      <c r="AM95" s="4">
        <f>SUMIFS(super1[Qtde],super1[Item],tab_higiene[[#This Row],[Item]],super1[Bairro],mercado3)+SUMIFS(supercb[Qtde],supercb[Item],tab_higiene[[#This Row],[Item]],supercb[Bairro],mercado3)</f>
        <v>0</v>
      </c>
      <c r="AN95" s="4">
        <f>SUMIFS(super1[Qtde],super1[Item],tab_higiene[[#This Row],[Item]],super1[Bairro],mercado4)+SUMIFS(supercb[Qtde],supercb[Item],tab_higiene[[#This Row],[Item]],supercb[Bairro],mercado4)</f>
        <v>0</v>
      </c>
      <c r="AO95" s="4">
        <f>SUMIFS(super1[Qtde],super1[Item],tab_higiene[[#This Row],[Item]],super1[Bairro],mercado5)+SUMIFS(supercb[Qtde],supercb[Item],tab_higiene[[#This Row],[Item]],supercb[Bairro],mercado5)</f>
        <v>0</v>
      </c>
      <c r="AP95" s="4">
        <f>SUMIFS(super1[Qtde],super1[Item],tab_higiene[[#This Row],[Item]],super1[Bairro],mercado6)+SUMIFS(supercb[Qtde],supercb[Item],tab_higiene[[#This Row],[Item]],supercb[Bairro],mercado6)</f>
        <v>0</v>
      </c>
      <c r="AQ95" s="4">
        <f>SUMIFS(super1[Qtde],super1[Item],tab_higiene[[#This Row],[Item]],super1[Bairro],mercado7)+SUMIFS(supercb[Qtde],supercb[Item],tab_higiene[[#This Row],[Item]],supercb[Bairro],mercado7)</f>
        <v>0</v>
      </c>
      <c r="AR95" s="4">
        <f>SUMIFS(super1[Qtde],super1[Item],tab_higiene[[#This Row],[Item]],super1[Bairro],mercado8)+SUMIFS(supercb[Qtde],supercb[Item],tab_higiene[[#This Row],[Item]],supercb[Bairro],mercado8)</f>
        <v>0</v>
      </c>
      <c r="AS95" s="4">
        <f>SUMIFS(super1[Qtde],super1[Item],tab_higiene[[#This Row],[Item]],super1[Bairro],mercado9)+SUMIFS(supercb[Qtde],supercb[Item],tab_higiene[[#This Row],[Item]],supercb[Bairro],mercado9)</f>
        <v>0</v>
      </c>
      <c r="AT95" s="4">
        <f>SUMIFS(super1[Qtde],super1[Item],tab_higiene[[#This Row],[Item]],super1[Bairro],mercado10)+SUMIFS(supercb[Qtde],supercb[Item],tab_higiene[[#This Row],[Item]],supercb[Bairro],mercado10)</f>
        <v>0</v>
      </c>
      <c r="AU95" s="4">
        <f>SUMIFS(super1[Qtde],super1[Item],tab_higiene[[#This Row],[Item]],super1[Bairro],mercado11)+SUMIFS(supercb[Qtde],supercb[Item],tab_higiene[[#This Row],[Item]],supercb[Bairro],mercado11)</f>
        <v>0</v>
      </c>
      <c r="AV95" s="4">
        <f>SUMIFS(super1[Qtde],super1[Item],tab_higiene[[#This Row],[Item]],super1[Bairro],mercado12)+SUMIFS(supercb[Qtde],supercb[Item],tab_higiene[[#This Row],[Item]],supercb[Bairro],mercado12)</f>
        <v>0</v>
      </c>
      <c r="AW95" s="4">
        <f>SUMIFS(super1[Qtde],super1[Item],tab_higiene[[#This Row],[Item]],super1[Bairro],mercado13)+SUMIFS(supercb[Qtde],supercb[Item],tab_higiene[[#This Row],[Item]],supercb[Bairro],mercado13)</f>
        <v>0</v>
      </c>
      <c r="AX95" s="4">
        <f>SUMIFS(super1[Qtde],super1[Item],tab_higiene[[#This Row],[Item]],super1[Bairro],mercado14)+SUMIFS(supercb[Qtde],supercb[Item],tab_higiene[[#This Row],[Item]],supercb[Bairro],mercado14)</f>
        <v>0</v>
      </c>
      <c r="AY95" s="4">
        <f>SUMIFS(super1[Qtde],super1[Item],tab_higiene[[#This Row],[Item]],super1[Bairro],mercado15)+SUMIFS(supercb[Qtde],supercb[Item],tab_higiene[[#This Row],[Item]],supercb[Bairro],mercado15)</f>
        <v>0</v>
      </c>
      <c r="AZ95" s="4">
        <f>SUMIFS(super1[Qtde],super1[Item],tab_higiene[[#This Row],[Item]],super1[Bairro],mercado16)+SUMIFS(supercb[Qtde],supercb[Item],tab_higiene[[#This Row],[Item]],supercb[Bairro],mercado16)</f>
        <v>0</v>
      </c>
      <c r="BA95" s="4">
        <f>SUMIFS(super1[Qtde],super1[Item],tab_higiene[[#This Row],[Item]],super1[Bairro],mercado17)+SUMIFS(supercb[Qtde],supercb[Item],tab_higiene[[#This Row],[Item]],supercb[Bairro],mercado17)</f>
        <v>0</v>
      </c>
      <c r="BB95" s="4">
        <f>SUMIFS(super1[Qtde],super1[Item],tab_higiene[[#This Row],[Item]],super1[Bairro],mercado18)+SUMIFS(supercb[Qtde],supercb[Item],tab_higiene[[#This Row],[Item]],supercb[Bairro],mercado18)</f>
        <v>0</v>
      </c>
      <c r="BC95" s="4">
        <f>SUMIFS(super1[Qtde],super1[Item],tab_higiene[[#This Row],[Item]],super1[Bairro],extras)+SUMIFS(supercb[Qtde],supercb[Item],tab_higiene[[#This Row],[Item]],supercb[Bairro],extras)</f>
        <v>0</v>
      </c>
      <c r="BD95" s="4">
        <f t="shared" si="30"/>
        <v>0</v>
      </c>
      <c r="BE95" s="4">
        <f t="shared" si="31"/>
        <v>0</v>
      </c>
      <c r="BF95" s="6">
        <f t="shared" si="32"/>
        <v>0</v>
      </c>
      <c r="BI95" s="1" t="str">
        <f>tab_alimentos[[#This Row],[Item]]</f>
        <v>Biscoito Salgado (100g)</v>
      </c>
      <c r="BJ95" s="1">
        <f t="shared" si="25"/>
        <v>17</v>
      </c>
      <c r="BK95" s="1" t="str">
        <f t="shared" si="26"/>
        <v>Biscoito Salgado</v>
      </c>
      <c r="BL95" s="1">
        <f>tab_alimentos[[#This Row],[kg]]</f>
        <v>0</v>
      </c>
      <c r="BN95" s="1">
        <f t="shared" si="36"/>
        <v>0</v>
      </c>
      <c r="BP95" s="1" t="str">
        <f>tab_higiene[[#This Row],[Item]]</f>
        <v>Fraldas Geriátricas (18un)</v>
      </c>
      <c r="BQ95" s="1">
        <f t="shared" si="33"/>
        <v>20</v>
      </c>
      <c r="BR95" s="1" t="str">
        <f t="shared" si="34"/>
        <v>Fraldas Geriátricas</v>
      </c>
      <c r="BS95" s="1">
        <f>higiene[[#This Row],[Quantidade]]</f>
        <v>0</v>
      </c>
      <c r="BT95" s="1">
        <f>tab_higiene[[#This Row],[Qtde (tot)]]</f>
        <v>0</v>
      </c>
      <c r="BU95" s="1">
        <f t="shared" si="37"/>
        <v>0</v>
      </c>
      <c r="BW95" s="1">
        <f t="shared" si="35"/>
        <v>0</v>
      </c>
    </row>
    <row r="96" spans="9:75" x14ac:dyDescent="0.25">
      <c r="I96" s="19" t="str">
        <f>alimentos[[#This Row],[Item]]</f>
        <v>Biscoito Salgado (110g)</v>
      </c>
      <c r="J96" s="4">
        <f>IFERROR(alimentos[[#This Row],[kg/embalagem]],0)</f>
        <v>0.11</v>
      </c>
      <c r="K96" s="4">
        <f>IFERROR(alimentos[[#This Row],[Preço]],0)</f>
        <v>3.69</v>
      </c>
      <c r="L96" s="4">
        <f>SUMIFS(super1[Qtde],super1[Item],tab_alimentos[[#This Row],[Item]],super1[Bairro],mercado1)+SUMIFS(supercb[Qtde],supercb[Item],tab_alimentos[[#This Row],[Item]],supercb[Bairro],mercado1)</f>
        <v>0</v>
      </c>
      <c r="M96" s="4">
        <f>SUMIFS(super1[Qtde],super1[Item],tab_alimentos[[#This Row],[Item]],super1[Bairro],mercado2)+SUMIFS(supercb[Qtde],supercb[Item],tab_alimentos[[#This Row],[Item]],supercb[Bairro],mercado2)</f>
        <v>0</v>
      </c>
      <c r="N96" s="4">
        <f>SUMIFS(super1[Qtde],super1[Item],tab_alimentos[[#This Row],[Item]],super1[Bairro],mercado3)+SUMIFS(supercb[Qtde],supercb[Item],tab_alimentos[[#This Row],[Item]],supercb[Bairro],mercado3)</f>
        <v>0</v>
      </c>
      <c r="O96" s="4">
        <f>SUMIFS(super1[Qtde],super1[Item],tab_alimentos[[#This Row],[Item]],super1[Bairro],mercado4)+SUMIFS(supercb[Qtde],supercb[Item],tab_alimentos[[#This Row],[Item]],supercb[Bairro],mercado4)</f>
        <v>0</v>
      </c>
      <c r="P96" s="4">
        <f>SUMIFS(super1[Qtde],super1[Item],tab_alimentos[[#This Row],[Item]],super1[Bairro],mercado5)+SUMIFS(supercb[Qtde],supercb[Item],tab_alimentos[[#This Row],[Item]],supercb[Bairro],mercado5)</f>
        <v>0</v>
      </c>
      <c r="Q96" s="4">
        <f>SUMIFS(super1[Qtde],super1[Item],tab_alimentos[[#This Row],[Item]],super1[Bairro],mercado6)+SUMIFS(supercb[Qtde],supercb[Item],tab_alimentos[[#This Row],[Item]],supercb[Bairro],mercado6)</f>
        <v>0</v>
      </c>
      <c r="R96" s="4">
        <f>SUMIFS(super1[Qtde],super1[Item],tab_alimentos[[#This Row],[Item]],super1[Bairro],mercado7)+SUMIFS(supercb[Qtde],supercb[Item],tab_alimentos[[#This Row],[Item]],supercb[Bairro],mercado7)</f>
        <v>0</v>
      </c>
      <c r="S96" s="4">
        <f>SUMIFS(super1[Qtde],super1[Item],tab_alimentos[[#This Row],[Item]],super1[Bairro],mercado8)+SUMIFS(supercb[Qtde],supercb[Item],tab_alimentos[[#This Row],[Item]],supercb[Bairro],mercado8)</f>
        <v>0</v>
      </c>
      <c r="T96" s="4">
        <f>SUMIFS(super1[Qtde],super1[Item],tab_alimentos[[#This Row],[Item]],super1[Bairro],mercado9)+SUMIFS(supercb[Qtde],supercb[Item],tab_alimentos[[#This Row],[Item]],supercb[Bairro],mercado9)</f>
        <v>0</v>
      </c>
      <c r="U96" s="4">
        <f>SUMIFS(super1[Qtde],super1[Item],tab_alimentos[[#This Row],[Item]],super1[Bairro],mercado10)+SUMIFS(supercb[Qtde],supercb[Item],tab_alimentos[[#This Row],[Item]],supercb[Bairro],mercado10)</f>
        <v>0</v>
      </c>
      <c r="V96" s="4">
        <f>SUMIFS(super1[Qtde],super1[Item],tab_alimentos[[#This Row],[Item]],super1[Bairro],mercado11)+SUMIFS(supercb[Qtde],supercb[Item],tab_alimentos[[#This Row],[Item]],supercb[Bairro],mercado11)</f>
        <v>0</v>
      </c>
      <c r="W96" s="4">
        <f>SUMIFS(super1[Qtde],super1[Item],tab_alimentos[[#This Row],[Item]],super1[Bairro],mercado12)+SUMIFS(supercb[Qtde],supercb[Item],tab_alimentos[[#This Row],[Item]],supercb[Bairro],mercado12)</f>
        <v>0</v>
      </c>
      <c r="X96" s="4">
        <f>SUMIFS(super1[Qtde],super1[Item],tab_alimentos[[#This Row],[Item]],super1[Bairro],mercado13)+SUMIFS(supercb[Qtde],supercb[Item],tab_alimentos[[#This Row],[Item]],supercb[Bairro],mercado13)</f>
        <v>0</v>
      </c>
      <c r="Y96" s="4">
        <f>SUMIFS(super1[Qtde],super1[Item],tab_alimentos[[#This Row],[Item]],super1[Bairro],mercado14)+SUMIFS(supercb[Qtde],supercb[Item],tab_alimentos[[#This Row],[Item]],supercb[Bairro],mercado14)</f>
        <v>0</v>
      </c>
      <c r="Z96" s="4">
        <f>SUMIFS(super1[Qtde],super1[Item],tab_alimentos[[#This Row],[Item]],super1[Bairro],mercado15)+SUMIFS(supercb[Qtde],supercb[Item],tab_alimentos[[#This Row],[Item]],supercb[Bairro],mercado15)</f>
        <v>0</v>
      </c>
      <c r="AA96" s="4">
        <f>SUMIFS(super1[Qtde],super1[Item],tab_alimentos[[#This Row],[Item]],super1[Bairro],mercado16)+SUMIFS(supercb[Qtde],supercb[Item],tab_alimentos[[#This Row],[Item]],supercb[Bairro],mercado16)</f>
        <v>0</v>
      </c>
      <c r="AB96" s="4">
        <f>SUMIFS(super1[Qtde],super1[Item],tab_alimentos[[#This Row],[Item]],super1[Bairro],mercado17)+SUMIFS(supercb[Qtde],supercb[Item],tab_alimentos[[#This Row],[Item]],supercb[Bairro],mercado17)</f>
        <v>0</v>
      </c>
      <c r="AC96" s="4">
        <f>SUMIFS(super1[Qtde],super1[Item],tab_alimentos[[#This Row],[Item]],super1[Bairro],mercado18)+SUMIFS(supercb[Qtde],supercb[Item],tab_alimentos[[#This Row],[Item]],supercb[Bairro],mercado18)</f>
        <v>0</v>
      </c>
      <c r="AD96" s="4">
        <f>SUMIFS(super1[Qtde],super1[Item],tab_alimentos[[#This Row],[Item]],super1[Bairro],extras)+SUMIFS(supercb[Qtde],supercb[Item],tab_alimentos[[#This Row],[Item]],supercb[Bairro],extras)</f>
        <v>0</v>
      </c>
      <c r="AE96" s="4">
        <f t="shared" si="27"/>
        <v>0</v>
      </c>
      <c r="AF96" s="4">
        <f t="shared" si="28"/>
        <v>0</v>
      </c>
      <c r="AG96" s="6">
        <f t="shared" si="29"/>
        <v>0</v>
      </c>
      <c r="AH96" s="19" t="str">
        <f>higiene[[#This Row],[Item]]</f>
        <v>Fraldas Geriátricas (20un)</v>
      </c>
      <c r="AI96" s="4">
        <f>IFERROR(higiene[[#This Row],[Kg equivalente]],0)</f>
        <v>0</v>
      </c>
      <c r="AJ96" s="4">
        <f>IFERROR(higiene[[#This Row],[Preço por produto]],0)</f>
        <v>56.9</v>
      </c>
      <c r="AK96" s="4">
        <f>SUMIFS(super1[Qtde],super1[Item],tab_higiene[[#This Row],[Item]],super1[Bairro],mercado1)+SUMIFS(supercb[Qtde],supercb[Item],tab_higiene[[#This Row],[Item]],supercb[Bairro],mercado1)</f>
        <v>0</v>
      </c>
      <c r="AL96" s="4">
        <f>SUMIFS(super1[Qtde],super1[Item],tab_higiene[[#This Row],[Item]],super1[Bairro],mercado2)+SUMIFS(supercb[Qtde],supercb[Item],tab_higiene[[#This Row],[Item]],supercb[Bairro],mercado2)</f>
        <v>0</v>
      </c>
      <c r="AM96" s="4">
        <f>SUMIFS(super1[Qtde],super1[Item],tab_higiene[[#This Row],[Item]],super1[Bairro],mercado3)+SUMIFS(supercb[Qtde],supercb[Item],tab_higiene[[#This Row],[Item]],supercb[Bairro],mercado3)</f>
        <v>0</v>
      </c>
      <c r="AN96" s="4">
        <f>SUMIFS(super1[Qtde],super1[Item],tab_higiene[[#This Row],[Item]],super1[Bairro],mercado4)+SUMIFS(supercb[Qtde],supercb[Item],tab_higiene[[#This Row],[Item]],supercb[Bairro],mercado4)</f>
        <v>0</v>
      </c>
      <c r="AO96" s="4">
        <f>SUMIFS(super1[Qtde],super1[Item],tab_higiene[[#This Row],[Item]],super1[Bairro],mercado5)+SUMIFS(supercb[Qtde],supercb[Item],tab_higiene[[#This Row],[Item]],supercb[Bairro],mercado5)</f>
        <v>0</v>
      </c>
      <c r="AP96" s="4">
        <f>SUMIFS(super1[Qtde],super1[Item],tab_higiene[[#This Row],[Item]],super1[Bairro],mercado6)+SUMIFS(supercb[Qtde],supercb[Item],tab_higiene[[#This Row],[Item]],supercb[Bairro],mercado6)</f>
        <v>0</v>
      </c>
      <c r="AQ96" s="4">
        <f>SUMIFS(super1[Qtde],super1[Item],tab_higiene[[#This Row],[Item]],super1[Bairro],mercado7)+SUMIFS(supercb[Qtde],supercb[Item],tab_higiene[[#This Row],[Item]],supercb[Bairro],mercado7)</f>
        <v>0</v>
      </c>
      <c r="AR96" s="4">
        <f>SUMIFS(super1[Qtde],super1[Item],tab_higiene[[#This Row],[Item]],super1[Bairro],mercado8)+SUMIFS(supercb[Qtde],supercb[Item],tab_higiene[[#This Row],[Item]],supercb[Bairro],mercado8)</f>
        <v>0</v>
      </c>
      <c r="AS96" s="4">
        <f>SUMIFS(super1[Qtde],super1[Item],tab_higiene[[#This Row],[Item]],super1[Bairro],mercado9)+SUMIFS(supercb[Qtde],supercb[Item],tab_higiene[[#This Row],[Item]],supercb[Bairro],mercado9)</f>
        <v>0</v>
      </c>
      <c r="AT96" s="4">
        <f>SUMIFS(super1[Qtde],super1[Item],tab_higiene[[#This Row],[Item]],super1[Bairro],mercado10)+SUMIFS(supercb[Qtde],supercb[Item],tab_higiene[[#This Row],[Item]],supercb[Bairro],mercado10)</f>
        <v>0</v>
      </c>
      <c r="AU96" s="4">
        <f>SUMIFS(super1[Qtde],super1[Item],tab_higiene[[#This Row],[Item]],super1[Bairro],mercado11)+SUMIFS(supercb[Qtde],supercb[Item],tab_higiene[[#This Row],[Item]],supercb[Bairro],mercado11)</f>
        <v>0</v>
      </c>
      <c r="AV96" s="4">
        <f>SUMIFS(super1[Qtde],super1[Item],tab_higiene[[#This Row],[Item]],super1[Bairro],mercado12)+SUMIFS(supercb[Qtde],supercb[Item],tab_higiene[[#This Row],[Item]],supercb[Bairro],mercado12)</f>
        <v>0</v>
      </c>
      <c r="AW96" s="4">
        <f>SUMIFS(super1[Qtde],super1[Item],tab_higiene[[#This Row],[Item]],super1[Bairro],mercado13)+SUMIFS(supercb[Qtde],supercb[Item],tab_higiene[[#This Row],[Item]],supercb[Bairro],mercado13)</f>
        <v>0</v>
      </c>
      <c r="AX96" s="4">
        <f>SUMIFS(super1[Qtde],super1[Item],tab_higiene[[#This Row],[Item]],super1[Bairro],mercado14)+SUMIFS(supercb[Qtde],supercb[Item],tab_higiene[[#This Row],[Item]],supercb[Bairro],mercado14)</f>
        <v>0</v>
      </c>
      <c r="AY96" s="4">
        <f>SUMIFS(super1[Qtde],super1[Item],tab_higiene[[#This Row],[Item]],super1[Bairro],mercado15)+SUMIFS(supercb[Qtde],supercb[Item],tab_higiene[[#This Row],[Item]],supercb[Bairro],mercado15)</f>
        <v>0</v>
      </c>
      <c r="AZ96" s="4">
        <f>SUMIFS(super1[Qtde],super1[Item],tab_higiene[[#This Row],[Item]],super1[Bairro],mercado16)+SUMIFS(supercb[Qtde],supercb[Item],tab_higiene[[#This Row],[Item]],supercb[Bairro],mercado16)</f>
        <v>0</v>
      </c>
      <c r="BA96" s="4">
        <f>SUMIFS(super1[Qtde],super1[Item],tab_higiene[[#This Row],[Item]],super1[Bairro],mercado17)+SUMIFS(supercb[Qtde],supercb[Item],tab_higiene[[#This Row],[Item]],supercb[Bairro],mercado17)</f>
        <v>0</v>
      </c>
      <c r="BB96" s="4">
        <f>SUMIFS(super1[Qtde],super1[Item],tab_higiene[[#This Row],[Item]],super1[Bairro],mercado18)+SUMIFS(supercb[Qtde],supercb[Item],tab_higiene[[#This Row],[Item]],supercb[Bairro],mercado18)</f>
        <v>0</v>
      </c>
      <c r="BC96" s="4">
        <f>SUMIFS(super1[Qtde],super1[Item],tab_higiene[[#This Row],[Item]],super1[Bairro],extras)+SUMIFS(supercb[Qtde],supercb[Item],tab_higiene[[#This Row],[Item]],supercb[Bairro],extras)</f>
        <v>0</v>
      </c>
      <c r="BD96" s="4">
        <f t="shared" si="30"/>
        <v>0</v>
      </c>
      <c r="BE96" s="4">
        <f t="shared" si="31"/>
        <v>0</v>
      </c>
      <c r="BF96" s="6">
        <f t="shared" si="32"/>
        <v>0</v>
      </c>
      <c r="BI96" s="1" t="str">
        <f>tab_alimentos[[#This Row],[Item]]</f>
        <v>Biscoito Salgado (110g)</v>
      </c>
      <c r="BJ96" s="1">
        <f t="shared" si="25"/>
        <v>17</v>
      </c>
      <c r="BK96" s="1" t="str">
        <f t="shared" si="26"/>
        <v>Biscoito Salgado</v>
      </c>
      <c r="BL96" s="1">
        <f>tab_alimentos[[#This Row],[kg]]</f>
        <v>0</v>
      </c>
      <c r="BN96" s="1">
        <f t="shared" si="36"/>
        <v>0</v>
      </c>
      <c r="BP96" s="1" t="str">
        <f>tab_higiene[[#This Row],[Item]]</f>
        <v>Fraldas Geriátricas (20un)</v>
      </c>
      <c r="BQ96" s="1">
        <f t="shared" si="33"/>
        <v>20</v>
      </c>
      <c r="BR96" s="1" t="str">
        <f t="shared" si="34"/>
        <v>Fraldas Geriátricas</v>
      </c>
      <c r="BS96" s="1">
        <f>higiene[[#This Row],[Quantidade]]</f>
        <v>0</v>
      </c>
      <c r="BT96" s="1">
        <f>tab_higiene[[#This Row],[Qtde (tot)]]</f>
        <v>0</v>
      </c>
      <c r="BU96" s="1">
        <f t="shared" si="37"/>
        <v>0</v>
      </c>
      <c r="BW96" s="1">
        <f t="shared" si="35"/>
        <v>0</v>
      </c>
    </row>
    <row r="97" spans="9:75" x14ac:dyDescent="0.25">
      <c r="I97" s="19" t="str">
        <f>alimentos[[#This Row],[Item]]</f>
        <v>Biscoito Salgado (126g)</v>
      </c>
      <c r="J97" s="4">
        <f>IFERROR(alimentos[[#This Row],[kg/embalagem]],0)</f>
        <v>0.126</v>
      </c>
      <c r="K97" s="4">
        <f>IFERROR(alimentos[[#This Row],[Preço]],0)</f>
        <v>4.8899999999999997</v>
      </c>
      <c r="L97" s="4">
        <f>SUMIFS(super1[Qtde],super1[Item],tab_alimentos[[#This Row],[Item]],super1[Bairro],mercado1)+SUMIFS(supercb[Qtde],supercb[Item],tab_alimentos[[#This Row],[Item]],supercb[Bairro],mercado1)</f>
        <v>0</v>
      </c>
      <c r="M97" s="4">
        <f>SUMIFS(super1[Qtde],super1[Item],tab_alimentos[[#This Row],[Item]],super1[Bairro],mercado2)+SUMIFS(supercb[Qtde],supercb[Item],tab_alimentos[[#This Row],[Item]],supercb[Bairro],mercado2)</f>
        <v>0</v>
      </c>
      <c r="N97" s="4">
        <f>SUMIFS(super1[Qtde],super1[Item],tab_alimentos[[#This Row],[Item]],super1[Bairro],mercado3)+SUMIFS(supercb[Qtde],supercb[Item],tab_alimentos[[#This Row],[Item]],supercb[Bairro],mercado3)</f>
        <v>0</v>
      </c>
      <c r="O97" s="4">
        <f>SUMIFS(super1[Qtde],super1[Item],tab_alimentos[[#This Row],[Item]],super1[Bairro],mercado4)+SUMIFS(supercb[Qtde],supercb[Item],tab_alimentos[[#This Row],[Item]],supercb[Bairro],mercado4)</f>
        <v>0</v>
      </c>
      <c r="P97" s="4">
        <f>SUMIFS(super1[Qtde],super1[Item],tab_alimentos[[#This Row],[Item]],super1[Bairro],mercado5)+SUMIFS(supercb[Qtde],supercb[Item],tab_alimentos[[#This Row],[Item]],supercb[Bairro],mercado5)</f>
        <v>0</v>
      </c>
      <c r="Q97" s="4">
        <f>SUMIFS(super1[Qtde],super1[Item],tab_alimentos[[#This Row],[Item]],super1[Bairro],mercado6)+SUMIFS(supercb[Qtde],supercb[Item],tab_alimentos[[#This Row],[Item]],supercb[Bairro],mercado6)</f>
        <v>0</v>
      </c>
      <c r="R97" s="4">
        <f>SUMIFS(super1[Qtde],super1[Item],tab_alimentos[[#This Row],[Item]],super1[Bairro],mercado7)+SUMIFS(supercb[Qtde],supercb[Item],tab_alimentos[[#This Row],[Item]],supercb[Bairro],mercado7)</f>
        <v>0</v>
      </c>
      <c r="S97" s="4">
        <f>SUMIFS(super1[Qtde],super1[Item],tab_alimentos[[#This Row],[Item]],super1[Bairro],mercado8)+SUMIFS(supercb[Qtde],supercb[Item],tab_alimentos[[#This Row],[Item]],supercb[Bairro],mercado8)</f>
        <v>0</v>
      </c>
      <c r="T97" s="4">
        <f>SUMIFS(super1[Qtde],super1[Item],tab_alimentos[[#This Row],[Item]],super1[Bairro],mercado9)+SUMIFS(supercb[Qtde],supercb[Item],tab_alimentos[[#This Row],[Item]],supercb[Bairro],mercado9)</f>
        <v>0</v>
      </c>
      <c r="U97" s="4">
        <f>SUMIFS(super1[Qtde],super1[Item],tab_alimentos[[#This Row],[Item]],super1[Bairro],mercado10)+SUMIFS(supercb[Qtde],supercb[Item],tab_alimentos[[#This Row],[Item]],supercb[Bairro],mercado10)</f>
        <v>0</v>
      </c>
      <c r="V97" s="4">
        <f>SUMIFS(super1[Qtde],super1[Item],tab_alimentos[[#This Row],[Item]],super1[Bairro],mercado11)+SUMIFS(supercb[Qtde],supercb[Item],tab_alimentos[[#This Row],[Item]],supercb[Bairro],mercado11)</f>
        <v>0</v>
      </c>
      <c r="W97" s="4">
        <f>SUMIFS(super1[Qtde],super1[Item],tab_alimentos[[#This Row],[Item]],super1[Bairro],mercado12)+SUMIFS(supercb[Qtde],supercb[Item],tab_alimentos[[#This Row],[Item]],supercb[Bairro],mercado12)</f>
        <v>0</v>
      </c>
      <c r="X97" s="4">
        <f>SUMIFS(super1[Qtde],super1[Item],tab_alimentos[[#This Row],[Item]],super1[Bairro],mercado13)+SUMIFS(supercb[Qtde],supercb[Item],tab_alimentos[[#This Row],[Item]],supercb[Bairro],mercado13)</f>
        <v>0</v>
      </c>
      <c r="Y97" s="4">
        <f>SUMIFS(super1[Qtde],super1[Item],tab_alimentos[[#This Row],[Item]],super1[Bairro],mercado14)+SUMIFS(supercb[Qtde],supercb[Item],tab_alimentos[[#This Row],[Item]],supercb[Bairro],mercado14)</f>
        <v>0</v>
      </c>
      <c r="Z97" s="4">
        <f>SUMIFS(super1[Qtde],super1[Item],tab_alimentos[[#This Row],[Item]],super1[Bairro],mercado15)+SUMIFS(supercb[Qtde],supercb[Item],tab_alimentos[[#This Row],[Item]],supercb[Bairro],mercado15)</f>
        <v>0</v>
      </c>
      <c r="AA97" s="4">
        <f>SUMIFS(super1[Qtde],super1[Item],tab_alimentos[[#This Row],[Item]],super1[Bairro],mercado16)+SUMIFS(supercb[Qtde],supercb[Item],tab_alimentos[[#This Row],[Item]],supercb[Bairro],mercado16)</f>
        <v>0</v>
      </c>
      <c r="AB97" s="4">
        <f>SUMIFS(super1[Qtde],super1[Item],tab_alimentos[[#This Row],[Item]],super1[Bairro],mercado17)+SUMIFS(supercb[Qtde],supercb[Item],tab_alimentos[[#This Row],[Item]],supercb[Bairro],mercado17)</f>
        <v>0</v>
      </c>
      <c r="AC97" s="4">
        <f>SUMIFS(super1[Qtde],super1[Item],tab_alimentos[[#This Row],[Item]],super1[Bairro],mercado18)+SUMIFS(supercb[Qtde],supercb[Item],tab_alimentos[[#This Row],[Item]],supercb[Bairro],mercado18)</f>
        <v>0</v>
      </c>
      <c r="AD97" s="4">
        <f>SUMIFS(super1[Qtde],super1[Item],tab_alimentos[[#This Row],[Item]],super1[Bairro],extras)+SUMIFS(supercb[Qtde],supercb[Item],tab_alimentos[[#This Row],[Item]],supercb[Bairro],extras)</f>
        <v>0</v>
      </c>
      <c r="AE97" s="4">
        <f t="shared" si="27"/>
        <v>0</v>
      </c>
      <c r="AF97" s="4">
        <f t="shared" si="28"/>
        <v>0</v>
      </c>
      <c r="AG97" s="6">
        <f t="shared" si="29"/>
        <v>0</v>
      </c>
      <c r="AH97" s="19" t="str">
        <f>higiene[[#This Row],[Item]]</f>
        <v>Fraldas Geriátricas (24un)</v>
      </c>
      <c r="AI97" s="4">
        <f>IFERROR(higiene[[#This Row],[Kg equivalente]],0)</f>
        <v>0</v>
      </c>
      <c r="AJ97" s="4">
        <f>IFERROR(higiene[[#This Row],[Preço por produto]],0)</f>
        <v>49.9</v>
      </c>
      <c r="AK97" s="4">
        <f>SUMIFS(super1[Qtde],super1[Item],tab_higiene[[#This Row],[Item]],super1[Bairro],mercado1)+SUMIFS(supercb[Qtde],supercb[Item],tab_higiene[[#This Row],[Item]],supercb[Bairro],mercado1)</f>
        <v>0</v>
      </c>
      <c r="AL97" s="4">
        <f>SUMIFS(super1[Qtde],super1[Item],tab_higiene[[#This Row],[Item]],super1[Bairro],mercado2)+SUMIFS(supercb[Qtde],supercb[Item],tab_higiene[[#This Row],[Item]],supercb[Bairro],mercado2)</f>
        <v>0</v>
      </c>
      <c r="AM97" s="4">
        <f>SUMIFS(super1[Qtde],super1[Item],tab_higiene[[#This Row],[Item]],super1[Bairro],mercado3)+SUMIFS(supercb[Qtde],supercb[Item],tab_higiene[[#This Row],[Item]],supercb[Bairro],mercado3)</f>
        <v>0</v>
      </c>
      <c r="AN97" s="4">
        <f>SUMIFS(super1[Qtde],super1[Item],tab_higiene[[#This Row],[Item]],super1[Bairro],mercado4)+SUMIFS(supercb[Qtde],supercb[Item],tab_higiene[[#This Row],[Item]],supercb[Bairro],mercado4)</f>
        <v>0</v>
      </c>
      <c r="AO97" s="4">
        <f>SUMIFS(super1[Qtde],super1[Item],tab_higiene[[#This Row],[Item]],super1[Bairro],mercado5)+SUMIFS(supercb[Qtde],supercb[Item],tab_higiene[[#This Row],[Item]],supercb[Bairro],mercado5)</f>
        <v>0</v>
      </c>
      <c r="AP97" s="4">
        <f>SUMIFS(super1[Qtde],super1[Item],tab_higiene[[#This Row],[Item]],super1[Bairro],mercado6)+SUMIFS(supercb[Qtde],supercb[Item],tab_higiene[[#This Row],[Item]],supercb[Bairro],mercado6)</f>
        <v>0</v>
      </c>
      <c r="AQ97" s="4">
        <f>SUMIFS(super1[Qtde],super1[Item],tab_higiene[[#This Row],[Item]],super1[Bairro],mercado7)+SUMIFS(supercb[Qtde],supercb[Item],tab_higiene[[#This Row],[Item]],supercb[Bairro],mercado7)</f>
        <v>0</v>
      </c>
      <c r="AR97" s="4">
        <f>SUMIFS(super1[Qtde],super1[Item],tab_higiene[[#This Row],[Item]],super1[Bairro],mercado8)+SUMIFS(supercb[Qtde],supercb[Item],tab_higiene[[#This Row],[Item]],supercb[Bairro],mercado8)</f>
        <v>0</v>
      </c>
      <c r="AS97" s="4">
        <f>SUMIFS(super1[Qtde],super1[Item],tab_higiene[[#This Row],[Item]],super1[Bairro],mercado9)+SUMIFS(supercb[Qtde],supercb[Item],tab_higiene[[#This Row],[Item]],supercb[Bairro],mercado9)</f>
        <v>0</v>
      </c>
      <c r="AT97" s="4">
        <f>SUMIFS(super1[Qtde],super1[Item],tab_higiene[[#This Row],[Item]],super1[Bairro],mercado10)+SUMIFS(supercb[Qtde],supercb[Item],tab_higiene[[#This Row],[Item]],supercb[Bairro],mercado10)</f>
        <v>0</v>
      </c>
      <c r="AU97" s="4">
        <f>SUMIFS(super1[Qtde],super1[Item],tab_higiene[[#This Row],[Item]],super1[Bairro],mercado11)+SUMIFS(supercb[Qtde],supercb[Item],tab_higiene[[#This Row],[Item]],supercb[Bairro],mercado11)</f>
        <v>0</v>
      </c>
      <c r="AV97" s="4">
        <f>SUMIFS(super1[Qtde],super1[Item],tab_higiene[[#This Row],[Item]],super1[Bairro],mercado12)+SUMIFS(supercb[Qtde],supercb[Item],tab_higiene[[#This Row],[Item]],supercb[Bairro],mercado12)</f>
        <v>0</v>
      </c>
      <c r="AW97" s="4">
        <f>SUMIFS(super1[Qtde],super1[Item],tab_higiene[[#This Row],[Item]],super1[Bairro],mercado13)+SUMIFS(supercb[Qtde],supercb[Item],tab_higiene[[#This Row],[Item]],supercb[Bairro],mercado13)</f>
        <v>0</v>
      </c>
      <c r="AX97" s="4">
        <f>SUMIFS(super1[Qtde],super1[Item],tab_higiene[[#This Row],[Item]],super1[Bairro],mercado14)+SUMIFS(supercb[Qtde],supercb[Item],tab_higiene[[#This Row],[Item]],supercb[Bairro],mercado14)</f>
        <v>0</v>
      </c>
      <c r="AY97" s="4">
        <f>SUMIFS(super1[Qtde],super1[Item],tab_higiene[[#This Row],[Item]],super1[Bairro],mercado15)+SUMIFS(supercb[Qtde],supercb[Item],tab_higiene[[#This Row],[Item]],supercb[Bairro],mercado15)</f>
        <v>0</v>
      </c>
      <c r="AZ97" s="4">
        <f>SUMIFS(super1[Qtde],super1[Item],tab_higiene[[#This Row],[Item]],super1[Bairro],mercado16)+SUMIFS(supercb[Qtde],supercb[Item],tab_higiene[[#This Row],[Item]],supercb[Bairro],mercado16)</f>
        <v>0</v>
      </c>
      <c r="BA97" s="4">
        <f>SUMIFS(super1[Qtde],super1[Item],tab_higiene[[#This Row],[Item]],super1[Bairro],mercado17)+SUMIFS(supercb[Qtde],supercb[Item],tab_higiene[[#This Row],[Item]],supercb[Bairro],mercado17)</f>
        <v>0</v>
      </c>
      <c r="BB97" s="4">
        <f>SUMIFS(super1[Qtde],super1[Item],tab_higiene[[#This Row],[Item]],super1[Bairro],mercado18)+SUMIFS(supercb[Qtde],supercb[Item],tab_higiene[[#This Row],[Item]],supercb[Bairro],mercado18)</f>
        <v>0</v>
      </c>
      <c r="BC97" s="4">
        <f>SUMIFS(super1[Qtde],super1[Item],tab_higiene[[#This Row],[Item]],super1[Bairro],extras)+SUMIFS(supercb[Qtde],supercb[Item],tab_higiene[[#This Row],[Item]],supercb[Bairro],extras)</f>
        <v>0</v>
      </c>
      <c r="BD97" s="4">
        <f t="shared" si="30"/>
        <v>0</v>
      </c>
      <c r="BE97" s="4">
        <f t="shared" si="31"/>
        <v>0</v>
      </c>
      <c r="BF97" s="6">
        <f t="shared" si="32"/>
        <v>0</v>
      </c>
      <c r="BI97" s="1" t="str">
        <f>tab_alimentos[[#This Row],[Item]]</f>
        <v>Biscoito Salgado (126g)</v>
      </c>
      <c r="BJ97" s="1">
        <f t="shared" si="25"/>
        <v>17</v>
      </c>
      <c r="BK97" s="1" t="str">
        <f t="shared" si="26"/>
        <v>Biscoito Salgado</v>
      </c>
      <c r="BL97" s="1">
        <f>tab_alimentos[[#This Row],[kg]]</f>
        <v>0</v>
      </c>
      <c r="BN97" s="1">
        <f t="shared" si="36"/>
        <v>0</v>
      </c>
      <c r="BP97" s="1" t="str">
        <f>tab_higiene[[#This Row],[Item]]</f>
        <v>Fraldas Geriátricas (24un)</v>
      </c>
      <c r="BQ97" s="1">
        <f t="shared" si="33"/>
        <v>20</v>
      </c>
      <c r="BR97" s="1" t="str">
        <f t="shared" si="34"/>
        <v>Fraldas Geriátricas</v>
      </c>
      <c r="BS97" s="1">
        <f>higiene[[#This Row],[Quantidade]]</f>
        <v>0</v>
      </c>
      <c r="BT97" s="1">
        <f>tab_higiene[[#This Row],[Qtde (tot)]]</f>
        <v>0</v>
      </c>
      <c r="BU97" s="1">
        <f t="shared" si="37"/>
        <v>0</v>
      </c>
      <c r="BW97" s="1">
        <f t="shared" si="35"/>
        <v>0</v>
      </c>
    </row>
    <row r="98" spans="9:75" x14ac:dyDescent="0.25">
      <c r="I98" s="19" t="str">
        <f>alimentos[[#This Row],[Item]]</f>
        <v>Biscoito Salgado (140g)</v>
      </c>
      <c r="J98" s="4">
        <f>IFERROR(alimentos[[#This Row],[kg/embalagem]],0)</f>
        <v>0.14000000000000001</v>
      </c>
      <c r="K98" s="4">
        <f>IFERROR(alimentos[[#This Row],[Preço]],0)</f>
        <v>3.19</v>
      </c>
      <c r="L98" s="4">
        <f>SUMIFS(super1[Qtde],super1[Item],tab_alimentos[[#This Row],[Item]],super1[Bairro],mercado1)+SUMIFS(supercb[Qtde],supercb[Item],tab_alimentos[[#This Row],[Item]],supercb[Bairro],mercado1)</f>
        <v>0</v>
      </c>
      <c r="M98" s="4">
        <f>SUMIFS(super1[Qtde],super1[Item],tab_alimentos[[#This Row],[Item]],super1[Bairro],mercado2)+SUMIFS(supercb[Qtde],supercb[Item],tab_alimentos[[#This Row],[Item]],supercb[Bairro],mercado2)</f>
        <v>0</v>
      </c>
      <c r="N98" s="4">
        <f>SUMIFS(super1[Qtde],super1[Item],tab_alimentos[[#This Row],[Item]],super1[Bairro],mercado3)+SUMIFS(supercb[Qtde],supercb[Item],tab_alimentos[[#This Row],[Item]],supercb[Bairro],mercado3)</f>
        <v>0</v>
      </c>
      <c r="O98" s="4">
        <f>SUMIFS(super1[Qtde],super1[Item],tab_alimentos[[#This Row],[Item]],super1[Bairro],mercado4)+SUMIFS(supercb[Qtde],supercb[Item],tab_alimentos[[#This Row],[Item]],supercb[Bairro],mercado4)</f>
        <v>0</v>
      </c>
      <c r="P98" s="4">
        <f>SUMIFS(super1[Qtde],super1[Item],tab_alimentos[[#This Row],[Item]],super1[Bairro],mercado5)+SUMIFS(supercb[Qtde],supercb[Item],tab_alimentos[[#This Row],[Item]],supercb[Bairro],mercado5)</f>
        <v>0</v>
      </c>
      <c r="Q98" s="4">
        <f>SUMIFS(super1[Qtde],super1[Item],tab_alimentos[[#This Row],[Item]],super1[Bairro],mercado6)+SUMIFS(supercb[Qtde],supercb[Item],tab_alimentos[[#This Row],[Item]],supercb[Bairro],mercado6)</f>
        <v>0</v>
      </c>
      <c r="R98" s="4">
        <f>SUMIFS(super1[Qtde],super1[Item],tab_alimentos[[#This Row],[Item]],super1[Bairro],mercado7)+SUMIFS(supercb[Qtde],supercb[Item],tab_alimentos[[#This Row],[Item]],supercb[Bairro],mercado7)</f>
        <v>0</v>
      </c>
      <c r="S98" s="4">
        <f>SUMIFS(super1[Qtde],super1[Item],tab_alimentos[[#This Row],[Item]],super1[Bairro],mercado8)+SUMIFS(supercb[Qtde],supercb[Item],tab_alimentos[[#This Row],[Item]],supercb[Bairro],mercado8)</f>
        <v>0</v>
      </c>
      <c r="T98" s="4">
        <f>SUMIFS(super1[Qtde],super1[Item],tab_alimentos[[#This Row],[Item]],super1[Bairro],mercado9)+SUMIFS(supercb[Qtde],supercb[Item],tab_alimentos[[#This Row],[Item]],supercb[Bairro],mercado9)</f>
        <v>0</v>
      </c>
      <c r="U98" s="4">
        <f>SUMIFS(super1[Qtde],super1[Item],tab_alimentos[[#This Row],[Item]],super1[Bairro],mercado10)+SUMIFS(supercb[Qtde],supercb[Item],tab_alimentos[[#This Row],[Item]],supercb[Bairro],mercado10)</f>
        <v>0</v>
      </c>
      <c r="V98" s="4">
        <f>SUMIFS(super1[Qtde],super1[Item],tab_alimentos[[#This Row],[Item]],super1[Bairro],mercado11)+SUMIFS(supercb[Qtde],supercb[Item],tab_alimentos[[#This Row],[Item]],supercb[Bairro],mercado11)</f>
        <v>0</v>
      </c>
      <c r="W98" s="4">
        <f>SUMIFS(super1[Qtde],super1[Item],tab_alimentos[[#This Row],[Item]],super1[Bairro],mercado12)+SUMIFS(supercb[Qtde],supercb[Item],tab_alimentos[[#This Row],[Item]],supercb[Bairro],mercado12)</f>
        <v>0</v>
      </c>
      <c r="X98" s="4">
        <f>SUMIFS(super1[Qtde],super1[Item],tab_alimentos[[#This Row],[Item]],super1[Bairro],mercado13)+SUMIFS(supercb[Qtde],supercb[Item],tab_alimentos[[#This Row],[Item]],supercb[Bairro],mercado13)</f>
        <v>0</v>
      </c>
      <c r="Y98" s="4">
        <f>SUMIFS(super1[Qtde],super1[Item],tab_alimentos[[#This Row],[Item]],super1[Bairro],mercado14)+SUMIFS(supercb[Qtde],supercb[Item],tab_alimentos[[#This Row],[Item]],supercb[Bairro],mercado14)</f>
        <v>0</v>
      </c>
      <c r="Z98" s="4">
        <f>SUMIFS(super1[Qtde],super1[Item],tab_alimentos[[#This Row],[Item]],super1[Bairro],mercado15)+SUMIFS(supercb[Qtde],supercb[Item],tab_alimentos[[#This Row],[Item]],supercb[Bairro],mercado15)</f>
        <v>0</v>
      </c>
      <c r="AA98" s="4">
        <f>SUMIFS(super1[Qtde],super1[Item],tab_alimentos[[#This Row],[Item]],super1[Bairro],mercado16)+SUMIFS(supercb[Qtde],supercb[Item],tab_alimentos[[#This Row],[Item]],supercb[Bairro],mercado16)</f>
        <v>0</v>
      </c>
      <c r="AB98" s="4">
        <f>SUMIFS(super1[Qtde],super1[Item],tab_alimentos[[#This Row],[Item]],super1[Bairro],mercado17)+SUMIFS(supercb[Qtde],supercb[Item],tab_alimentos[[#This Row],[Item]],supercb[Bairro],mercado17)</f>
        <v>0</v>
      </c>
      <c r="AC98" s="4">
        <f>SUMIFS(super1[Qtde],super1[Item],tab_alimentos[[#This Row],[Item]],super1[Bairro],mercado18)+SUMIFS(supercb[Qtde],supercb[Item],tab_alimentos[[#This Row],[Item]],supercb[Bairro],mercado18)</f>
        <v>0</v>
      </c>
      <c r="AD98" s="4">
        <f>SUMIFS(super1[Qtde],super1[Item],tab_alimentos[[#This Row],[Item]],super1[Bairro],extras)+SUMIFS(supercb[Qtde],supercb[Item],tab_alimentos[[#This Row],[Item]],supercb[Bairro],extras)</f>
        <v>0</v>
      </c>
      <c r="AE98" s="4">
        <f t="shared" si="27"/>
        <v>0</v>
      </c>
      <c r="AF98" s="4">
        <f t="shared" si="28"/>
        <v>0</v>
      </c>
      <c r="AG98" s="6">
        <f t="shared" si="29"/>
        <v>0</v>
      </c>
      <c r="AH98" s="19" t="str">
        <f>higiene[[#This Row],[Item]]</f>
        <v>Fraldas Geriátricas (30un)</v>
      </c>
      <c r="AI98" s="4">
        <f>IFERROR(higiene[[#This Row],[Kg equivalente]],0)</f>
        <v>0</v>
      </c>
      <c r="AJ98" s="4">
        <f>IFERROR(higiene[[#This Row],[Preço por produto]],0)</f>
        <v>45.3</v>
      </c>
      <c r="AK98" s="4">
        <f>SUMIFS(super1[Qtde],super1[Item],tab_higiene[[#This Row],[Item]],super1[Bairro],mercado1)+SUMIFS(supercb[Qtde],supercb[Item],tab_higiene[[#This Row],[Item]],supercb[Bairro],mercado1)</f>
        <v>0</v>
      </c>
      <c r="AL98" s="4">
        <f>SUMIFS(super1[Qtde],super1[Item],tab_higiene[[#This Row],[Item]],super1[Bairro],mercado2)+SUMIFS(supercb[Qtde],supercb[Item],tab_higiene[[#This Row],[Item]],supercb[Bairro],mercado2)</f>
        <v>0</v>
      </c>
      <c r="AM98" s="4">
        <f>SUMIFS(super1[Qtde],super1[Item],tab_higiene[[#This Row],[Item]],super1[Bairro],mercado3)+SUMIFS(supercb[Qtde],supercb[Item],tab_higiene[[#This Row],[Item]],supercb[Bairro],mercado3)</f>
        <v>0</v>
      </c>
      <c r="AN98" s="4">
        <f>SUMIFS(super1[Qtde],super1[Item],tab_higiene[[#This Row],[Item]],super1[Bairro],mercado4)+SUMIFS(supercb[Qtde],supercb[Item],tab_higiene[[#This Row],[Item]],supercb[Bairro],mercado4)</f>
        <v>0</v>
      </c>
      <c r="AO98" s="4">
        <f>SUMIFS(super1[Qtde],super1[Item],tab_higiene[[#This Row],[Item]],super1[Bairro],mercado5)+SUMIFS(supercb[Qtde],supercb[Item],tab_higiene[[#This Row],[Item]],supercb[Bairro],mercado5)</f>
        <v>0</v>
      </c>
      <c r="AP98" s="4">
        <f>SUMIFS(super1[Qtde],super1[Item],tab_higiene[[#This Row],[Item]],super1[Bairro],mercado6)+SUMIFS(supercb[Qtde],supercb[Item],tab_higiene[[#This Row],[Item]],supercb[Bairro],mercado6)</f>
        <v>0</v>
      </c>
      <c r="AQ98" s="4">
        <f>SUMIFS(super1[Qtde],super1[Item],tab_higiene[[#This Row],[Item]],super1[Bairro],mercado7)+SUMIFS(supercb[Qtde],supercb[Item],tab_higiene[[#This Row],[Item]],supercb[Bairro],mercado7)</f>
        <v>0</v>
      </c>
      <c r="AR98" s="4">
        <f>SUMIFS(super1[Qtde],super1[Item],tab_higiene[[#This Row],[Item]],super1[Bairro],mercado8)+SUMIFS(supercb[Qtde],supercb[Item],tab_higiene[[#This Row],[Item]],supercb[Bairro],mercado8)</f>
        <v>0</v>
      </c>
      <c r="AS98" s="4">
        <f>SUMIFS(super1[Qtde],super1[Item],tab_higiene[[#This Row],[Item]],super1[Bairro],mercado9)+SUMIFS(supercb[Qtde],supercb[Item],tab_higiene[[#This Row],[Item]],supercb[Bairro],mercado9)</f>
        <v>0</v>
      </c>
      <c r="AT98" s="4">
        <f>SUMIFS(super1[Qtde],super1[Item],tab_higiene[[#This Row],[Item]],super1[Bairro],mercado10)+SUMIFS(supercb[Qtde],supercb[Item],tab_higiene[[#This Row],[Item]],supercb[Bairro],mercado10)</f>
        <v>0</v>
      </c>
      <c r="AU98" s="4">
        <f>SUMIFS(super1[Qtde],super1[Item],tab_higiene[[#This Row],[Item]],super1[Bairro],mercado11)+SUMIFS(supercb[Qtde],supercb[Item],tab_higiene[[#This Row],[Item]],supercb[Bairro],mercado11)</f>
        <v>0</v>
      </c>
      <c r="AV98" s="4">
        <f>SUMIFS(super1[Qtde],super1[Item],tab_higiene[[#This Row],[Item]],super1[Bairro],mercado12)+SUMIFS(supercb[Qtde],supercb[Item],tab_higiene[[#This Row],[Item]],supercb[Bairro],mercado12)</f>
        <v>0</v>
      </c>
      <c r="AW98" s="4">
        <f>SUMIFS(super1[Qtde],super1[Item],tab_higiene[[#This Row],[Item]],super1[Bairro],mercado13)+SUMIFS(supercb[Qtde],supercb[Item],tab_higiene[[#This Row],[Item]],supercb[Bairro],mercado13)</f>
        <v>0</v>
      </c>
      <c r="AX98" s="4">
        <f>SUMIFS(super1[Qtde],super1[Item],tab_higiene[[#This Row],[Item]],super1[Bairro],mercado14)+SUMIFS(supercb[Qtde],supercb[Item],tab_higiene[[#This Row],[Item]],supercb[Bairro],mercado14)</f>
        <v>0</v>
      </c>
      <c r="AY98" s="4">
        <f>SUMIFS(super1[Qtde],super1[Item],tab_higiene[[#This Row],[Item]],super1[Bairro],mercado15)+SUMIFS(supercb[Qtde],supercb[Item],tab_higiene[[#This Row],[Item]],supercb[Bairro],mercado15)</f>
        <v>0</v>
      </c>
      <c r="AZ98" s="4">
        <f>SUMIFS(super1[Qtde],super1[Item],tab_higiene[[#This Row],[Item]],super1[Bairro],mercado16)+SUMIFS(supercb[Qtde],supercb[Item],tab_higiene[[#This Row],[Item]],supercb[Bairro],mercado16)</f>
        <v>0</v>
      </c>
      <c r="BA98" s="4">
        <f>SUMIFS(super1[Qtde],super1[Item],tab_higiene[[#This Row],[Item]],super1[Bairro],mercado17)+SUMIFS(supercb[Qtde],supercb[Item],tab_higiene[[#This Row],[Item]],supercb[Bairro],mercado17)</f>
        <v>0</v>
      </c>
      <c r="BB98" s="4">
        <f>SUMIFS(super1[Qtde],super1[Item],tab_higiene[[#This Row],[Item]],super1[Bairro],mercado18)+SUMIFS(supercb[Qtde],supercb[Item],tab_higiene[[#This Row],[Item]],supercb[Bairro],mercado18)</f>
        <v>0</v>
      </c>
      <c r="BC98" s="4">
        <f>SUMIFS(super1[Qtde],super1[Item],tab_higiene[[#This Row],[Item]],super1[Bairro],extras)+SUMIFS(supercb[Qtde],supercb[Item],tab_higiene[[#This Row],[Item]],supercb[Bairro],extras)</f>
        <v>0</v>
      </c>
      <c r="BD98" s="4">
        <f t="shared" si="30"/>
        <v>0</v>
      </c>
      <c r="BE98" s="4">
        <f t="shared" si="31"/>
        <v>0</v>
      </c>
      <c r="BF98" s="6">
        <f t="shared" si="32"/>
        <v>0</v>
      </c>
      <c r="BI98" s="1" t="str">
        <f>tab_alimentos[[#This Row],[Item]]</f>
        <v>Biscoito Salgado (140g)</v>
      </c>
      <c r="BJ98" s="1">
        <f t="shared" si="25"/>
        <v>17</v>
      </c>
      <c r="BK98" s="1" t="str">
        <f t="shared" si="26"/>
        <v>Biscoito Salgado</v>
      </c>
      <c r="BL98" s="1">
        <f>tab_alimentos[[#This Row],[kg]]</f>
        <v>0</v>
      </c>
      <c r="BN98" s="1">
        <f t="shared" si="36"/>
        <v>0</v>
      </c>
      <c r="BP98" s="1" t="str">
        <f>tab_higiene[[#This Row],[Item]]</f>
        <v>Fraldas Geriátricas (30un)</v>
      </c>
      <c r="BQ98" s="1">
        <f t="shared" si="33"/>
        <v>20</v>
      </c>
      <c r="BR98" s="1" t="str">
        <f t="shared" si="34"/>
        <v>Fraldas Geriátricas</v>
      </c>
      <c r="BS98" s="1">
        <f>higiene[[#This Row],[Quantidade]]</f>
        <v>1</v>
      </c>
      <c r="BT98" s="1">
        <f>tab_higiene[[#This Row],[Qtde (tot)]]</f>
        <v>0</v>
      </c>
      <c r="BU98" s="1">
        <f t="shared" si="37"/>
        <v>0</v>
      </c>
      <c r="BW98" s="1">
        <f t="shared" si="35"/>
        <v>0</v>
      </c>
    </row>
    <row r="99" spans="9:75" x14ac:dyDescent="0.25">
      <c r="I99" s="19" t="str">
        <f>alimentos[[#This Row],[Item]]</f>
        <v>Biscoito Salgado (145g)</v>
      </c>
      <c r="J99" s="4">
        <f>IFERROR(alimentos[[#This Row],[kg/embalagem]],0)</f>
        <v>0.14499999999999999</v>
      </c>
      <c r="K99" s="4">
        <f>IFERROR(alimentos[[#This Row],[Preço]],0)</f>
        <v>4.09</v>
      </c>
      <c r="L99" s="4">
        <f>SUMIFS(super1[Qtde],super1[Item],tab_alimentos[[#This Row],[Item]],super1[Bairro],mercado1)+SUMIFS(supercb[Qtde],supercb[Item],tab_alimentos[[#This Row],[Item]],supercb[Bairro],mercado1)</f>
        <v>0</v>
      </c>
      <c r="M99" s="4">
        <f>SUMIFS(super1[Qtde],super1[Item],tab_alimentos[[#This Row],[Item]],super1[Bairro],mercado2)+SUMIFS(supercb[Qtde],supercb[Item],tab_alimentos[[#This Row],[Item]],supercb[Bairro],mercado2)</f>
        <v>0</v>
      </c>
      <c r="N99" s="4">
        <f>SUMIFS(super1[Qtde],super1[Item],tab_alimentos[[#This Row],[Item]],super1[Bairro],mercado3)+SUMIFS(supercb[Qtde],supercb[Item],tab_alimentos[[#This Row],[Item]],supercb[Bairro],mercado3)</f>
        <v>0</v>
      </c>
      <c r="O99" s="4">
        <f>SUMIFS(super1[Qtde],super1[Item],tab_alimentos[[#This Row],[Item]],super1[Bairro],mercado4)+SUMIFS(supercb[Qtde],supercb[Item],tab_alimentos[[#This Row],[Item]],supercb[Bairro],mercado4)</f>
        <v>0</v>
      </c>
      <c r="P99" s="4">
        <f>SUMIFS(super1[Qtde],super1[Item],tab_alimentos[[#This Row],[Item]],super1[Bairro],mercado5)+SUMIFS(supercb[Qtde],supercb[Item],tab_alimentos[[#This Row],[Item]],supercb[Bairro],mercado5)</f>
        <v>0</v>
      </c>
      <c r="Q99" s="4">
        <f>SUMIFS(super1[Qtde],super1[Item],tab_alimentos[[#This Row],[Item]],super1[Bairro],mercado6)+SUMIFS(supercb[Qtde],supercb[Item],tab_alimentos[[#This Row],[Item]],supercb[Bairro],mercado6)</f>
        <v>0</v>
      </c>
      <c r="R99" s="4">
        <f>SUMIFS(super1[Qtde],super1[Item],tab_alimentos[[#This Row],[Item]],super1[Bairro],mercado7)+SUMIFS(supercb[Qtde],supercb[Item],tab_alimentos[[#This Row],[Item]],supercb[Bairro],mercado7)</f>
        <v>0</v>
      </c>
      <c r="S99" s="4">
        <f>SUMIFS(super1[Qtde],super1[Item],tab_alimentos[[#This Row],[Item]],super1[Bairro],mercado8)+SUMIFS(supercb[Qtde],supercb[Item],tab_alimentos[[#This Row],[Item]],supercb[Bairro],mercado8)</f>
        <v>0</v>
      </c>
      <c r="T99" s="4">
        <f>SUMIFS(super1[Qtde],super1[Item],tab_alimentos[[#This Row],[Item]],super1[Bairro],mercado9)+SUMIFS(supercb[Qtde],supercb[Item],tab_alimentos[[#This Row],[Item]],supercb[Bairro],mercado9)</f>
        <v>0</v>
      </c>
      <c r="U99" s="4">
        <f>SUMIFS(super1[Qtde],super1[Item],tab_alimentos[[#This Row],[Item]],super1[Bairro],mercado10)+SUMIFS(supercb[Qtde],supercb[Item],tab_alimentos[[#This Row],[Item]],supercb[Bairro],mercado10)</f>
        <v>0</v>
      </c>
      <c r="V99" s="4">
        <f>SUMIFS(super1[Qtde],super1[Item],tab_alimentos[[#This Row],[Item]],super1[Bairro],mercado11)+SUMIFS(supercb[Qtde],supercb[Item],tab_alimentos[[#This Row],[Item]],supercb[Bairro],mercado11)</f>
        <v>0</v>
      </c>
      <c r="W99" s="4">
        <f>SUMIFS(super1[Qtde],super1[Item],tab_alimentos[[#This Row],[Item]],super1[Bairro],mercado12)+SUMIFS(supercb[Qtde],supercb[Item],tab_alimentos[[#This Row],[Item]],supercb[Bairro],mercado12)</f>
        <v>0</v>
      </c>
      <c r="X99" s="4">
        <f>SUMIFS(super1[Qtde],super1[Item],tab_alimentos[[#This Row],[Item]],super1[Bairro],mercado13)+SUMIFS(supercb[Qtde],supercb[Item],tab_alimentos[[#This Row],[Item]],supercb[Bairro],mercado13)</f>
        <v>0</v>
      </c>
      <c r="Y99" s="4">
        <f>SUMIFS(super1[Qtde],super1[Item],tab_alimentos[[#This Row],[Item]],super1[Bairro],mercado14)+SUMIFS(supercb[Qtde],supercb[Item],tab_alimentos[[#This Row],[Item]],supercb[Bairro],mercado14)</f>
        <v>0</v>
      </c>
      <c r="Z99" s="4">
        <f>SUMIFS(super1[Qtde],super1[Item],tab_alimentos[[#This Row],[Item]],super1[Bairro],mercado15)+SUMIFS(supercb[Qtde],supercb[Item],tab_alimentos[[#This Row],[Item]],supercb[Bairro],mercado15)</f>
        <v>0</v>
      </c>
      <c r="AA99" s="4">
        <f>SUMIFS(super1[Qtde],super1[Item],tab_alimentos[[#This Row],[Item]],super1[Bairro],mercado16)+SUMIFS(supercb[Qtde],supercb[Item],tab_alimentos[[#This Row],[Item]],supercb[Bairro],mercado16)</f>
        <v>0</v>
      </c>
      <c r="AB99" s="4">
        <f>SUMIFS(super1[Qtde],super1[Item],tab_alimentos[[#This Row],[Item]],super1[Bairro],mercado17)+SUMIFS(supercb[Qtde],supercb[Item],tab_alimentos[[#This Row],[Item]],supercb[Bairro],mercado17)</f>
        <v>0</v>
      </c>
      <c r="AC99" s="4">
        <f>SUMIFS(super1[Qtde],super1[Item],tab_alimentos[[#This Row],[Item]],super1[Bairro],mercado18)+SUMIFS(supercb[Qtde],supercb[Item],tab_alimentos[[#This Row],[Item]],supercb[Bairro],mercado18)</f>
        <v>0</v>
      </c>
      <c r="AD99" s="4">
        <f>SUMIFS(super1[Qtde],super1[Item],tab_alimentos[[#This Row],[Item]],super1[Bairro],extras)+SUMIFS(supercb[Qtde],supercb[Item],tab_alimentos[[#This Row],[Item]],supercb[Bairro],extras)</f>
        <v>0</v>
      </c>
      <c r="AE99" s="4">
        <f t="shared" si="27"/>
        <v>0</v>
      </c>
      <c r="AF99" s="4">
        <f t="shared" si="28"/>
        <v>0</v>
      </c>
      <c r="AG99" s="6">
        <f t="shared" si="29"/>
        <v>0</v>
      </c>
      <c r="AH99" s="19" t="str">
        <f>higiene[[#This Row],[Item]]</f>
        <v>Fraldas Geriátricas (7un)</v>
      </c>
      <c r="AI99" s="4">
        <f>IFERROR(higiene[[#This Row],[Kg equivalente]],0)</f>
        <v>0</v>
      </c>
      <c r="AJ99" s="4">
        <f>IFERROR(higiene[[#This Row],[Preço por produto]],0)</f>
        <v>23.69</v>
      </c>
      <c r="AK99" s="4">
        <f>SUMIFS(super1[Qtde],super1[Item],tab_higiene[[#This Row],[Item]],super1[Bairro],mercado1)+SUMIFS(supercb[Qtde],supercb[Item],tab_higiene[[#This Row],[Item]],supercb[Bairro],mercado1)</f>
        <v>0</v>
      </c>
      <c r="AL99" s="4">
        <f>SUMIFS(super1[Qtde],super1[Item],tab_higiene[[#This Row],[Item]],super1[Bairro],mercado2)+SUMIFS(supercb[Qtde],supercb[Item],tab_higiene[[#This Row],[Item]],supercb[Bairro],mercado2)</f>
        <v>0</v>
      </c>
      <c r="AM99" s="4">
        <f>SUMIFS(super1[Qtde],super1[Item],tab_higiene[[#This Row],[Item]],super1[Bairro],mercado3)+SUMIFS(supercb[Qtde],supercb[Item],tab_higiene[[#This Row],[Item]],supercb[Bairro],mercado3)</f>
        <v>0</v>
      </c>
      <c r="AN99" s="4">
        <f>SUMIFS(super1[Qtde],super1[Item],tab_higiene[[#This Row],[Item]],super1[Bairro],mercado4)+SUMIFS(supercb[Qtde],supercb[Item],tab_higiene[[#This Row],[Item]],supercb[Bairro],mercado4)</f>
        <v>0</v>
      </c>
      <c r="AO99" s="4">
        <f>SUMIFS(super1[Qtde],super1[Item],tab_higiene[[#This Row],[Item]],super1[Bairro],mercado5)+SUMIFS(supercb[Qtde],supercb[Item],tab_higiene[[#This Row],[Item]],supercb[Bairro],mercado5)</f>
        <v>0</v>
      </c>
      <c r="AP99" s="4">
        <f>SUMIFS(super1[Qtde],super1[Item],tab_higiene[[#This Row],[Item]],super1[Bairro],mercado6)+SUMIFS(supercb[Qtde],supercb[Item],tab_higiene[[#This Row],[Item]],supercb[Bairro],mercado6)</f>
        <v>0</v>
      </c>
      <c r="AQ99" s="4">
        <f>SUMIFS(super1[Qtde],super1[Item],tab_higiene[[#This Row],[Item]],super1[Bairro],mercado7)+SUMIFS(supercb[Qtde],supercb[Item],tab_higiene[[#This Row],[Item]],supercb[Bairro],mercado7)</f>
        <v>0</v>
      </c>
      <c r="AR99" s="4">
        <f>SUMIFS(super1[Qtde],super1[Item],tab_higiene[[#This Row],[Item]],super1[Bairro],mercado8)+SUMIFS(supercb[Qtde],supercb[Item],tab_higiene[[#This Row],[Item]],supercb[Bairro],mercado8)</f>
        <v>0</v>
      </c>
      <c r="AS99" s="4">
        <f>SUMIFS(super1[Qtde],super1[Item],tab_higiene[[#This Row],[Item]],super1[Bairro],mercado9)+SUMIFS(supercb[Qtde],supercb[Item],tab_higiene[[#This Row],[Item]],supercb[Bairro],mercado9)</f>
        <v>0</v>
      </c>
      <c r="AT99" s="4">
        <f>SUMIFS(super1[Qtde],super1[Item],tab_higiene[[#This Row],[Item]],super1[Bairro],mercado10)+SUMIFS(supercb[Qtde],supercb[Item],tab_higiene[[#This Row],[Item]],supercb[Bairro],mercado10)</f>
        <v>0</v>
      </c>
      <c r="AU99" s="4">
        <f>SUMIFS(super1[Qtde],super1[Item],tab_higiene[[#This Row],[Item]],super1[Bairro],mercado11)+SUMIFS(supercb[Qtde],supercb[Item],tab_higiene[[#This Row],[Item]],supercb[Bairro],mercado11)</f>
        <v>0</v>
      </c>
      <c r="AV99" s="4">
        <f>SUMIFS(super1[Qtde],super1[Item],tab_higiene[[#This Row],[Item]],super1[Bairro],mercado12)+SUMIFS(supercb[Qtde],supercb[Item],tab_higiene[[#This Row],[Item]],supercb[Bairro],mercado12)</f>
        <v>0</v>
      </c>
      <c r="AW99" s="4">
        <f>SUMIFS(super1[Qtde],super1[Item],tab_higiene[[#This Row],[Item]],super1[Bairro],mercado13)+SUMIFS(supercb[Qtde],supercb[Item],tab_higiene[[#This Row],[Item]],supercb[Bairro],mercado13)</f>
        <v>0</v>
      </c>
      <c r="AX99" s="4">
        <f>SUMIFS(super1[Qtde],super1[Item],tab_higiene[[#This Row],[Item]],super1[Bairro],mercado14)+SUMIFS(supercb[Qtde],supercb[Item],tab_higiene[[#This Row],[Item]],supercb[Bairro],mercado14)</f>
        <v>0</v>
      </c>
      <c r="AY99" s="4">
        <f>SUMIFS(super1[Qtde],super1[Item],tab_higiene[[#This Row],[Item]],super1[Bairro],mercado15)+SUMIFS(supercb[Qtde],supercb[Item],tab_higiene[[#This Row],[Item]],supercb[Bairro],mercado15)</f>
        <v>0</v>
      </c>
      <c r="AZ99" s="4">
        <f>SUMIFS(super1[Qtde],super1[Item],tab_higiene[[#This Row],[Item]],super1[Bairro],mercado16)+SUMIFS(supercb[Qtde],supercb[Item],tab_higiene[[#This Row],[Item]],supercb[Bairro],mercado16)</f>
        <v>0</v>
      </c>
      <c r="BA99" s="4">
        <f>SUMIFS(super1[Qtde],super1[Item],tab_higiene[[#This Row],[Item]],super1[Bairro],mercado17)+SUMIFS(supercb[Qtde],supercb[Item],tab_higiene[[#This Row],[Item]],supercb[Bairro],mercado17)</f>
        <v>0</v>
      </c>
      <c r="BB99" s="4">
        <f>SUMIFS(super1[Qtde],super1[Item],tab_higiene[[#This Row],[Item]],super1[Bairro],mercado18)+SUMIFS(supercb[Qtde],supercb[Item],tab_higiene[[#This Row],[Item]],supercb[Bairro],mercado18)</f>
        <v>0</v>
      </c>
      <c r="BC99" s="4">
        <f>SUMIFS(super1[Qtde],super1[Item],tab_higiene[[#This Row],[Item]],super1[Bairro],extras)+SUMIFS(supercb[Qtde],supercb[Item],tab_higiene[[#This Row],[Item]],supercb[Bairro],extras)</f>
        <v>0</v>
      </c>
      <c r="BD99" s="4">
        <f t="shared" si="30"/>
        <v>0</v>
      </c>
      <c r="BE99" s="4">
        <f t="shared" si="31"/>
        <v>0</v>
      </c>
      <c r="BF99" s="6">
        <f t="shared" si="32"/>
        <v>0</v>
      </c>
      <c r="BI99" s="1" t="str">
        <f>tab_alimentos[[#This Row],[Item]]</f>
        <v>Biscoito Salgado (145g)</v>
      </c>
      <c r="BJ99" s="1">
        <f t="shared" si="25"/>
        <v>17</v>
      </c>
      <c r="BK99" s="1" t="str">
        <f t="shared" si="26"/>
        <v>Biscoito Salgado</v>
      </c>
      <c r="BL99" s="1">
        <f>tab_alimentos[[#This Row],[kg]]</f>
        <v>0</v>
      </c>
      <c r="BN99" s="1">
        <f t="shared" si="36"/>
        <v>0</v>
      </c>
      <c r="BP99" s="1" t="str">
        <f>tab_higiene[[#This Row],[Item]]</f>
        <v>Fraldas Geriátricas (7un)</v>
      </c>
      <c r="BQ99" s="1">
        <f t="shared" si="33"/>
        <v>20</v>
      </c>
      <c r="BR99" s="1" t="str">
        <f t="shared" si="34"/>
        <v>Fraldas Geriátricas</v>
      </c>
      <c r="BS99" s="1">
        <f>higiene[[#This Row],[Quantidade]]</f>
        <v>7</v>
      </c>
      <c r="BT99" s="1">
        <f>tab_higiene[[#This Row],[Qtde (tot)]]</f>
        <v>0</v>
      </c>
      <c r="BU99" s="1">
        <f t="shared" si="37"/>
        <v>0</v>
      </c>
      <c r="BW99" s="1">
        <f t="shared" si="35"/>
        <v>0</v>
      </c>
    </row>
    <row r="100" spans="9:75" x14ac:dyDescent="0.25">
      <c r="I100" s="19" t="str">
        <f>alimentos[[#This Row],[Item]]</f>
        <v>Biscoito Salgado (150g)</v>
      </c>
      <c r="J100" s="4">
        <f>IFERROR(alimentos[[#This Row],[kg/embalagem]],0)</f>
        <v>0.15</v>
      </c>
      <c r="K100" s="4">
        <f>IFERROR(alimentos[[#This Row],[Preço]],0)</f>
        <v>8.1</v>
      </c>
      <c r="L100" s="4">
        <f>SUMIFS(super1[Qtde],super1[Item],tab_alimentos[[#This Row],[Item]],super1[Bairro],mercado1)+SUMIFS(supercb[Qtde],supercb[Item],tab_alimentos[[#This Row],[Item]],supercb[Bairro],mercado1)</f>
        <v>0</v>
      </c>
      <c r="M100" s="4">
        <f>SUMIFS(super1[Qtde],super1[Item],tab_alimentos[[#This Row],[Item]],super1[Bairro],mercado2)+SUMIFS(supercb[Qtde],supercb[Item],tab_alimentos[[#This Row],[Item]],supercb[Bairro],mercado2)</f>
        <v>0</v>
      </c>
      <c r="N100" s="4">
        <f>SUMIFS(super1[Qtde],super1[Item],tab_alimentos[[#This Row],[Item]],super1[Bairro],mercado3)+SUMIFS(supercb[Qtde],supercb[Item],tab_alimentos[[#This Row],[Item]],supercb[Bairro],mercado3)</f>
        <v>0</v>
      </c>
      <c r="O100" s="4">
        <f>SUMIFS(super1[Qtde],super1[Item],tab_alimentos[[#This Row],[Item]],super1[Bairro],mercado4)+SUMIFS(supercb[Qtde],supercb[Item],tab_alimentos[[#This Row],[Item]],supercb[Bairro],mercado4)</f>
        <v>0</v>
      </c>
      <c r="P100" s="4">
        <f>SUMIFS(super1[Qtde],super1[Item],tab_alimentos[[#This Row],[Item]],super1[Bairro],mercado5)+SUMIFS(supercb[Qtde],supercb[Item],tab_alimentos[[#This Row],[Item]],supercb[Bairro],mercado5)</f>
        <v>0</v>
      </c>
      <c r="Q100" s="4">
        <f>SUMIFS(super1[Qtde],super1[Item],tab_alimentos[[#This Row],[Item]],super1[Bairro],mercado6)+SUMIFS(supercb[Qtde],supercb[Item],tab_alimentos[[#This Row],[Item]],supercb[Bairro],mercado6)</f>
        <v>0</v>
      </c>
      <c r="R100" s="4">
        <f>SUMIFS(super1[Qtde],super1[Item],tab_alimentos[[#This Row],[Item]],super1[Bairro],mercado7)+SUMIFS(supercb[Qtde],supercb[Item],tab_alimentos[[#This Row],[Item]],supercb[Bairro],mercado7)</f>
        <v>0</v>
      </c>
      <c r="S100" s="4">
        <f>SUMIFS(super1[Qtde],super1[Item],tab_alimentos[[#This Row],[Item]],super1[Bairro],mercado8)+SUMIFS(supercb[Qtde],supercb[Item],tab_alimentos[[#This Row],[Item]],supercb[Bairro],mercado8)</f>
        <v>0</v>
      </c>
      <c r="T100" s="4">
        <f>SUMIFS(super1[Qtde],super1[Item],tab_alimentos[[#This Row],[Item]],super1[Bairro],mercado9)+SUMIFS(supercb[Qtde],supercb[Item],tab_alimentos[[#This Row],[Item]],supercb[Bairro],mercado9)</f>
        <v>0</v>
      </c>
      <c r="U100" s="4">
        <f>SUMIFS(super1[Qtde],super1[Item],tab_alimentos[[#This Row],[Item]],super1[Bairro],mercado10)+SUMIFS(supercb[Qtde],supercb[Item],tab_alimentos[[#This Row],[Item]],supercb[Bairro],mercado10)</f>
        <v>0</v>
      </c>
      <c r="V100" s="4">
        <f>SUMIFS(super1[Qtde],super1[Item],tab_alimentos[[#This Row],[Item]],super1[Bairro],mercado11)+SUMIFS(supercb[Qtde],supercb[Item],tab_alimentos[[#This Row],[Item]],supercb[Bairro],mercado11)</f>
        <v>0</v>
      </c>
      <c r="W100" s="4">
        <f>SUMIFS(super1[Qtde],super1[Item],tab_alimentos[[#This Row],[Item]],super1[Bairro],mercado12)+SUMIFS(supercb[Qtde],supercb[Item],tab_alimentos[[#This Row],[Item]],supercb[Bairro],mercado12)</f>
        <v>0</v>
      </c>
      <c r="X100" s="4">
        <f>SUMIFS(super1[Qtde],super1[Item],tab_alimentos[[#This Row],[Item]],super1[Bairro],mercado13)+SUMIFS(supercb[Qtde],supercb[Item],tab_alimentos[[#This Row],[Item]],supercb[Bairro],mercado13)</f>
        <v>0</v>
      </c>
      <c r="Y100" s="4">
        <f>SUMIFS(super1[Qtde],super1[Item],tab_alimentos[[#This Row],[Item]],super1[Bairro],mercado14)+SUMIFS(supercb[Qtde],supercb[Item],tab_alimentos[[#This Row],[Item]],supercb[Bairro],mercado14)</f>
        <v>0</v>
      </c>
      <c r="Z100" s="4">
        <f>SUMIFS(super1[Qtde],super1[Item],tab_alimentos[[#This Row],[Item]],super1[Bairro],mercado15)+SUMIFS(supercb[Qtde],supercb[Item],tab_alimentos[[#This Row],[Item]],supercb[Bairro],mercado15)</f>
        <v>0</v>
      </c>
      <c r="AA100" s="4">
        <f>SUMIFS(super1[Qtde],super1[Item],tab_alimentos[[#This Row],[Item]],super1[Bairro],mercado16)+SUMIFS(supercb[Qtde],supercb[Item],tab_alimentos[[#This Row],[Item]],supercb[Bairro],mercado16)</f>
        <v>0</v>
      </c>
      <c r="AB100" s="4">
        <f>SUMIFS(super1[Qtde],super1[Item],tab_alimentos[[#This Row],[Item]],super1[Bairro],mercado17)+SUMIFS(supercb[Qtde],supercb[Item],tab_alimentos[[#This Row],[Item]],supercb[Bairro],mercado17)</f>
        <v>0</v>
      </c>
      <c r="AC100" s="4">
        <f>SUMIFS(super1[Qtde],super1[Item],tab_alimentos[[#This Row],[Item]],super1[Bairro],mercado18)+SUMIFS(supercb[Qtde],supercb[Item],tab_alimentos[[#This Row],[Item]],supercb[Bairro],mercado18)</f>
        <v>0</v>
      </c>
      <c r="AD100" s="4">
        <f>SUMIFS(super1[Qtde],super1[Item],tab_alimentos[[#This Row],[Item]],super1[Bairro],extras)+SUMIFS(supercb[Qtde],supercb[Item],tab_alimentos[[#This Row],[Item]],supercb[Bairro],extras)</f>
        <v>0</v>
      </c>
      <c r="AE100" s="4">
        <f t="shared" si="27"/>
        <v>0</v>
      </c>
      <c r="AF100" s="4">
        <f t="shared" si="28"/>
        <v>0</v>
      </c>
      <c r="AG100" s="6">
        <f t="shared" si="29"/>
        <v>0</v>
      </c>
      <c r="AH100" s="19" t="str">
        <f>higiene[[#This Row],[Item]]</f>
        <v>Fraldas Geriátricas (9un)</v>
      </c>
      <c r="AI100" s="4">
        <f>IFERROR(higiene[[#This Row],[Kg equivalente]],0)</f>
        <v>0</v>
      </c>
      <c r="AJ100" s="4">
        <f>IFERROR(higiene[[#This Row],[Preço por produto]],0)</f>
        <v>31.98</v>
      </c>
      <c r="AK100" s="4">
        <f>SUMIFS(super1[Qtde],super1[Item],tab_higiene[[#This Row],[Item]],super1[Bairro],mercado1)+SUMIFS(supercb[Qtde],supercb[Item],tab_higiene[[#This Row],[Item]],supercb[Bairro],mercado1)</f>
        <v>0</v>
      </c>
      <c r="AL100" s="4">
        <f>SUMIFS(super1[Qtde],super1[Item],tab_higiene[[#This Row],[Item]],super1[Bairro],mercado2)+SUMIFS(supercb[Qtde],supercb[Item],tab_higiene[[#This Row],[Item]],supercb[Bairro],mercado2)</f>
        <v>0</v>
      </c>
      <c r="AM100" s="4">
        <f>SUMIFS(super1[Qtde],super1[Item],tab_higiene[[#This Row],[Item]],super1[Bairro],mercado3)+SUMIFS(supercb[Qtde],supercb[Item],tab_higiene[[#This Row],[Item]],supercb[Bairro],mercado3)</f>
        <v>0</v>
      </c>
      <c r="AN100" s="4">
        <f>SUMIFS(super1[Qtde],super1[Item],tab_higiene[[#This Row],[Item]],super1[Bairro],mercado4)+SUMIFS(supercb[Qtde],supercb[Item],tab_higiene[[#This Row],[Item]],supercb[Bairro],mercado4)</f>
        <v>0</v>
      </c>
      <c r="AO100" s="4">
        <f>SUMIFS(super1[Qtde],super1[Item],tab_higiene[[#This Row],[Item]],super1[Bairro],mercado5)+SUMIFS(supercb[Qtde],supercb[Item],tab_higiene[[#This Row],[Item]],supercb[Bairro],mercado5)</f>
        <v>0</v>
      </c>
      <c r="AP100" s="4">
        <f>SUMIFS(super1[Qtde],super1[Item],tab_higiene[[#This Row],[Item]],super1[Bairro],mercado6)+SUMIFS(supercb[Qtde],supercb[Item],tab_higiene[[#This Row],[Item]],supercb[Bairro],mercado6)</f>
        <v>0</v>
      </c>
      <c r="AQ100" s="4">
        <f>SUMIFS(super1[Qtde],super1[Item],tab_higiene[[#This Row],[Item]],super1[Bairro],mercado7)+SUMIFS(supercb[Qtde],supercb[Item],tab_higiene[[#This Row],[Item]],supercb[Bairro],mercado7)</f>
        <v>0</v>
      </c>
      <c r="AR100" s="4">
        <f>SUMIFS(super1[Qtde],super1[Item],tab_higiene[[#This Row],[Item]],super1[Bairro],mercado8)+SUMIFS(supercb[Qtde],supercb[Item],tab_higiene[[#This Row],[Item]],supercb[Bairro],mercado8)</f>
        <v>0</v>
      </c>
      <c r="AS100" s="4">
        <f>SUMIFS(super1[Qtde],super1[Item],tab_higiene[[#This Row],[Item]],super1[Bairro],mercado9)+SUMIFS(supercb[Qtde],supercb[Item],tab_higiene[[#This Row],[Item]],supercb[Bairro],mercado9)</f>
        <v>0</v>
      </c>
      <c r="AT100" s="4">
        <f>SUMIFS(super1[Qtde],super1[Item],tab_higiene[[#This Row],[Item]],super1[Bairro],mercado10)+SUMIFS(supercb[Qtde],supercb[Item],tab_higiene[[#This Row],[Item]],supercb[Bairro],mercado10)</f>
        <v>0</v>
      </c>
      <c r="AU100" s="4">
        <f>SUMIFS(super1[Qtde],super1[Item],tab_higiene[[#This Row],[Item]],super1[Bairro],mercado11)+SUMIFS(supercb[Qtde],supercb[Item],tab_higiene[[#This Row],[Item]],supercb[Bairro],mercado11)</f>
        <v>0</v>
      </c>
      <c r="AV100" s="4">
        <f>SUMIFS(super1[Qtde],super1[Item],tab_higiene[[#This Row],[Item]],super1[Bairro],mercado12)+SUMIFS(supercb[Qtde],supercb[Item],tab_higiene[[#This Row],[Item]],supercb[Bairro],mercado12)</f>
        <v>0</v>
      </c>
      <c r="AW100" s="4">
        <f>SUMIFS(super1[Qtde],super1[Item],tab_higiene[[#This Row],[Item]],super1[Bairro],mercado13)+SUMIFS(supercb[Qtde],supercb[Item],tab_higiene[[#This Row],[Item]],supercb[Bairro],mercado13)</f>
        <v>0</v>
      </c>
      <c r="AX100" s="4">
        <f>SUMIFS(super1[Qtde],super1[Item],tab_higiene[[#This Row],[Item]],super1[Bairro],mercado14)+SUMIFS(supercb[Qtde],supercb[Item],tab_higiene[[#This Row],[Item]],supercb[Bairro],mercado14)</f>
        <v>0</v>
      </c>
      <c r="AY100" s="4">
        <f>SUMIFS(super1[Qtde],super1[Item],tab_higiene[[#This Row],[Item]],super1[Bairro],mercado15)+SUMIFS(supercb[Qtde],supercb[Item],tab_higiene[[#This Row],[Item]],supercb[Bairro],mercado15)</f>
        <v>0</v>
      </c>
      <c r="AZ100" s="4">
        <f>SUMIFS(super1[Qtde],super1[Item],tab_higiene[[#This Row],[Item]],super1[Bairro],mercado16)+SUMIFS(supercb[Qtde],supercb[Item],tab_higiene[[#This Row],[Item]],supercb[Bairro],mercado16)</f>
        <v>0</v>
      </c>
      <c r="BA100" s="4">
        <f>SUMIFS(super1[Qtde],super1[Item],tab_higiene[[#This Row],[Item]],super1[Bairro],mercado17)+SUMIFS(supercb[Qtde],supercb[Item],tab_higiene[[#This Row],[Item]],supercb[Bairro],mercado17)</f>
        <v>0</v>
      </c>
      <c r="BB100" s="4">
        <f>SUMIFS(super1[Qtde],super1[Item],tab_higiene[[#This Row],[Item]],super1[Bairro],mercado18)+SUMIFS(supercb[Qtde],supercb[Item],tab_higiene[[#This Row],[Item]],supercb[Bairro],mercado18)</f>
        <v>0</v>
      </c>
      <c r="BC100" s="4">
        <f>SUMIFS(super1[Qtde],super1[Item],tab_higiene[[#This Row],[Item]],super1[Bairro],extras)+SUMIFS(supercb[Qtde],supercb[Item],tab_higiene[[#This Row],[Item]],supercb[Bairro],extras)</f>
        <v>0</v>
      </c>
      <c r="BD100" s="4">
        <f t="shared" si="30"/>
        <v>0</v>
      </c>
      <c r="BE100" s="4">
        <f t="shared" si="31"/>
        <v>0</v>
      </c>
      <c r="BF100" s="6">
        <f t="shared" si="32"/>
        <v>0</v>
      </c>
      <c r="BI100" s="1" t="str">
        <f>tab_alimentos[[#This Row],[Item]]</f>
        <v>Biscoito Salgado (150g)</v>
      </c>
      <c r="BJ100" s="1">
        <f t="shared" si="25"/>
        <v>17</v>
      </c>
      <c r="BK100" s="1" t="str">
        <f t="shared" si="26"/>
        <v>Biscoito Salgado</v>
      </c>
      <c r="BL100" s="1">
        <f>tab_alimentos[[#This Row],[kg]]</f>
        <v>0</v>
      </c>
      <c r="BN100" s="1">
        <f t="shared" si="36"/>
        <v>0</v>
      </c>
      <c r="BP100" s="1" t="str">
        <f>tab_higiene[[#This Row],[Item]]</f>
        <v>Fraldas Geriátricas (9un)</v>
      </c>
      <c r="BQ100" s="1">
        <f t="shared" si="33"/>
        <v>20</v>
      </c>
      <c r="BR100" s="1" t="str">
        <f t="shared" si="34"/>
        <v>Fraldas Geriátricas</v>
      </c>
      <c r="BS100" s="1">
        <f>higiene[[#This Row],[Quantidade]]</f>
        <v>1</v>
      </c>
      <c r="BT100" s="1">
        <f>tab_higiene[[#This Row],[Qtde (tot)]]</f>
        <v>0</v>
      </c>
      <c r="BU100" s="1">
        <f t="shared" si="37"/>
        <v>0</v>
      </c>
      <c r="BW100" s="1">
        <f t="shared" si="35"/>
        <v>0</v>
      </c>
    </row>
    <row r="101" spans="9:75" x14ac:dyDescent="0.25">
      <c r="I101" s="19" t="str">
        <f>alimentos[[#This Row],[Item]]</f>
        <v>Biscoito Salgado (160g)</v>
      </c>
      <c r="J101" s="4">
        <f>IFERROR(alimentos[[#This Row],[kg/embalagem]],0)</f>
        <v>0.16</v>
      </c>
      <c r="K101" s="4">
        <f>IFERROR(alimentos[[#This Row],[Preço]],0)</f>
        <v>3.09</v>
      </c>
      <c r="L101" s="4">
        <f>SUMIFS(super1[Qtde],super1[Item],tab_alimentos[[#This Row],[Item]],super1[Bairro],mercado1)+SUMIFS(supercb[Qtde],supercb[Item],tab_alimentos[[#This Row],[Item]],supercb[Bairro],mercado1)</f>
        <v>0</v>
      </c>
      <c r="M101" s="4">
        <f>SUMIFS(super1[Qtde],super1[Item],tab_alimentos[[#This Row],[Item]],super1[Bairro],mercado2)+SUMIFS(supercb[Qtde],supercb[Item],tab_alimentos[[#This Row],[Item]],supercb[Bairro],mercado2)</f>
        <v>0</v>
      </c>
      <c r="N101" s="4">
        <f>SUMIFS(super1[Qtde],super1[Item],tab_alimentos[[#This Row],[Item]],super1[Bairro],mercado3)+SUMIFS(supercb[Qtde],supercb[Item],tab_alimentos[[#This Row],[Item]],supercb[Bairro],mercado3)</f>
        <v>0</v>
      </c>
      <c r="O101" s="4">
        <f>SUMIFS(super1[Qtde],super1[Item],tab_alimentos[[#This Row],[Item]],super1[Bairro],mercado4)+SUMIFS(supercb[Qtde],supercb[Item],tab_alimentos[[#This Row],[Item]],supercb[Bairro],mercado4)</f>
        <v>0</v>
      </c>
      <c r="P101" s="4">
        <f>SUMIFS(super1[Qtde],super1[Item],tab_alimentos[[#This Row],[Item]],super1[Bairro],mercado5)+SUMIFS(supercb[Qtde],supercb[Item],tab_alimentos[[#This Row],[Item]],supercb[Bairro],mercado5)</f>
        <v>0</v>
      </c>
      <c r="Q101" s="4">
        <f>SUMIFS(super1[Qtde],super1[Item],tab_alimentos[[#This Row],[Item]],super1[Bairro],mercado6)+SUMIFS(supercb[Qtde],supercb[Item],tab_alimentos[[#This Row],[Item]],supercb[Bairro],mercado6)</f>
        <v>0</v>
      </c>
      <c r="R101" s="4">
        <f>SUMIFS(super1[Qtde],super1[Item],tab_alimentos[[#This Row],[Item]],super1[Bairro],mercado7)+SUMIFS(supercb[Qtde],supercb[Item],tab_alimentos[[#This Row],[Item]],supercb[Bairro],mercado7)</f>
        <v>0</v>
      </c>
      <c r="S101" s="4">
        <f>SUMIFS(super1[Qtde],super1[Item],tab_alimentos[[#This Row],[Item]],super1[Bairro],mercado8)+SUMIFS(supercb[Qtde],supercb[Item],tab_alimentos[[#This Row],[Item]],supercb[Bairro],mercado8)</f>
        <v>0</v>
      </c>
      <c r="T101" s="4">
        <f>SUMIFS(super1[Qtde],super1[Item],tab_alimentos[[#This Row],[Item]],super1[Bairro],mercado9)+SUMIFS(supercb[Qtde],supercb[Item],tab_alimentos[[#This Row],[Item]],supercb[Bairro],mercado9)</f>
        <v>0</v>
      </c>
      <c r="U101" s="4">
        <f>SUMIFS(super1[Qtde],super1[Item],tab_alimentos[[#This Row],[Item]],super1[Bairro],mercado10)+SUMIFS(supercb[Qtde],supercb[Item],tab_alimentos[[#This Row],[Item]],supercb[Bairro],mercado10)</f>
        <v>0</v>
      </c>
      <c r="V101" s="4">
        <f>SUMIFS(super1[Qtde],super1[Item],tab_alimentos[[#This Row],[Item]],super1[Bairro],mercado11)+SUMIFS(supercb[Qtde],supercb[Item],tab_alimentos[[#This Row],[Item]],supercb[Bairro],mercado11)</f>
        <v>0</v>
      </c>
      <c r="W101" s="4">
        <f>SUMIFS(super1[Qtde],super1[Item],tab_alimentos[[#This Row],[Item]],super1[Bairro],mercado12)+SUMIFS(supercb[Qtde],supercb[Item],tab_alimentos[[#This Row],[Item]],supercb[Bairro],mercado12)</f>
        <v>0</v>
      </c>
      <c r="X101" s="4">
        <f>SUMIFS(super1[Qtde],super1[Item],tab_alimentos[[#This Row],[Item]],super1[Bairro],mercado13)+SUMIFS(supercb[Qtde],supercb[Item],tab_alimentos[[#This Row],[Item]],supercb[Bairro],mercado13)</f>
        <v>0</v>
      </c>
      <c r="Y101" s="4">
        <f>SUMIFS(super1[Qtde],super1[Item],tab_alimentos[[#This Row],[Item]],super1[Bairro],mercado14)+SUMIFS(supercb[Qtde],supercb[Item],tab_alimentos[[#This Row],[Item]],supercb[Bairro],mercado14)</f>
        <v>0</v>
      </c>
      <c r="Z101" s="4">
        <f>SUMIFS(super1[Qtde],super1[Item],tab_alimentos[[#This Row],[Item]],super1[Bairro],mercado15)+SUMIFS(supercb[Qtde],supercb[Item],tab_alimentos[[#This Row],[Item]],supercb[Bairro],mercado15)</f>
        <v>0</v>
      </c>
      <c r="AA101" s="4">
        <f>SUMIFS(super1[Qtde],super1[Item],tab_alimentos[[#This Row],[Item]],super1[Bairro],mercado16)+SUMIFS(supercb[Qtde],supercb[Item],tab_alimentos[[#This Row],[Item]],supercb[Bairro],mercado16)</f>
        <v>0</v>
      </c>
      <c r="AB101" s="4">
        <f>SUMIFS(super1[Qtde],super1[Item],tab_alimentos[[#This Row],[Item]],super1[Bairro],mercado17)+SUMIFS(supercb[Qtde],supercb[Item],tab_alimentos[[#This Row],[Item]],supercb[Bairro],mercado17)</f>
        <v>0</v>
      </c>
      <c r="AC101" s="4">
        <f>SUMIFS(super1[Qtde],super1[Item],tab_alimentos[[#This Row],[Item]],super1[Bairro],mercado18)+SUMIFS(supercb[Qtde],supercb[Item],tab_alimentos[[#This Row],[Item]],supercb[Bairro],mercado18)</f>
        <v>0</v>
      </c>
      <c r="AD101" s="4">
        <f>SUMIFS(super1[Qtde],super1[Item],tab_alimentos[[#This Row],[Item]],super1[Bairro],extras)+SUMIFS(supercb[Qtde],supercb[Item],tab_alimentos[[#This Row],[Item]],supercb[Bairro],extras)</f>
        <v>0</v>
      </c>
      <c r="AE101" s="4">
        <f t="shared" ref="AE101:AE132" si="38">SUM(L101:AC101)</f>
        <v>0</v>
      </c>
      <c r="AF101" s="4">
        <f t="shared" ref="AF101:AF132" si="39">IFERROR(AE101*K101,0)</f>
        <v>0</v>
      </c>
      <c r="AG101" s="6">
        <f t="shared" ref="AG101:AG132" si="40">IFERROR(J101*AE101,0)</f>
        <v>0</v>
      </c>
      <c r="AH101" s="19" t="str">
        <f>higiene[[#This Row],[Item]]</f>
        <v>Fraldas Infantis (12un)</v>
      </c>
      <c r="AI101" s="4">
        <f>IFERROR(higiene[[#This Row],[Kg equivalente]],0)</f>
        <v>0</v>
      </c>
      <c r="AJ101" s="4">
        <f>IFERROR(higiene[[#This Row],[Preço por produto]],0)</f>
        <v>20.99</v>
      </c>
      <c r="AK101" s="4">
        <f>SUMIFS(super1[Qtde],super1[Item],tab_higiene[[#This Row],[Item]],super1[Bairro],mercado1)+SUMIFS(supercb[Qtde],supercb[Item],tab_higiene[[#This Row],[Item]],supercb[Bairro],mercado1)</f>
        <v>0</v>
      </c>
      <c r="AL101" s="4">
        <f>SUMIFS(super1[Qtde],super1[Item],tab_higiene[[#This Row],[Item]],super1[Bairro],mercado2)+SUMIFS(supercb[Qtde],supercb[Item],tab_higiene[[#This Row],[Item]],supercb[Bairro],mercado2)</f>
        <v>0</v>
      </c>
      <c r="AM101" s="4">
        <f>SUMIFS(super1[Qtde],super1[Item],tab_higiene[[#This Row],[Item]],super1[Bairro],mercado3)+SUMIFS(supercb[Qtde],supercb[Item],tab_higiene[[#This Row],[Item]],supercb[Bairro],mercado3)</f>
        <v>0</v>
      </c>
      <c r="AN101" s="4">
        <f>SUMIFS(super1[Qtde],super1[Item],tab_higiene[[#This Row],[Item]],super1[Bairro],mercado4)+SUMIFS(supercb[Qtde],supercb[Item],tab_higiene[[#This Row],[Item]],supercb[Bairro],mercado4)</f>
        <v>0</v>
      </c>
      <c r="AO101" s="4">
        <f>SUMIFS(super1[Qtde],super1[Item],tab_higiene[[#This Row],[Item]],super1[Bairro],mercado5)+SUMIFS(supercb[Qtde],supercb[Item],tab_higiene[[#This Row],[Item]],supercb[Bairro],mercado5)</f>
        <v>0</v>
      </c>
      <c r="AP101" s="4">
        <f>SUMIFS(super1[Qtde],super1[Item],tab_higiene[[#This Row],[Item]],super1[Bairro],mercado6)+SUMIFS(supercb[Qtde],supercb[Item],tab_higiene[[#This Row],[Item]],supercb[Bairro],mercado6)</f>
        <v>0</v>
      </c>
      <c r="AQ101" s="4">
        <f>SUMIFS(super1[Qtde],super1[Item],tab_higiene[[#This Row],[Item]],super1[Bairro],mercado7)+SUMIFS(supercb[Qtde],supercb[Item],tab_higiene[[#This Row],[Item]],supercb[Bairro],mercado7)</f>
        <v>0</v>
      </c>
      <c r="AR101" s="4">
        <f>SUMIFS(super1[Qtde],super1[Item],tab_higiene[[#This Row],[Item]],super1[Bairro],mercado8)+SUMIFS(supercb[Qtde],supercb[Item],tab_higiene[[#This Row],[Item]],supercb[Bairro],mercado8)</f>
        <v>0</v>
      </c>
      <c r="AS101" s="4">
        <f>SUMIFS(super1[Qtde],super1[Item],tab_higiene[[#This Row],[Item]],super1[Bairro],mercado9)+SUMIFS(supercb[Qtde],supercb[Item],tab_higiene[[#This Row],[Item]],supercb[Bairro],mercado9)</f>
        <v>0</v>
      </c>
      <c r="AT101" s="4">
        <f>SUMIFS(super1[Qtde],super1[Item],tab_higiene[[#This Row],[Item]],super1[Bairro],mercado10)+SUMIFS(supercb[Qtde],supercb[Item],tab_higiene[[#This Row],[Item]],supercb[Bairro],mercado10)</f>
        <v>0</v>
      </c>
      <c r="AU101" s="4">
        <f>SUMIFS(super1[Qtde],super1[Item],tab_higiene[[#This Row],[Item]],super1[Bairro],mercado11)+SUMIFS(supercb[Qtde],supercb[Item],tab_higiene[[#This Row],[Item]],supercb[Bairro],mercado11)</f>
        <v>0</v>
      </c>
      <c r="AV101" s="4">
        <f>SUMIFS(super1[Qtde],super1[Item],tab_higiene[[#This Row],[Item]],super1[Bairro],mercado12)+SUMIFS(supercb[Qtde],supercb[Item],tab_higiene[[#This Row],[Item]],supercb[Bairro],mercado12)</f>
        <v>0</v>
      </c>
      <c r="AW101" s="4">
        <f>SUMIFS(super1[Qtde],super1[Item],tab_higiene[[#This Row],[Item]],super1[Bairro],mercado13)+SUMIFS(supercb[Qtde],supercb[Item],tab_higiene[[#This Row],[Item]],supercb[Bairro],mercado13)</f>
        <v>0</v>
      </c>
      <c r="AX101" s="4">
        <f>SUMIFS(super1[Qtde],super1[Item],tab_higiene[[#This Row],[Item]],super1[Bairro],mercado14)+SUMIFS(supercb[Qtde],supercb[Item],tab_higiene[[#This Row],[Item]],supercb[Bairro],mercado14)</f>
        <v>0</v>
      </c>
      <c r="AY101" s="4">
        <f>SUMIFS(super1[Qtde],super1[Item],tab_higiene[[#This Row],[Item]],super1[Bairro],mercado15)+SUMIFS(supercb[Qtde],supercb[Item],tab_higiene[[#This Row],[Item]],supercb[Bairro],mercado15)</f>
        <v>0</v>
      </c>
      <c r="AZ101" s="4">
        <f>SUMIFS(super1[Qtde],super1[Item],tab_higiene[[#This Row],[Item]],super1[Bairro],mercado16)+SUMIFS(supercb[Qtde],supercb[Item],tab_higiene[[#This Row],[Item]],supercb[Bairro],mercado16)</f>
        <v>0</v>
      </c>
      <c r="BA101" s="4">
        <f>SUMIFS(super1[Qtde],super1[Item],tab_higiene[[#This Row],[Item]],super1[Bairro],mercado17)+SUMIFS(supercb[Qtde],supercb[Item],tab_higiene[[#This Row],[Item]],supercb[Bairro],mercado17)</f>
        <v>0</v>
      </c>
      <c r="BB101" s="4">
        <f>SUMIFS(super1[Qtde],super1[Item],tab_higiene[[#This Row],[Item]],super1[Bairro],mercado18)+SUMIFS(supercb[Qtde],supercb[Item],tab_higiene[[#This Row],[Item]],supercb[Bairro],mercado18)</f>
        <v>0</v>
      </c>
      <c r="BC101" s="4">
        <f>SUMIFS(super1[Qtde],super1[Item],tab_higiene[[#This Row],[Item]],super1[Bairro],extras)+SUMIFS(supercb[Qtde],supercb[Item],tab_higiene[[#This Row],[Item]],supercb[Bairro],extras)</f>
        <v>0</v>
      </c>
      <c r="BD101" s="4">
        <f t="shared" ref="BD101:BD132" si="41">SUM(AK101:BB101)</f>
        <v>0</v>
      </c>
      <c r="BE101" s="4">
        <f t="shared" ref="BE101:BE132" si="42">IFERROR(BD101*AJ101,0)</f>
        <v>0</v>
      </c>
      <c r="BF101" s="6">
        <f t="shared" ref="BF101:BF132" si="43">IFERROR(AI101*BD101,0)</f>
        <v>0</v>
      </c>
      <c r="BI101" s="1" t="str">
        <f>tab_alimentos[[#This Row],[Item]]</f>
        <v>Biscoito Salgado (160g)</v>
      </c>
      <c r="BJ101" s="1">
        <f t="shared" si="25"/>
        <v>17</v>
      </c>
      <c r="BK101" s="1" t="str">
        <f t="shared" si="26"/>
        <v>Biscoito Salgado</v>
      </c>
      <c r="BL101" s="1">
        <f>tab_alimentos[[#This Row],[kg]]</f>
        <v>0</v>
      </c>
      <c r="BN101" s="1">
        <f t="shared" si="36"/>
        <v>0</v>
      </c>
      <c r="BP101" s="1" t="str">
        <f>tab_higiene[[#This Row],[Item]]</f>
        <v>Fraldas Infantis (12un)</v>
      </c>
      <c r="BQ101" s="1">
        <f t="shared" si="33"/>
        <v>17</v>
      </c>
      <c r="BR101" s="1" t="str">
        <f t="shared" si="34"/>
        <v>Fraldas Infantis</v>
      </c>
      <c r="BS101" s="1">
        <f>higiene[[#This Row],[Quantidade]]</f>
        <v>12</v>
      </c>
      <c r="BT101" s="1">
        <f>tab_higiene[[#This Row],[Qtde (tot)]]</f>
        <v>0</v>
      </c>
      <c r="BU101" s="1">
        <f t="shared" si="37"/>
        <v>0</v>
      </c>
      <c r="BW101" s="1">
        <f t="shared" ref="BW101:BW132" si="44">SUMIF($BR$5:$BR$142,BV101,$BU$5:$BU$142)</f>
        <v>0</v>
      </c>
    </row>
    <row r="102" spans="9:75" x14ac:dyDescent="0.25">
      <c r="I102" s="19" t="str">
        <f>alimentos[[#This Row],[Item]]</f>
        <v>Biscoito Salgado (170g)</v>
      </c>
      <c r="J102" s="4">
        <f>IFERROR(alimentos[[#This Row],[kg/embalagem]],0)</f>
        <v>0.17</v>
      </c>
      <c r="K102" s="4">
        <f>IFERROR(alimentos[[#This Row],[Preço]],0)</f>
        <v>3.62</v>
      </c>
      <c r="L102" s="4">
        <f>SUMIFS(super1[Qtde],super1[Item],tab_alimentos[[#This Row],[Item]],super1[Bairro],mercado1)+SUMIFS(supercb[Qtde],supercb[Item],tab_alimentos[[#This Row],[Item]],supercb[Bairro],mercado1)</f>
        <v>0</v>
      </c>
      <c r="M102" s="4">
        <f>SUMIFS(super1[Qtde],super1[Item],tab_alimentos[[#This Row],[Item]],super1[Bairro],mercado2)+SUMIFS(supercb[Qtde],supercb[Item],tab_alimentos[[#This Row],[Item]],supercb[Bairro],mercado2)</f>
        <v>0</v>
      </c>
      <c r="N102" s="4">
        <f>SUMIFS(super1[Qtde],super1[Item],tab_alimentos[[#This Row],[Item]],super1[Bairro],mercado3)+SUMIFS(supercb[Qtde],supercb[Item],tab_alimentos[[#This Row],[Item]],supercb[Bairro],mercado3)</f>
        <v>0</v>
      </c>
      <c r="O102" s="4">
        <f>SUMIFS(super1[Qtde],super1[Item],tab_alimentos[[#This Row],[Item]],super1[Bairro],mercado4)+SUMIFS(supercb[Qtde],supercb[Item],tab_alimentos[[#This Row],[Item]],supercb[Bairro],mercado4)</f>
        <v>0</v>
      </c>
      <c r="P102" s="4">
        <f>SUMIFS(super1[Qtde],super1[Item],tab_alimentos[[#This Row],[Item]],super1[Bairro],mercado5)+SUMIFS(supercb[Qtde],supercb[Item],tab_alimentos[[#This Row],[Item]],supercb[Bairro],mercado5)</f>
        <v>0</v>
      </c>
      <c r="Q102" s="4">
        <f>SUMIFS(super1[Qtde],super1[Item],tab_alimentos[[#This Row],[Item]],super1[Bairro],mercado6)+SUMIFS(supercb[Qtde],supercb[Item],tab_alimentos[[#This Row],[Item]],supercb[Bairro],mercado6)</f>
        <v>0</v>
      </c>
      <c r="R102" s="4">
        <f>SUMIFS(super1[Qtde],super1[Item],tab_alimentos[[#This Row],[Item]],super1[Bairro],mercado7)+SUMIFS(supercb[Qtde],supercb[Item],tab_alimentos[[#This Row],[Item]],supercb[Bairro],mercado7)</f>
        <v>0</v>
      </c>
      <c r="S102" s="4">
        <f>SUMIFS(super1[Qtde],super1[Item],tab_alimentos[[#This Row],[Item]],super1[Bairro],mercado8)+SUMIFS(supercb[Qtde],supercb[Item],tab_alimentos[[#This Row],[Item]],supercb[Bairro],mercado8)</f>
        <v>0</v>
      </c>
      <c r="T102" s="4">
        <f>SUMIFS(super1[Qtde],super1[Item],tab_alimentos[[#This Row],[Item]],super1[Bairro],mercado9)+SUMIFS(supercb[Qtde],supercb[Item],tab_alimentos[[#This Row],[Item]],supercb[Bairro],mercado9)</f>
        <v>0</v>
      </c>
      <c r="U102" s="4">
        <f>SUMIFS(super1[Qtde],super1[Item],tab_alimentos[[#This Row],[Item]],super1[Bairro],mercado10)+SUMIFS(supercb[Qtde],supercb[Item],tab_alimentos[[#This Row],[Item]],supercb[Bairro],mercado10)</f>
        <v>0</v>
      </c>
      <c r="V102" s="4">
        <f>SUMIFS(super1[Qtde],super1[Item],tab_alimentos[[#This Row],[Item]],super1[Bairro],mercado11)+SUMIFS(supercb[Qtde],supercb[Item],tab_alimentos[[#This Row],[Item]],supercb[Bairro],mercado11)</f>
        <v>0</v>
      </c>
      <c r="W102" s="4">
        <f>SUMIFS(super1[Qtde],super1[Item],tab_alimentos[[#This Row],[Item]],super1[Bairro],mercado12)+SUMIFS(supercb[Qtde],supercb[Item],tab_alimentos[[#This Row],[Item]],supercb[Bairro],mercado12)</f>
        <v>0</v>
      </c>
      <c r="X102" s="4">
        <f>SUMIFS(super1[Qtde],super1[Item],tab_alimentos[[#This Row],[Item]],super1[Bairro],mercado13)+SUMIFS(supercb[Qtde],supercb[Item],tab_alimentos[[#This Row],[Item]],supercb[Bairro],mercado13)</f>
        <v>0</v>
      </c>
      <c r="Y102" s="4">
        <f>SUMIFS(super1[Qtde],super1[Item],tab_alimentos[[#This Row],[Item]],super1[Bairro],mercado14)+SUMIFS(supercb[Qtde],supercb[Item],tab_alimentos[[#This Row],[Item]],supercb[Bairro],mercado14)</f>
        <v>0</v>
      </c>
      <c r="Z102" s="4">
        <f>SUMIFS(super1[Qtde],super1[Item],tab_alimentos[[#This Row],[Item]],super1[Bairro],mercado15)+SUMIFS(supercb[Qtde],supercb[Item],tab_alimentos[[#This Row],[Item]],supercb[Bairro],mercado15)</f>
        <v>0</v>
      </c>
      <c r="AA102" s="4">
        <f>SUMIFS(super1[Qtde],super1[Item],tab_alimentos[[#This Row],[Item]],super1[Bairro],mercado16)+SUMIFS(supercb[Qtde],supercb[Item],tab_alimentos[[#This Row],[Item]],supercb[Bairro],mercado16)</f>
        <v>0</v>
      </c>
      <c r="AB102" s="4">
        <f>SUMIFS(super1[Qtde],super1[Item],tab_alimentos[[#This Row],[Item]],super1[Bairro],mercado17)+SUMIFS(supercb[Qtde],supercb[Item],tab_alimentos[[#This Row],[Item]],supercb[Bairro],mercado17)</f>
        <v>0</v>
      </c>
      <c r="AC102" s="4">
        <f>SUMIFS(super1[Qtde],super1[Item],tab_alimentos[[#This Row],[Item]],super1[Bairro],mercado18)+SUMIFS(supercb[Qtde],supercb[Item],tab_alimentos[[#This Row],[Item]],supercb[Bairro],mercado18)</f>
        <v>0</v>
      </c>
      <c r="AD102" s="4">
        <f>SUMIFS(super1[Qtde],super1[Item],tab_alimentos[[#This Row],[Item]],super1[Bairro],extras)+SUMIFS(supercb[Qtde],supercb[Item],tab_alimentos[[#This Row],[Item]],supercb[Bairro],extras)</f>
        <v>0</v>
      </c>
      <c r="AE102" s="4">
        <f t="shared" si="38"/>
        <v>0</v>
      </c>
      <c r="AF102" s="4">
        <f t="shared" si="39"/>
        <v>0</v>
      </c>
      <c r="AG102" s="6">
        <f t="shared" si="40"/>
        <v>0</v>
      </c>
      <c r="AH102" s="19" t="str">
        <f>higiene[[#This Row],[Item]]</f>
        <v>Fraldas Infantis (14un)</v>
      </c>
      <c r="AI102" s="4">
        <f>IFERROR(higiene[[#This Row],[Kg equivalente]],0)</f>
        <v>0</v>
      </c>
      <c r="AJ102" s="4">
        <f>IFERROR(higiene[[#This Row],[Preço por produto]],0)</f>
        <v>20.99</v>
      </c>
      <c r="AK102" s="4">
        <f>SUMIFS(super1[Qtde],super1[Item],tab_higiene[[#This Row],[Item]],super1[Bairro],mercado1)+SUMIFS(supercb[Qtde],supercb[Item],tab_higiene[[#This Row],[Item]],supercb[Bairro],mercado1)</f>
        <v>0</v>
      </c>
      <c r="AL102" s="4">
        <f>SUMIFS(super1[Qtde],super1[Item],tab_higiene[[#This Row],[Item]],super1[Bairro],mercado2)+SUMIFS(supercb[Qtde],supercb[Item],tab_higiene[[#This Row],[Item]],supercb[Bairro],mercado2)</f>
        <v>0</v>
      </c>
      <c r="AM102" s="4">
        <f>SUMIFS(super1[Qtde],super1[Item],tab_higiene[[#This Row],[Item]],super1[Bairro],mercado3)+SUMIFS(supercb[Qtde],supercb[Item],tab_higiene[[#This Row],[Item]],supercb[Bairro],mercado3)</f>
        <v>0</v>
      </c>
      <c r="AN102" s="4">
        <f>SUMIFS(super1[Qtde],super1[Item],tab_higiene[[#This Row],[Item]],super1[Bairro],mercado4)+SUMIFS(supercb[Qtde],supercb[Item],tab_higiene[[#This Row],[Item]],supercb[Bairro],mercado4)</f>
        <v>0</v>
      </c>
      <c r="AO102" s="4">
        <f>SUMIFS(super1[Qtde],super1[Item],tab_higiene[[#This Row],[Item]],super1[Bairro],mercado5)+SUMIFS(supercb[Qtde],supercb[Item],tab_higiene[[#This Row],[Item]],supercb[Bairro],mercado5)</f>
        <v>0</v>
      </c>
      <c r="AP102" s="4">
        <f>SUMIFS(super1[Qtde],super1[Item],tab_higiene[[#This Row],[Item]],super1[Bairro],mercado6)+SUMIFS(supercb[Qtde],supercb[Item],tab_higiene[[#This Row],[Item]],supercb[Bairro],mercado6)</f>
        <v>0</v>
      </c>
      <c r="AQ102" s="4">
        <f>SUMIFS(super1[Qtde],super1[Item],tab_higiene[[#This Row],[Item]],super1[Bairro],mercado7)+SUMIFS(supercb[Qtde],supercb[Item],tab_higiene[[#This Row],[Item]],supercb[Bairro],mercado7)</f>
        <v>0</v>
      </c>
      <c r="AR102" s="4">
        <f>SUMIFS(super1[Qtde],super1[Item],tab_higiene[[#This Row],[Item]],super1[Bairro],mercado8)+SUMIFS(supercb[Qtde],supercb[Item],tab_higiene[[#This Row],[Item]],supercb[Bairro],mercado8)</f>
        <v>0</v>
      </c>
      <c r="AS102" s="4">
        <f>SUMIFS(super1[Qtde],super1[Item],tab_higiene[[#This Row],[Item]],super1[Bairro],mercado9)+SUMIFS(supercb[Qtde],supercb[Item],tab_higiene[[#This Row],[Item]],supercb[Bairro],mercado9)</f>
        <v>0</v>
      </c>
      <c r="AT102" s="4">
        <f>SUMIFS(super1[Qtde],super1[Item],tab_higiene[[#This Row],[Item]],super1[Bairro],mercado10)+SUMIFS(supercb[Qtde],supercb[Item],tab_higiene[[#This Row],[Item]],supercb[Bairro],mercado10)</f>
        <v>0</v>
      </c>
      <c r="AU102" s="4">
        <f>SUMIFS(super1[Qtde],super1[Item],tab_higiene[[#This Row],[Item]],super1[Bairro],mercado11)+SUMIFS(supercb[Qtde],supercb[Item],tab_higiene[[#This Row],[Item]],supercb[Bairro],mercado11)</f>
        <v>0</v>
      </c>
      <c r="AV102" s="4">
        <f>SUMIFS(super1[Qtde],super1[Item],tab_higiene[[#This Row],[Item]],super1[Bairro],mercado12)+SUMIFS(supercb[Qtde],supercb[Item],tab_higiene[[#This Row],[Item]],supercb[Bairro],mercado12)</f>
        <v>0</v>
      </c>
      <c r="AW102" s="4">
        <f>SUMIFS(super1[Qtde],super1[Item],tab_higiene[[#This Row],[Item]],super1[Bairro],mercado13)+SUMIFS(supercb[Qtde],supercb[Item],tab_higiene[[#This Row],[Item]],supercb[Bairro],mercado13)</f>
        <v>0</v>
      </c>
      <c r="AX102" s="4">
        <f>SUMIFS(super1[Qtde],super1[Item],tab_higiene[[#This Row],[Item]],super1[Bairro],mercado14)+SUMIFS(supercb[Qtde],supercb[Item],tab_higiene[[#This Row],[Item]],supercb[Bairro],mercado14)</f>
        <v>0</v>
      </c>
      <c r="AY102" s="4">
        <f>SUMIFS(super1[Qtde],super1[Item],tab_higiene[[#This Row],[Item]],super1[Bairro],mercado15)+SUMIFS(supercb[Qtde],supercb[Item],tab_higiene[[#This Row],[Item]],supercb[Bairro],mercado15)</f>
        <v>0</v>
      </c>
      <c r="AZ102" s="4">
        <f>SUMIFS(super1[Qtde],super1[Item],tab_higiene[[#This Row],[Item]],super1[Bairro],mercado16)+SUMIFS(supercb[Qtde],supercb[Item],tab_higiene[[#This Row],[Item]],supercb[Bairro],mercado16)</f>
        <v>0</v>
      </c>
      <c r="BA102" s="4">
        <f>SUMIFS(super1[Qtde],super1[Item],tab_higiene[[#This Row],[Item]],super1[Bairro],mercado17)+SUMIFS(supercb[Qtde],supercb[Item],tab_higiene[[#This Row],[Item]],supercb[Bairro],mercado17)</f>
        <v>0</v>
      </c>
      <c r="BB102" s="4">
        <f>SUMIFS(super1[Qtde],super1[Item],tab_higiene[[#This Row],[Item]],super1[Bairro],mercado18)+SUMIFS(supercb[Qtde],supercb[Item],tab_higiene[[#This Row],[Item]],supercb[Bairro],mercado18)</f>
        <v>0</v>
      </c>
      <c r="BC102" s="4">
        <f>SUMIFS(super1[Qtde],super1[Item],tab_higiene[[#This Row],[Item]],super1[Bairro],extras)+SUMIFS(supercb[Qtde],supercb[Item],tab_higiene[[#This Row],[Item]],supercb[Bairro],extras)</f>
        <v>0</v>
      </c>
      <c r="BD102" s="4">
        <f t="shared" si="41"/>
        <v>0</v>
      </c>
      <c r="BE102" s="4">
        <f t="shared" si="42"/>
        <v>0</v>
      </c>
      <c r="BF102" s="6">
        <f t="shared" si="43"/>
        <v>0</v>
      </c>
      <c r="BI102" s="1" t="str">
        <f>tab_alimentos[[#This Row],[Item]]</f>
        <v>Biscoito Salgado (170g)</v>
      </c>
      <c r="BJ102" s="1">
        <f t="shared" si="25"/>
        <v>17</v>
      </c>
      <c r="BK102" s="1" t="str">
        <f t="shared" si="26"/>
        <v>Biscoito Salgado</v>
      </c>
      <c r="BL102" s="1">
        <f>tab_alimentos[[#This Row],[kg]]</f>
        <v>0</v>
      </c>
      <c r="BN102" s="1">
        <f t="shared" si="36"/>
        <v>0</v>
      </c>
      <c r="BP102" s="1" t="str">
        <f>tab_higiene[[#This Row],[Item]]</f>
        <v>Fraldas Infantis (14un)</v>
      </c>
      <c r="BQ102" s="1">
        <f t="shared" si="33"/>
        <v>17</v>
      </c>
      <c r="BR102" s="1" t="str">
        <f t="shared" si="34"/>
        <v>Fraldas Infantis</v>
      </c>
      <c r="BS102" s="1">
        <f>higiene[[#This Row],[Quantidade]]</f>
        <v>2</v>
      </c>
      <c r="BT102" s="1">
        <f>tab_higiene[[#This Row],[Qtde (tot)]]</f>
        <v>0</v>
      </c>
      <c r="BU102" s="1">
        <f t="shared" si="37"/>
        <v>0</v>
      </c>
      <c r="BW102" s="1">
        <f t="shared" si="44"/>
        <v>0</v>
      </c>
    </row>
    <row r="103" spans="9:75" x14ac:dyDescent="0.25">
      <c r="I103" s="19" t="str">
        <f>alimentos[[#This Row],[Item]]</f>
        <v>Biscoito Salgado (200g)</v>
      </c>
      <c r="J103" s="4">
        <f>IFERROR(alimentos[[#This Row],[kg/embalagem]],0)</f>
        <v>0.2</v>
      </c>
      <c r="K103" s="4">
        <f>IFERROR(alimentos[[#This Row],[Preço]],0)</f>
        <v>3.38</v>
      </c>
      <c r="L103" s="4">
        <f>SUMIFS(super1[Qtde],super1[Item],tab_alimentos[[#This Row],[Item]],super1[Bairro],mercado1)+SUMIFS(supercb[Qtde],supercb[Item],tab_alimentos[[#This Row],[Item]],supercb[Bairro],mercado1)</f>
        <v>0</v>
      </c>
      <c r="M103" s="4">
        <f>SUMIFS(super1[Qtde],super1[Item],tab_alimentos[[#This Row],[Item]],super1[Bairro],mercado2)+SUMIFS(supercb[Qtde],supercb[Item],tab_alimentos[[#This Row],[Item]],supercb[Bairro],mercado2)</f>
        <v>0</v>
      </c>
      <c r="N103" s="4">
        <f>SUMIFS(super1[Qtde],super1[Item],tab_alimentos[[#This Row],[Item]],super1[Bairro],mercado3)+SUMIFS(supercb[Qtde],supercb[Item],tab_alimentos[[#This Row],[Item]],supercb[Bairro],mercado3)</f>
        <v>0</v>
      </c>
      <c r="O103" s="4">
        <f>SUMIFS(super1[Qtde],super1[Item],tab_alimentos[[#This Row],[Item]],super1[Bairro],mercado4)+SUMIFS(supercb[Qtde],supercb[Item],tab_alimentos[[#This Row],[Item]],supercb[Bairro],mercado4)</f>
        <v>0</v>
      </c>
      <c r="P103" s="4">
        <f>SUMIFS(super1[Qtde],super1[Item],tab_alimentos[[#This Row],[Item]],super1[Bairro],mercado5)+SUMIFS(supercb[Qtde],supercb[Item],tab_alimentos[[#This Row],[Item]],supercb[Bairro],mercado5)</f>
        <v>0</v>
      </c>
      <c r="Q103" s="4">
        <f>SUMIFS(super1[Qtde],super1[Item],tab_alimentos[[#This Row],[Item]],super1[Bairro],mercado6)+SUMIFS(supercb[Qtde],supercb[Item],tab_alimentos[[#This Row],[Item]],supercb[Bairro],mercado6)</f>
        <v>0</v>
      </c>
      <c r="R103" s="4">
        <f>SUMIFS(super1[Qtde],super1[Item],tab_alimentos[[#This Row],[Item]],super1[Bairro],mercado7)+SUMIFS(supercb[Qtde],supercb[Item],tab_alimentos[[#This Row],[Item]],supercb[Bairro],mercado7)</f>
        <v>0</v>
      </c>
      <c r="S103" s="4">
        <f>SUMIFS(super1[Qtde],super1[Item],tab_alimentos[[#This Row],[Item]],super1[Bairro],mercado8)+SUMIFS(supercb[Qtde],supercb[Item],tab_alimentos[[#This Row],[Item]],supercb[Bairro],mercado8)</f>
        <v>0</v>
      </c>
      <c r="T103" s="4">
        <f>SUMIFS(super1[Qtde],super1[Item],tab_alimentos[[#This Row],[Item]],super1[Bairro],mercado9)+SUMIFS(supercb[Qtde],supercb[Item],tab_alimentos[[#This Row],[Item]],supercb[Bairro],mercado9)</f>
        <v>0</v>
      </c>
      <c r="U103" s="4">
        <f>SUMIFS(super1[Qtde],super1[Item],tab_alimentos[[#This Row],[Item]],super1[Bairro],mercado10)+SUMIFS(supercb[Qtde],supercb[Item],tab_alimentos[[#This Row],[Item]],supercb[Bairro],mercado10)</f>
        <v>0</v>
      </c>
      <c r="V103" s="4">
        <f>SUMIFS(super1[Qtde],super1[Item],tab_alimentos[[#This Row],[Item]],super1[Bairro],mercado11)+SUMIFS(supercb[Qtde],supercb[Item],tab_alimentos[[#This Row],[Item]],supercb[Bairro],mercado11)</f>
        <v>0</v>
      </c>
      <c r="W103" s="4">
        <f>SUMIFS(super1[Qtde],super1[Item],tab_alimentos[[#This Row],[Item]],super1[Bairro],mercado12)+SUMIFS(supercb[Qtde],supercb[Item],tab_alimentos[[#This Row],[Item]],supercb[Bairro],mercado12)</f>
        <v>0</v>
      </c>
      <c r="X103" s="4">
        <f>SUMIFS(super1[Qtde],super1[Item],tab_alimentos[[#This Row],[Item]],super1[Bairro],mercado13)+SUMIFS(supercb[Qtde],supercb[Item],tab_alimentos[[#This Row],[Item]],supercb[Bairro],mercado13)</f>
        <v>0</v>
      </c>
      <c r="Y103" s="4">
        <f>SUMIFS(super1[Qtde],super1[Item],tab_alimentos[[#This Row],[Item]],super1[Bairro],mercado14)+SUMIFS(supercb[Qtde],supercb[Item],tab_alimentos[[#This Row],[Item]],supercb[Bairro],mercado14)</f>
        <v>0</v>
      </c>
      <c r="Z103" s="4">
        <f>SUMIFS(super1[Qtde],super1[Item],tab_alimentos[[#This Row],[Item]],super1[Bairro],mercado15)+SUMIFS(supercb[Qtde],supercb[Item],tab_alimentos[[#This Row],[Item]],supercb[Bairro],mercado15)</f>
        <v>0</v>
      </c>
      <c r="AA103" s="4">
        <f>SUMIFS(super1[Qtde],super1[Item],tab_alimentos[[#This Row],[Item]],super1[Bairro],mercado16)+SUMIFS(supercb[Qtde],supercb[Item],tab_alimentos[[#This Row],[Item]],supercb[Bairro],mercado16)</f>
        <v>0</v>
      </c>
      <c r="AB103" s="4">
        <f>SUMIFS(super1[Qtde],super1[Item],tab_alimentos[[#This Row],[Item]],super1[Bairro],mercado17)+SUMIFS(supercb[Qtde],supercb[Item],tab_alimentos[[#This Row],[Item]],supercb[Bairro],mercado17)</f>
        <v>0</v>
      </c>
      <c r="AC103" s="4">
        <f>SUMIFS(super1[Qtde],super1[Item],tab_alimentos[[#This Row],[Item]],super1[Bairro],mercado18)+SUMIFS(supercb[Qtde],supercb[Item],tab_alimentos[[#This Row],[Item]],supercb[Bairro],mercado18)</f>
        <v>0</v>
      </c>
      <c r="AD103" s="4">
        <f>SUMIFS(super1[Qtde],super1[Item],tab_alimentos[[#This Row],[Item]],super1[Bairro],extras)+SUMIFS(supercb[Qtde],supercb[Item],tab_alimentos[[#This Row],[Item]],supercb[Bairro],extras)</f>
        <v>0</v>
      </c>
      <c r="AE103" s="4">
        <f t="shared" si="38"/>
        <v>0</v>
      </c>
      <c r="AF103" s="4">
        <f t="shared" si="39"/>
        <v>0</v>
      </c>
      <c r="AG103" s="6">
        <f t="shared" si="40"/>
        <v>0</v>
      </c>
      <c r="AH103" s="19" t="str">
        <f>higiene[[#This Row],[Item]]</f>
        <v>Fraldas Infantis (16un)</v>
      </c>
      <c r="AI103" s="4">
        <f>IFERROR(higiene[[#This Row],[Kg equivalente]],0)</f>
        <v>0</v>
      </c>
      <c r="AJ103" s="4">
        <f>IFERROR(higiene[[#This Row],[Preço por produto]],0)</f>
        <v>23.98</v>
      </c>
      <c r="AK103" s="4">
        <f>SUMIFS(super1[Qtde],super1[Item],tab_higiene[[#This Row],[Item]],super1[Bairro],mercado1)+SUMIFS(supercb[Qtde],supercb[Item],tab_higiene[[#This Row],[Item]],supercb[Bairro],mercado1)</f>
        <v>0</v>
      </c>
      <c r="AL103" s="4">
        <f>SUMIFS(super1[Qtde],super1[Item],tab_higiene[[#This Row],[Item]],super1[Bairro],mercado2)+SUMIFS(supercb[Qtde],supercb[Item],tab_higiene[[#This Row],[Item]],supercb[Bairro],mercado2)</f>
        <v>0</v>
      </c>
      <c r="AM103" s="4">
        <f>SUMIFS(super1[Qtde],super1[Item],tab_higiene[[#This Row],[Item]],super1[Bairro],mercado3)+SUMIFS(supercb[Qtde],supercb[Item],tab_higiene[[#This Row],[Item]],supercb[Bairro],mercado3)</f>
        <v>0</v>
      </c>
      <c r="AN103" s="4">
        <f>SUMIFS(super1[Qtde],super1[Item],tab_higiene[[#This Row],[Item]],super1[Bairro],mercado4)+SUMIFS(supercb[Qtde],supercb[Item],tab_higiene[[#This Row],[Item]],supercb[Bairro],mercado4)</f>
        <v>0</v>
      </c>
      <c r="AO103" s="4">
        <f>SUMIFS(super1[Qtde],super1[Item],tab_higiene[[#This Row],[Item]],super1[Bairro],mercado5)+SUMIFS(supercb[Qtde],supercb[Item],tab_higiene[[#This Row],[Item]],supercb[Bairro],mercado5)</f>
        <v>0</v>
      </c>
      <c r="AP103" s="4">
        <f>SUMIFS(super1[Qtde],super1[Item],tab_higiene[[#This Row],[Item]],super1[Bairro],mercado6)+SUMIFS(supercb[Qtde],supercb[Item],tab_higiene[[#This Row],[Item]],supercb[Bairro],mercado6)</f>
        <v>0</v>
      </c>
      <c r="AQ103" s="4">
        <f>SUMIFS(super1[Qtde],super1[Item],tab_higiene[[#This Row],[Item]],super1[Bairro],mercado7)+SUMIFS(supercb[Qtde],supercb[Item],tab_higiene[[#This Row],[Item]],supercb[Bairro],mercado7)</f>
        <v>0</v>
      </c>
      <c r="AR103" s="4">
        <f>SUMIFS(super1[Qtde],super1[Item],tab_higiene[[#This Row],[Item]],super1[Bairro],mercado8)+SUMIFS(supercb[Qtde],supercb[Item],tab_higiene[[#This Row],[Item]],supercb[Bairro],mercado8)</f>
        <v>0</v>
      </c>
      <c r="AS103" s="4">
        <f>SUMIFS(super1[Qtde],super1[Item],tab_higiene[[#This Row],[Item]],super1[Bairro],mercado9)+SUMIFS(supercb[Qtde],supercb[Item],tab_higiene[[#This Row],[Item]],supercb[Bairro],mercado9)</f>
        <v>0</v>
      </c>
      <c r="AT103" s="4">
        <f>SUMIFS(super1[Qtde],super1[Item],tab_higiene[[#This Row],[Item]],super1[Bairro],mercado10)+SUMIFS(supercb[Qtde],supercb[Item],tab_higiene[[#This Row],[Item]],supercb[Bairro],mercado10)</f>
        <v>0</v>
      </c>
      <c r="AU103" s="4">
        <f>SUMIFS(super1[Qtde],super1[Item],tab_higiene[[#This Row],[Item]],super1[Bairro],mercado11)+SUMIFS(supercb[Qtde],supercb[Item],tab_higiene[[#This Row],[Item]],supercb[Bairro],mercado11)</f>
        <v>0</v>
      </c>
      <c r="AV103" s="4">
        <f>SUMIFS(super1[Qtde],super1[Item],tab_higiene[[#This Row],[Item]],super1[Bairro],mercado12)+SUMIFS(supercb[Qtde],supercb[Item],tab_higiene[[#This Row],[Item]],supercb[Bairro],mercado12)</f>
        <v>0</v>
      </c>
      <c r="AW103" s="4">
        <f>SUMIFS(super1[Qtde],super1[Item],tab_higiene[[#This Row],[Item]],super1[Bairro],mercado13)+SUMIFS(supercb[Qtde],supercb[Item],tab_higiene[[#This Row],[Item]],supercb[Bairro],mercado13)</f>
        <v>0</v>
      </c>
      <c r="AX103" s="4">
        <f>SUMIFS(super1[Qtde],super1[Item],tab_higiene[[#This Row],[Item]],super1[Bairro],mercado14)+SUMIFS(supercb[Qtde],supercb[Item],tab_higiene[[#This Row],[Item]],supercb[Bairro],mercado14)</f>
        <v>0</v>
      </c>
      <c r="AY103" s="4">
        <f>SUMIFS(super1[Qtde],super1[Item],tab_higiene[[#This Row],[Item]],super1[Bairro],mercado15)+SUMIFS(supercb[Qtde],supercb[Item],tab_higiene[[#This Row],[Item]],supercb[Bairro],mercado15)</f>
        <v>0</v>
      </c>
      <c r="AZ103" s="4">
        <f>SUMIFS(super1[Qtde],super1[Item],tab_higiene[[#This Row],[Item]],super1[Bairro],mercado16)+SUMIFS(supercb[Qtde],supercb[Item],tab_higiene[[#This Row],[Item]],supercb[Bairro],mercado16)</f>
        <v>0</v>
      </c>
      <c r="BA103" s="4">
        <f>SUMIFS(super1[Qtde],super1[Item],tab_higiene[[#This Row],[Item]],super1[Bairro],mercado17)+SUMIFS(supercb[Qtde],supercb[Item],tab_higiene[[#This Row],[Item]],supercb[Bairro],mercado17)</f>
        <v>0</v>
      </c>
      <c r="BB103" s="4">
        <f>SUMIFS(super1[Qtde],super1[Item],tab_higiene[[#This Row],[Item]],super1[Bairro],mercado18)+SUMIFS(supercb[Qtde],supercb[Item],tab_higiene[[#This Row],[Item]],supercb[Bairro],mercado18)</f>
        <v>0</v>
      </c>
      <c r="BC103" s="4">
        <f>SUMIFS(super1[Qtde],super1[Item],tab_higiene[[#This Row],[Item]],super1[Bairro],extras)+SUMIFS(supercb[Qtde],supercb[Item],tab_higiene[[#This Row],[Item]],supercb[Bairro],extras)</f>
        <v>0</v>
      </c>
      <c r="BD103" s="4">
        <f t="shared" si="41"/>
        <v>0</v>
      </c>
      <c r="BE103" s="4">
        <f t="shared" si="42"/>
        <v>0</v>
      </c>
      <c r="BF103" s="6">
        <f t="shared" si="43"/>
        <v>0</v>
      </c>
      <c r="BI103" s="1" t="str">
        <f>tab_alimentos[[#This Row],[Item]]</f>
        <v>Biscoito Salgado (200g)</v>
      </c>
      <c r="BJ103" s="1">
        <f t="shared" si="25"/>
        <v>17</v>
      </c>
      <c r="BK103" s="1" t="str">
        <f t="shared" si="26"/>
        <v>Biscoito Salgado</v>
      </c>
      <c r="BL103" s="1">
        <f>tab_alimentos[[#This Row],[kg]]</f>
        <v>0</v>
      </c>
      <c r="BN103" s="1">
        <f t="shared" si="36"/>
        <v>0</v>
      </c>
      <c r="BP103" s="1" t="str">
        <f>tab_higiene[[#This Row],[Item]]</f>
        <v>Fraldas Infantis (16un)</v>
      </c>
      <c r="BQ103" s="1">
        <f t="shared" si="33"/>
        <v>17</v>
      </c>
      <c r="BR103" s="1" t="str">
        <f t="shared" si="34"/>
        <v>Fraldas Infantis</v>
      </c>
      <c r="BS103" s="1">
        <f>higiene[[#This Row],[Quantidade]]</f>
        <v>4</v>
      </c>
      <c r="BT103" s="1">
        <f>tab_higiene[[#This Row],[Qtde (tot)]]</f>
        <v>0</v>
      </c>
      <c r="BU103" s="1">
        <f t="shared" si="37"/>
        <v>0</v>
      </c>
      <c r="BW103" s="1">
        <f t="shared" si="44"/>
        <v>0</v>
      </c>
    </row>
    <row r="104" spans="9:75" x14ac:dyDescent="0.25">
      <c r="I104" s="19" t="str">
        <f>alimentos[[#This Row],[Item]]</f>
        <v>Biscoito Salgado (27g)</v>
      </c>
      <c r="J104" s="4">
        <f>IFERROR(alimentos[[#This Row],[kg/embalagem]],0)</f>
        <v>2.7E-2</v>
      </c>
      <c r="K104" s="4">
        <f>IFERROR(alimentos[[#This Row],[Preço]],0)</f>
        <v>7.49</v>
      </c>
      <c r="L104" s="4">
        <f>SUMIFS(super1[Qtde],super1[Item],tab_alimentos[[#This Row],[Item]],super1[Bairro],mercado1)+SUMIFS(supercb[Qtde],supercb[Item],tab_alimentos[[#This Row],[Item]],supercb[Bairro],mercado1)</f>
        <v>0</v>
      </c>
      <c r="M104" s="4">
        <f>SUMIFS(super1[Qtde],super1[Item],tab_alimentos[[#This Row],[Item]],super1[Bairro],mercado2)+SUMIFS(supercb[Qtde],supercb[Item],tab_alimentos[[#This Row],[Item]],supercb[Bairro],mercado2)</f>
        <v>0</v>
      </c>
      <c r="N104" s="4">
        <f>SUMIFS(super1[Qtde],super1[Item],tab_alimentos[[#This Row],[Item]],super1[Bairro],mercado3)+SUMIFS(supercb[Qtde],supercb[Item],tab_alimentos[[#This Row],[Item]],supercb[Bairro],mercado3)</f>
        <v>0</v>
      </c>
      <c r="O104" s="4">
        <f>SUMIFS(super1[Qtde],super1[Item],tab_alimentos[[#This Row],[Item]],super1[Bairro],mercado4)+SUMIFS(supercb[Qtde],supercb[Item],tab_alimentos[[#This Row],[Item]],supercb[Bairro],mercado4)</f>
        <v>0</v>
      </c>
      <c r="P104" s="4">
        <f>SUMIFS(super1[Qtde],super1[Item],tab_alimentos[[#This Row],[Item]],super1[Bairro],mercado5)+SUMIFS(supercb[Qtde],supercb[Item],tab_alimentos[[#This Row],[Item]],supercb[Bairro],mercado5)</f>
        <v>0</v>
      </c>
      <c r="Q104" s="4">
        <f>SUMIFS(super1[Qtde],super1[Item],tab_alimentos[[#This Row],[Item]],super1[Bairro],mercado6)+SUMIFS(supercb[Qtde],supercb[Item],tab_alimentos[[#This Row],[Item]],supercb[Bairro],mercado6)</f>
        <v>0</v>
      </c>
      <c r="R104" s="4">
        <f>SUMIFS(super1[Qtde],super1[Item],tab_alimentos[[#This Row],[Item]],super1[Bairro],mercado7)+SUMIFS(supercb[Qtde],supercb[Item],tab_alimentos[[#This Row],[Item]],supercb[Bairro],mercado7)</f>
        <v>0</v>
      </c>
      <c r="S104" s="4">
        <f>SUMIFS(super1[Qtde],super1[Item],tab_alimentos[[#This Row],[Item]],super1[Bairro],mercado8)+SUMIFS(supercb[Qtde],supercb[Item],tab_alimentos[[#This Row],[Item]],supercb[Bairro],mercado8)</f>
        <v>0</v>
      </c>
      <c r="T104" s="4">
        <f>SUMIFS(super1[Qtde],super1[Item],tab_alimentos[[#This Row],[Item]],super1[Bairro],mercado9)+SUMIFS(supercb[Qtde],supercb[Item],tab_alimentos[[#This Row],[Item]],supercb[Bairro],mercado9)</f>
        <v>0</v>
      </c>
      <c r="U104" s="4">
        <f>SUMIFS(super1[Qtde],super1[Item],tab_alimentos[[#This Row],[Item]],super1[Bairro],mercado10)+SUMIFS(supercb[Qtde],supercb[Item],tab_alimentos[[#This Row],[Item]],supercb[Bairro],mercado10)</f>
        <v>0</v>
      </c>
      <c r="V104" s="4">
        <f>SUMIFS(super1[Qtde],super1[Item],tab_alimentos[[#This Row],[Item]],super1[Bairro],mercado11)+SUMIFS(supercb[Qtde],supercb[Item],tab_alimentos[[#This Row],[Item]],supercb[Bairro],mercado11)</f>
        <v>0</v>
      </c>
      <c r="W104" s="4">
        <f>SUMIFS(super1[Qtde],super1[Item],tab_alimentos[[#This Row],[Item]],super1[Bairro],mercado12)+SUMIFS(supercb[Qtde],supercb[Item],tab_alimentos[[#This Row],[Item]],supercb[Bairro],mercado12)</f>
        <v>0</v>
      </c>
      <c r="X104" s="4">
        <f>SUMIFS(super1[Qtde],super1[Item],tab_alimentos[[#This Row],[Item]],super1[Bairro],mercado13)+SUMIFS(supercb[Qtde],supercb[Item],tab_alimentos[[#This Row],[Item]],supercb[Bairro],mercado13)</f>
        <v>0</v>
      </c>
      <c r="Y104" s="4">
        <f>SUMIFS(super1[Qtde],super1[Item],tab_alimentos[[#This Row],[Item]],super1[Bairro],mercado14)+SUMIFS(supercb[Qtde],supercb[Item],tab_alimentos[[#This Row],[Item]],supercb[Bairro],mercado14)</f>
        <v>0</v>
      </c>
      <c r="Z104" s="4">
        <f>SUMIFS(super1[Qtde],super1[Item],tab_alimentos[[#This Row],[Item]],super1[Bairro],mercado15)+SUMIFS(supercb[Qtde],supercb[Item],tab_alimentos[[#This Row],[Item]],supercb[Bairro],mercado15)</f>
        <v>0</v>
      </c>
      <c r="AA104" s="4">
        <f>SUMIFS(super1[Qtde],super1[Item],tab_alimentos[[#This Row],[Item]],super1[Bairro],mercado16)+SUMIFS(supercb[Qtde],supercb[Item],tab_alimentos[[#This Row],[Item]],supercb[Bairro],mercado16)</f>
        <v>0</v>
      </c>
      <c r="AB104" s="4">
        <f>SUMIFS(super1[Qtde],super1[Item],tab_alimentos[[#This Row],[Item]],super1[Bairro],mercado17)+SUMIFS(supercb[Qtde],supercb[Item],tab_alimentos[[#This Row],[Item]],supercb[Bairro],mercado17)</f>
        <v>0</v>
      </c>
      <c r="AC104" s="4">
        <f>SUMIFS(super1[Qtde],super1[Item],tab_alimentos[[#This Row],[Item]],super1[Bairro],mercado18)+SUMIFS(supercb[Qtde],supercb[Item],tab_alimentos[[#This Row],[Item]],supercb[Bairro],mercado18)</f>
        <v>0</v>
      </c>
      <c r="AD104" s="4">
        <f>SUMIFS(super1[Qtde],super1[Item],tab_alimentos[[#This Row],[Item]],super1[Bairro],extras)+SUMIFS(supercb[Qtde],supercb[Item],tab_alimentos[[#This Row],[Item]],supercb[Bairro],extras)</f>
        <v>0</v>
      </c>
      <c r="AE104" s="4">
        <f t="shared" si="38"/>
        <v>0</v>
      </c>
      <c r="AF104" s="4">
        <f t="shared" si="39"/>
        <v>0</v>
      </c>
      <c r="AG104" s="6">
        <f t="shared" si="40"/>
        <v>0</v>
      </c>
      <c r="AH104" s="19" t="str">
        <f>higiene[[#This Row],[Item]]</f>
        <v>Fraldas Infantis (18un)</v>
      </c>
      <c r="AI104" s="4">
        <f>IFERROR(higiene[[#This Row],[Kg equivalente]],0)</f>
        <v>0</v>
      </c>
      <c r="AJ104" s="4">
        <f>IFERROR(higiene[[#This Row],[Preço por produto]],0)</f>
        <v>20.99</v>
      </c>
      <c r="AK104" s="4">
        <f>SUMIFS(super1[Qtde],super1[Item],tab_higiene[[#This Row],[Item]],super1[Bairro],mercado1)+SUMIFS(supercb[Qtde],supercb[Item],tab_higiene[[#This Row],[Item]],supercb[Bairro],mercado1)</f>
        <v>0</v>
      </c>
      <c r="AL104" s="4">
        <f>SUMIFS(super1[Qtde],super1[Item],tab_higiene[[#This Row],[Item]],super1[Bairro],mercado2)+SUMIFS(supercb[Qtde],supercb[Item],tab_higiene[[#This Row],[Item]],supercb[Bairro],mercado2)</f>
        <v>0</v>
      </c>
      <c r="AM104" s="4">
        <f>SUMIFS(super1[Qtde],super1[Item],tab_higiene[[#This Row],[Item]],super1[Bairro],mercado3)+SUMIFS(supercb[Qtde],supercb[Item],tab_higiene[[#This Row],[Item]],supercb[Bairro],mercado3)</f>
        <v>0</v>
      </c>
      <c r="AN104" s="4">
        <f>SUMIFS(super1[Qtde],super1[Item],tab_higiene[[#This Row],[Item]],super1[Bairro],mercado4)+SUMIFS(supercb[Qtde],supercb[Item],tab_higiene[[#This Row],[Item]],supercb[Bairro],mercado4)</f>
        <v>0</v>
      </c>
      <c r="AO104" s="4">
        <f>SUMIFS(super1[Qtde],super1[Item],tab_higiene[[#This Row],[Item]],super1[Bairro],mercado5)+SUMIFS(supercb[Qtde],supercb[Item],tab_higiene[[#This Row],[Item]],supercb[Bairro],mercado5)</f>
        <v>0</v>
      </c>
      <c r="AP104" s="4">
        <f>SUMIFS(super1[Qtde],super1[Item],tab_higiene[[#This Row],[Item]],super1[Bairro],mercado6)+SUMIFS(supercb[Qtde],supercb[Item],tab_higiene[[#This Row],[Item]],supercb[Bairro],mercado6)</f>
        <v>0</v>
      </c>
      <c r="AQ104" s="4">
        <f>SUMIFS(super1[Qtde],super1[Item],tab_higiene[[#This Row],[Item]],super1[Bairro],mercado7)+SUMIFS(supercb[Qtde],supercb[Item],tab_higiene[[#This Row],[Item]],supercb[Bairro],mercado7)</f>
        <v>0</v>
      </c>
      <c r="AR104" s="4">
        <f>SUMIFS(super1[Qtde],super1[Item],tab_higiene[[#This Row],[Item]],super1[Bairro],mercado8)+SUMIFS(supercb[Qtde],supercb[Item],tab_higiene[[#This Row],[Item]],supercb[Bairro],mercado8)</f>
        <v>0</v>
      </c>
      <c r="AS104" s="4">
        <f>SUMIFS(super1[Qtde],super1[Item],tab_higiene[[#This Row],[Item]],super1[Bairro],mercado9)+SUMIFS(supercb[Qtde],supercb[Item],tab_higiene[[#This Row],[Item]],supercb[Bairro],mercado9)</f>
        <v>0</v>
      </c>
      <c r="AT104" s="4">
        <f>SUMIFS(super1[Qtde],super1[Item],tab_higiene[[#This Row],[Item]],super1[Bairro],mercado10)+SUMIFS(supercb[Qtde],supercb[Item],tab_higiene[[#This Row],[Item]],supercb[Bairro],mercado10)</f>
        <v>0</v>
      </c>
      <c r="AU104" s="4">
        <f>SUMIFS(super1[Qtde],super1[Item],tab_higiene[[#This Row],[Item]],super1[Bairro],mercado11)+SUMIFS(supercb[Qtde],supercb[Item],tab_higiene[[#This Row],[Item]],supercb[Bairro],mercado11)</f>
        <v>0</v>
      </c>
      <c r="AV104" s="4">
        <f>SUMIFS(super1[Qtde],super1[Item],tab_higiene[[#This Row],[Item]],super1[Bairro],mercado12)+SUMIFS(supercb[Qtde],supercb[Item],tab_higiene[[#This Row],[Item]],supercb[Bairro],mercado12)</f>
        <v>0</v>
      </c>
      <c r="AW104" s="4">
        <f>SUMIFS(super1[Qtde],super1[Item],tab_higiene[[#This Row],[Item]],super1[Bairro],mercado13)+SUMIFS(supercb[Qtde],supercb[Item],tab_higiene[[#This Row],[Item]],supercb[Bairro],mercado13)</f>
        <v>0</v>
      </c>
      <c r="AX104" s="4">
        <f>SUMIFS(super1[Qtde],super1[Item],tab_higiene[[#This Row],[Item]],super1[Bairro],mercado14)+SUMIFS(supercb[Qtde],supercb[Item],tab_higiene[[#This Row],[Item]],supercb[Bairro],mercado14)</f>
        <v>0</v>
      </c>
      <c r="AY104" s="4">
        <f>SUMIFS(super1[Qtde],super1[Item],tab_higiene[[#This Row],[Item]],super1[Bairro],mercado15)+SUMIFS(supercb[Qtde],supercb[Item],tab_higiene[[#This Row],[Item]],supercb[Bairro],mercado15)</f>
        <v>0</v>
      </c>
      <c r="AZ104" s="4">
        <f>SUMIFS(super1[Qtde],super1[Item],tab_higiene[[#This Row],[Item]],super1[Bairro],mercado16)+SUMIFS(supercb[Qtde],supercb[Item],tab_higiene[[#This Row],[Item]],supercb[Bairro],mercado16)</f>
        <v>0</v>
      </c>
      <c r="BA104" s="4">
        <f>SUMIFS(super1[Qtde],super1[Item],tab_higiene[[#This Row],[Item]],super1[Bairro],mercado17)+SUMIFS(supercb[Qtde],supercb[Item],tab_higiene[[#This Row],[Item]],supercb[Bairro],mercado17)</f>
        <v>0</v>
      </c>
      <c r="BB104" s="4">
        <f>SUMIFS(super1[Qtde],super1[Item],tab_higiene[[#This Row],[Item]],super1[Bairro],mercado18)+SUMIFS(supercb[Qtde],supercb[Item],tab_higiene[[#This Row],[Item]],supercb[Bairro],mercado18)</f>
        <v>0</v>
      </c>
      <c r="BC104" s="4">
        <f>SUMIFS(super1[Qtde],super1[Item],tab_higiene[[#This Row],[Item]],super1[Bairro],extras)+SUMIFS(supercb[Qtde],supercb[Item],tab_higiene[[#This Row],[Item]],supercb[Bairro],extras)</f>
        <v>0</v>
      </c>
      <c r="BD104" s="4">
        <f t="shared" si="41"/>
        <v>0</v>
      </c>
      <c r="BE104" s="4">
        <f t="shared" si="42"/>
        <v>0</v>
      </c>
      <c r="BF104" s="6">
        <f t="shared" si="43"/>
        <v>0</v>
      </c>
      <c r="BI104" s="1" t="str">
        <f>tab_alimentos[[#This Row],[Item]]</f>
        <v>Biscoito Salgado (27g)</v>
      </c>
      <c r="BJ104" s="1">
        <f t="shared" si="25"/>
        <v>17</v>
      </c>
      <c r="BK104" s="1" t="str">
        <f t="shared" si="26"/>
        <v>Biscoito Salgado</v>
      </c>
      <c r="BL104" s="1">
        <f>tab_alimentos[[#This Row],[kg]]</f>
        <v>0</v>
      </c>
      <c r="BN104" s="1">
        <f t="shared" si="36"/>
        <v>0</v>
      </c>
      <c r="BP104" s="1" t="str">
        <f>tab_higiene[[#This Row],[Item]]</f>
        <v>Fraldas Infantis (18un)</v>
      </c>
      <c r="BQ104" s="1">
        <f t="shared" si="33"/>
        <v>17</v>
      </c>
      <c r="BR104" s="1" t="str">
        <f t="shared" si="34"/>
        <v>Fraldas Infantis</v>
      </c>
      <c r="BS104" s="1">
        <f>higiene[[#This Row],[Quantidade]]</f>
        <v>5</v>
      </c>
      <c r="BT104" s="1">
        <f>tab_higiene[[#This Row],[Qtde (tot)]]</f>
        <v>0</v>
      </c>
      <c r="BU104" s="1">
        <f t="shared" si="37"/>
        <v>0</v>
      </c>
      <c r="BW104" s="1">
        <f t="shared" si="44"/>
        <v>0</v>
      </c>
    </row>
    <row r="105" spans="9:75" x14ac:dyDescent="0.25">
      <c r="I105" s="19" t="str">
        <f>alimentos[[#This Row],[Item]]</f>
        <v>Biscoito Salgado (360g)</v>
      </c>
      <c r="J105" s="4">
        <f>IFERROR(alimentos[[#This Row],[kg/embalagem]],0)</f>
        <v>0.36</v>
      </c>
      <c r="K105" s="4">
        <f>IFERROR(alimentos[[#This Row],[Preço]],0)</f>
        <v>5.98</v>
      </c>
      <c r="L105" s="4">
        <f>SUMIFS(super1[Qtde],super1[Item],tab_alimentos[[#This Row],[Item]],super1[Bairro],mercado1)+SUMIFS(supercb[Qtde],supercb[Item],tab_alimentos[[#This Row],[Item]],supercb[Bairro],mercado1)</f>
        <v>0</v>
      </c>
      <c r="M105" s="4">
        <f>SUMIFS(super1[Qtde],super1[Item],tab_alimentos[[#This Row],[Item]],super1[Bairro],mercado2)+SUMIFS(supercb[Qtde],supercb[Item],tab_alimentos[[#This Row],[Item]],supercb[Bairro],mercado2)</f>
        <v>0</v>
      </c>
      <c r="N105" s="4">
        <f>SUMIFS(super1[Qtde],super1[Item],tab_alimentos[[#This Row],[Item]],super1[Bairro],mercado3)+SUMIFS(supercb[Qtde],supercb[Item],tab_alimentos[[#This Row],[Item]],supercb[Bairro],mercado3)</f>
        <v>0</v>
      </c>
      <c r="O105" s="4">
        <f>SUMIFS(super1[Qtde],super1[Item],tab_alimentos[[#This Row],[Item]],super1[Bairro],mercado4)+SUMIFS(supercb[Qtde],supercb[Item],tab_alimentos[[#This Row],[Item]],supercb[Bairro],mercado4)</f>
        <v>0</v>
      </c>
      <c r="P105" s="4">
        <f>SUMIFS(super1[Qtde],super1[Item],tab_alimentos[[#This Row],[Item]],super1[Bairro],mercado5)+SUMIFS(supercb[Qtde],supercb[Item],tab_alimentos[[#This Row],[Item]],supercb[Bairro],mercado5)</f>
        <v>0</v>
      </c>
      <c r="Q105" s="4">
        <f>SUMIFS(super1[Qtde],super1[Item],tab_alimentos[[#This Row],[Item]],super1[Bairro],mercado6)+SUMIFS(supercb[Qtde],supercb[Item],tab_alimentos[[#This Row],[Item]],supercb[Bairro],mercado6)</f>
        <v>0</v>
      </c>
      <c r="R105" s="4">
        <f>SUMIFS(super1[Qtde],super1[Item],tab_alimentos[[#This Row],[Item]],super1[Bairro],mercado7)+SUMIFS(supercb[Qtde],supercb[Item],tab_alimentos[[#This Row],[Item]],supercb[Bairro],mercado7)</f>
        <v>0</v>
      </c>
      <c r="S105" s="4">
        <f>SUMIFS(super1[Qtde],super1[Item],tab_alimentos[[#This Row],[Item]],super1[Bairro],mercado8)+SUMIFS(supercb[Qtde],supercb[Item],tab_alimentos[[#This Row],[Item]],supercb[Bairro],mercado8)</f>
        <v>0</v>
      </c>
      <c r="T105" s="4">
        <f>SUMIFS(super1[Qtde],super1[Item],tab_alimentos[[#This Row],[Item]],super1[Bairro],mercado9)+SUMIFS(supercb[Qtde],supercb[Item],tab_alimentos[[#This Row],[Item]],supercb[Bairro],mercado9)</f>
        <v>0</v>
      </c>
      <c r="U105" s="4">
        <f>SUMIFS(super1[Qtde],super1[Item],tab_alimentos[[#This Row],[Item]],super1[Bairro],mercado10)+SUMIFS(supercb[Qtde],supercb[Item],tab_alimentos[[#This Row],[Item]],supercb[Bairro],mercado10)</f>
        <v>0</v>
      </c>
      <c r="V105" s="4">
        <f>SUMIFS(super1[Qtde],super1[Item],tab_alimentos[[#This Row],[Item]],super1[Bairro],mercado11)+SUMIFS(supercb[Qtde],supercb[Item],tab_alimentos[[#This Row],[Item]],supercb[Bairro],mercado11)</f>
        <v>0</v>
      </c>
      <c r="W105" s="4">
        <f>SUMIFS(super1[Qtde],super1[Item],tab_alimentos[[#This Row],[Item]],super1[Bairro],mercado12)+SUMIFS(supercb[Qtde],supercb[Item],tab_alimentos[[#This Row],[Item]],supercb[Bairro],mercado12)</f>
        <v>0</v>
      </c>
      <c r="X105" s="4">
        <f>SUMIFS(super1[Qtde],super1[Item],tab_alimentos[[#This Row],[Item]],super1[Bairro],mercado13)+SUMIFS(supercb[Qtde],supercb[Item],tab_alimentos[[#This Row],[Item]],supercb[Bairro],mercado13)</f>
        <v>0</v>
      </c>
      <c r="Y105" s="4">
        <f>SUMIFS(super1[Qtde],super1[Item],tab_alimentos[[#This Row],[Item]],super1[Bairro],mercado14)+SUMIFS(supercb[Qtde],supercb[Item],tab_alimentos[[#This Row],[Item]],supercb[Bairro],mercado14)</f>
        <v>0</v>
      </c>
      <c r="Z105" s="4">
        <f>SUMIFS(super1[Qtde],super1[Item],tab_alimentos[[#This Row],[Item]],super1[Bairro],mercado15)+SUMIFS(supercb[Qtde],supercb[Item],tab_alimentos[[#This Row],[Item]],supercb[Bairro],mercado15)</f>
        <v>0</v>
      </c>
      <c r="AA105" s="4">
        <f>SUMIFS(super1[Qtde],super1[Item],tab_alimentos[[#This Row],[Item]],super1[Bairro],mercado16)+SUMIFS(supercb[Qtde],supercb[Item],tab_alimentos[[#This Row],[Item]],supercb[Bairro],mercado16)</f>
        <v>0</v>
      </c>
      <c r="AB105" s="4">
        <f>SUMIFS(super1[Qtde],super1[Item],tab_alimentos[[#This Row],[Item]],super1[Bairro],mercado17)+SUMIFS(supercb[Qtde],supercb[Item],tab_alimentos[[#This Row],[Item]],supercb[Bairro],mercado17)</f>
        <v>0</v>
      </c>
      <c r="AC105" s="4">
        <f>SUMIFS(super1[Qtde],super1[Item],tab_alimentos[[#This Row],[Item]],super1[Bairro],mercado18)+SUMIFS(supercb[Qtde],supercb[Item],tab_alimentos[[#This Row],[Item]],supercb[Bairro],mercado18)</f>
        <v>0</v>
      </c>
      <c r="AD105" s="4">
        <f>SUMIFS(super1[Qtde],super1[Item],tab_alimentos[[#This Row],[Item]],super1[Bairro],extras)+SUMIFS(supercb[Qtde],supercb[Item],tab_alimentos[[#This Row],[Item]],supercb[Bairro],extras)</f>
        <v>0</v>
      </c>
      <c r="AE105" s="4">
        <f t="shared" si="38"/>
        <v>0</v>
      </c>
      <c r="AF105" s="4">
        <f t="shared" si="39"/>
        <v>0</v>
      </c>
      <c r="AG105" s="6">
        <f t="shared" si="40"/>
        <v>0</v>
      </c>
      <c r="AH105" s="19" t="str">
        <f>higiene[[#This Row],[Item]]</f>
        <v>Fraldas Infantis (20un)</v>
      </c>
      <c r="AI105" s="4">
        <f>IFERROR(higiene[[#This Row],[Kg equivalente]],0)</f>
        <v>0</v>
      </c>
      <c r="AJ105" s="4">
        <f>IFERROR(higiene[[#This Row],[Preço por produto]],0)</f>
        <v>23.99</v>
      </c>
      <c r="AK105" s="4">
        <f>SUMIFS(super1[Qtde],super1[Item],tab_higiene[[#This Row],[Item]],super1[Bairro],mercado1)+SUMIFS(supercb[Qtde],supercb[Item],tab_higiene[[#This Row],[Item]],supercb[Bairro],mercado1)</f>
        <v>0</v>
      </c>
      <c r="AL105" s="4">
        <f>SUMIFS(super1[Qtde],super1[Item],tab_higiene[[#This Row],[Item]],super1[Bairro],mercado2)+SUMIFS(supercb[Qtde],supercb[Item],tab_higiene[[#This Row],[Item]],supercb[Bairro],mercado2)</f>
        <v>0</v>
      </c>
      <c r="AM105" s="4">
        <f>SUMIFS(super1[Qtde],super1[Item],tab_higiene[[#This Row],[Item]],super1[Bairro],mercado3)+SUMIFS(supercb[Qtde],supercb[Item],tab_higiene[[#This Row],[Item]],supercb[Bairro],mercado3)</f>
        <v>0</v>
      </c>
      <c r="AN105" s="4">
        <f>SUMIFS(super1[Qtde],super1[Item],tab_higiene[[#This Row],[Item]],super1[Bairro],mercado4)+SUMIFS(supercb[Qtde],supercb[Item],tab_higiene[[#This Row],[Item]],supercb[Bairro],mercado4)</f>
        <v>0</v>
      </c>
      <c r="AO105" s="4">
        <f>SUMIFS(super1[Qtde],super1[Item],tab_higiene[[#This Row],[Item]],super1[Bairro],mercado5)+SUMIFS(supercb[Qtde],supercb[Item],tab_higiene[[#This Row],[Item]],supercb[Bairro],mercado5)</f>
        <v>0</v>
      </c>
      <c r="AP105" s="4">
        <f>SUMIFS(super1[Qtde],super1[Item],tab_higiene[[#This Row],[Item]],super1[Bairro],mercado6)+SUMIFS(supercb[Qtde],supercb[Item],tab_higiene[[#This Row],[Item]],supercb[Bairro],mercado6)</f>
        <v>0</v>
      </c>
      <c r="AQ105" s="4">
        <f>SUMIFS(super1[Qtde],super1[Item],tab_higiene[[#This Row],[Item]],super1[Bairro],mercado7)+SUMIFS(supercb[Qtde],supercb[Item],tab_higiene[[#This Row],[Item]],supercb[Bairro],mercado7)</f>
        <v>0</v>
      </c>
      <c r="AR105" s="4">
        <f>SUMIFS(super1[Qtde],super1[Item],tab_higiene[[#This Row],[Item]],super1[Bairro],mercado8)+SUMIFS(supercb[Qtde],supercb[Item],tab_higiene[[#This Row],[Item]],supercb[Bairro],mercado8)</f>
        <v>0</v>
      </c>
      <c r="AS105" s="4">
        <f>SUMIFS(super1[Qtde],super1[Item],tab_higiene[[#This Row],[Item]],super1[Bairro],mercado9)+SUMIFS(supercb[Qtde],supercb[Item],tab_higiene[[#This Row],[Item]],supercb[Bairro],mercado9)</f>
        <v>0</v>
      </c>
      <c r="AT105" s="4">
        <f>SUMIFS(super1[Qtde],super1[Item],tab_higiene[[#This Row],[Item]],super1[Bairro],mercado10)+SUMIFS(supercb[Qtde],supercb[Item],tab_higiene[[#This Row],[Item]],supercb[Bairro],mercado10)</f>
        <v>0</v>
      </c>
      <c r="AU105" s="4">
        <f>SUMIFS(super1[Qtde],super1[Item],tab_higiene[[#This Row],[Item]],super1[Bairro],mercado11)+SUMIFS(supercb[Qtde],supercb[Item],tab_higiene[[#This Row],[Item]],supercb[Bairro],mercado11)</f>
        <v>0</v>
      </c>
      <c r="AV105" s="4">
        <f>SUMIFS(super1[Qtde],super1[Item],tab_higiene[[#This Row],[Item]],super1[Bairro],mercado12)+SUMIFS(supercb[Qtde],supercb[Item],tab_higiene[[#This Row],[Item]],supercb[Bairro],mercado12)</f>
        <v>0</v>
      </c>
      <c r="AW105" s="4">
        <f>SUMIFS(super1[Qtde],super1[Item],tab_higiene[[#This Row],[Item]],super1[Bairro],mercado13)+SUMIFS(supercb[Qtde],supercb[Item],tab_higiene[[#This Row],[Item]],supercb[Bairro],mercado13)</f>
        <v>0</v>
      </c>
      <c r="AX105" s="4">
        <f>SUMIFS(super1[Qtde],super1[Item],tab_higiene[[#This Row],[Item]],super1[Bairro],mercado14)+SUMIFS(supercb[Qtde],supercb[Item],tab_higiene[[#This Row],[Item]],supercb[Bairro],mercado14)</f>
        <v>0</v>
      </c>
      <c r="AY105" s="4">
        <f>SUMIFS(super1[Qtde],super1[Item],tab_higiene[[#This Row],[Item]],super1[Bairro],mercado15)+SUMIFS(supercb[Qtde],supercb[Item],tab_higiene[[#This Row],[Item]],supercb[Bairro],mercado15)</f>
        <v>0</v>
      </c>
      <c r="AZ105" s="4">
        <f>SUMIFS(super1[Qtde],super1[Item],tab_higiene[[#This Row],[Item]],super1[Bairro],mercado16)+SUMIFS(supercb[Qtde],supercb[Item],tab_higiene[[#This Row],[Item]],supercb[Bairro],mercado16)</f>
        <v>0</v>
      </c>
      <c r="BA105" s="4">
        <f>SUMIFS(super1[Qtde],super1[Item],tab_higiene[[#This Row],[Item]],super1[Bairro],mercado17)+SUMIFS(supercb[Qtde],supercb[Item],tab_higiene[[#This Row],[Item]],supercb[Bairro],mercado17)</f>
        <v>0</v>
      </c>
      <c r="BB105" s="4">
        <f>SUMIFS(super1[Qtde],super1[Item],tab_higiene[[#This Row],[Item]],super1[Bairro],mercado18)+SUMIFS(supercb[Qtde],supercb[Item],tab_higiene[[#This Row],[Item]],supercb[Bairro],mercado18)</f>
        <v>0</v>
      </c>
      <c r="BC105" s="4">
        <f>SUMIFS(super1[Qtde],super1[Item],tab_higiene[[#This Row],[Item]],super1[Bairro],extras)+SUMIFS(supercb[Qtde],supercb[Item],tab_higiene[[#This Row],[Item]],supercb[Bairro],extras)</f>
        <v>0</v>
      </c>
      <c r="BD105" s="4">
        <f t="shared" si="41"/>
        <v>0</v>
      </c>
      <c r="BE105" s="4">
        <f t="shared" si="42"/>
        <v>0</v>
      </c>
      <c r="BF105" s="6">
        <f t="shared" si="43"/>
        <v>0</v>
      </c>
      <c r="BI105" s="1" t="str">
        <f>tab_alimentos[[#This Row],[Item]]</f>
        <v>Biscoito Salgado (360g)</v>
      </c>
      <c r="BJ105" s="1">
        <f t="shared" si="25"/>
        <v>17</v>
      </c>
      <c r="BK105" s="1" t="str">
        <f t="shared" si="26"/>
        <v>Biscoito Salgado</v>
      </c>
      <c r="BL105" s="1">
        <f>tab_alimentos[[#This Row],[kg]]</f>
        <v>0</v>
      </c>
      <c r="BN105" s="1">
        <f t="shared" si="36"/>
        <v>0</v>
      </c>
      <c r="BP105" s="1" t="str">
        <f>tab_higiene[[#This Row],[Item]]</f>
        <v>Fraldas Infantis (20un)</v>
      </c>
      <c r="BQ105" s="1">
        <f t="shared" si="33"/>
        <v>17</v>
      </c>
      <c r="BR105" s="1" t="str">
        <f t="shared" si="34"/>
        <v>Fraldas Infantis</v>
      </c>
      <c r="BS105" s="1">
        <f>higiene[[#This Row],[Quantidade]]</f>
        <v>7</v>
      </c>
      <c r="BT105" s="1">
        <f>tab_higiene[[#This Row],[Qtde (tot)]]</f>
        <v>0</v>
      </c>
      <c r="BU105" s="1">
        <f t="shared" si="37"/>
        <v>0</v>
      </c>
      <c r="BW105" s="1">
        <f t="shared" si="44"/>
        <v>0</v>
      </c>
    </row>
    <row r="106" spans="9:75" x14ac:dyDescent="0.25">
      <c r="I106" s="19" t="str">
        <f>alimentos[[#This Row],[Item]]</f>
        <v>Biscoito Salgado (375g)</v>
      </c>
      <c r="J106" s="4">
        <f>IFERROR(alimentos[[#This Row],[kg/embalagem]],0)</f>
        <v>0.375</v>
      </c>
      <c r="K106" s="4">
        <f>IFERROR(alimentos[[#This Row],[Preço]],0)</f>
        <v>5.57</v>
      </c>
      <c r="L106" s="4">
        <f>SUMIFS(super1[Qtde],super1[Item],tab_alimentos[[#This Row],[Item]],super1[Bairro],mercado1)+SUMIFS(supercb[Qtde],supercb[Item],tab_alimentos[[#This Row],[Item]],supercb[Bairro],mercado1)</f>
        <v>0</v>
      </c>
      <c r="M106" s="4">
        <f>SUMIFS(super1[Qtde],super1[Item],tab_alimentos[[#This Row],[Item]],super1[Bairro],mercado2)+SUMIFS(supercb[Qtde],supercb[Item],tab_alimentos[[#This Row],[Item]],supercb[Bairro],mercado2)</f>
        <v>0</v>
      </c>
      <c r="N106" s="4">
        <f>SUMIFS(super1[Qtde],super1[Item],tab_alimentos[[#This Row],[Item]],super1[Bairro],mercado3)+SUMIFS(supercb[Qtde],supercb[Item],tab_alimentos[[#This Row],[Item]],supercb[Bairro],mercado3)</f>
        <v>0</v>
      </c>
      <c r="O106" s="4">
        <f>SUMIFS(super1[Qtde],super1[Item],tab_alimentos[[#This Row],[Item]],super1[Bairro],mercado4)+SUMIFS(supercb[Qtde],supercb[Item],tab_alimentos[[#This Row],[Item]],supercb[Bairro],mercado4)</f>
        <v>0</v>
      </c>
      <c r="P106" s="4">
        <f>SUMIFS(super1[Qtde],super1[Item],tab_alimentos[[#This Row],[Item]],super1[Bairro],mercado5)+SUMIFS(supercb[Qtde],supercb[Item],tab_alimentos[[#This Row],[Item]],supercb[Bairro],mercado5)</f>
        <v>0</v>
      </c>
      <c r="Q106" s="4">
        <f>SUMIFS(super1[Qtde],super1[Item],tab_alimentos[[#This Row],[Item]],super1[Bairro],mercado6)+SUMIFS(supercb[Qtde],supercb[Item],tab_alimentos[[#This Row],[Item]],supercb[Bairro],mercado6)</f>
        <v>0</v>
      </c>
      <c r="R106" s="4">
        <f>SUMIFS(super1[Qtde],super1[Item],tab_alimentos[[#This Row],[Item]],super1[Bairro],mercado7)+SUMIFS(supercb[Qtde],supercb[Item],tab_alimentos[[#This Row],[Item]],supercb[Bairro],mercado7)</f>
        <v>0</v>
      </c>
      <c r="S106" s="4">
        <f>SUMIFS(super1[Qtde],super1[Item],tab_alimentos[[#This Row],[Item]],super1[Bairro],mercado8)+SUMIFS(supercb[Qtde],supercb[Item],tab_alimentos[[#This Row],[Item]],supercb[Bairro],mercado8)</f>
        <v>0</v>
      </c>
      <c r="T106" s="4">
        <f>SUMIFS(super1[Qtde],super1[Item],tab_alimentos[[#This Row],[Item]],super1[Bairro],mercado9)+SUMIFS(supercb[Qtde],supercb[Item],tab_alimentos[[#This Row],[Item]],supercb[Bairro],mercado9)</f>
        <v>0</v>
      </c>
      <c r="U106" s="4">
        <f>SUMIFS(super1[Qtde],super1[Item],tab_alimentos[[#This Row],[Item]],super1[Bairro],mercado10)+SUMIFS(supercb[Qtde],supercb[Item],tab_alimentos[[#This Row],[Item]],supercb[Bairro],mercado10)</f>
        <v>0</v>
      </c>
      <c r="V106" s="4">
        <f>SUMIFS(super1[Qtde],super1[Item],tab_alimentos[[#This Row],[Item]],super1[Bairro],mercado11)+SUMIFS(supercb[Qtde],supercb[Item],tab_alimentos[[#This Row],[Item]],supercb[Bairro],mercado11)</f>
        <v>0</v>
      </c>
      <c r="W106" s="4">
        <f>SUMIFS(super1[Qtde],super1[Item],tab_alimentos[[#This Row],[Item]],super1[Bairro],mercado12)+SUMIFS(supercb[Qtde],supercb[Item],tab_alimentos[[#This Row],[Item]],supercb[Bairro],mercado12)</f>
        <v>0</v>
      </c>
      <c r="X106" s="4">
        <f>SUMIFS(super1[Qtde],super1[Item],tab_alimentos[[#This Row],[Item]],super1[Bairro],mercado13)+SUMIFS(supercb[Qtde],supercb[Item],tab_alimentos[[#This Row],[Item]],supercb[Bairro],mercado13)</f>
        <v>0</v>
      </c>
      <c r="Y106" s="4">
        <f>SUMIFS(super1[Qtde],super1[Item],tab_alimentos[[#This Row],[Item]],super1[Bairro],mercado14)+SUMIFS(supercb[Qtde],supercb[Item],tab_alimentos[[#This Row],[Item]],supercb[Bairro],mercado14)</f>
        <v>0</v>
      </c>
      <c r="Z106" s="4">
        <f>SUMIFS(super1[Qtde],super1[Item],tab_alimentos[[#This Row],[Item]],super1[Bairro],mercado15)+SUMIFS(supercb[Qtde],supercb[Item],tab_alimentos[[#This Row],[Item]],supercb[Bairro],mercado15)</f>
        <v>0</v>
      </c>
      <c r="AA106" s="4">
        <f>SUMIFS(super1[Qtde],super1[Item],tab_alimentos[[#This Row],[Item]],super1[Bairro],mercado16)+SUMIFS(supercb[Qtde],supercb[Item],tab_alimentos[[#This Row],[Item]],supercb[Bairro],mercado16)</f>
        <v>0</v>
      </c>
      <c r="AB106" s="4">
        <f>SUMIFS(super1[Qtde],super1[Item],tab_alimentos[[#This Row],[Item]],super1[Bairro],mercado17)+SUMIFS(supercb[Qtde],supercb[Item],tab_alimentos[[#This Row],[Item]],supercb[Bairro],mercado17)</f>
        <v>0</v>
      </c>
      <c r="AC106" s="4">
        <f>SUMIFS(super1[Qtde],super1[Item],tab_alimentos[[#This Row],[Item]],super1[Bairro],mercado18)+SUMIFS(supercb[Qtde],supercb[Item],tab_alimentos[[#This Row],[Item]],supercb[Bairro],mercado18)</f>
        <v>0</v>
      </c>
      <c r="AD106" s="4">
        <f>SUMIFS(super1[Qtde],super1[Item],tab_alimentos[[#This Row],[Item]],super1[Bairro],extras)+SUMIFS(supercb[Qtde],supercb[Item],tab_alimentos[[#This Row],[Item]],supercb[Bairro],extras)</f>
        <v>0</v>
      </c>
      <c r="AE106" s="4">
        <f t="shared" si="38"/>
        <v>0</v>
      </c>
      <c r="AF106" s="4">
        <f t="shared" si="39"/>
        <v>0</v>
      </c>
      <c r="AG106" s="6">
        <f t="shared" si="40"/>
        <v>0</v>
      </c>
      <c r="AH106" s="19" t="str">
        <f>higiene[[#This Row],[Item]]</f>
        <v>Fraldas Infantis (22un)</v>
      </c>
      <c r="AI106" s="4">
        <f>IFERROR(higiene[[#This Row],[Kg equivalente]],0)</f>
        <v>0</v>
      </c>
      <c r="AJ106" s="4">
        <f>IFERROR(higiene[[#This Row],[Preço por produto]],0)</f>
        <v>23.98</v>
      </c>
      <c r="AK106" s="4">
        <f>SUMIFS(super1[Qtde],super1[Item],tab_higiene[[#This Row],[Item]],super1[Bairro],mercado1)+SUMIFS(supercb[Qtde],supercb[Item],tab_higiene[[#This Row],[Item]],supercb[Bairro],mercado1)</f>
        <v>0</v>
      </c>
      <c r="AL106" s="4">
        <f>SUMIFS(super1[Qtde],super1[Item],tab_higiene[[#This Row],[Item]],super1[Bairro],mercado2)+SUMIFS(supercb[Qtde],supercb[Item],tab_higiene[[#This Row],[Item]],supercb[Bairro],mercado2)</f>
        <v>0</v>
      </c>
      <c r="AM106" s="4">
        <f>SUMIFS(super1[Qtde],super1[Item],tab_higiene[[#This Row],[Item]],super1[Bairro],mercado3)+SUMIFS(supercb[Qtde],supercb[Item],tab_higiene[[#This Row],[Item]],supercb[Bairro],mercado3)</f>
        <v>0</v>
      </c>
      <c r="AN106" s="4">
        <f>SUMIFS(super1[Qtde],super1[Item],tab_higiene[[#This Row],[Item]],super1[Bairro],mercado4)+SUMIFS(supercb[Qtde],supercb[Item],tab_higiene[[#This Row],[Item]],supercb[Bairro],mercado4)</f>
        <v>0</v>
      </c>
      <c r="AO106" s="4">
        <f>SUMIFS(super1[Qtde],super1[Item],tab_higiene[[#This Row],[Item]],super1[Bairro],mercado5)+SUMIFS(supercb[Qtde],supercb[Item],tab_higiene[[#This Row],[Item]],supercb[Bairro],mercado5)</f>
        <v>0</v>
      </c>
      <c r="AP106" s="4">
        <f>SUMIFS(super1[Qtde],super1[Item],tab_higiene[[#This Row],[Item]],super1[Bairro],mercado6)+SUMIFS(supercb[Qtde],supercb[Item],tab_higiene[[#This Row],[Item]],supercb[Bairro],mercado6)</f>
        <v>0</v>
      </c>
      <c r="AQ106" s="4">
        <f>SUMIFS(super1[Qtde],super1[Item],tab_higiene[[#This Row],[Item]],super1[Bairro],mercado7)+SUMIFS(supercb[Qtde],supercb[Item],tab_higiene[[#This Row],[Item]],supercb[Bairro],mercado7)</f>
        <v>0</v>
      </c>
      <c r="AR106" s="4">
        <f>SUMIFS(super1[Qtde],super1[Item],tab_higiene[[#This Row],[Item]],super1[Bairro],mercado8)+SUMIFS(supercb[Qtde],supercb[Item],tab_higiene[[#This Row],[Item]],supercb[Bairro],mercado8)</f>
        <v>0</v>
      </c>
      <c r="AS106" s="4">
        <f>SUMIFS(super1[Qtde],super1[Item],tab_higiene[[#This Row],[Item]],super1[Bairro],mercado9)+SUMIFS(supercb[Qtde],supercb[Item],tab_higiene[[#This Row],[Item]],supercb[Bairro],mercado9)</f>
        <v>0</v>
      </c>
      <c r="AT106" s="4">
        <f>SUMIFS(super1[Qtde],super1[Item],tab_higiene[[#This Row],[Item]],super1[Bairro],mercado10)+SUMIFS(supercb[Qtde],supercb[Item],tab_higiene[[#This Row],[Item]],supercb[Bairro],mercado10)</f>
        <v>0</v>
      </c>
      <c r="AU106" s="4">
        <f>SUMIFS(super1[Qtde],super1[Item],tab_higiene[[#This Row],[Item]],super1[Bairro],mercado11)+SUMIFS(supercb[Qtde],supercb[Item],tab_higiene[[#This Row],[Item]],supercb[Bairro],mercado11)</f>
        <v>0</v>
      </c>
      <c r="AV106" s="4">
        <f>SUMIFS(super1[Qtde],super1[Item],tab_higiene[[#This Row],[Item]],super1[Bairro],mercado12)+SUMIFS(supercb[Qtde],supercb[Item],tab_higiene[[#This Row],[Item]],supercb[Bairro],mercado12)</f>
        <v>0</v>
      </c>
      <c r="AW106" s="4">
        <f>SUMIFS(super1[Qtde],super1[Item],tab_higiene[[#This Row],[Item]],super1[Bairro],mercado13)+SUMIFS(supercb[Qtde],supercb[Item],tab_higiene[[#This Row],[Item]],supercb[Bairro],mercado13)</f>
        <v>0</v>
      </c>
      <c r="AX106" s="4">
        <f>SUMIFS(super1[Qtde],super1[Item],tab_higiene[[#This Row],[Item]],super1[Bairro],mercado14)+SUMIFS(supercb[Qtde],supercb[Item],tab_higiene[[#This Row],[Item]],supercb[Bairro],mercado14)</f>
        <v>0</v>
      </c>
      <c r="AY106" s="4">
        <f>SUMIFS(super1[Qtde],super1[Item],tab_higiene[[#This Row],[Item]],super1[Bairro],mercado15)+SUMIFS(supercb[Qtde],supercb[Item],tab_higiene[[#This Row],[Item]],supercb[Bairro],mercado15)</f>
        <v>0</v>
      </c>
      <c r="AZ106" s="4">
        <f>SUMIFS(super1[Qtde],super1[Item],tab_higiene[[#This Row],[Item]],super1[Bairro],mercado16)+SUMIFS(supercb[Qtde],supercb[Item],tab_higiene[[#This Row],[Item]],supercb[Bairro],mercado16)</f>
        <v>0</v>
      </c>
      <c r="BA106" s="4">
        <f>SUMIFS(super1[Qtde],super1[Item],tab_higiene[[#This Row],[Item]],super1[Bairro],mercado17)+SUMIFS(supercb[Qtde],supercb[Item],tab_higiene[[#This Row],[Item]],supercb[Bairro],mercado17)</f>
        <v>0</v>
      </c>
      <c r="BB106" s="4">
        <f>SUMIFS(super1[Qtde],super1[Item],tab_higiene[[#This Row],[Item]],super1[Bairro],mercado18)+SUMIFS(supercb[Qtde],supercb[Item],tab_higiene[[#This Row],[Item]],supercb[Bairro],mercado18)</f>
        <v>0</v>
      </c>
      <c r="BC106" s="4">
        <f>SUMIFS(super1[Qtde],super1[Item],tab_higiene[[#This Row],[Item]],super1[Bairro],extras)+SUMIFS(supercb[Qtde],supercb[Item],tab_higiene[[#This Row],[Item]],supercb[Bairro],extras)</f>
        <v>0</v>
      </c>
      <c r="BD106" s="4">
        <f t="shared" si="41"/>
        <v>0</v>
      </c>
      <c r="BE106" s="4">
        <f t="shared" si="42"/>
        <v>0</v>
      </c>
      <c r="BF106" s="6">
        <f t="shared" si="43"/>
        <v>0</v>
      </c>
      <c r="BI106" s="1" t="str">
        <f>tab_alimentos[[#This Row],[Item]]</f>
        <v>Biscoito Salgado (375g)</v>
      </c>
      <c r="BJ106" s="1">
        <f t="shared" si="25"/>
        <v>17</v>
      </c>
      <c r="BK106" s="1" t="str">
        <f t="shared" si="26"/>
        <v>Biscoito Salgado</v>
      </c>
      <c r="BL106" s="1">
        <f>tab_alimentos[[#This Row],[kg]]</f>
        <v>0</v>
      </c>
      <c r="BN106" s="1">
        <f t="shared" si="36"/>
        <v>0</v>
      </c>
      <c r="BP106" s="1" t="str">
        <f>tab_higiene[[#This Row],[Item]]</f>
        <v>Fraldas Infantis (22un)</v>
      </c>
      <c r="BQ106" s="1">
        <f t="shared" si="33"/>
        <v>17</v>
      </c>
      <c r="BR106" s="1" t="str">
        <f t="shared" si="34"/>
        <v>Fraldas Infantis</v>
      </c>
      <c r="BS106" s="1">
        <f>higiene[[#This Row],[Quantidade]]</f>
        <v>8</v>
      </c>
      <c r="BT106" s="1">
        <f>tab_higiene[[#This Row],[Qtde (tot)]]</f>
        <v>0</v>
      </c>
      <c r="BU106" s="1">
        <f t="shared" si="37"/>
        <v>0</v>
      </c>
      <c r="BW106" s="1">
        <f t="shared" si="44"/>
        <v>0</v>
      </c>
    </row>
    <row r="107" spans="9:75" x14ac:dyDescent="0.25">
      <c r="I107" s="19" t="str">
        <f>alimentos[[#This Row],[Item]]</f>
        <v>Biscoito Salgado (400g)</v>
      </c>
      <c r="J107" s="4">
        <f>IFERROR(alimentos[[#This Row],[kg/embalagem]],0)</f>
        <v>0.4</v>
      </c>
      <c r="K107" s="4">
        <f>IFERROR(alimentos[[#This Row],[Preço]],0)</f>
        <v>8.99</v>
      </c>
      <c r="L107" s="4">
        <f>SUMIFS(super1[Qtde],super1[Item],tab_alimentos[[#This Row],[Item]],super1[Bairro],mercado1)+SUMIFS(supercb[Qtde],supercb[Item],tab_alimentos[[#This Row],[Item]],supercb[Bairro],mercado1)</f>
        <v>0</v>
      </c>
      <c r="M107" s="4">
        <f>SUMIFS(super1[Qtde],super1[Item],tab_alimentos[[#This Row],[Item]],super1[Bairro],mercado2)+SUMIFS(supercb[Qtde],supercb[Item],tab_alimentos[[#This Row],[Item]],supercb[Bairro],mercado2)</f>
        <v>0</v>
      </c>
      <c r="N107" s="4">
        <f>SUMIFS(super1[Qtde],super1[Item],tab_alimentos[[#This Row],[Item]],super1[Bairro],mercado3)+SUMIFS(supercb[Qtde],supercb[Item],tab_alimentos[[#This Row],[Item]],supercb[Bairro],mercado3)</f>
        <v>0</v>
      </c>
      <c r="O107" s="4">
        <f>SUMIFS(super1[Qtde],super1[Item],tab_alimentos[[#This Row],[Item]],super1[Bairro],mercado4)+SUMIFS(supercb[Qtde],supercb[Item],tab_alimentos[[#This Row],[Item]],supercb[Bairro],mercado4)</f>
        <v>0</v>
      </c>
      <c r="P107" s="4">
        <f>SUMIFS(super1[Qtde],super1[Item],tab_alimentos[[#This Row],[Item]],super1[Bairro],mercado5)+SUMIFS(supercb[Qtde],supercb[Item],tab_alimentos[[#This Row],[Item]],supercb[Bairro],mercado5)</f>
        <v>0</v>
      </c>
      <c r="Q107" s="4">
        <f>SUMIFS(super1[Qtde],super1[Item],tab_alimentos[[#This Row],[Item]],super1[Bairro],mercado6)+SUMIFS(supercb[Qtde],supercb[Item],tab_alimentos[[#This Row],[Item]],supercb[Bairro],mercado6)</f>
        <v>0</v>
      </c>
      <c r="R107" s="4">
        <f>SUMIFS(super1[Qtde],super1[Item],tab_alimentos[[#This Row],[Item]],super1[Bairro],mercado7)+SUMIFS(supercb[Qtde],supercb[Item],tab_alimentos[[#This Row],[Item]],supercb[Bairro],mercado7)</f>
        <v>0</v>
      </c>
      <c r="S107" s="4">
        <f>SUMIFS(super1[Qtde],super1[Item],tab_alimentos[[#This Row],[Item]],super1[Bairro],mercado8)+SUMIFS(supercb[Qtde],supercb[Item],tab_alimentos[[#This Row],[Item]],supercb[Bairro],mercado8)</f>
        <v>0</v>
      </c>
      <c r="T107" s="4">
        <f>SUMIFS(super1[Qtde],super1[Item],tab_alimentos[[#This Row],[Item]],super1[Bairro],mercado9)+SUMIFS(supercb[Qtde],supercb[Item],tab_alimentos[[#This Row],[Item]],supercb[Bairro],mercado9)</f>
        <v>0</v>
      </c>
      <c r="U107" s="4">
        <f>SUMIFS(super1[Qtde],super1[Item],tab_alimentos[[#This Row],[Item]],super1[Bairro],mercado10)+SUMIFS(supercb[Qtde],supercb[Item],tab_alimentos[[#This Row],[Item]],supercb[Bairro],mercado10)</f>
        <v>0</v>
      </c>
      <c r="V107" s="4">
        <f>SUMIFS(super1[Qtde],super1[Item],tab_alimentos[[#This Row],[Item]],super1[Bairro],mercado11)+SUMIFS(supercb[Qtde],supercb[Item],tab_alimentos[[#This Row],[Item]],supercb[Bairro],mercado11)</f>
        <v>0</v>
      </c>
      <c r="W107" s="4">
        <f>SUMIFS(super1[Qtde],super1[Item],tab_alimentos[[#This Row],[Item]],super1[Bairro],mercado12)+SUMIFS(supercb[Qtde],supercb[Item],tab_alimentos[[#This Row],[Item]],supercb[Bairro],mercado12)</f>
        <v>0</v>
      </c>
      <c r="X107" s="4">
        <f>SUMIFS(super1[Qtde],super1[Item],tab_alimentos[[#This Row],[Item]],super1[Bairro],mercado13)+SUMIFS(supercb[Qtde],supercb[Item],tab_alimentos[[#This Row],[Item]],supercb[Bairro],mercado13)</f>
        <v>0</v>
      </c>
      <c r="Y107" s="4">
        <f>SUMIFS(super1[Qtde],super1[Item],tab_alimentos[[#This Row],[Item]],super1[Bairro],mercado14)+SUMIFS(supercb[Qtde],supercb[Item],tab_alimentos[[#This Row],[Item]],supercb[Bairro],mercado14)</f>
        <v>0</v>
      </c>
      <c r="Z107" s="4">
        <f>SUMIFS(super1[Qtde],super1[Item],tab_alimentos[[#This Row],[Item]],super1[Bairro],mercado15)+SUMIFS(supercb[Qtde],supercb[Item],tab_alimentos[[#This Row],[Item]],supercb[Bairro],mercado15)</f>
        <v>0</v>
      </c>
      <c r="AA107" s="4">
        <f>SUMIFS(super1[Qtde],super1[Item],tab_alimentos[[#This Row],[Item]],super1[Bairro],mercado16)+SUMIFS(supercb[Qtde],supercb[Item],tab_alimentos[[#This Row],[Item]],supercb[Bairro],mercado16)</f>
        <v>0</v>
      </c>
      <c r="AB107" s="4">
        <f>SUMIFS(super1[Qtde],super1[Item],tab_alimentos[[#This Row],[Item]],super1[Bairro],mercado17)+SUMIFS(supercb[Qtde],supercb[Item],tab_alimentos[[#This Row],[Item]],supercb[Bairro],mercado17)</f>
        <v>0</v>
      </c>
      <c r="AC107" s="4">
        <f>SUMIFS(super1[Qtde],super1[Item],tab_alimentos[[#This Row],[Item]],super1[Bairro],mercado18)+SUMIFS(supercb[Qtde],supercb[Item],tab_alimentos[[#This Row],[Item]],supercb[Bairro],mercado18)</f>
        <v>0</v>
      </c>
      <c r="AD107" s="4">
        <f>SUMIFS(super1[Qtde],super1[Item],tab_alimentos[[#This Row],[Item]],super1[Bairro],extras)+SUMIFS(supercb[Qtde],supercb[Item],tab_alimentos[[#This Row],[Item]],supercb[Bairro],extras)</f>
        <v>0</v>
      </c>
      <c r="AE107" s="4">
        <f t="shared" si="38"/>
        <v>0</v>
      </c>
      <c r="AF107" s="4">
        <f t="shared" si="39"/>
        <v>0</v>
      </c>
      <c r="AG107" s="6">
        <f t="shared" si="40"/>
        <v>0</v>
      </c>
      <c r="AH107" s="19" t="str">
        <f>higiene[[#This Row],[Item]]</f>
        <v>Fraldas Infantis (24un)</v>
      </c>
      <c r="AI107" s="4">
        <f>IFERROR(higiene[[#This Row],[Kg equivalente]],0)</f>
        <v>0</v>
      </c>
      <c r="AJ107" s="4">
        <f>IFERROR(higiene[[#This Row],[Preço por produto]],0)</f>
        <v>20.99</v>
      </c>
      <c r="AK107" s="4">
        <f>SUMIFS(super1[Qtde],super1[Item],tab_higiene[[#This Row],[Item]],super1[Bairro],mercado1)+SUMIFS(supercb[Qtde],supercb[Item],tab_higiene[[#This Row],[Item]],supercb[Bairro],mercado1)</f>
        <v>0</v>
      </c>
      <c r="AL107" s="4">
        <f>SUMIFS(super1[Qtde],super1[Item],tab_higiene[[#This Row],[Item]],super1[Bairro],mercado2)+SUMIFS(supercb[Qtde],supercb[Item],tab_higiene[[#This Row],[Item]],supercb[Bairro],mercado2)</f>
        <v>0</v>
      </c>
      <c r="AM107" s="4">
        <f>SUMIFS(super1[Qtde],super1[Item],tab_higiene[[#This Row],[Item]],super1[Bairro],mercado3)+SUMIFS(supercb[Qtde],supercb[Item],tab_higiene[[#This Row],[Item]],supercb[Bairro],mercado3)</f>
        <v>0</v>
      </c>
      <c r="AN107" s="4">
        <f>SUMIFS(super1[Qtde],super1[Item],tab_higiene[[#This Row],[Item]],super1[Bairro],mercado4)+SUMIFS(supercb[Qtde],supercb[Item],tab_higiene[[#This Row],[Item]],supercb[Bairro],mercado4)</f>
        <v>0</v>
      </c>
      <c r="AO107" s="4">
        <f>SUMIFS(super1[Qtde],super1[Item],tab_higiene[[#This Row],[Item]],super1[Bairro],mercado5)+SUMIFS(supercb[Qtde],supercb[Item],tab_higiene[[#This Row],[Item]],supercb[Bairro],mercado5)</f>
        <v>0</v>
      </c>
      <c r="AP107" s="4">
        <f>SUMIFS(super1[Qtde],super1[Item],tab_higiene[[#This Row],[Item]],super1[Bairro],mercado6)+SUMIFS(supercb[Qtde],supercb[Item],tab_higiene[[#This Row],[Item]],supercb[Bairro],mercado6)</f>
        <v>0</v>
      </c>
      <c r="AQ107" s="4">
        <f>SUMIFS(super1[Qtde],super1[Item],tab_higiene[[#This Row],[Item]],super1[Bairro],mercado7)+SUMIFS(supercb[Qtde],supercb[Item],tab_higiene[[#This Row],[Item]],supercb[Bairro],mercado7)</f>
        <v>0</v>
      </c>
      <c r="AR107" s="4">
        <f>SUMIFS(super1[Qtde],super1[Item],tab_higiene[[#This Row],[Item]],super1[Bairro],mercado8)+SUMIFS(supercb[Qtde],supercb[Item],tab_higiene[[#This Row],[Item]],supercb[Bairro],mercado8)</f>
        <v>0</v>
      </c>
      <c r="AS107" s="4">
        <f>SUMIFS(super1[Qtde],super1[Item],tab_higiene[[#This Row],[Item]],super1[Bairro],mercado9)+SUMIFS(supercb[Qtde],supercb[Item],tab_higiene[[#This Row],[Item]],supercb[Bairro],mercado9)</f>
        <v>0</v>
      </c>
      <c r="AT107" s="4">
        <f>SUMIFS(super1[Qtde],super1[Item],tab_higiene[[#This Row],[Item]],super1[Bairro],mercado10)+SUMIFS(supercb[Qtde],supercb[Item],tab_higiene[[#This Row],[Item]],supercb[Bairro],mercado10)</f>
        <v>0</v>
      </c>
      <c r="AU107" s="4">
        <f>SUMIFS(super1[Qtde],super1[Item],tab_higiene[[#This Row],[Item]],super1[Bairro],mercado11)+SUMIFS(supercb[Qtde],supercb[Item],tab_higiene[[#This Row],[Item]],supercb[Bairro],mercado11)</f>
        <v>0</v>
      </c>
      <c r="AV107" s="4">
        <f>SUMIFS(super1[Qtde],super1[Item],tab_higiene[[#This Row],[Item]],super1[Bairro],mercado12)+SUMIFS(supercb[Qtde],supercb[Item],tab_higiene[[#This Row],[Item]],supercb[Bairro],mercado12)</f>
        <v>0</v>
      </c>
      <c r="AW107" s="4">
        <f>SUMIFS(super1[Qtde],super1[Item],tab_higiene[[#This Row],[Item]],super1[Bairro],mercado13)+SUMIFS(supercb[Qtde],supercb[Item],tab_higiene[[#This Row],[Item]],supercb[Bairro],mercado13)</f>
        <v>0</v>
      </c>
      <c r="AX107" s="4">
        <f>SUMIFS(super1[Qtde],super1[Item],tab_higiene[[#This Row],[Item]],super1[Bairro],mercado14)+SUMIFS(supercb[Qtde],supercb[Item],tab_higiene[[#This Row],[Item]],supercb[Bairro],mercado14)</f>
        <v>0</v>
      </c>
      <c r="AY107" s="4">
        <f>SUMIFS(super1[Qtde],super1[Item],tab_higiene[[#This Row],[Item]],super1[Bairro],mercado15)+SUMIFS(supercb[Qtde],supercb[Item],tab_higiene[[#This Row],[Item]],supercb[Bairro],mercado15)</f>
        <v>0</v>
      </c>
      <c r="AZ107" s="4">
        <f>SUMIFS(super1[Qtde],super1[Item],tab_higiene[[#This Row],[Item]],super1[Bairro],mercado16)+SUMIFS(supercb[Qtde],supercb[Item],tab_higiene[[#This Row],[Item]],supercb[Bairro],mercado16)</f>
        <v>0</v>
      </c>
      <c r="BA107" s="4">
        <f>SUMIFS(super1[Qtde],super1[Item],tab_higiene[[#This Row],[Item]],super1[Bairro],mercado17)+SUMIFS(supercb[Qtde],supercb[Item],tab_higiene[[#This Row],[Item]],supercb[Bairro],mercado17)</f>
        <v>0</v>
      </c>
      <c r="BB107" s="4">
        <f>SUMIFS(super1[Qtde],super1[Item],tab_higiene[[#This Row],[Item]],super1[Bairro],mercado18)+SUMIFS(supercb[Qtde],supercb[Item],tab_higiene[[#This Row],[Item]],supercb[Bairro],mercado18)</f>
        <v>0</v>
      </c>
      <c r="BC107" s="4">
        <f>SUMIFS(super1[Qtde],super1[Item],tab_higiene[[#This Row],[Item]],super1[Bairro],extras)+SUMIFS(supercb[Qtde],supercb[Item],tab_higiene[[#This Row],[Item]],supercb[Bairro],extras)</f>
        <v>0</v>
      </c>
      <c r="BD107" s="4">
        <f t="shared" si="41"/>
        <v>0</v>
      </c>
      <c r="BE107" s="4">
        <f t="shared" si="42"/>
        <v>0</v>
      </c>
      <c r="BF107" s="6">
        <f t="shared" si="43"/>
        <v>0</v>
      </c>
      <c r="BI107" s="1" t="str">
        <f>tab_alimentos[[#This Row],[Item]]</f>
        <v>Biscoito Salgado (400g)</v>
      </c>
      <c r="BJ107" s="1">
        <f t="shared" si="25"/>
        <v>17</v>
      </c>
      <c r="BK107" s="1" t="str">
        <f t="shared" si="26"/>
        <v>Biscoito Salgado</v>
      </c>
      <c r="BL107" s="1">
        <f>tab_alimentos[[#This Row],[kg]]</f>
        <v>0</v>
      </c>
      <c r="BN107" s="1">
        <f t="shared" si="36"/>
        <v>0</v>
      </c>
      <c r="BP107" s="1" t="str">
        <f>tab_higiene[[#This Row],[Item]]</f>
        <v>Fraldas Infantis (24un)</v>
      </c>
      <c r="BQ107" s="1">
        <f t="shared" si="33"/>
        <v>17</v>
      </c>
      <c r="BR107" s="1" t="str">
        <f t="shared" si="34"/>
        <v>Fraldas Infantis</v>
      </c>
      <c r="BS107" s="1">
        <f>higiene[[#This Row],[Quantidade]]</f>
        <v>2</v>
      </c>
      <c r="BT107" s="1">
        <f>tab_higiene[[#This Row],[Qtde (tot)]]</f>
        <v>0</v>
      </c>
      <c r="BU107" s="1">
        <f t="shared" si="37"/>
        <v>0</v>
      </c>
      <c r="BW107" s="1">
        <f t="shared" si="44"/>
        <v>0</v>
      </c>
    </row>
    <row r="108" spans="9:75" x14ac:dyDescent="0.25">
      <c r="I108" s="19" t="str">
        <f>alimentos[[#This Row],[Item]]</f>
        <v>Biscoito Salgado (500g)</v>
      </c>
      <c r="J108" s="4">
        <f>IFERROR(alimentos[[#This Row],[kg/embalagem]],0)</f>
        <v>0.5</v>
      </c>
      <c r="K108" s="4">
        <f>IFERROR(alimentos[[#This Row],[Preço]],0)</f>
        <v>8.99</v>
      </c>
      <c r="L108" s="4">
        <f>SUMIFS(super1[Qtde],super1[Item],tab_alimentos[[#This Row],[Item]],super1[Bairro],mercado1)+SUMIFS(supercb[Qtde],supercb[Item],tab_alimentos[[#This Row],[Item]],supercb[Bairro],mercado1)</f>
        <v>0</v>
      </c>
      <c r="M108" s="4">
        <f>SUMIFS(super1[Qtde],super1[Item],tab_alimentos[[#This Row],[Item]],super1[Bairro],mercado2)+SUMIFS(supercb[Qtde],supercb[Item],tab_alimentos[[#This Row],[Item]],supercb[Bairro],mercado2)</f>
        <v>0</v>
      </c>
      <c r="N108" s="4">
        <f>SUMIFS(super1[Qtde],super1[Item],tab_alimentos[[#This Row],[Item]],super1[Bairro],mercado3)+SUMIFS(supercb[Qtde],supercb[Item],tab_alimentos[[#This Row],[Item]],supercb[Bairro],mercado3)</f>
        <v>0</v>
      </c>
      <c r="O108" s="4">
        <f>SUMIFS(super1[Qtde],super1[Item],tab_alimentos[[#This Row],[Item]],super1[Bairro],mercado4)+SUMIFS(supercb[Qtde],supercb[Item],tab_alimentos[[#This Row],[Item]],supercb[Bairro],mercado4)</f>
        <v>0</v>
      </c>
      <c r="P108" s="4">
        <f>SUMIFS(super1[Qtde],super1[Item],tab_alimentos[[#This Row],[Item]],super1[Bairro],mercado5)+SUMIFS(supercb[Qtde],supercb[Item],tab_alimentos[[#This Row],[Item]],supercb[Bairro],mercado5)</f>
        <v>0</v>
      </c>
      <c r="Q108" s="4">
        <f>SUMIFS(super1[Qtde],super1[Item],tab_alimentos[[#This Row],[Item]],super1[Bairro],mercado6)+SUMIFS(supercb[Qtde],supercb[Item],tab_alimentos[[#This Row],[Item]],supercb[Bairro],mercado6)</f>
        <v>0</v>
      </c>
      <c r="R108" s="4">
        <f>SUMIFS(super1[Qtde],super1[Item],tab_alimentos[[#This Row],[Item]],super1[Bairro],mercado7)+SUMIFS(supercb[Qtde],supercb[Item],tab_alimentos[[#This Row],[Item]],supercb[Bairro],mercado7)</f>
        <v>0</v>
      </c>
      <c r="S108" s="4">
        <f>SUMIFS(super1[Qtde],super1[Item],tab_alimentos[[#This Row],[Item]],super1[Bairro],mercado8)+SUMIFS(supercb[Qtde],supercb[Item],tab_alimentos[[#This Row],[Item]],supercb[Bairro],mercado8)</f>
        <v>0</v>
      </c>
      <c r="T108" s="4">
        <f>SUMIFS(super1[Qtde],super1[Item],tab_alimentos[[#This Row],[Item]],super1[Bairro],mercado9)+SUMIFS(supercb[Qtde],supercb[Item],tab_alimentos[[#This Row],[Item]],supercb[Bairro],mercado9)</f>
        <v>0</v>
      </c>
      <c r="U108" s="4">
        <f>SUMIFS(super1[Qtde],super1[Item],tab_alimentos[[#This Row],[Item]],super1[Bairro],mercado10)+SUMIFS(supercb[Qtde],supercb[Item],tab_alimentos[[#This Row],[Item]],supercb[Bairro],mercado10)</f>
        <v>0</v>
      </c>
      <c r="V108" s="4">
        <f>SUMIFS(super1[Qtde],super1[Item],tab_alimentos[[#This Row],[Item]],super1[Bairro],mercado11)+SUMIFS(supercb[Qtde],supercb[Item],tab_alimentos[[#This Row],[Item]],supercb[Bairro],mercado11)</f>
        <v>0</v>
      </c>
      <c r="W108" s="4">
        <f>SUMIFS(super1[Qtde],super1[Item],tab_alimentos[[#This Row],[Item]],super1[Bairro],mercado12)+SUMIFS(supercb[Qtde],supercb[Item],tab_alimentos[[#This Row],[Item]],supercb[Bairro],mercado12)</f>
        <v>0</v>
      </c>
      <c r="X108" s="4">
        <f>SUMIFS(super1[Qtde],super1[Item],tab_alimentos[[#This Row],[Item]],super1[Bairro],mercado13)+SUMIFS(supercb[Qtde],supercb[Item],tab_alimentos[[#This Row],[Item]],supercb[Bairro],mercado13)</f>
        <v>0</v>
      </c>
      <c r="Y108" s="4">
        <f>SUMIFS(super1[Qtde],super1[Item],tab_alimentos[[#This Row],[Item]],super1[Bairro],mercado14)+SUMIFS(supercb[Qtde],supercb[Item],tab_alimentos[[#This Row],[Item]],supercb[Bairro],mercado14)</f>
        <v>0</v>
      </c>
      <c r="Z108" s="4">
        <f>SUMIFS(super1[Qtde],super1[Item],tab_alimentos[[#This Row],[Item]],super1[Bairro],mercado15)+SUMIFS(supercb[Qtde],supercb[Item],tab_alimentos[[#This Row],[Item]],supercb[Bairro],mercado15)</f>
        <v>0</v>
      </c>
      <c r="AA108" s="4">
        <f>SUMIFS(super1[Qtde],super1[Item],tab_alimentos[[#This Row],[Item]],super1[Bairro],mercado16)+SUMIFS(supercb[Qtde],supercb[Item],tab_alimentos[[#This Row],[Item]],supercb[Bairro],mercado16)</f>
        <v>0</v>
      </c>
      <c r="AB108" s="4">
        <f>SUMIFS(super1[Qtde],super1[Item],tab_alimentos[[#This Row],[Item]],super1[Bairro],mercado17)+SUMIFS(supercb[Qtde],supercb[Item],tab_alimentos[[#This Row],[Item]],supercb[Bairro],mercado17)</f>
        <v>0</v>
      </c>
      <c r="AC108" s="4">
        <f>SUMIFS(super1[Qtde],super1[Item],tab_alimentos[[#This Row],[Item]],super1[Bairro],mercado18)+SUMIFS(supercb[Qtde],supercb[Item],tab_alimentos[[#This Row],[Item]],supercb[Bairro],mercado18)</f>
        <v>0</v>
      </c>
      <c r="AD108" s="4">
        <f>SUMIFS(super1[Qtde],super1[Item],tab_alimentos[[#This Row],[Item]],super1[Bairro],extras)+SUMIFS(supercb[Qtde],supercb[Item],tab_alimentos[[#This Row],[Item]],supercb[Bairro],extras)</f>
        <v>0</v>
      </c>
      <c r="AE108" s="4">
        <f t="shared" si="38"/>
        <v>0</v>
      </c>
      <c r="AF108" s="4">
        <f t="shared" si="39"/>
        <v>0</v>
      </c>
      <c r="AG108" s="6">
        <f t="shared" si="40"/>
        <v>0</v>
      </c>
      <c r="AH108" s="19" t="str">
        <f>higiene[[#This Row],[Item]]</f>
        <v>Fraldas Infantis (26un)</v>
      </c>
      <c r="AI108" s="4">
        <f>IFERROR(higiene[[#This Row],[Kg equivalente]],0)</f>
        <v>0</v>
      </c>
      <c r="AJ108" s="4">
        <f>IFERROR(higiene[[#This Row],[Preço por produto]],0)</f>
        <v>22.99</v>
      </c>
      <c r="AK108" s="4">
        <f>SUMIFS(super1[Qtde],super1[Item],tab_higiene[[#This Row],[Item]],super1[Bairro],mercado1)+SUMIFS(supercb[Qtde],supercb[Item],tab_higiene[[#This Row],[Item]],supercb[Bairro],mercado1)</f>
        <v>0</v>
      </c>
      <c r="AL108" s="4">
        <f>SUMIFS(super1[Qtde],super1[Item],tab_higiene[[#This Row],[Item]],super1[Bairro],mercado2)+SUMIFS(supercb[Qtde],supercb[Item],tab_higiene[[#This Row],[Item]],supercb[Bairro],mercado2)</f>
        <v>0</v>
      </c>
      <c r="AM108" s="4">
        <f>SUMIFS(super1[Qtde],super1[Item],tab_higiene[[#This Row],[Item]],super1[Bairro],mercado3)+SUMIFS(supercb[Qtde],supercb[Item],tab_higiene[[#This Row],[Item]],supercb[Bairro],mercado3)</f>
        <v>0</v>
      </c>
      <c r="AN108" s="4">
        <f>SUMIFS(super1[Qtde],super1[Item],tab_higiene[[#This Row],[Item]],super1[Bairro],mercado4)+SUMIFS(supercb[Qtde],supercb[Item],tab_higiene[[#This Row],[Item]],supercb[Bairro],mercado4)</f>
        <v>0</v>
      </c>
      <c r="AO108" s="4">
        <f>SUMIFS(super1[Qtde],super1[Item],tab_higiene[[#This Row],[Item]],super1[Bairro],mercado5)+SUMIFS(supercb[Qtde],supercb[Item],tab_higiene[[#This Row],[Item]],supercb[Bairro],mercado5)</f>
        <v>0</v>
      </c>
      <c r="AP108" s="4">
        <f>SUMIFS(super1[Qtde],super1[Item],tab_higiene[[#This Row],[Item]],super1[Bairro],mercado6)+SUMIFS(supercb[Qtde],supercb[Item],tab_higiene[[#This Row],[Item]],supercb[Bairro],mercado6)</f>
        <v>0</v>
      </c>
      <c r="AQ108" s="4">
        <f>SUMIFS(super1[Qtde],super1[Item],tab_higiene[[#This Row],[Item]],super1[Bairro],mercado7)+SUMIFS(supercb[Qtde],supercb[Item],tab_higiene[[#This Row],[Item]],supercb[Bairro],mercado7)</f>
        <v>0</v>
      </c>
      <c r="AR108" s="4">
        <f>SUMIFS(super1[Qtde],super1[Item],tab_higiene[[#This Row],[Item]],super1[Bairro],mercado8)+SUMIFS(supercb[Qtde],supercb[Item],tab_higiene[[#This Row],[Item]],supercb[Bairro],mercado8)</f>
        <v>0</v>
      </c>
      <c r="AS108" s="4">
        <f>SUMIFS(super1[Qtde],super1[Item],tab_higiene[[#This Row],[Item]],super1[Bairro],mercado9)+SUMIFS(supercb[Qtde],supercb[Item],tab_higiene[[#This Row],[Item]],supercb[Bairro],mercado9)</f>
        <v>0</v>
      </c>
      <c r="AT108" s="4">
        <f>SUMIFS(super1[Qtde],super1[Item],tab_higiene[[#This Row],[Item]],super1[Bairro],mercado10)+SUMIFS(supercb[Qtde],supercb[Item],tab_higiene[[#This Row],[Item]],supercb[Bairro],mercado10)</f>
        <v>0</v>
      </c>
      <c r="AU108" s="4">
        <f>SUMIFS(super1[Qtde],super1[Item],tab_higiene[[#This Row],[Item]],super1[Bairro],mercado11)+SUMIFS(supercb[Qtde],supercb[Item],tab_higiene[[#This Row],[Item]],supercb[Bairro],mercado11)</f>
        <v>0</v>
      </c>
      <c r="AV108" s="4">
        <f>SUMIFS(super1[Qtde],super1[Item],tab_higiene[[#This Row],[Item]],super1[Bairro],mercado12)+SUMIFS(supercb[Qtde],supercb[Item],tab_higiene[[#This Row],[Item]],supercb[Bairro],mercado12)</f>
        <v>0</v>
      </c>
      <c r="AW108" s="4">
        <f>SUMIFS(super1[Qtde],super1[Item],tab_higiene[[#This Row],[Item]],super1[Bairro],mercado13)+SUMIFS(supercb[Qtde],supercb[Item],tab_higiene[[#This Row],[Item]],supercb[Bairro],mercado13)</f>
        <v>0</v>
      </c>
      <c r="AX108" s="4">
        <f>SUMIFS(super1[Qtde],super1[Item],tab_higiene[[#This Row],[Item]],super1[Bairro],mercado14)+SUMIFS(supercb[Qtde],supercb[Item],tab_higiene[[#This Row],[Item]],supercb[Bairro],mercado14)</f>
        <v>0</v>
      </c>
      <c r="AY108" s="4">
        <f>SUMIFS(super1[Qtde],super1[Item],tab_higiene[[#This Row],[Item]],super1[Bairro],mercado15)+SUMIFS(supercb[Qtde],supercb[Item],tab_higiene[[#This Row],[Item]],supercb[Bairro],mercado15)</f>
        <v>0</v>
      </c>
      <c r="AZ108" s="4">
        <f>SUMIFS(super1[Qtde],super1[Item],tab_higiene[[#This Row],[Item]],super1[Bairro],mercado16)+SUMIFS(supercb[Qtde],supercb[Item],tab_higiene[[#This Row],[Item]],supercb[Bairro],mercado16)</f>
        <v>0</v>
      </c>
      <c r="BA108" s="4">
        <f>SUMIFS(super1[Qtde],super1[Item],tab_higiene[[#This Row],[Item]],super1[Bairro],mercado17)+SUMIFS(supercb[Qtde],supercb[Item],tab_higiene[[#This Row],[Item]],supercb[Bairro],mercado17)</f>
        <v>0</v>
      </c>
      <c r="BB108" s="4">
        <f>SUMIFS(super1[Qtde],super1[Item],tab_higiene[[#This Row],[Item]],super1[Bairro],mercado18)+SUMIFS(supercb[Qtde],supercb[Item],tab_higiene[[#This Row],[Item]],supercb[Bairro],mercado18)</f>
        <v>0</v>
      </c>
      <c r="BC108" s="4">
        <f>SUMIFS(super1[Qtde],super1[Item],tab_higiene[[#This Row],[Item]],super1[Bairro],extras)+SUMIFS(supercb[Qtde],supercb[Item],tab_higiene[[#This Row],[Item]],supercb[Bairro],extras)</f>
        <v>0</v>
      </c>
      <c r="BD108" s="4">
        <f t="shared" si="41"/>
        <v>0</v>
      </c>
      <c r="BE108" s="4">
        <f t="shared" si="42"/>
        <v>0</v>
      </c>
      <c r="BF108" s="6">
        <f t="shared" si="43"/>
        <v>0</v>
      </c>
      <c r="BI108" s="1" t="str">
        <f>tab_alimentos[[#This Row],[Item]]</f>
        <v>Biscoito Salgado (500g)</v>
      </c>
      <c r="BJ108" s="1">
        <f t="shared" si="25"/>
        <v>17</v>
      </c>
      <c r="BK108" s="1" t="str">
        <f t="shared" si="26"/>
        <v>Biscoito Salgado</v>
      </c>
      <c r="BL108" s="1">
        <f>tab_alimentos[[#This Row],[kg]]</f>
        <v>0</v>
      </c>
      <c r="BN108" s="1">
        <f t="shared" si="36"/>
        <v>0</v>
      </c>
      <c r="BP108" s="1" t="str">
        <f>tab_higiene[[#This Row],[Item]]</f>
        <v>Fraldas Infantis (26un)</v>
      </c>
      <c r="BQ108" s="1">
        <f t="shared" si="33"/>
        <v>17</v>
      </c>
      <c r="BR108" s="1" t="str">
        <f t="shared" si="34"/>
        <v>Fraldas Infantis</v>
      </c>
      <c r="BS108" s="1">
        <f>higiene[[#This Row],[Quantidade]]</f>
        <v>5</v>
      </c>
      <c r="BT108" s="1">
        <f>tab_higiene[[#This Row],[Qtde (tot)]]</f>
        <v>0</v>
      </c>
      <c r="BU108" s="1">
        <f t="shared" si="37"/>
        <v>0</v>
      </c>
      <c r="BW108" s="1">
        <f t="shared" si="44"/>
        <v>0</v>
      </c>
    </row>
    <row r="109" spans="9:75" x14ac:dyDescent="0.25">
      <c r="I109" s="19" t="str">
        <f>alimentos[[#This Row],[Item]]</f>
        <v>Biscoito Salgado (80g)</v>
      </c>
      <c r="J109" s="4">
        <f>IFERROR(alimentos[[#This Row],[kg/embalagem]],0)</f>
        <v>0.08</v>
      </c>
      <c r="K109" s="4">
        <f>IFERROR(alimentos[[#This Row],[Preço]],0)</f>
        <v>4.8899999999999997</v>
      </c>
      <c r="L109" s="4">
        <f>SUMIFS(super1[Qtde],super1[Item],tab_alimentos[[#This Row],[Item]],super1[Bairro],mercado1)+SUMIFS(supercb[Qtde],supercb[Item],tab_alimentos[[#This Row],[Item]],supercb[Bairro],mercado1)</f>
        <v>0</v>
      </c>
      <c r="M109" s="4">
        <f>SUMIFS(super1[Qtde],super1[Item],tab_alimentos[[#This Row],[Item]],super1[Bairro],mercado2)+SUMIFS(supercb[Qtde],supercb[Item],tab_alimentos[[#This Row],[Item]],supercb[Bairro],mercado2)</f>
        <v>0</v>
      </c>
      <c r="N109" s="4">
        <f>SUMIFS(super1[Qtde],super1[Item],tab_alimentos[[#This Row],[Item]],super1[Bairro],mercado3)+SUMIFS(supercb[Qtde],supercb[Item],tab_alimentos[[#This Row],[Item]],supercb[Bairro],mercado3)</f>
        <v>0</v>
      </c>
      <c r="O109" s="4">
        <f>SUMIFS(super1[Qtde],super1[Item],tab_alimentos[[#This Row],[Item]],super1[Bairro],mercado4)+SUMIFS(supercb[Qtde],supercb[Item],tab_alimentos[[#This Row],[Item]],supercb[Bairro],mercado4)</f>
        <v>0</v>
      </c>
      <c r="P109" s="4">
        <f>SUMIFS(super1[Qtde],super1[Item],tab_alimentos[[#This Row],[Item]],super1[Bairro],mercado5)+SUMIFS(supercb[Qtde],supercb[Item],tab_alimentos[[#This Row],[Item]],supercb[Bairro],mercado5)</f>
        <v>0</v>
      </c>
      <c r="Q109" s="4">
        <f>SUMIFS(super1[Qtde],super1[Item],tab_alimentos[[#This Row],[Item]],super1[Bairro],mercado6)+SUMIFS(supercb[Qtde],supercb[Item],tab_alimentos[[#This Row],[Item]],supercb[Bairro],mercado6)</f>
        <v>0</v>
      </c>
      <c r="R109" s="4">
        <f>SUMIFS(super1[Qtde],super1[Item],tab_alimentos[[#This Row],[Item]],super1[Bairro],mercado7)+SUMIFS(supercb[Qtde],supercb[Item],tab_alimentos[[#This Row],[Item]],supercb[Bairro],mercado7)</f>
        <v>0</v>
      </c>
      <c r="S109" s="4">
        <f>SUMIFS(super1[Qtde],super1[Item],tab_alimentos[[#This Row],[Item]],super1[Bairro],mercado8)+SUMIFS(supercb[Qtde],supercb[Item],tab_alimentos[[#This Row],[Item]],supercb[Bairro],mercado8)</f>
        <v>0</v>
      </c>
      <c r="T109" s="4">
        <f>SUMIFS(super1[Qtde],super1[Item],tab_alimentos[[#This Row],[Item]],super1[Bairro],mercado9)+SUMIFS(supercb[Qtde],supercb[Item],tab_alimentos[[#This Row],[Item]],supercb[Bairro],mercado9)</f>
        <v>0</v>
      </c>
      <c r="U109" s="4">
        <f>SUMIFS(super1[Qtde],super1[Item],tab_alimentos[[#This Row],[Item]],super1[Bairro],mercado10)+SUMIFS(supercb[Qtde],supercb[Item],tab_alimentos[[#This Row],[Item]],supercb[Bairro],mercado10)</f>
        <v>0</v>
      </c>
      <c r="V109" s="4">
        <f>SUMIFS(super1[Qtde],super1[Item],tab_alimentos[[#This Row],[Item]],super1[Bairro],mercado11)+SUMIFS(supercb[Qtde],supercb[Item],tab_alimentos[[#This Row],[Item]],supercb[Bairro],mercado11)</f>
        <v>0</v>
      </c>
      <c r="W109" s="4">
        <f>SUMIFS(super1[Qtde],super1[Item],tab_alimentos[[#This Row],[Item]],super1[Bairro],mercado12)+SUMIFS(supercb[Qtde],supercb[Item],tab_alimentos[[#This Row],[Item]],supercb[Bairro],mercado12)</f>
        <v>0</v>
      </c>
      <c r="X109" s="4">
        <f>SUMIFS(super1[Qtde],super1[Item],tab_alimentos[[#This Row],[Item]],super1[Bairro],mercado13)+SUMIFS(supercb[Qtde],supercb[Item],tab_alimentos[[#This Row],[Item]],supercb[Bairro],mercado13)</f>
        <v>0</v>
      </c>
      <c r="Y109" s="4">
        <f>SUMIFS(super1[Qtde],super1[Item],tab_alimentos[[#This Row],[Item]],super1[Bairro],mercado14)+SUMIFS(supercb[Qtde],supercb[Item],tab_alimentos[[#This Row],[Item]],supercb[Bairro],mercado14)</f>
        <v>0</v>
      </c>
      <c r="Z109" s="4">
        <f>SUMIFS(super1[Qtde],super1[Item],tab_alimentos[[#This Row],[Item]],super1[Bairro],mercado15)+SUMIFS(supercb[Qtde],supercb[Item],tab_alimentos[[#This Row],[Item]],supercb[Bairro],mercado15)</f>
        <v>0</v>
      </c>
      <c r="AA109" s="4">
        <f>SUMIFS(super1[Qtde],super1[Item],tab_alimentos[[#This Row],[Item]],super1[Bairro],mercado16)+SUMIFS(supercb[Qtde],supercb[Item],tab_alimentos[[#This Row],[Item]],supercb[Bairro],mercado16)</f>
        <v>0</v>
      </c>
      <c r="AB109" s="4">
        <f>SUMIFS(super1[Qtde],super1[Item],tab_alimentos[[#This Row],[Item]],super1[Bairro],mercado17)+SUMIFS(supercb[Qtde],supercb[Item],tab_alimentos[[#This Row],[Item]],supercb[Bairro],mercado17)</f>
        <v>0</v>
      </c>
      <c r="AC109" s="4">
        <f>SUMIFS(super1[Qtde],super1[Item],tab_alimentos[[#This Row],[Item]],super1[Bairro],mercado18)+SUMIFS(supercb[Qtde],supercb[Item],tab_alimentos[[#This Row],[Item]],supercb[Bairro],mercado18)</f>
        <v>0</v>
      </c>
      <c r="AD109" s="4">
        <f>SUMIFS(super1[Qtde],super1[Item],tab_alimentos[[#This Row],[Item]],super1[Bairro],extras)+SUMIFS(supercb[Qtde],supercb[Item],tab_alimentos[[#This Row],[Item]],supercb[Bairro],extras)</f>
        <v>0</v>
      </c>
      <c r="AE109" s="4">
        <f t="shared" si="38"/>
        <v>0</v>
      </c>
      <c r="AF109" s="4">
        <f t="shared" si="39"/>
        <v>0</v>
      </c>
      <c r="AG109" s="6">
        <f t="shared" si="40"/>
        <v>0</v>
      </c>
      <c r="AH109" s="19" t="str">
        <f>higiene[[#This Row],[Item]]</f>
        <v>Fraldas Infantis (28un)</v>
      </c>
      <c r="AI109" s="4">
        <f>IFERROR(higiene[[#This Row],[Kg equivalente]],0)</f>
        <v>0</v>
      </c>
      <c r="AJ109" s="4">
        <f>IFERROR(higiene[[#This Row],[Preço por produto]],0)</f>
        <v>23.98</v>
      </c>
      <c r="AK109" s="4">
        <f>SUMIFS(super1[Qtde],super1[Item],tab_higiene[[#This Row],[Item]],super1[Bairro],mercado1)+SUMIFS(supercb[Qtde],supercb[Item],tab_higiene[[#This Row],[Item]],supercb[Bairro],mercado1)</f>
        <v>0</v>
      </c>
      <c r="AL109" s="4">
        <f>SUMIFS(super1[Qtde],super1[Item],tab_higiene[[#This Row],[Item]],super1[Bairro],mercado2)+SUMIFS(supercb[Qtde],supercb[Item],tab_higiene[[#This Row],[Item]],supercb[Bairro],mercado2)</f>
        <v>0</v>
      </c>
      <c r="AM109" s="4">
        <f>SUMIFS(super1[Qtde],super1[Item],tab_higiene[[#This Row],[Item]],super1[Bairro],mercado3)+SUMIFS(supercb[Qtde],supercb[Item],tab_higiene[[#This Row],[Item]],supercb[Bairro],mercado3)</f>
        <v>0</v>
      </c>
      <c r="AN109" s="4">
        <f>SUMIFS(super1[Qtde],super1[Item],tab_higiene[[#This Row],[Item]],super1[Bairro],mercado4)+SUMIFS(supercb[Qtde],supercb[Item],tab_higiene[[#This Row],[Item]],supercb[Bairro],mercado4)</f>
        <v>0</v>
      </c>
      <c r="AO109" s="4">
        <f>SUMIFS(super1[Qtde],super1[Item],tab_higiene[[#This Row],[Item]],super1[Bairro],mercado5)+SUMIFS(supercb[Qtde],supercb[Item],tab_higiene[[#This Row],[Item]],supercb[Bairro],mercado5)</f>
        <v>0</v>
      </c>
      <c r="AP109" s="4">
        <f>SUMIFS(super1[Qtde],super1[Item],tab_higiene[[#This Row],[Item]],super1[Bairro],mercado6)+SUMIFS(supercb[Qtde],supercb[Item],tab_higiene[[#This Row],[Item]],supercb[Bairro],mercado6)</f>
        <v>0</v>
      </c>
      <c r="AQ109" s="4">
        <f>SUMIFS(super1[Qtde],super1[Item],tab_higiene[[#This Row],[Item]],super1[Bairro],mercado7)+SUMIFS(supercb[Qtde],supercb[Item],tab_higiene[[#This Row],[Item]],supercb[Bairro],mercado7)</f>
        <v>0</v>
      </c>
      <c r="AR109" s="4">
        <f>SUMIFS(super1[Qtde],super1[Item],tab_higiene[[#This Row],[Item]],super1[Bairro],mercado8)+SUMIFS(supercb[Qtde],supercb[Item],tab_higiene[[#This Row],[Item]],supercb[Bairro],mercado8)</f>
        <v>0</v>
      </c>
      <c r="AS109" s="4">
        <f>SUMIFS(super1[Qtde],super1[Item],tab_higiene[[#This Row],[Item]],super1[Bairro],mercado9)+SUMIFS(supercb[Qtde],supercb[Item],tab_higiene[[#This Row],[Item]],supercb[Bairro],mercado9)</f>
        <v>0</v>
      </c>
      <c r="AT109" s="4">
        <f>SUMIFS(super1[Qtde],super1[Item],tab_higiene[[#This Row],[Item]],super1[Bairro],mercado10)+SUMIFS(supercb[Qtde],supercb[Item],tab_higiene[[#This Row],[Item]],supercb[Bairro],mercado10)</f>
        <v>0</v>
      </c>
      <c r="AU109" s="4">
        <f>SUMIFS(super1[Qtde],super1[Item],tab_higiene[[#This Row],[Item]],super1[Bairro],mercado11)+SUMIFS(supercb[Qtde],supercb[Item],tab_higiene[[#This Row],[Item]],supercb[Bairro],mercado11)</f>
        <v>0</v>
      </c>
      <c r="AV109" s="4">
        <f>SUMIFS(super1[Qtde],super1[Item],tab_higiene[[#This Row],[Item]],super1[Bairro],mercado12)+SUMIFS(supercb[Qtde],supercb[Item],tab_higiene[[#This Row],[Item]],supercb[Bairro],mercado12)</f>
        <v>0</v>
      </c>
      <c r="AW109" s="4">
        <f>SUMIFS(super1[Qtde],super1[Item],tab_higiene[[#This Row],[Item]],super1[Bairro],mercado13)+SUMIFS(supercb[Qtde],supercb[Item],tab_higiene[[#This Row],[Item]],supercb[Bairro],mercado13)</f>
        <v>0</v>
      </c>
      <c r="AX109" s="4">
        <f>SUMIFS(super1[Qtde],super1[Item],tab_higiene[[#This Row],[Item]],super1[Bairro],mercado14)+SUMIFS(supercb[Qtde],supercb[Item],tab_higiene[[#This Row],[Item]],supercb[Bairro],mercado14)</f>
        <v>0</v>
      </c>
      <c r="AY109" s="4">
        <f>SUMIFS(super1[Qtde],super1[Item],tab_higiene[[#This Row],[Item]],super1[Bairro],mercado15)+SUMIFS(supercb[Qtde],supercb[Item],tab_higiene[[#This Row],[Item]],supercb[Bairro],mercado15)</f>
        <v>0</v>
      </c>
      <c r="AZ109" s="4">
        <f>SUMIFS(super1[Qtde],super1[Item],tab_higiene[[#This Row],[Item]],super1[Bairro],mercado16)+SUMIFS(supercb[Qtde],supercb[Item],tab_higiene[[#This Row],[Item]],supercb[Bairro],mercado16)</f>
        <v>0</v>
      </c>
      <c r="BA109" s="4">
        <f>SUMIFS(super1[Qtde],super1[Item],tab_higiene[[#This Row],[Item]],super1[Bairro],mercado17)+SUMIFS(supercb[Qtde],supercb[Item],tab_higiene[[#This Row],[Item]],supercb[Bairro],mercado17)</f>
        <v>0</v>
      </c>
      <c r="BB109" s="4">
        <f>SUMIFS(super1[Qtde],super1[Item],tab_higiene[[#This Row],[Item]],super1[Bairro],mercado18)+SUMIFS(supercb[Qtde],supercb[Item],tab_higiene[[#This Row],[Item]],supercb[Bairro],mercado18)</f>
        <v>0</v>
      </c>
      <c r="BC109" s="4">
        <f>SUMIFS(super1[Qtde],super1[Item],tab_higiene[[#This Row],[Item]],super1[Bairro],extras)+SUMIFS(supercb[Qtde],supercb[Item],tab_higiene[[#This Row],[Item]],supercb[Bairro],extras)</f>
        <v>0</v>
      </c>
      <c r="BD109" s="4">
        <f t="shared" si="41"/>
        <v>0</v>
      </c>
      <c r="BE109" s="4">
        <f t="shared" si="42"/>
        <v>0</v>
      </c>
      <c r="BF109" s="6">
        <f t="shared" si="43"/>
        <v>0</v>
      </c>
      <c r="BI109" s="1" t="str">
        <f>tab_alimentos[[#This Row],[Item]]</f>
        <v>Biscoito Salgado (80g)</v>
      </c>
      <c r="BJ109" s="1">
        <f t="shared" si="25"/>
        <v>17</v>
      </c>
      <c r="BK109" s="1" t="str">
        <f t="shared" si="26"/>
        <v>Biscoito Salgado</v>
      </c>
      <c r="BL109" s="1">
        <f>tab_alimentos[[#This Row],[kg]]</f>
        <v>0</v>
      </c>
      <c r="BN109" s="1">
        <f t="shared" si="36"/>
        <v>0</v>
      </c>
      <c r="BP109" s="1" t="str">
        <f>tab_higiene[[#This Row],[Item]]</f>
        <v>Fraldas Infantis (28un)</v>
      </c>
      <c r="BQ109" s="1">
        <f t="shared" si="33"/>
        <v>17</v>
      </c>
      <c r="BR109" s="1" t="str">
        <f t="shared" si="34"/>
        <v>Fraldas Infantis</v>
      </c>
      <c r="BS109" s="1">
        <f>higiene[[#This Row],[Quantidade]]</f>
        <v>1</v>
      </c>
      <c r="BT109" s="1">
        <f>tab_higiene[[#This Row],[Qtde (tot)]]</f>
        <v>0</v>
      </c>
      <c r="BU109" s="1">
        <f t="shared" si="37"/>
        <v>0</v>
      </c>
      <c r="BW109" s="1">
        <f t="shared" si="44"/>
        <v>0</v>
      </c>
    </row>
    <row r="110" spans="9:75" x14ac:dyDescent="0.25">
      <c r="I110" s="19" t="str">
        <f>alimentos[[#This Row],[Item]]</f>
        <v>Biscoito Salgado (90g)</v>
      </c>
      <c r="J110" s="4">
        <f>IFERROR(alimentos[[#This Row],[kg/embalagem]],0)</f>
        <v>0.09</v>
      </c>
      <c r="K110" s="4">
        <f>IFERROR(alimentos[[#This Row],[Preço]],0)</f>
        <v>5.35</v>
      </c>
      <c r="L110" s="4">
        <f>SUMIFS(super1[Qtde],super1[Item],tab_alimentos[[#This Row],[Item]],super1[Bairro],mercado1)+SUMIFS(supercb[Qtde],supercb[Item],tab_alimentos[[#This Row],[Item]],supercb[Bairro],mercado1)</f>
        <v>0</v>
      </c>
      <c r="M110" s="4">
        <f>SUMIFS(super1[Qtde],super1[Item],tab_alimentos[[#This Row],[Item]],super1[Bairro],mercado2)+SUMIFS(supercb[Qtde],supercb[Item],tab_alimentos[[#This Row],[Item]],supercb[Bairro],mercado2)</f>
        <v>0</v>
      </c>
      <c r="N110" s="4">
        <f>SUMIFS(super1[Qtde],super1[Item],tab_alimentos[[#This Row],[Item]],super1[Bairro],mercado3)+SUMIFS(supercb[Qtde],supercb[Item],tab_alimentos[[#This Row],[Item]],supercb[Bairro],mercado3)</f>
        <v>0</v>
      </c>
      <c r="O110" s="4">
        <f>SUMIFS(super1[Qtde],super1[Item],tab_alimentos[[#This Row],[Item]],super1[Bairro],mercado4)+SUMIFS(supercb[Qtde],supercb[Item],tab_alimentos[[#This Row],[Item]],supercb[Bairro],mercado4)</f>
        <v>0</v>
      </c>
      <c r="P110" s="4">
        <f>SUMIFS(super1[Qtde],super1[Item],tab_alimentos[[#This Row],[Item]],super1[Bairro],mercado5)+SUMIFS(supercb[Qtde],supercb[Item],tab_alimentos[[#This Row],[Item]],supercb[Bairro],mercado5)</f>
        <v>0</v>
      </c>
      <c r="Q110" s="4">
        <f>SUMIFS(super1[Qtde],super1[Item],tab_alimentos[[#This Row],[Item]],super1[Bairro],mercado6)+SUMIFS(supercb[Qtde],supercb[Item],tab_alimentos[[#This Row],[Item]],supercb[Bairro],mercado6)</f>
        <v>0</v>
      </c>
      <c r="R110" s="4">
        <f>SUMIFS(super1[Qtde],super1[Item],tab_alimentos[[#This Row],[Item]],super1[Bairro],mercado7)+SUMIFS(supercb[Qtde],supercb[Item],tab_alimentos[[#This Row],[Item]],supercb[Bairro],mercado7)</f>
        <v>0</v>
      </c>
      <c r="S110" s="4">
        <f>SUMIFS(super1[Qtde],super1[Item],tab_alimentos[[#This Row],[Item]],super1[Bairro],mercado8)+SUMIFS(supercb[Qtde],supercb[Item],tab_alimentos[[#This Row],[Item]],supercb[Bairro],mercado8)</f>
        <v>0</v>
      </c>
      <c r="T110" s="4">
        <f>SUMIFS(super1[Qtde],super1[Item],tab_alimentos[[#This Row],[Item]],super1[Bairro],mercado9)+SUMIFS(supercb[Qtde],supercb[Item],tab_alimentos[[#This Row],[Item]],supercb[Bairro],mercado9)</f>
        <v>0</v>
      </c>
      <c r="U110" s="4">
        <f>SUMIFS(super1[Qtde],super1[Item],tab_alimentos[[#This Row],[Item]],super1[Bairro],mercado10)+SUMIFS(supercb[Qtde],supercb[Item],tab_alimentos[[#This Row],[Item]],supercb[Bairro],mercado10)</f>
        <v>0</v>
      </c>
      <c r="V110" s="4">
        <f>SUMIFS(super1[Qtde],super1[Item],tab_alimentos[[#This Row],[Item]],super1[Bairro],mercado11)+SUMIFS(supercb[Qtde],supercb[Item],tab_alimentos[[#This Row],[Item]],supercb[Bairro],mercado11)</f>
        <v>0</v>
      </c>
      <c r="W110" s="4">
        <f>SUMIFS(super1[Qtde],super1[Item],tab_alimentos[[#This Row],[Item]],super1[Bairro],mercado12)+SUMIFS(supercb[Qtde],supercb[Item],tab_alimentos[[#This Row],[Item]],supercb[Bairro],mercado12)</f>
        <v>0</v>
      </c>
      <c r="X110" s="4">
        <f>SUMIFS(super1[Qtde],super1[Item],tab_alimentos[[#This Row],[Item]],super1[Bairro],mercado13)+SUMIFS(supercb[Qtde],supercb[Item],tab_alimentos[[#This Row],[Item]],supercb[Bairro],mercado13)</f>
        <v>0</v>
      </c>
      <c r="Y110" s="4">
        <f>SUMIFS(super1[Qtde],super1[Item],tab_alimentos[[#This Row],[Item]],super1[Bairro],mercado14)+SUMIFS(supercb[Qtde],supercb[Item],tab_alimentos[[#This Row],[Item]],supercb[Bairro],mercado14)</f>
        <v>0</v>
      </c>
      <c r="Z110" s="4">
        <f>SUMIFS(super1[Qtde],super1[Item],tab_alimentos[[#This Row],[Item]],super1[Bairro],mercado15)+SUMIFS(supercb[Qtde],supercb[Item],tab_alimentos[[#This Row],[Item]],supercb[Bairro],mercado15)</f>
        <v>0</v>
      </c>
      <c r="AA110" s="4">
        <f>SUMIFS(super1[Qtde],super1[Item],tab_alimentos[[#This Row],[Item]],super1[Bairro],mercado16)+SUMIFS(supercb[Qtde],supercb[Item],tab_alimentos[[#This Row],[Item]],supercb[Bairro],mercado16)</f>
        <v>0</v>
      </c>
      <c r="AB110" s="4">
        <f>SUMIFS(super1[Qtde],super1[Item],tab_alimentos[[#This Row],[Item]],super1[Bairro],mercado17)+SUMIFS(supercb[Qtde],supercb[Item],tab_alimentos[[#This Row],[Item]],supercb[Bairro],mercado17)</f>
        <v>0</v>
      </c>
      <c r="AC110" s="4">
        <f>SUMIFS(super1[Qtde],super1[Item],tab_alimentos[[#This Row],[Item]],super1[Bairro],mercado18)+SUMIFS(supercb[Qtde],supercb[Item],tab_alimentos[[#This Row],[Item]],supercb[Bairro],mercado18)</f>
        <v>0</v>
      </c>
      <c r="AD110" s="4">
        <f>SUMIFS(super1[Qtde],super1[Item],tab_alimentos[[#This Row],[Item]],super1[Bairro],extras)+SUMIFS(supercb[Qtde],supercb[Item],tab_alimentos[[#This Row],[Item]],supercb[Bairro],extras)</f>
        <v>0</v>
      </c>
      <c r="AE110" s="4">
        <f t="shared" si="38"/>
        <v>0</v>
      </c>
      <c r="AF110" s="4">
        <f t="shared" si="39"/>
        <v>0</v>
      </c>
      <c r="AG110" s="6">
        <f t="shared" si="40"/>
        <v>0</v>
      </c>
      <c r="AH110" s="19" t="str">
        <f>higiene[[#This Row],[Item]]</f>
        <v>Fraldas Infantis (30un)</v>
      </c>
      <c r="AI110" s="4">
        <f>IFERROR(higiene[[#This Row],[Kg equivalente]],0)</f>
        <v>0</v>
      </c>
      <c r="AJ110" s="4">
        <f>IFERROR(higiene[[#This Row],[Preço por produto]],0)</f>
        <v>28.99</v>
      </c>
      <c r="AK110" s="4">
        <f>SUMIFS(super1[Qtde],super1[Item],tab_higiene[[#This Row],[Item]],super1[Bairro],mercado1)+SUMIFS(supercb[Qtde],supercb[Item],tab_higiene[[#This Row],[Item]],supercb[Bairro],mercado1)</f>
        <v>0</v>
      </c>
      <c r="AL110" s="4">
        <f>SUMIFS(super1[Qtde],super1[Item],tab_higiene[[#This Row],[Item]],super1[Bairro],mercado2)+SUMIFS(supercb[Qtde],supercb[Item],tab_higiene[[#This Row],[Item]],supercb[Bairro],mercado2)</f>
        <v>0</v>
      </c>
      <c r="AM110" s="4">
        <f>SUMIFS(super1[Qtde],super1[Item],tab_higiene[[#This Row],[Item]],super1[Bairro],mercado3)+SUMIFS(supercb[Qtde],supercb[Item],tab_higiene[[#This Row],[Item]],supercb[Bairro],mercado3)</f>
        <v>0</v>
      </c>
      <c r="AN110" s="4">
        <f>SUMIFS(super1[Qtde],super1[Item],tab_higiene[[#This Row],[Item]],super1[Bairro],mercado4)+SUMIFS(supercb[Qtde],supercb[Item],tab_higiene[[#This Row],[Item]],supercb[Bairro],mercado4)</f>
        <v>0</v>
      </c>
      <c r="AO110" s="4">
        <f>SUMIFS(super1[Qtde],super1[Item],tab_higiene[[#This Row],[Item]],super1[Bairro],mercado5)+SUMIFS(supercb[Qtde],supercb[Item],tab_higiene[[#This Row],[Item]],supercb[Bairro],mercado5)</f>
        <v>0</v>
      </c>
      <c r="AP110" s="4">
        <f>SUMIFS(super1[Qtde],super1[Item],tab_higiene[[#This Row],[Item]],super1[Bairro],mercado6)+SUMIFS(supercb[Qtde],supercb[Item],tab_higiene[[#This Row],[Item]],supercb[Bairro],mercado6)</f>
        <v>0</v>
      </c>
      <c r="AQ110" s="4">
        <f>SUMIFS(super1[Qtde],super1[Item],tab_higiene[[#This Row],[Item]],super1[Bairro],mercado7)+SUMIFS(supercb[Qtde],supercb[Item],tab_higiene[[#This Row],[Item]],supercb[Bairro],mercado7)</f>
        <v>0</v>
      </c>
      <c r="AR110" s="4">
        <f>SUMIFS(super1[Qtde],super1[Item],tab_higiene[[#This Row],[Item]],super1[Bairro],mercado8)+SUMIFS(supercb[Qtde],supercb[Item],tab_higiene[[#This Row],[Item]],supercb[Bairro],mercado8)</f>
        <v>0</v>
      </c>
      <c r="AS110" s="4">
        <f>SUMIFS(super1[Qtde],super1[Item],tab_higiene[[#This Row],[Item]],super1[Bairro],mercado9)+SUMIFS(supercb[Qtde],supercb[Item],tab_higiene[[#This Row],[Item]],supercb[Bairro],mercado9)</f>
        <v>0</v>
      </c>
      <c r="AT110" s="4">
        <f>SUMIFS(super1[Qtde],super1[Item],tab_higiene[[#This Row],[Item]],super1[Bairro],mercado10)+SUMIFS(supercb[Qtde],supercb[Item],tab_higiene[[#This Row],[Item]],supercb[Bairro],mercado10)</f>
        <v>0</v>
      </c>
      <c r="AU110" s="4">
        <f>SUMIFS(super1[Qtde],super1[Item],tab_higiene[[#This Row],[Item]],super1[Bairro],mercado11)+SUMIFS(supercb[Qtde],supercb[Item],tab_higiene[[#This Row],[Item]],supercb[Bairro],mercado11)</f>
        <v>0</v>
      </c>
      <c r="AV110" s="4">
        <f>SUMIFS(super1[Qtde],super1[Item],tab_higiene[[#This Row],[Item]],super1[Bairro],mercado12)+SUMIFS(supercb[Qtde],supercb[Item],tab_higiene[[#This Row],[Item]],supercb[Bairro],mercado12)</f>
        <v>0</v>
      </c>
      <c r="AW110" s="4">
        <f>SUMIFS(super1[Qtde],super1[Item],tab_higiene[[#This Row],[Item]],super1[Bairro],mercado13)+SUMIFS(supercb[Qtde],supercb[Item],tab_higiene[[#This Row],[Item]],supercb[Bairro],mercado13)</f>
        <v>0</v>
      </c>
      <c r="AX110" s="4">
        <f>SUMIFS(super1[Qtde],super1[Item],tab_higiene[[#This Row],[Item]],super1[Bairro],mercado14)+SUMIFS(supercb[Qtde],supercb[Item],tab_higiene[[#This Row],[Item]],supercb[Bairro],mercado14)</f>
        <v>0</v>
      </c>
      <c r="AY110" s="4">
        <f>SUMIFS(super1[Qtde],super1[Item],tab_higiene[[#This Row],[Item]],super1[Bairro],mercado15)+SUMIFS(supercb[Qtde],supercb[Item],tab_higiene[[#This Row],[Item]],supercb[Bairro],mercado15)</f>
        <v>0</v>
      </c>
      <c r="AZ110" s="4">
        <f>SUMIFS(super1[Qtde],super1[Item],tab_higiene[[#This Row],[Item]],super1[Bairro],mercado16)+SUMIFS(supercb[Qtde],supercb[Item],tab_higiene[[#This Row],[Item]],supercb[Bairro],mercado16)</f>
        <v>0</v>
      </c>
      <c r="BA110" s="4">
        <f>SUMIFS(super1[Qtde],super1[Item],tab_higiene[[#This Row],[Item]],super1[Bairro],mercado17)+SUMIFS(supercb[Qtde],supercb[Item],tab_higiene[[#This Row],[Item]],supercb[Bairro],mercado17)</f>
        <v>0</v>
      </c>
      <c r="BB110" s="4">
        <f>SUMIFS(super1[Qtde],super1[Item],tab_higiene[[#This Row],[Item]],super1[Bairro],mercado18)+SUMIFS(supercb[Qtde],supercb[Item],tab_higiene[[#This Row],[Item]],supercb[Bairro],mercado18)</f>
        <v>0</v>
      </c>
      <c r="BC110" s="4">
        <f>SUMIFS(super1[Qtde],super1[Item],tab_higiene[[#This Row],[Item]],super1[Bairro],extras)+SUMIFS(supercb[Qtde],supercb[Item],tab_higiene[[#This Row],[Item]],supercb[Bairro],extras)</f>
        <v>0</v>
      </c>
      <c r="BD110" s="4">
        <f t="shared" si="41"/>
        <v>0</v>
      </c>
      <c r="BE110" s="4">
        <f t="shared" si="42"/>
        <v>0</v>
      </c>
      <c r="BF110" s="6">
        <f t="shared" si="43"/>
        <v>0</v>
      </c>
      <c r="BI110" s="1" t="str">
        <f>tab_alimentos[[#This Row],[Item]]</f>
        <v>Biscoito Salgado (90g)</v>
      </c>
      <c r="BJ110" s="1">
        <f t="shared" si="25"/>
        <v>17</v>
      </c>
      <c r="BK110" s="1" t="str">
        <f t="shared" si="26"/>
        <v>Biscoito Salgado</v>
      </c>
      <c r="BL110" s="1">
        <f>tab_alimentos[[#This Row],[kg]]</f>
        <v>0</v>
      </c>
      <c r="BN110" s="1">
        <f t="shared" si="36"/>
        <v>0</v>
      </c>
      <c r="BP110" s="1" t="str">
        <f>tab_higiene[[#This Row],[Item]]</f>
        <v>Fraldas Infantis (30un)</v>
      </c>
      <c r="BQ110" s="1">
        <f t="shared" si="33"/>
        <v>17</v>
      </c>
      <c r="BR110" s="1" t="str">
        <f t="shared" si="34"/>
        <v>Fraldas Infantis</v>
      </c>
      <c r="BS110" s="1">
        <f>higiene[[#This Row],[Quantidade]]</f>
        <v>1</v>
      </c>
      <c r="BT110" s="1">
        <f>tab_higiene[[#This Row],[Qtde (tot)]]</f>
        <v>0</v>
      </c>
      <c r="BU110" s="1">
        <f t="shared" si="37"/>
        <v>0</v>
      </c>
      <c r="BW110" s="1">
        <f t="shared" si="44"/>
        <v>0</v>
      </c>
    </row>
    <row r="111" spans="9:75" x14ac:dyDescent="0.25">
      <c r="I111" s="19" t="str">
        <f>alimentos[[#This Row],[Item]]</f>
        <v>Bisnaguinha (300g)</v>
      </c>
      <c r="J111" s="4">
        <f>IFERROR(alimentos[[#This Row],[kg/embalagem]],0)</f>
        <v>0.3</v>
      </c>
      <c r="K111" s="4">
        <f>IFERROR(alimentos[[#This Row],[Preço]],0)</f>
        <v>5.78</v>
      </c>
      <c r="L111" s="4">
        <f>SUMIFS(super1[Qtde],super1[Item],tab_alimentos[[#This Row],[Item]],super1[Bairro],mercado1)+SUMIFS(supercb[Qtde],supercb[Item],tab_alimentos[[#This Row],[Item]],supercb[Bairro],mercado1)</f>
        <v>0</v>
      </c>
      <c r="M111" s="4">
        <f>SUMIFS(super1[Qtde],super1[Item],tab_alimentos[[#This Row],[Item]],super1[Bairro],mercado2)+SUMIFS(supercb[Qtde],supercb[Item],tab_alimentos[[#This Row],[Item]],supercb[Bairro],mercado2)</f>
        <v>0</v>
      </c>
      <c r="N111" s="4">
        <f>SUMIFS(super1[Qtde],super1[Item],tab_alimentos[[#This Row],[Item]],super1[Bairro],mercado3)+SUMIFS(supercb[Qtde],supercb[Item],tab_alimentos[[#This Row],[Item]],supercb[Bairro],mercado3)</f>
        <v>0</v>
      </c>
      <c r="O111" s="4">
        <f>SUMIFS(super1[Qtde],super1[Item],tab_alimentos[[#This Row],[Item]],super1[Bairro],mercado4)+SUMIFS(supercb[Qtde],supercb[Item],tab_alimentos[[#This Row],[Item]],supercb[Bairro],mercado4)</f>
        <v>0</v>
      </c>
      <c r="P111" s="4">
        <f>SUMIFS(super1[Qtde],super1[Item],tab_alimentos[[#This Row],[Item]],super1[Bairro],mercado5)+SUMIFS(supercb[Qtde],supercb[Item],tab_alimentos[[#This Row],[Item]],supercb[Bairro],mercado5)</f>
        <v>0</v>
      </c>
      <c r="Q111" s="4">
        <f>SUMIFS(super1[Qtde],super1[Item],tab_alimentos[[#This Row],[Item]],super1[Bairro],mercado6)+SUMIFS(supercb[Qtde],supercb[Item],tab_alimentos[[#This Row],[Item]],supercb[Bairro],mercado6)</f>
        <v>0</v>
      </c>
      <c r="R111" s="4">
        <f>SUMIFS(super1[Qtde],super1[Item],tab_alimentos[[#This Row],[Item]],super1[Bairro],mercado7)+SUMIFS(supercb[Qtde],supercb[Item],tab_alimentos[[#This Row],[Item]],supercb[Bairro],mercado7)</f>
        <v>0</v>
      </c>
      <c r="S111" s="4">
        <f>SUMIFS(super1[Qtde],super1[Item],tab_alimentos[[#This Row],[Item]],super1[Bairro],mercado8)+SUMIFS(supercb[Qtde],supercb[Item],tab_alimentos[[#This Row],[Item]],supercb[Bairro],mercado8)</f>
        <v>0</v>
      </c>
      <c r="T111" s="4">
        <f>SUMIFS(super1[Qtde],super1[Item],tab_alimentos[[#This Row],[Item]],super1[Bairro],mercado9)+SUMIFS(supercb[Qtde],supercb[Item],tab_alimentos[[#This Row],[Item]],supercb[Bairro],mercado9)</f>
        <v>0</v>
      </c>
      <c r="U111" s="4">
        <f>SUMIFS(super1[Qtde],super1[Item],tab_alimentos[[#This Row],[Item]],super1[Bairro],mercado10)+SUMIFS(supercb[Qtde],supercb[Item],tab_alimentos[[#This Row],[Item]],supercb[Bairro],mercado10)</f>
        <v>0</v>
      </c>
      <c r="V111" s="4">
        <f>SUMIFS(super1[Qtde],super1[Item],tab_alimentos[[#This Row],[Item]],super1[Bairro],mercado11)+SUMIFS(supercb[Qtde],supercb[Item],tab_alimentos[[#This Row],[Item]],supercb[Bairro],mercado11)</f>
        <v>0</v>
      </c>
      <c r="W111" s="4">
        <f>SUMIFS(super1[Qtde],super1[Item],tab_alimentos[[#This Row],[Item]],super1[Bairro],mercado12)+SUMIFS(supercb[Qtde],supercb[Item],tab_alimentos[[#This Row],[Item]],supercb[Bairro],mercado12)</f>
        <v>0</v>
      </c>
      <c r="X111" s="4">
        <f>SUMIFS(super1[Qtde],super1[Item],tab_alimentos[[#This Row],[Item]],super1[Bairro],mercado13)+SUMIFS(supercb[Qtde],supercb[Item],tab_alimentos[[#This Row],[Item]],supercb[Bairro],mercado13)</f>
        <v>0</v>
      </c>
      <c r="Y111" s="4">
        <f>SUMIFS(super1[Qtde],super1[Item],tab_alimentos[[#This Row],[Item]],super1[Bairro],mercado14)+SUMIFS(supercb[Qtde],supercb[Item],tab_alimentos[[#This Row],[Item]],supercb[Bairro],mercado14)</f>
        <v>0</v>
      </c>
      <c r="Z111" s="4">
        <f>SUMIFS(super1[Qtde],super1[Item],tab_alimentos[[#This Row],[Item]],super1[Bairro],mercado15)+SUMIFS(supercb[Qtde],supercb[Item],tab_alimentos[[#This Row],[Item]],supercb[Bairro],mercado15)</f>
        <v>0</v>
      </c>
      <c r="AA111" s="4">
        <f>SUMIFS(super1[Qtde],super1[Item],tab_alimentos[[#This Row],[Item]],super1[Bairro],mercado16)+SUMIFS(supercb[Qtde],supercb[Item],tab_alimentos[[#This Row],[Item]],supercb[Bairro],mercado16)</f>
        <v>0</v>
      </c>
      <c r="AB111" s="4">
        <f>SUMIFS(super1[Qtde],super1[Item],tab_alimentos[[#This Row],[Item]],super1[Bairro],mercado17)+SUMIFS(supercb[Qtde],supercb[Item],tab_alimentos[[#This Row],[Item]],supercb[Bairro],mercado17)</f>
        <v>0</v>
      </c>
      <c r="AC111" s="4">
        <f>SUMIFS(super1[Qtde],super1[Item],tab_alimentos[[#This Row],[Item]],super1[Bairro],mercado18)+SUMIFS(supercb[Qtde],supercb[Item],tab_alimentos[[#This Row],[Item]],supercb[Bairro],mercado18)</f>
        <v>0</v>
      </c>
      <c r="AD111" s="4">
        <f>SUMIFS(super1[Qtde],super1[Item],tab_alimentos[[#This Row],[Item]],super1[Bairro],extras)+SUMIFS(supercb[Qtde],supercb[Item],tab_alimentos[[#This Row],[Item]],supercb[Bairro],extras)</f>
        <v>0</v>
      </c>
      <c r="AE111" s="4">
        <f t="shared" si="38"/>
        <v>0</v>
      </c>
      <c r="AF111" s="4">
        <f t="shared" si="39"/>
        <v>0</v>
      </c>
      <c r="AG111" s="6">
        <f t="shared" si="40"/>
        <v>0</v>
      </c>
      <c r="AH111" s="19" t="str">
        <f>higiene[[#This Row],[Item]]</f>
        <v>Fraldas Infantis (32un)</v>
      </c>
      <c r="AI111" s="4">
        <f>IFERROR(higiene[[#This Row],[Kg equivalente]],0)</f>
        <v>0</v>
      </c>
      <c r="AJ111" s="4">
        <f>IFERROR(higiene[[#This Row],[Preço por produto]],0)</f>
        <v>31.9</v>
      </c>
      <c r="AK111" s="4">
        <f>SUMIFS(super1[Qtde],super1[Item],tab_higiene[[#This Row],[Item]],super1[Bairro],mercado1)+SUMIFS(supercb[Qtde],supercb[Item],tab_higiene[[#This Row],[Item]],supercb[Bairro],mercado1)</f>
        <v>0</v>
      </c>
      <c r="AL111" s="4">
        <f>SUMIFS(super1[Qtde],super1[Item],tab_higiene[[#This Row],[Item]],super1[Bairro],mercado2)+SUMIFS(supercb[Qtde],supercb[Item],tab_higiene[[#This Row],[Item]],supercb[Bairro],mercado2)</f>
        <v>0</v>
      </c>
      <c r="AM111" s="4">
        <f>SUMIFS(super1[Qtde],super1[Item],tab_higiene[[#This Row],[Item]],super1[Bairro],mercado3)+SUMIFS(supercb[Qtde],supercb[Item],tab_higiene[[#This Row],[Item]],supercb[Bairro],mercado3)</f>
        <v>0</v>
      </c>
      <c r="AN111" s="4">
        <f>SUMIFS(super1[Qtde],super1[Item],tab_higiene[[#This Row],[Item]],super1[Bairro],mercado4)+SUMIFS(supercb[Qtde],supercb[Item],tab_higiene[[#This Row],[Item]],supercb[Bairro],mercado4)</f>
        <v>0</v>
      </c>
      <c r="AO111" s="4">
        <f>SUMIFS(super1[Qtde],super1[Item],tab_higiene[[#This Row],[Item]],super1[Bairro],mercado5)+SUMIFS(supercb[Qtde],supercb[Item],tab_higiene[[#This Row],[Item]],supercb[Bairro],mercado5)</f>
        <v>0</v>
      </c>
      <c r="AP111" s="4">
        <f>SUMIFS(super1[Qtde],super1[Item],tab_higiene[[#This Row],[Item]],super1[Bairro],mercado6)+SUMIFS(supercb[Qtde],supercb[Item],tab_higiene[[#This Row],[Item]],supercb[Bairro],mercado6)</f>
        <v>0</v>
      </c>
      <c r="AQ111" s="4">
        <f>SUMIFS(super1[Qtde],super1[Item],tab_higiene[[#This Row],[Item]],super1[Bairro],mercado7)+SUMIFS(supercb[Qtde],supercb[Item],tab_higiene[[#This Row],[Item]],supercb[Bairro],mercado7)</f>
        <v>0</v>
      </c>
      <c r="AR111" s="4">
        <f>SUMIFS(super1[Qtde],super1[Item],tab_higiene[[#This Row],[Item]],super1[Bairro],mercado8)+SUMIFS(supercb[Qtde],supercb[Item],tab_higiene[[#This Row],[Item]],supercb[Bairro],mercado8)</f>
        <v>0</v>
      </c>
      <c r="AS111" s="4">
        <f>SUMIFS(super1[Qtde],super1[Item],tab_higiene[[#This Row],[Item]],super1[Bairro],mercado9)+SUMIFS(supercb[Qtde],supercb[Item],tab_higiene[[#This Row],[Item]],supercb[Bairro],mercado9)</f>
        <v>0</v>
      </c>
      <c r="AT111" s="4">
        <f>SUMIFS(super1[Qtde],super1[Item],tab_higiene[[#This Row],[Item]],super1[Bairro],mercado10)+SUMIFS(supercb[Qtde],supercb[Item],tab_higiene[[#This Row],[Item]],supercb[Bairro],mercado10)</f>
        <v>0</v>
      </c>
      <c r="AU111" s="4">
        <f>SUMIFS(super1[Qtde],super1[Item],tab_higiene[[#This Row],[Item]],super1[Bairro],mercado11)+SUMIFS(supercb[Qtde],supercb[Item],tab_higiene[[#This Row],[Item]],supercb[Bairro],mercado11)</f>
        <v>0</v>
      </c>
      <c r="AV111" s="4">
        <f>SUMIFS(super1[Qtde],super1[Item],tab_higiene[[#This Row],[Item]],super1[Bairro],mercado12)+SUMIFS(supercb[Qtde],supercb[Item],tab_higiene[[#This Row],[Item]],supercb[Bairro],mercado12)</f>
        <v>0</v>
      </c>
      <c r="AW111" s="4">
        <f>SUMIFS(super1[Qtde],super1[Item],tab_higiene[[#This Row],[Item]],super1[Bairro],mercado13)+SUMIFS(supercb[Qtde],supercb[Item],tab_higiene[[#This Row],[Item]],supercb[Bairro],mercado13)</f>
        <v>0</v>
      </c>
      <c r="AX111" s="4">
        <f>SUMIFS(super1[Qtde],super1[Item],tab_higiene[[#This Row],[Item]],super1[Bairro],mercado14)+SUMIFS(supercb[Qtde],supercb[Item],tab_higiene[[#This Row],[Item]],supercb[Bairro],mercado14)</f>
        <v>0</v>
      </c>
      <c r="AY111" s="4">
        <f>SUMIFS(super1[Qtde],super1[Item],tab_higiene[[#This Row],[Item]],super1[Bairro],mercado15)+SUMIFS(supercb[Qtde],supercb[Item],tab_higiene[[#This Row],[Item]],supercb[Bairro],mercado15)</f>
        <v>0</v>
      </c>
      <c r="AZ111" s="4">
        <f>SUMIFS(super1[Qtde],super1[Item],tab_higiene[[#This Row],[Item]],super1[Bairro],mercado16)+SUMIFS(supercb[Qtde],supercb[Item],tab_higiene[[#This Row],[Item]],supercb[Bairro],mercado16)</f>
        <v>0</v>
      </c>
      <c r="BA111" s="4">
        <f>SUMIFS(super1[Qtde],super1[Item],tab_higiene[[#This Row],[Item]],super1[Bairro],mercado17)+SUMIFS(supercb[Qtde],supercb[Item],tab_higiene[[#This Row],[Item]],supercb[Bairro],mercado17)</f>
        <v>0</v>
      </c>
      <c r="BB111" s="4">
        <f>SUMIFS(super1[Qtde],super1[Item],tab_higiene[[#This Row],[Item]],super1[Bairro],mercado18)+SUMIFS(supercb[Qtde],supercb[Item],tab_higiene[[#This Row],[Item]],supercb[Bairro],mercado18)</f>
        <v>0</v>
      </c>
      <c r="BC111" s="4">
        <f>SUMIFS(super1[Qtde],super1[Item],tab_higiene[[#This Row],[Item]],super1[Bairro],extras)+SUMIFS(supercb[Qtde],supercb[Item],tab_higiene[[#This Row],[Item]],supercb[Bairro],extras)</f>
        <v>0</v>
      </c>
      <c r="BD111" s="4">
        <f t="shared" si="41"/>
        <v>0</v>
      </c>
      <c r="BE111" s="4">
        <f t="shared" si="42"/>
        <v>0</v>
      </c>
      <c r="BF111" s="6">
        <f t="shared" si="43"/>
        <v>0</v>
      </c>
      <c r="BI111" s="1" t="str">
        <f>tab_alimentos[[#This Row],[Item]]</f>
        <v>Bisnaguinha (300g)</v>
      </c>
      <c r="BJ111" s="1">
        <f t="shared" si="25"/>
        <v>12</v>
      </c>
      <c r="BK111" s="1" t="str">
        <f t="shared" si="26"/>
        <v>Bisnaguinha</v>
      </c>
      <c r="BL111" s="1">
        <f>tab_alimentos[[#This Row],[kg]]</f>
        <v>0</v>
      </c>
      <c r="BN111" s="1">
        <f t="shared" si="36"/>
        <v>0</v>
      </c>
      <c r="BP111" s="1" t="str">
        <f>tab_higiene[[#This Row],[Item]]</f>
        <v>Fraldas Infantis (32un)</v>
      </c>
      <c r="BQ111" s="1">
        <f t="shared" si="33"/>
        <v>17</v>
      </c>
      <c r="BR111" s="1" t="str">
        <f t="shared" si="34"/>
        <v>Fraldas Infantis</v>
      </c>
      <c r="BS111" s="1">
        <f>higiene[[#This Row],[Quantidade]]</f>
        <v>0</v>
      </c>
      <c r="BT111" s="1">
        <f>tab_higiene[[#This Row],[Qtde (tot)]]</f>
        <v>0</v>
      </c>
      <c r="BU111" s="1">
        <f t="shared" si="37"/>
        <v>0</v>
      </c>
      <c r="BW111" s="1">
        <f t="shared" si="44"/>
        <v>0</v>
      </c>
    </row>
    <row r="112" spans="9:75" x14ac:dyDescent="0.25">
      <c r="I112" s="19" t="str">
        <f>alimentos[[#This Row],[Item]]</f>
        <v>Bolacha Doce Recheada (122g)</v>
      </c>
      <c r="J112" s="4">
        <f>IFERROR(alimentos[[#This Row],[kg/embalagem]],0)</f>
        <v>0.122</v>
      </c>
      <c r="K112" s="4">
        <f>IFERROR(alimentos[[#This Row],[Preço]],0)</f>
        <v>3.68</v>
      </c>
      <c r="L112" s="4">
        <f>SUMIFS(super1[Qtde],super1[Item],tab_alimentos[[#This Row],[Item]],super1[Bairro],mercado1)+SUMIFS(supercb[Qtde],supercb[Item],tab_alimentos[[#This Row],[Item]],supercb[Bairro],mercado1)</f>
        <v>0</v>
      </c>
      <c r="M112" s="4">
        <f>SUMIFS(super1[Qtde],super1[Item],tab_alimentos[[#This Row],[Item]],super1[Bairro],mercado2)+SUMIFS(supercb[Qtde],supercb[Item],tab_alimentos[[#This Row],[Item]],supercb[Bairro],mercado2)</f>
        <v>0</v>
      </c>
      <c r="N112" s="4">
        <f>SUMIFS(super1[Qtde],super1[Item],tab_alimentos[[#This Row],[Item]],super1[Bairro],mercado3)+SUMIFS(supercb[Qtde],supercb[Item],tab_alimentos[[#This Row],[Item]],supercb[Bairro],mercado3)</f>
        <v>0</v>
      </c>
      <c r="O112" s="4">
        <f>SUMIFS(super1[Qtde],super1[Item],tab_alimentos[[#This Row],[Item]],super1[Bairro],mercado4)+SUMIFS(supercb[Qtde],supercb[Item],tab_alimentos[[#This Row],[Item]],supercb[Bairro],mercado4)</f>
        <v>0</v>
      </c>
      <c r="P112" s="4">
        <f>SUMIFS(super1[Qtde],super1[Item],tab_alimentos[[#This Row],[Item]],super1[Bairro],mercado5)+SUMIFS(supercb[Qtde],supercb[Item],tab_alimentos[[#This Row],[Item]],supercb[Bairro],mercado5)</f>
        <v>0</v>
      </c>
      <c r="Q112" s="4">
        <f>SUMIFS(super1[Qtde],super1[Item],tab_alimentos[[#This Row],[Item]],super1[Bairro],mercado6)+SUMIFS(supercb[Qtde],supercb[Item],tab_alimentos[[#This Row],[Item]],supercb[Bairro],mercado6)</f>
        <v>0</v>
      </c>
      <c r="R112" s="4">
        <f>SUMIFS(super1[Qtde],super1[Item],tab_alimentos[[#This Row],[Item]],super1[Bairro],mercado7)+SUMIFS(supercb[Qtde],supercb[Item],tab_alimentos[[#This Row],[Item]],supercb[Bairro],mercado7)</f>
        <v>0</v>
      </c>
      <c r="S112" s="4">
        <f>SUMIFS(super1[Qtde],super1[Item],tab_alimentos[[#This Row],[Item]],super1[Bairro],mercado8)+SUMIFS(supercb[Qtde],supercb[Item],tab_alimentos[[#This Row],[Item]],supercb[Bairro],mercado8)</f>
        <v>0</v>
      </c>
      <c r="T112" s="4">
        <f>SUMIFS(super1[Qtde],super1[Item],tab_alimentos[[#This Row],[Item]],super1[Bairro],mercado9)+SUMIFS(supercb[Qtde],supercb[Item],tab_alimentos[[#This Row],[Item]],supercb[Bairro],mercado9)</f>
        <v>0</v>
      </c>
      <c r="U112" s="4">
        <f>SUMIFS(super1[Qtde],super1[Item],tab_alimentos[[#This Row],[Item]],super1[Bairro],mercado10)+SUMIFS(supercb[Qtde],supercb[Item],tab_alimentos[[#This Row],[Item]],supercb[Bairro],mercado10)</f>
        <v>0</v>
      </c>
      <c r="V112" s="4">
        <f>SUMIFS(super1[Qtde],super1[Item],tab_alimentos[[#This Row],[Item]],super1[Bairro],mercado11)+SUMIFS(supercb[Qtde],supercb[Item],tab_alimentos[[#This Row],[Item]],supercb[Bairro],mercado11)</f>
        <v>0</v>
      </c>
      <c r="W112" s="4">
        <f>SUMIFS(super1[Qtde],super1[Item],tab_alimentos[[#This Row],[Item]],super1[Bairro],mercado12)+SUMIFS(supercb[Qtde],supercb[Item],tab_alimentos[[#This Row],[Item]],supercb[Bairro],mercado12)</f>
        <v>0</v>
      </c>
      <c r="X112" s="4">
        <f>SUMIFS(super1[Qtde],super1[Item],tab_alimentos[[#This Row],[Item]],super1[Bairro],mercado13)+SUMIFS(supercb[Qtde],supercb[Item],tab_alimentos[[#This Row],[Item]],supercb[Bairro],mercado13)</f>
        <v>0</v>
      </c>
      <c r="Y112" s="4">
        <f>SUMIFS(super1[Qtde],super1[Item],tab_alimentos[[#This Row],[Item]],super1[Bairro],mercado14)+SUMIFS(supercb[Qtde],supercb[Item],tab_alimentos[[#This Row],[Item]],supercb[Bairro],mercado14)</f>
        <v>0</v>
      </c>
      <c r="Z112" s="4">
        <f>SUMIFS(super1[Qtde],super1[Item],tab_alimentos[[#This Row],[Item]],super1[Bairro],mercado15)+SUMIFS(supercb[Qtde],supercb[Item],tab_alimentos[[#This Row],[Item]],supercb[Bairro],mercado15)</f>
        <v>0</v>
      </c>
      <c r="AA112" s="4">
        <f>SUMIFS(super1[Qtde],super1[Item],tab_alimentos[[#This Row],[Item]],super1[Bairro],mercado16)+SUMIFS(supercb[Qtde],supercb[Item],tab_alimentos[[#This Row],[Item]],supercb[Bairro],mercado16)</f>
        <v>0</v>
      </c>
      <c r="AB112" s="4">
        <f>SUMIFS(super1[Qtde],super1[Item],tab_alimentos[[#This Row],[Item]],super1[Bairro],mercado17)+SUMIFS(supercb[Qtde],supercb[Item],tab_alimentos[[#This Row],[Item]],supercb[Bairro],mercado17)</f>
        <v>0</v>
      </c>
      <c r="AC112" s="4">
        <f>SUMIFS(super1[Qtde],super1[Item],tab_alimentos[[#This Row],[Item]],super1[Bairro],mercado18)+SUMIFS(supercb[Qtde],supercb[Item],tab_alimentos[[#This Row],[Item]],supercb[Bairro],mercado18)</f>
        <v>0</v>
      </c>
      <c r="AD112" s="4">
        <f>SUMIFS(super1[Qtde],super1[Item],tab_alimentos[[#This Row],[Item]],super1[Bairro],extras)+SUMIFS(supercb[Qtde],supercb[Item],tab_alimentos[[#This Row],[Item]],supercb[Bairro],extras)</f>
        <v>0</v>
      </c>
      <c r="AE112" s="4">
        <f t="shared" si="38"/>
        <v>0</v>
      </c>
      <c r="AF112" s="4">
        <f t="shared" si="39"/>
        <v>0</v>
      </c>
      <c r="AG112" s="6">
        <f t="shared" si="40"/>
        <v>0</v>
      </c>
      <c r="AH112" s="19" t="str">
        <f>higiene[[#This Row],[Item]]</f>
        <v>Fraldas Infantis (34un)</v>
      </c>
      <c r="AI112" s="4">
        <f>IFERROR(higiene[[#This Row],[Kg equivalente]],0)</f>
        <v>0</v>
      </c>
      <c r="AJ112" s="4">
        <f>IFERROR(higiene[[#This Row],[Preço por produto]],0)</f>
        <v>29.9</v>
      </c>
      <c r="AK112" s="4">
        <f>SUMIFS(super1[Qtde],super1[Item],tab_higiene[[#This Row],[Item]],super1[Bairro],mercado1)+SUMIFS(supercb[Qtde],supercb[Item],tab_higiene[[#This Row],[Item]],supercb[Bairro],mercado1)</f>
        <v>0</v>
      </c>
      <c r="AL112" s="4">
        <f>SUMIFS(super1[Qtde],super1[Item],tab_higiene[[#This Row],[Item]],super1[Bairro],mercado2)+SUMIFS(supercb[Qtde],supercb[Item],tab_higiene[[#This Row],[Item]],supercb[Bairro],mercado2)</f>
        <v>0</v>
      </c>
      <c r="AM112" s="4">
        <f>SUMIFS(super1[Qtde],super1[Item],tab_higiene[[#This Row],[Item]],super1[Bairro],mercado3)+SUMIFS(supercb[Qtde],supercb[Item],tab_higiene[[#This Row],[Item]],supercb[Bairro],mercado3)</f>
        <v>0</v>
      </c>
      <c r="AN112" s="4">
        <f>SUMIFS(super1[Qtde],super1[Item],tab_higiene[[#This Row],[Item]],super1[Bairro],mercado4)+SUMIFS(supercb[Qtde],supercb[Item],tab_higiene[[#This Row],[Item]],supercb[Bairro],mercado4)</f>
        <v>0</v>
      </c>
      <c r="AO112" s="4">
        <f>SUMIFS(super1[Qtde],super1[Item],tab_higiene[[#This Row],[Item]],super1[Bairro],mercado5)+SUMIFS(supercb[Qtde],supercb[Item],tab_higiene[[#This Row],[Item]],supercb[Bairro],mercado5)</f>
        <v>0</v>
      </c>
      <c r="AP112" s="4">
        <f>SUMIFS(super1[Qtde],super1[Item],tab_higiene[[#This Row],[Item]],super1[Bairro],mercado6)+SUMIFS(supercb[Qtde],supercb[Item],tab_higiene[[#This Row],[Item]],supercb[Bairro],mercado6)</f>
        <v>0</v>
      </c>
      <c r="AQ112" s="4">
        <f>SUMIFS(super1[Qtde],super1[Item],tab_higiene[[#This Row],[Item]],super1[Bairro],mercado7)+SUMIFS(supercb[Qtde],supercb[Item],tab_higiene[[#This Row],[Item]],supercb[Bairro],mercado7)</f>
        <v>0</v>
      </c>
      <c r="AR112" s="4">
        <f>SUMIFS(super1[Qtde],super1[Item],tab_higiene[[#This Row],[Item]],super1[Bairro],mercado8)+SUMIFS(supercb[Qtde],supercb[Item],tab_higiene[[#This Row],[Item]],supercb[Bairro],mercado8)</f>
        <v>0</v>
      </c>
      <c r="AS112" s="4">
        <f>SUMIFS(super1[Qtde],super1[Item],tab_higiene[[#This Row],[Item]],super1[Bairro],mercado9)+SUMIFS(supercb[Qtde],supercb[Item],tab_higiene[[#This Row],[Item]],supercb[Bairro],mercado9)</f>
        <v>0</v>
      </c>
      <c r="AT112" s="4">
        <f>SUMIFS(super1[Qtde],super1[Item],tab_higiene[[#This Row],[Item]],super1[Bairro],mercado10)+SUMIFS(supercb[Qtde],supercb[Item],tab_higiene[[#This Row],[Item]],supercb[Bairro],mercado10)</f>
        <v>0</v>
      </c>
      <c r="AU112" s="4">
        <f>SUMIFS(super1[Qtde],super1[Item],tab_higiene[[#This Row],[Item]],super1[Bairro],mercado11)+SUMIFS(supercb[Qtde],supercb[Item],tab_higiene[[#This Row],[Item]],supercb[Bairro],mercado11)</f>
        <v>0</v>
      </c>
      <c r="AV112" s="4">
        <f>SUMIFS(super1[Qtde],super1[Item],tab_higiene[[#This Row],[Item]],super1[Bairro],mercado12)+SUMIFS(supercb[Qtde],supercb[Item],tab_higiene[[#This Row],[Item]],supercb[Bairro],mercado12)</f>
        <v>0</v>
      </c>
      <c r="AW112" s="4">
        <f>SUMIFS(super1[Qtde],super1[Item],tab_higiene[[#This Row],[Item]],super1[Bairro],mercado13)+SUMIFS(supercb[Qtde],supercb[Item],tab_higiene[[#This Row],[Item]],supercb[Bairro],mercado13)</f>
        <v>0</v>
      </c>
      <c r="AX112" s="4">
        <f>SUMIFS(super1[Qtde],super1[Item],tab_higiene[[#This Row],[Item]],super1[Bairro],mercado14)+SUMIFS(supercb[Qtde],supercb[Item],tab_higiene[[#This Row],[Item]],supercb[Bairro],mercado14)</f>
        <v>0</v>
      </c>
      <c r="AY112" s="4">
        <f>SUMIFS(super1[Qtde],super1[Item],tab_higiene[[#This Row],[Item]],super1[Bairro],mercado15)+SUMIFS(supercb[Qtde],supercb[Item],tab_higiene[[#This Row],[Item]],supercb[Bairro],mercado15)</f>
        <v>0</v>
      </c>
      <c r="AZ112" s="4">
        <f>SUMIFS(super1[Qtde],super1[Item],tab_higiene[[#This Row],[Item]],super1[Bairro],mercado16)+SUMIFS(supercb[Qtde],supercb[Item],tab_higiene[[#This Row],[Item]],supercb[Bairro],mercado16)</f>
        <v>0</v>
      </c>
      <c r="BA112" s="4">
        <f>SUMIFS(super1[Qtde],super1[Item],tab_higiene[[#This Row],[Item]],super1[Bairro],mercado17)+SUMIFS(supercb[Qtde],supercb[Item],tab_higiene[[#This Row],[Item]],supercb[Bairro],mercado17)</f>
        <v>0</v>
      </c>
      <c r="BB112" s="4">
        <f>SUMIFS(super1[Qtde],super1[Item],tab_higiene[[#This Row],[Item]],super1[Bairro],mercado18)+SUMIFS(supercb[Qtde],supercb[Item],tab_higiene[[#This Row],[Item]],supercb[Bairro],mercado18)</f>
        <v>0</v>
      </c>
      <c r="BC112" s="4">
        <f>SUMIFS(super1[Qtde],super1[Item],tab_higiene[[#This Row],[Item]],super1[Bairro],extras)+SUMIFS(supercb[Qtde],supercb[Item],tab_higiene[[#This Row],[Item]],supercb[Bairro],extras)</f>
        <v>0</v>
      </c>
      <c r="BD112" s="4">
        <f t="shared" si="41"/>
        <v>0</v>
      </c>
      <c r="BE112" s="4">
        <f t="shared" si="42"/>
        <v>0</v>
      </c>
      <c r="BF112" s="6">
        <f t="shared" si="43"/>
        <v>0</v>
      </c>
      <c r="BI112" s="1" t="str">
        <f>tab_alimentos[[#This Row],[Item]]</f>
        <v>Bolacha Doce Recheada (122g)</v>
      </c>
      <c r="BJ112" s="1">
        <f t="shared" si="25"/>
        <v>22</v>
      </c>
      <c r="BK112" s="1" t="str">
        <f t="shared" si="26"/>
        <v>Bolacha Doce Recheada</v>
      </c>
      <c r="BL112" s="1">
        <f>tab_alimentos[[#This Row],[kg]]</f>
        <v>0</v>
      </c>
      <c r="BN112" s="1">
        <f t="shared" si="36"/>
        <v>0</v>
      </c>
      <c r="BP112" s="1" t="str">
        <f>tab_higiene[[#This Row],[Item]]</f>
        <v>Fraldas Infantis (34un)</v>
      </c>
      <c r="BQ112" s="1">
        <f t="shared" si="33"/>
        <v>17</v>
      </c>
      <c r="BR112" s="1" t="str">
        <f t="shared" si="34"/>
        <v>Fraldas Infantis</v>
      </c>
      <c r="BS112" s="1">
        <f>higiene[[#This Row],[Quantidade]]</f>
        <v>1</v>
      </c>
      <c r="BT112" s="1">
        <f>tab_higiene[[#This Row],[Qtde (tot)]]</f>
        <v>0</v>
      </c>
      <c r="BU112" s="1">
        <f t="shared" si="37"/>
        <v>0</v>
      </c>
      <c r="BW112" s="1">
        <f t="shared" si="44"/>
        <v>0</v>
      </c>
    </row>
    <row r="113" spans="9:75" x14ac:dyDescent="0.25">
      <c r="I113" s="19" t="str">
        <f>alimentos[[#This Row],[Item]]</f>
        <v>Bolacha Doce Recheio (100g)</v>
      </c>
      <c r="J113" s="4">
        <f>IFERROR(alimentos[[#This Row],[kg/embalagem]],0)</f>
        <v>0.1</v>
      </c>
      <c r="K113" s="4">
        <f>IFERROR(alimentos[[#This Row],[Preço]],0)</f>
        <v>1.74</v>
      </c>
      <c r="L113" s="4">
        <f>SUMIFS(super1[Qtde],super1[Item],tab_alimentos[[#This Row],[Item]],super1[Bairro],mercado1)+SUMIFS(supercb[Qtde],supercb[Item],tab_alimentos[[#This Row],[Item]],supercb[Bairro],mercado1)</f>
        <v>0</v>
      </c>
      <c r="M113" s="4">
        <f>SUMIFS(super1[Qtde],super1[Item],tab_alimentos[[#This Row],[Item]],super1[Bairro],mercado2)+SUMIFS(supercb[Qtde],supercb[Item],tab_alimentos[[#This Row],[Item]],supercb[Bairro],mercado2)</f>
        <v>0</v>
      </c>
      <c r="N113" s="4">
        <f>SUMIFS(super1[Qtde],super1[Item],tab_alimentos[[#This Row],[Item]],super1[Bairro],mercado3)+SUMIFS(supercb[Qtde],supercb[Item],tab_alimentos[[#This Row],[Item]],supercb[Bairro],mercado3)</f>
        <v>0</v>
      </c>
      <c r="O113" s="4">
        <f>SUMIFS(super1[Qtde],super1[Item],tab_alimentos[[#This Row],[Item]],super1[Bairro],mercado4)+SUMIFS(supercb[Qtde],supercb[Item],tab_alimentos[[#This Row],[Item]],supercb[Bairro],mercado4)</f>
        <v>0</v>
      </c>
      <c r="P113" s="4">
        <f>SUMIFS(super1[Qtde],super1[Item],tab_alimentos[[#This Row],[Item]],super1[Bairro],mercado5)+SUMIFS(supercb[Qtde],supercb[Item],tab_alimentos[[#This Row],[Item]],supercb[Bairro],mercado5)</f>
        <v>0</v>
      </c>
      <c r="Q113" s="4">
        <f>SUMIFS(super1[Qtde],super1[Item],tab_alimentos[[#This Row],[Item]],super1[Bairro],mercado6)+SUMIFS(supercb[Qtde],supercb[Item],tab_alimentos[[#This Row],[Item]],supercb[Bairro],mercado6)</f>
        <v>0</v>
      </c>
      <c r="R113" s="4">
        <f>SUMIFS(super1[Qtde],super1[Item],tab_alimentos[[#This Row],[Item]],super1[Bairro],mercado7)+SUMIFS(supercb[Qtde],supercb[Item],tab_alimentos[[#This Row],[Item]],supercb[Bairro],mercado7)</f>
        <v>0</v>
      </c>
      <c r="S113" s="4">
        <f>SUMIFS(super1[Qtde],super1[Item],tab_alimentos[[#This Row],[Item]],super1[Bairro],mercado8)+SUMIFS(supercb[Qtde],supercb[Item],tab_alimentos[[#This Row],[Item]],supercb[Bairro],mercado8)</f>
        <v>0</v>
      </c>
      <c r="T113" s="4">
        <f>SUMIFS(super1[Qtde],super1[Item],tab_alimentos[[#This Row],[Item]],super1[Bairro],mercado9)+SUMIFS(supercb[Qtde],supercb[Item],tab_alimentos[[#This Row],[Item]],supercb[Bairro],mercado9)</f>
        <v>0</v>
      </c>
      <c r="U113" s="4">
        <f>SUMIFS(super1[Qtde],super1[Item],tab_alimentos[[#This Row],[Item]],super1[Bairro],mercado10)+SUMIFS(supercb[Qtde],supercb[Item],tab_alimentos[[#This Row],[Item]],supercb[Bairro],mercado10)</f>
        <v>0</v>
      </c>
      <c r="V113" s="4">
        <f>SUMIFS(super1[Qtde],super1[Item],tab_alimentos[[#This Row],[Item]],super1[Bairro],mercado11)+SUMIFS(supercb[Qtde],supercb[Item],tab_alimentos[[#This Row],[Item]],supercb[Bairro],mercado11)</f>
        <v>0</v>
      </c>
      <c r="W113" s="4">
        <f>SUMIFS(super1[Qtde],super1[Item],tab_alimentos[[#This Row],[Item]],super1[Bairro],mercado12)+SUMIFS(supercb[Qtde],supercb[Item],tab_alimentos[[#This Row],[Item]],supercb[Bairro],mercado12)</f>
        <v>0</v>
      </c>
      <c r="X113" s="4">
        <f>SUMIFS(super1[Qtde],super1[Item],tab_alimentos[[#This Row],[Item]],super1[Bairro],mercado13)+SUMIFS(supercb[Qtde],supercb[Item],tab_alimentos[[#This Row],[Item]],supercb[Bairro],mercado13)</f>
        <v>0</v>
      </c>
      <c r="Y113" s="4">
        <f>SUMIFS(super1[Qtde],super1[Item],tab_alimentos[[#This Row],[Item]],super1[Bairro],mercado14)+SUMIFS(supercb[Qtde],supercb[Item],tab_alimentos[[#This Row],[Item]],supercb[Bairro],mercado14)</f>
        <v>0</v>
      </c>
      <c r="Z113" s="4">
        <f>SUMIFS(super1[Qtde],super1[Item],tab_alimentos[[#This Row],[Item]],super1[Bairro],mercado15)+SUMIFS(supercb[Qtde],supercb[Item],tab_alimentos[[#This Row],[Item]],supercb[Bairro],mercado15)</f>
        <v>0</v>
      </c>
      <c r="AA113" s="4">
        <f>SUMIFS(super1[Qtde],super1[Item],tab_alimentos[[#This Row],[Item]],super1[Bairro],mercado16)+SUMIFS(supercb[Qtde],supercb[Item],tab_alimentos[[#This Row],[Item]],supercb[Bairro],mercado16)</f>
        <v>0</v>
      </c>
      <c r="AB113" s="4">
        <f>SUMIFS(super1[Qtde],super1[Item],tab_alimentos[[#This Row],[Item]],super1[Bairro],mercado17)+SUMIFS(supercb[Qtde],supercb[Item],tab_alimentos[[#This Row],[Item]],supercb[Bairro],mercado17)</f>
        <v>0</v>
      </c>
      <c r="AC113" s="4">
        <f>SUMIFS(super1[Qtde],super1[Item],tab_alimentos[[#This Row],[Item]],super1[Bairro],mercado18)+SUMIFS(supercb[Qtde],supercb[Item],tab_alimentos[[#This Row],[Item]],supercb[Bairro],mercado18)</f>
        <v>0</v>
      </c>
      <c r="AD113" s="4">
        <f>SUMIFS(super1[Qtde],super1[Item],tab_alimentos[[#This Row],[Item]],super1[Bairro],extras)+SUMIFS(supercb[Qtde],supercb[Item],tab_alimentos[[#This Row],[Item]],supercb[Bairro],extras)</f>
        <v>0</v>
      </c>
      <c r="AE113" s="4">
        <f t="shared" si="38"/>
        <v>0</v>
      </c>
      <c r="AF113" s="4">
        <f t="shared" si="39"/>
        <v>0</v>
      </c>
      <c r="AG113" s="6">
        <f t="shared" si="40"/>
        <v>0</v>
      </c>
      <c r="AH113" s="19" t="str">
        <f>higiene[[#This Row],[Item]]</f>
        <v>Fraldas Infantis (36un)</v>
      </c>
      <c r="AI113" s="4">
        <f>IFERROR(higiene[[#This Row],[Kg equivalente]],0)</f>
        <v>0</v>
      </c>
      <c r="AJ113" s="4">
        <f>IFERROR(higiene[[#This Row],[Preço por produto]],0)</f>
        <v>31.9</v>
      </c>
      <c r="AK113" s="4">
        <f>SUMIFS(super1[Qtde],super1[Item],tab_higiene[[#This Row],[Item]],super1[Bairro],mercado1)+SUMIFS(supercb[Qtde],supercb[Item],tab_higiene[[#This Row],[Item]],supercb[Bairro],mercado1)</f>
        <v>0</v>
      </c>
      <c r="AL113" s="4">
        <f>SUMIFS(super1[Qtde],super1[Item],tab_higiene[[#This Row],[Item]],super1[Bairro],mercado2)+SUMIFS(supercb[Qtde],supercb[Item],tab_higiene[[#This Row],[Item]],supercb[Bairro],mercado2)</f>
        <v>0</v>
      </c>
      <c r="AM113" s="4">
        <f>SUMIFS(super1[Qtde],super1[Item],tab_higiene[[#This Row],[Item]],super1[Bairro],mercado3)+SUMIFS(supercb[Qtde],supercb[Item],tab_higiene[[#This Row],[Item]],supercb[Bairro],mercado3)</f>
        <v>0</v>
      </c>
      <c r="AN113" s="4">
        <f>SUMIFS(super1[Qtde],super1[Item],tab_higiene[[#This Row],[Item]],super1[Bairro],mercado4)+SUMIFS(supercb[Qtde],supercb[Item],tab_higiene[[#This Row],[Item]],supercb[Bairro],mercado4)</f>
        <v>0</v>
      </c>
      <c r="AO113" s="4">
        <f>SUMIFS(super1[Qtde],super1[Item],tab_higiene[[#This Row],[Item]],super1[Bairro],mercado5)+SUMIFS(supercb[Qtde],supercb[Item],tab_higiene[[#This Row],[Item]],supercb[Bairro],mercado5)</f>
        <v>0</v>
      </c>
      <c r="AP113" s="4">
        <f>SUMIFS(super1[Qtde],super1[Item],tab_higiene[[#This Row],[Item]],super1[Bairro],mercado6)+SUMIFS(supercb[Qtde],supercb[Item],tab_higiene[[#This Row],[Item]],supercb[Bairro],mercado6)</f>
        <v>0</v>
      </c>
      <c r="AQ113" s="4">
        <f>SUMIFS(super1[Qtde],super1[Item],tab_higiene[[#This Row],[Item]],super1[Bairro],mercado7)+SUMIFS(supercb[Qtde],supercb[Item],tab_higiene[[#This Row],[Item]],supercb[Bairro],mercado7)</f>
        <v>0</v>
      </c>
      <c r="AR113" s="4">
        <f>SUMIFS(super1[Qtde],super1[Item],tab_higiene[[#This Row],[Item]],super1[Bairro],mercado8)+SUMIFS(supercb[Qtde],supercb[Item],tab_higiene[[#This Row],[Item]],supercb[Bairro],mercado8)</f>
        <v>0</v>
      </c>
      <c r="AS113" s="4">
        <f>SUMIFS(super1[Qtde],super1[Item],tab_higiene[[#This Row],[Item]],super1[Bairro],mercado9)+SUMIFS(supercb[Qtde],supercb[Item],tab_higiene[[#This Row],[Item]],supercb[Bairro],mercado9)</f>
        <v>0</v>
      </c>
      <c r="AT113" s="4">
        <f>SUMIFS(super1[Qtde],super1[Item],tab_higiene[[#This Row],[Item]],super1[Bairro],mercado10)+SUMIFS(supercb[Qtde],supercb[Item],tab_higiene[[#This Row],[Item]],supercb[Bairro],mercado10)</f>
        <v>0</v>
      </c>
      <c r="AU113" s="4">
        <f>SUMIFS(super1[Qtde],super1[Item],tab_higiene[[#This Row],[Item]],super1[Bairro],mercado11)+SUMIFS(supercb[Qtde],supercb[Item],tab_higiene[[#This Row],[Item]],supercb[Bairro],mercado11)</f>
        <v>0</v>
      </c>
      <c r="AV113" s="4">
        <f>SUMIFS(super1[Qtde],super1[Item],tab_higiene[[#This Row],[Item]],super1[Bairro],mercado12)+SUMIFS(supercb[Qtde],supercb[Item],tab_higiene[[#This Row],[Item]],supercb[Bairro],mercado12)</f>
        <v>0</v>
      </c>
      <c r="AW113" s="4">
        <f>SUMIFS(super1[Qtde],super1[Item],tab_higiene[[#This Row],[Item]],super1[Bairro],mercado13)+SUMIFS(supercb[Qtde],supercb[Item],tab_higiene[[#This Row],[Item]],supercb[Bairro],mercado13)</f>
        <v>0</v>
      </c>
      <c r="AX113" s="4">
        <f>SUMIFS(super1[Qtde],super1[Item],tab_higiene[[#This Row],[Item]],super1[Bairro],mercado14)+SUMIFS(supercb[Qtde],supercb[Item],tab_higiene[[#This Row],[Item]],supercb[Bairro],mercado14)</f>
        <v>0</v>
      </c>
      <c r="AY113" s="4">
        <f>SUMIFS(super1[Qtde],super1[Item],tab_higiene[[#This Row],[Item]],super1[Bairro],mercado15)+SUMIFS(supercb[Qtde],supercb[Item],tab_higiene[[#This Row],[Item]],supercb[Bairro],mercado15)</f>
        <v>0</v>
      </c>
      <c r="AZ113" s="4">
        <f>SUMIFS(super1[Qtde],super1[Item],tab_higiene[[#This Row],[Item]],super1[Bairro],mercado16)+SUMIFS(supercb[Qtde],supercb[Item],tab_higiene[[#This Row],[Item]],supercb[Bairro],mercado16)</f>
        <v>0</v>
      </c>
      <c r="BA113" s="4">
        <f>SUMIFS(super1[Qtde],super1[Item],tab_higiene[[#This Row],[Item]],super1[Bairro],mercado17)+SUMIFS(supercb[Qtde],supercb[Item],tab_higiene[[#This Row],[Item]],supercb[Bairro],mercado17)</f>
        <v>0</v>
      </c>
      <c r="BB113" s="4">
        <f>SUMIFS(super1[Qtde],super1[Item],tab_higiene[[#This Row],[Item]],super1[Bairro],mercado18)+SUMIFS(supercb[Qtde],supercb[Item],tab_higiene[[#This Row],[Item]],supercb[Bairro],mercado18)</f>
        <v>0</v>
      </c>
      <c r="BC113" s="4">
        <f>SUMIFS(super1[Qtde],super1[Item],tab_higiene[[#This Row],[Item]],super1[Bairro],extras)+SUMIFS(supercb[Qtde],supercb[Item],tab_higiene[[#This Row],[Item]],supercb[Bairro],extras)</f>
        <v>0</v>
      </c>
      <c r="BD113" s="4">
        <f t="shared" si="41"/>
        <v>0</v>
      </c>
      <c r="BE113" s="4">
        <f t="shared" si="42"/>
        <v>0</v>
      </c>
      <c r="BF113" s="6">
        <f t="shared" si="43"/>
        <v>0</v>
      </c>
      <c r="BI113" s="1" t="str">
        <f>tab_alimentos[[#This Row],[Item]]</f>
        <v>Bolacha Doce Recheio (100g)</v>
      </c>
      <c r="BJ113" s="1">
        <f t="shared" si="25"/>
        <v>21</v>
      </c>
      <c r="BK113" s="1" t="str">
        <f t="shared" si="26"/>
        <v>Bolacha Doce Recheio</v>
      </c>
      <c r="BL113" s="1">
        <f>tab_alimentos[[#This Row],[kg]]</f>
        <v>0</v>
      </c>
      <c r="BN113" s="1">
        <f t="shared" si="36"/>
        <v>0</v>
      </c>
      <c r="BP113" s="1" t="str">
        <f>tab_higiene[[#This Row],[Item]]</f>
        <v>Fraldas Infantis (36un)</v>
      </c>
      <c r="BQ113" s="1">
        <f t="shared" si="33"/>
        <v>17</v>
      </c>
      <c r="BR113" s="1" t="str">
        <f t="shared" si="34"/>
        <v>Fraldas Infantis</v>
      </c>
      <c r="BS113" s="1">
        <f>higiene[[#This Row],[Quantidade]]</f>
        <v>1</v>
      </c>
      <c r="BT113" s="1">
        <f>tab_higiene[[#This Row],[Qtde (tot)]]</f>
        <v>0</v>
      </c>
      <c r="BU113" s="1">
        <f t="shared" si="37"/>
        <v>0</v>
      </c>
      <c r="BW113" s="1">
        <f t="shared" si="44"/>
        <v>0</v>
      </c>
    </row>
    <row r="114" spans="9:75" x14ac:dyDescent="0.25">
      <c r="I114" s="19" t="str">
        <f>alimentos[[#This Row],[Item]]</f>
        <v>Bolacha Doce Recheio (110g)</v>
      </c>
      <c r="J114" s="4">
        <f>IFERROR(alimentos[[#This Row],[kg/embalagem]],0)</f>
        <v>0.11</v>
      </c>
      <c r="K114" s="4">
        <f>IFERROR(alimentos[[#This Row],[Preço]],0)</f>
        <v>4.25</v>
      </c>
      <c r="L114" s="4">
        <f>SUMIFS(super1[Qtde],super1[Item],tab_alimentos[[#This Row],[Item]],super1[Bairro],mercado1)+SUMIFS(supercb[Qtde],supercb[Item],tab_alimentos[[#This Row],[Item]],supercb[Bairro],mercado1)</f>
        <v>0</v>
      </c>
      <c r="M114" s="4">
        <f>SUMIFS(super1[Qtde],super1[Item],tab_alimentos[[#This Row],[Item]],super1[Bairro],mercado2)+SUMIFS(supercb[Qtde],supercb[Item],tab_alimentos[[#This Row],[Item]],supercb[Bairro],mercado2)</f>
        <v>0</v>
      </c>
      <c r="N114" s="4">
        <f>SUMIFS(super1[Qtde],super1[Item],tab_alimentos[[#This Row],[Item]],super1[Bairro],mercado3)+SUMIFS(supercb[Qtde],supercb[Item],tab_alimentos[[#This Row],[Item]],supercb[Bairro],mercado3)</f>
        <v>0</v>
      </c>
      <c r="O114" s="4">
        <f>SUMIFS(super1[Qtde],super1[Item],tab_alimentos[[#This Row],[Item]],super1[Bairro],mercado4)+SUMIFS(supercb[Qtde],supercb[Item],tab_alimentos[[#This Row],[Item]],supercb[Bairro],mercado4)</f>
        <v>0</v>
      </c>
      <c r="P114" s="4">
        <f>SUMIFS(super1[Qtde],super1[Item],tab_alimentos[[#This Row],[Item]],super1[Bairro],mercado5)+SUMIFS(supercb[Qtde],supercb[Item],tab_alimentos[[#This Row],[Item]],supercb[Bairro],mercado5)</f>
        <v>0</v>
      </c>
      <c r="Q114" s="4">
        <f>SUMIFS(super1[Qtde],super1[Item],tab_alimentos[[#This Row],[Item]],super1[Bairro],mercado6)+SUMIFS(supercb[Qtde],supercb[Item],tab_alimentos[[#This Row],[Item]],supercb[Bairro],mercado6)</f>
        <v>0</v>
      </c>
      <c r="R114" s="4">
        <f>SUMIFS(super1[Qtde],super1[Item],tab_alimentos[[#This Row],[Item]],super1[Bairro],mercado7)+SUMIFS(supercb[Qtde],supercb[Item],tab_alimentos[[#This Row],[Item]],supercb[Bairro],mercado7)</f>
        <v>0</v>
      </c>
      <c r="S114" s="4">
        <f>SUMIFS(super1[Qtde],super1[Item],tab_alimentos[[#This Row],[Item]],super1[Bairro],mercado8)+SUMIFS(supercb[Qtde],supercb[Item],tab_alimentos[[#This Row],[Item]],supercb[Bairro],mercado8)</f>
        <v>0</v>
      </c>
      <c r="T114" s="4">
        <f>SUMIFS(super1[Qtde],super1[Item],tab_alimentos[[#This Row],[Item]],super1[Bairro],mercado9)+SUMIFS(supercb[Qtde],supercb[Item],tab_alimentos[[#This Row],[Item]],supercb[Bairro],mercado9)</f>
        <v>0</v>
      </c>
      <c r="U114" s="4">
        <f>SUMIFS(super1[Qtde],super1[Item],tab_alimentos[[#This Row],[Item]],super1[Bairro],mercado10)+SUMIFS(supercb[Qtde],supercb[Item],tab_alimentos[[#This Row],[Item]],supercb[Bairro],mercado10)</f>
        <v>0</v>
      </c>
      <c r="V114" s="4">
        <f>SUMIFS(super1[Qtde],super1[Item],tab_alimentos[[#This Row],[Item]],super1[Bairro],mercado11)+SUMIFS(supercb[Qtde],supercb[Item],tab_alimentos[[#This Row],[Item]],supercb[Bairro],mercado11)</f>
        <v>0</v>
      </c>
      <c r="W114" s="4">
        <f>SUMIFS(super1[Qtde],super1[Item],tab_alimentos[[#This Row],[Item]],super1[Bairro],mercado12)+SUMIFS(supercb[Qtde],supercb[Item],tab_alimentos[[#This Row],[Item]],supercb[Bairro],mercado12)</f>
        <v>0</v>
      </c>
      <c r="X114" s="4">
        <f>SUMIFS(super1[Qtde],super1[Item],tab_alimentos[[#This Row],[Item]],super1[Bairro],mercado13)+SUMIFS(supercb[Qtde],supercb[Item],tab_alimentos[[#This Row],[Item]],supercb[Bairro],mercado13)</f>
        <v>0</v>
      </c>
      <c r="Y114" s="4">
        <f>SUMIFS(super1[Qtde],super1[Item],tab_alimentos[[#This Row],[Item]],super1[Bairro],mercado14)+SUMIFS(supercb[Qtde],supercb[Item],tab_alimentos[[#This Row],[Item]],supercb[Bairro],mercado14)</f>
        <v>0</v>
      </c>
      <c r="Z114" s="4">
        <f>SUMIFS(super1[Qtde],super1[Item],tab_alimentos[[#This Row],[Item]],super1[Bairro],mercado15)+SUMIFS(supercb[Qtde],supercb[Item],tab_alimentos[[#This Row],[Item]],supercb[Bairro],mercado15)</f>
        <v>0</v>
      </c>
      <c r="AA114" s="4">
        <f>SUMIFS(super1[Qtde],super1[Item],tab_alimentos[[#This Row],[Item]],super1[Bairro],mercado16)+SUMIFS(supercb[Qtde],supercb[Item],tab_alimentos[[#This Row],[Item]],supercb[Bairro],mercado16)</f>
        <v>0</v>
      </c>
      <c r="AB114" s="4">
        <f>SUMIFS(super1[Qtde],super1[Item],tab_alimentos[[#This Row],[Item]],super1[Bairro],mercado17)+SUMIFS(supercb[Qtde],supercb[Item],tab_alimentos[[#This Row],[Item]],supercb[Bairro],mercado17)</f>
        <v>0</v>
      </c>
      <c r="AC114" s="4">
        <f>SUMIFS(super1[Qtde],super1[Item],tab_alimentos[[#This Row],[Item]],super1[Bairro],mercado18)+SUMIFS(supercb[Qtde],supercb[Item],tab_alimentos[[#This Row],[Item]],supercb[Bairro],mercado18)</f>
        <v>0</v>
      </c>
      <c r="AD114" s="4">
        <f>SUMIFS(super1[Qtde],super1[Item],tab_alimentos[[#This Row],[Item]],super1[Bairro],extras)+SUMIFS(supercb[Qtde],supercb[Item],tab_alimentos[[#This Row],[Item]],supercb[Bairro],extras)</f>
        <v>0</v>
      </c>
      <c r="AE114" s="4">
        <f t="shared" si="38"/>
        <v>0</v>
      </c>
      <c r="AF114" s="4">
        <f t="shared" si="39"/>
        <v>0</v>
      </c>
      <c r="AG114" s="6">
        <f t="shared" si="40"/>
        <v>0</v>
      </c>
      <c r="AH114" s="19" t="str">
        <f>higiene[[#This Row],[Item]]</f>
        <v>Fraldas Infantis (38un)</v>
      </c>
      <c r="AI114" s="4">
        <f>IFERROR(higiene[[#This Row],[Kg equivalente]],0)</f>
        <v>0</v>
      </c>
      <c r="AJ114" s="4">
        <f>IFERROR(higiene[[#This Row],[Preço por produto]],0)</f>
        <v>29.9</v>
      </c>
      <c r="AK114" s="4">
        <f>SUMIFS(super1[Qtde],super1[Item],tab_higiene[[#This Row],[Item]],super1[Bairro],mercado1)+SUMIFS(supercb[Qtde],supercb[Item],tab_higiene[[#This Row],[Item]],supercb[Bairro],mercado1)</f>
        <v>0</v>
      </c>
      <c r="AL114" s="4">
        <f>SUMIFS(super1[Qtde],super1[Item],tab_higiene[[#This Row],[Item]],super1[Bairro],mercado2)+SUMIFS(supercb[Qtde],supercb[Item],tab_higiene[[#This Row],[Item]],supercb[Bairro],mercado2)</f>
        <v>0</v>
      </c>
      <c r="AM114" s="4">
        <f>SUMIFS(super1[Qtde],super1[Item],tab_higiene[[#This Row],[Item]],super1[Bairro],mercado3)+SUMIFS(supercb[Qtde],supercb[Item],tab_higiene[[#This Row],[Item]],supercb[Bairro],mercado3)</f>
        <v>0</v>
      </c>
      <c r="AN114" s="4">
        <f>SUMIFS(super1[Qtde],super1[Item],tab_higiene[[#This Row],[Item]],super1[Bairro],mercado4)+SUMIFS(supercb[Qtde],supercb[Item],tab_higiene[[#This Row],[Item]],supercb[Bairro],mercado4)</f>
        <v>0</v>
      </c>
      <c r="AO114" s="4">
        <f>SUMIFS(super1[Qtde],super1[Item],tab_higiene[[#This Row],[Item]],super1[Bairro],mercado5)+SUMIFS(supercb[Qtde],supercb[Item],tab_higiene[[#This Row],[Item]],supercb[Bairro],mercado5)</f>
        <v>0</v>
      </c>
      <c r="AP114" s="4">
        <f>SUMIFS(super1[Qtde],super1[Item],tab_higiene[[#This Row],[Item]],super1[Bairro],mercado6)+SUMIFS(supercb[Qtde],supercb[Item],tab_higiene[[#This Row],[Item]],supercb[Bairro],mercado6)</f>
        <v>0</v>
      </c>
      <c r="AQ114" s="4">
        <f>SUMIFS(super1[Qtde],super1[Item],tab_higiene[[#This Row],[Item]],super1[Bairro],mercado7)+SUMIFS(supercb[Qtde],supercb[Item],tab_higiene[[#This Row],[Item]],supercb[Bairro],mercado7)</f>
        <v>0</v>
      </c>
      <c r="AR114" s="4">
        <f>SUMIFS(super1[Qtde],super1[Item],tab_higiene[[#This Row],[Item]],super1[Bairro],mercado8)+SUMIFS(supercb[Qtde],supercb[Item],tab_higiene[[#This Row],[Item]],supercb[Bairro],mercado8)</f>
        <v>0</v>
      </c>
      <c r="AS114" s="4">
        <f>SUMIFS(super1[Qtde],super1[Item],tab_higiene[[#This Row],[Item]],super1[Bairro],mercado9)+SUMIFS(supercb[Qtde],supercb[Item],tab_higiene[[#This Row],[Item]],supercb[Bairro],mercado9)</f>
        <v>0</v>
      </c>
      <c r="AT114" s="4">
        <f>SUMIFS(super1[Qtde],super1[Item],tab_higiene[[#This Row],[Item]],super1[Bairro],mercado10)+SUMIFS(supercb[Qtde],supercb[Item],tab_higiene[[#This Row],[Item]],supercb[Bairro],mercado10)</f>
        <v>0</v>
      </c>
      <c r="AU114" s="4">
        <f>SUMIFS(super1[Qtde],super1[Item],tab_higiene[[#This Row],[Item]],super1[Bairro],mercado11)+SUMIFS(supercb[Qtde],supercb[Item],tab_higiene[[#This Row],[Item]],supercb[Bairro],mercado11)</f>
        <v>0</v>
      </c>
      <c r="AV114" s="4">
        <f>SUMIFS(super1[Qtde],super1[Item],tab_higiene[[#This Row],[Item]],super1[Bairro],mercado12)+SUMIFS(supercb[Qtde],supercb[Item],tab_higiene[[#This Row],[Item]],supercb[Bairro],mercado12)</f>
        <v>0</v>
      </c>
      <c r="AW114" s="4">
        <f>SUMIFS(super1[Qtde],super1[Item],tab_higiene[[#This Row],[Item]],super1[Bairro],mercado13)+SUMIFS(supercb[Qtde],supercb[Item],tab_higiene[[#This Row],[Item]],supercb[Bairro],mercado13)</f>
        <v>0</v>
      </c>
      <c r="AX114" s="4">
        <f>SUMIFS(super1[Qtde],super1[Item],tab_higiene[[#This Row],[Item]],super1[Bairro],mercado14)+SUMIFS(supercb[Qtde],supercb[Item],tab_higiene[[#This Row],[Item]],supercb[Bairro],mercado14)</f>
        <v>0</v>
      </c>
      <c r="AY114" s="4">
        <f>SUMIFS(super1[Qtde],super1[Item],tab_higiene[[#This Row],[Item]],super1[Bairro],mercado15)+SUMIFS(supercb[Qtde],supercb[Item],tab_higiene[[#This Row],[Item]],supercb[Bairro],mercado15)</f>
        <v>0</v>
      </c>
      <c r="AZ114" s="4">
        <f>SUMIFS(super1[Qtde],super1[Item],tab_higiene[[#This Row],[Item]],super1[Bairro],mercado16)+SUMIFS(supercb[Qtde],supercb[Item],tab_higiene[[#This Row],[Item]],supercb[Bairro],mercado16)</f>
        <v>0</v>
      </c>
      <c r="BA114" s="4">
        <f>SUMIFS(super1[Qtde],super1[Item],tab_higiene[[#This Row],[Item]],super1[Bairro],mercado17)+SUMIFS(supercb[Qtde],supercb[Item],tab_higiene[[#This Row],[Item]],supercb[Bairro],mercado17)</f>
        <v>0</v>
      </c>
      <c r="BB114" s="4">
        <f>SUMIFS(super1[Qtde],super1[Item],tab_higiene[[#This Row],[Item]],super1[Bairro],mercado18)+SUMIFS(supercb[Qtde],supercb[Item],tab_higiene[[#This Row],[Item]],supercb[Bairro],mercado18)</f>
        <v>0</v>
      </c>
      <c r="BC114" s="4">
        <f>SUMIFS(super1[Qtde],super1[Item],tab_higiene[[#This Row],[Item]],super1[Bairro],extras)+SUMIFS(supercb[Qtde],supercb[Item],tab_higiene[[#This Row],[Item]],supercb[Bairro],extras)</f>
        <v>0</v>
      </c>
      <c r="BD114" s="4">
        <f t="shared" si="41"/>
        <v>0</v>
      </c>
      <c r="BE114" s="4">
        <f t="shared" si="42"/>
        <v>0</v>
      </c>
      <c r="BF114" s="6">
        <f t="shared" si="43"/>
        <v>0</v>
      </c>
      <c r="BI114" s="1" t="str">
        <f>tab_alimentos[[#This Row],[Item]]</f>
        <v>Bolacha Doce Recheio (110g)</v>
      </c>
      <c r="BJ114" s="1">
        <f t="shared" si="25"/>
        <v>21</v>
      </c>
      <c r="BK114" s="1" t="str">
        <f t="shared" si="26"/>
        <v>Bolacha Doce Recheio</v>
      </c>
      <c r="BL114" s="1">
        <f>tab_alimentos[[#This Row],[kg]]</f>
        <v>0</v>
      </c>
      <c r="BN114" s="1">
        <f t="shared" si="36"/>
        <v>0</v>
      </c>
      <c r="BP114" s="1" t="str">
        <f>tab_higiene[[#This Row],[Item]]</f>
        <v>Fraldas Infantis (38un)</v>
      </c>
      <c r="BQ114" s="1">
        <f t="shared" si="33"/>
        <v>17</v>
      </c>
      <c r="BR114" s="1" t="str">
        <f t="shared" si="34"/>
        <v>Fraldas Infantis</v>
      </c>
      <c r="BS114" s="1">
        <f>higiene[[#This Row],[Quantidade]]</f>
        <v>0.2</v>
      </c>
      <c r="BT114" s="1">
        <f>tab_higiene[[#This Row],[Qtde (tot)]]</f>
        <v>0</v>
      </c>
      <c r="BU114" s="1">
        <f t="shared" si="37"/>
        <v>0</v>
      </c>
      <c r="BW114" s="1">
        <f t="shared" si="44"/>
        <v>0</v>
      </c>
    </row>
    <row r="115" spans="9:75" x14ac:dyDescent="0.25">
      <c r="I115" s="19" t="str">
        <f>alimentos[[#This Row],[Item]]</f>
        <v>Bolacha Doce Recheio (112g)</v>
      </c>
      <c r="J115" s="4">
        <f>IFERROR(alimentos[[#This Row],[kg/embalagem]],0)</f>
        <v>0.112</v>
      </c>
      <c r="K115" s="4">
        <f>IFERROR(alimentos[[#This Row],[Preço]],0)</f>
        <v>2.38</v>
      </c>
      <c r="L115" s="4">
        <f>SUMIFS(super1[Qtde],super1[Item],tab_alimentos[[#This Row],[Item]],super1[Bairro],mercado1)+SUMIFS(supercb[Qtde],supercb[Item],tab_alimentos[[#This Row],[Item]],supercb[Bairro],mercado1)</f>
        <v>0</v>
      </c>
      <c r="M115" s="4">
        <f>SUMIFS(super1[Qtde],super1[Item],tab_alimentos[[#This Row],[Item]],super1[Bairro],mercado2)+SUMIFS(supercb[Qtde],supercb[Item],tab_alimentos[[#This Row],[Item]],supercb[Bairro],mercado2)</f>
        <v>0</v>
      </c>
      <c r="N115" s="4">
        <f>SUMIFS(super1[Qtde],super1[Item],tab_alimentos[[#This Row],[Item]],super1[Bairro],mercado3)+SUMIFS(supercb[Qtde],supercb[Item],tab_alimentos[[#This Row],[Item]],supercb[Bairro],mercado3)</f>
        <v>0</v>
      </c>
      <c r="O115" s="4">
        <f>SUMIFS(super1[Qtde],super1[Item],tab_alimentos[[#This Row],[Item]],super1[Bairro],mercado4)+SUMIFS(supercb[Qtde],supercb[Item],tab_alimentos[[#This Row],[Item]],supercb[Bairro],mercado4)</f>
        <v>0</v>
      </c>
      <c r="P115" s="4">
        <f>SUMIFS(super1[Qtde],super1[Item],tab_alimentos[[#This Row],[Item]],super1[Bairro],mercado5)+SUMIFS(supercb[Qtde],supercb[Item],tab_alimentos[[#This Row],[Item]],supercb[Bairro],mercado5)</f>
        <v>0</v>
      </c>
      <c r="Q115" s="4">
        <f>SUMIFS(super1[Qtde],super1[Item],tab_alimentos[[#This Row],[Item]],super1[Bairro],mercado6)+SUMIFS(supercb[Qtde],supercb[Item],tab_alimentos[[#This Row],[Item]],supercb[Bairro],mercado6)</f>
        <v>0</v>
      </c>
      <c r="R115" s="4">
        <f>SUMIFS(super1[Qtde],super1[Item],tab_alimentos[[#This Row],[Item]],super1[Bairro],mercado7)+SUMIFS(supercb[Qtde],supercb[Item],tab_alimentos[[#This Row],[Item]],supercb[Bairro],mercado7)</f>
        <v>0</v>
      </c>
      <c r="S115" s="4">
        <f>SUMIFS(super1[Qtde],super1[Item],tab_alimentos[[#This Row],[Item]],super1[Bairro],mercado8)+SUMIFS(supercb[Qtde],supercb[Item],tab_alimentos[[#This Row],[Item]],supercb[Bairro],mercado8)</f>
        <v>0</v>
      </c>
      <c r="T115" s="4">
        <f>SUMIFS(super1[Qtde],super1[Item],tab_alimentos[[#This Row],[Item]],super1[Bairro],mercado9)+SUMIFS(supercb[Qtde],supercb[Item],tab_alimentos[[#This Row],[Item]],supercb[Bairro],mercado9)</f>
        <v>0</v>
      </c>
      <c r="U115" s="4">
        <f>SUMIFS(super1[Qtde],super1[Item],tab_alimentos[[#This Row],[Item]],super1[Bairro],mercado10)+SUMIFS(supercb[Qtde],supercb[Item],tab_alimentos[[#This Row],[Item]],supercb[Bairro],mercado10)</f>
        <v>0</v>
      </c>
      <c r="V115" s="4">
        <f>SUMIFS(super1[Qtde],super1[Item],tab_alimentos[[#This Row],[Item]],super1[Bairro],mercado11)+SUMIFS(supercb[Qtde],supercb[Item],tab_alimentos[[#This Row],[Item]],supercb[Bairro],mercado11)</f>
        <v>0</v>
      </c>
      <c r="W115" s="4">
        <f>SUMIFS(super1[Qtde],super1[Item],tab_alimentos[[#This Row],[Item]],super1[Bairro],mercado12)+SUMIFS(supercb[Qtde],supercb[Item],tab_alimentos[[#This Row],[Item]],supercb[Bairro],mercado12)</f>
        <v>0</v>
      </c>
      <c r="X115" s="4">
        <f>SUMIFS(super1[Qtde],super1[Item],tab_alimentos[[#This Row],[Item]],super1[Bairro],mercado13)+SUMIFS(supercb[Qtde],supercb[Item],tab_alimentos[[#This Row],[Item]],supercb[Bairro],mercado13)</f>
        <v>0</v>
      </c>
      <c r="Y115" s="4">
        <f>SUMIFS(super1[Qtde],super1[Item],tab_alimentos[[#This Row],[Item]],super1[Bairro],mercado14)+SUMIFS(supercb[Qtde],supercb[Item],tab_alimentos[[#This Row],[Item]],supercb[Bairro],mercado14)</f>
        <v>0</v>
      </c>
      <c r="Z115" s="4">
        <f>SUMIFS(super1[Qtde],super1[Item],tab_alimentos[[#This Row],[Item]],super1[Bairro],mercado15)+SUMIFS(supercb[Qtde],supercb[Item],tab_alimentos[[#This Row],[Item]],supercb[Bairro],mercado15)</f>
        <v>0</v>
      </c>
      <c r="AA115" s="4">
        <f>SUMIFS(super1[Qtde],super1[Item],tab_alimentos[[#This Row],[Item]],super1[Bairro],mercado16)+SUMIFS(supercb[Qtde],supercb[Item],tab_alimentos[[#This Row],[Item]],supercb[Bairro],mercado16)</f>
        <v>0</v>
      </c>
      <c r="AB115" s="4">
        <f>SUMIFS(super1[Qtde],super1[Item],tab_alimentos[[#This Row],[Item]],super1[Bairro],mercado17)+SUMIFS(supercb[Qtde],supercb[Item],tab_alimentos[[#This Row],[Item]],supercb[Bairro],mercado17)</f>
        <v>0</v>
      </c>
      <c r="AC115" s="4">
        <f>SUMIFS(super1[Qtde],super1[Item],tab_alimentos[[#This Row],[Item]],super1[Bairro],mercado18)+SUMIFS(supercb[Qtde],supercb[Item],tab_alimentos[[#This Row],[Item]],supercb[Bairro],mercado18)</f>
        <v>0</v>
      </c>
      <c r="AD115" s="4">
        <f>SUMIFS(super1[Qtde],super1[Item],tab_alimentos[[#This Row],[Item]],super1[Bairro],extras)+SUMIFS(supercb[Qtde],supercb[Item],tab_alimentos[[#This Row],[Item]],supercb[Bairro],extras)</f>
        <v>0</v>
      </c>
      <c r="AE115" s="4">
        <f t="shared" si="38"/>
        <v>0</v>
      </c>
      <c r="AF115" s="4">
        <f t="shared" si="39"/>
        <v>0</v>
      </c>
      <c r="AG115" s="6">
        <f t="shared" si="40"/>
        <v>0</v>
      </c>
      <c r="AH115" s="19" t="str">
        <f>higiene[[#This Row],[Item]]</f>
        <v>Fraldas Infantis (40un)</v>
      </c>
      <c r="AI115" s="4">
        <f>IFERROR(higiene[[#This Row],[Kg equivalente]],0)</f>
        <v>0</v>
      </c>
      <c r="AJ115" s="4">
        <f>IFERROR(higiene[[#This Row],[Preço por produto]],0)</f>
        <v>54.9</v>
      </c>
      <c r="AK115" s="4">
        <f>SUMIFS(super1[Qtde],super1[Item],tab_higiene[[#This Row],[Item]],super1[Bairro],mercado1)+SUMIFS(supercb[Qtde],supercb[Item],tab_higiene[[#This Row],[Item]],supercb[Bairro],mercado1)</f>
        <v>0</v>
      </c>
      <c r="AL115" s="4">
        <f>SUMIFS(super1[Qtde],super1[Item],tab_higiene[[#This Row],[Item]],super1[Bairro],mercado2)+SUMIFS(supercb[Qtde],supercb[Item],tab_higiene[[#This Row],[Item]],supercb[Bairro],mercado2)</f>
        <v>0</v>
      </c>
      <c r="AM115" s="4">
        <f>SUMIFS(super1[Qtde],super1[Item],tab_higiene[[#This Row],[Item]],super1[Bairro],mercado3)+SUMIFS(supercb[Qtde],supercb[Item],tab_higiene[[#This Row],[Item]],supercb[Bairro],mercado3)</f>
        <v>0</v>
      </c>
      <c r="AN115" s="4">
        <f>SUMIFS(super1[Qtde],super1[Item],tab_higiene[[#This Row],[Item]],super1[Bairro],mercado4)+SUMIFS(supercb[Qtde],supercb[Item],tab_higiene[[#This Row],[Item]],supercb[Bairro],mercado4)</f>
        <v>0</v>
      </c>
      <c r="AO115" s="4">
        <f>SUMIFS(super1[Qtde],super1[Item],tab_higiene[[#This Row],[Item]],super1[Bairro],mercado5)+SUMIFS(supercb[Qtde],supercb[Item],tab_higiene[[#This Row],[Item]],supercb[Bairro],mercado5)</f>
        <v>0</v>
      </c>
      <c r="AP115" s="4">
        <f>SUMIFS(super1[Qtde],super1[Item],tab_higiene[[#This Row],[Item]],super1[Bairro],mercado6)+SUMIFS(supercb[Qtde],supercb[Item],tab_higiene[[#This Row],[Item]],supercb[Bairro],mercado6)</f>
        <v>0</v>
      </c>
      <c r="AQ115" s="4">
        <f>SUMIFS(super1[Qtde],super1[Item],tab_higiene[[#This Row],[Item]],super1[Bairro],mercado7)+SUMIFS(supercb[Qtde],supercb[Item],tab_higiene[[#This Row],[Item]],supercb[Bairro],mercado7)</f>
        <v>0</v>
      </c>
      <c r="AR115" s="4">
        <f>SUMIFS(super1[Qtde],super1[Item],tab_higiene[[#This Row],[Item]],super1[Bairro],mercado8)+SUMIFS(supercb[Qtde],supercb[Item],tab_higiene[[#This Row],[Item]],supercb[Bairro],mercado8)</f>
        <v>0</v>
      </c>
      <c r="AS115" s="4">
        <f>SUMIFS(super1[Qtde],super1[Item],tab_higiene[[#This Row],[Item]],super1[Bairro],mercado9)+SUMIFS(supercb[Qtde],supercb[Item],tab_higiene[[#This Row],[Item]],supercb[Bairro],mercado9)</f>
        <v>0</v>
      </c>
      <c r="AT115" s="4">
        <f>SUMIFS(super1[Qtde],super1[Item],tab_higiene[[#This Row],[Item]],super1[Bairro],mercado10)+SUMIFS(supercb[Qtde],supercb[Item],tab_higiene[[#This Row],[Item]],supercb[Bairro],mercado10)</f>
        <v>0</v>
      </c>
      <c r="AU115" s="4">
        <f>SUMIFS(super1[Qtde],super1[Item],tab_higiene[[#This Row],[Item]],super1[Bairro],mercado11)+SUMIFS(supercb[Qtde],supercb[Item],tab_higiene[[#This Row],[Item]],supercb[Bairro],mercado11)</f>
        <v>0</v>
      </c>
      <c r="AV115" s="4">
        <f>SUMIFS(super1[Qtde],super1[Item],tab_higiene[[#This Row],[Item]],super1[Bairro],mercado12)+SUMIFS(supercb[Qtde],supercb[Item],tab_higiene[[#This Row],[Item]],supercb[Bairro],mercado12)</f>
        <v>0</v>
      </c>
      <c r="AW115" s="4">
        <f>SUMIFS(super1[Qtde],super1[Item],tab_higiene[[#This Row],[Item]],super1[Bairro],mercado13)+SUMIFS(supercb[Qtde],supercb[Item],tab_higiene[[#This Row],[Item]],supercb[Bairro],mercado13)</f>
        <v>0</v>
      </c>
      <c r="AX115" s="4">
        <f>SUMIFS(super1[Qtde],super1[Item],tab_higiene[[#This Row],[Item]],super1[Bairro],mercado14)+SUMIFS(supercb[Qtde],supercb[Item],tab_higiene[[#This Row],[Item]],supercb[Bairro],mercado14)</f>
        <v>0</v>
      </c>
      <c r="AY115" s="4">
        <f>SUMIFS(super1[Qtde],super1[Item],tab_higiene[[#This Row],[Item]],super1[Bairro],mercado15)+SUMIFS(supercb[Qtde],supercb[Item],tab_higiene[[#This Row],[Item]],supercb[Bairro],mercado15)</f>
        <v>0</v>
      </c>
      <c r="AZ115" s="4">
        <f>SUMIFS(super1[Qtde],super1[Item],tab_higiene[[#This Row],[Item]],super1[Bairro],mercado16)+SUMIFS(supercb[Qtde],supercb[Item],tab_higiene[[#This Row],[Item]],supercb[Bairro],mercado16)</f>
        <v>0</v>
      </c>
      <c r="BA115" s="4">
        <f>SUMIFS(super1[Qtde],super1[Item],tab_higiene[[#This Row],[Item]],super1[Bairro],mercado17)+SUMIFS(supercb[Qtde],supercb[Item],tab_higiene[[#This Row],[Item]],supercb[Bairro],mercado17)</f>
        <v>0</v>
      </c>
      <c r="BB115" s="4">
        <f>SUMIFS(super1[Qtde],super1[Item],tab_higiene[[#This Row],[Item]],super1[Bairro],mercado18)+SUMIFS(supercb[Qtde],supercb[Item],tab_higiene[[#This Row],[Item]],supercb[Bairro],mercado18)</f>
        <v>0</v>
      </c>
      <c r="BC115" s="4">
        <f>SUMIFS(super1[Qtde],super1[Item],tab_higiene[[#This Row],[Item]],super1[Bairro],extras)+SUMIFS(supercb[Qtde],supercb[Item],tab_higiene[[#This Row],[Item]],supercb[Bairro],extras)</f>
        <v>0</v>
      </c>
      <c r="BD115" s="4">
        <f t="shared" si="41"/>
        <v>0</v>
      </c>
      <c r="BE115" s="4">
        <f t="shared" si="42"/>
        <v>0</v>
      </c>
      <c r="BF115" s="6">
        <f t="shared" si="43"/>
        <v>0</v>
      </c>
      <c r="BI115" s="1" t="str">
        <f>tab_alimentos[[#This Row],[Item]]</f>
        <v>Bolacha Doce Recheio (112g)</v>
      </c>
      <c r="BJ115" s="1">
        <f t="shared" si="25"/>
        <v>21</v>
      </c>
      <c r="BK115" s="1" t="str">
        <f t="shared" si="26"/>
        <v>Bolacha Doce Recheio</v>
      </c>
      <c r="BL115" s="1">
        <f>tab_alimentos[[#This Row],[kg]]</f>
        <v>0</v>
      </c>
      <c r="BN115" s="1">
        <f t="shared" si="36"/>
        <v>0</v>
      </c>
      <c r="BP115" s="1" t="str">
        <f>tab_higiene[[#This Row],[Item]]</f>
        <v>Fraldas Infantis (40un)</v>
      </c>
      <c r="BQ115" s="1">
        <f t="shared" si="33"/>
        <v>17</v>
      </c>
      <c r="BR115" s="1" t="str">
        <f t="shared" si="34"/>
        <v>Fraldas Infantis</v>
      </c>
      <c r="BS115" s="1">
        <f>higiene[[#This Row],[Quantidade]]</f>
        <v>0.5</v>
      </c>
      <c r="BT115" s="1">
        <f>tab_higiene[[#This Row],[Qtde (tot)]]</f>
        <v>0</v>
      </c>
      <c r="BU115" s="1">
        <f t="shared" si="37"/>
        <v>0</v>
      </c>
      <c r="BW115" s="1">
        <f t="shared" si="44"/>
        <v>0</v>
      </c>
    </row>
    <row r="116" spans="9:75" x14ac:dyDescent="0.25">
      <c r="I116" s="19" t="str">
        <f>alimentos[[#This Row],[Item]]</f>
        <v>Bolacha Doce Recheio (115g)</v>
      </c>
      <c r="J116" s="4">
        <f>IFERROR(alimentos[[#This Row],[kg/embalagem]],0)</f>
        <v>0.115</v>
      </c>
      <c r="K116" s="4">
        <f>IFERROR(alimentos[[#This Row],[Preço]],0)</f>
        <v>3.25</v>
      </c>
      <c r="L116" s="4">
        <f>SUMIFS(super1[Qtde],super1[Item],tab_alimentos[[#This Row],[Item]],super1[Bairro],mercado1)+SUMIFS(supercb[Qtde],supercb[Item],tab_alimentos[[#This Row],[Item]],supercb[Bairro],mercado1)</f>
        <v>0</v>
      </c>
      <c r="M116" s="4">
        <f>SUMIFS(super1[Qtde],super1[Item],tab_alimentos[[#This Row],[Item]],super1[Bairro],mercado2)+SUMIFS(supercb[Qtde],supercb[Item],tab_alimentos[[#This Row],[Item]],supercb[Bairro],mercado2)</f>
        <v>0</v>
      </c>
      <c r="N116" s="4">
        <f>SUMIFS(super1[Qtde],super1[Item],tab_alimentos[[#This Row],[Item]],super1[Bairro],mercado3)+SUMIFS(supercb[Qtde],supercb[Item],tab_alimentos[[#This Row],[Item]],supercb[Bairro],mercado3)</f>
        <v>0</v>
      </c>
      <c r="O116" s="4">
        <f>SUMIFS(super1[Qtde],super1[Item],tab_alimentos[[#This Row],[Item]],super1[Bairro],mercado4)+SUMIFS(supercb[Qtde],supercb[Item],tab_alimentos[[#This Row],[Item]],supercb[Bairro],mercado4)</f>
        <v>0</v>
      </c>
      <c r="P116" s="4">
        <f>SUMIFS(super1[Qtde],super1[Item],tab_alimentos[[#This Row],[Item]],super1[Bairro],mercado5)+SUMIFS(supercb[Qtde],supercb[Item],tab_alimentos[[#This Row],[Item]],supercb[Bairro],mercado5)</f>
        <v>0</v>
      </c>
      <c r="Q116" s="4">
        <f>SUMIFS(super1[Qtde],super1[Item],tab_alimentos[[#This Row],[Item]],super1[Bairro],mercado6)+SUMIFS(supercb[Qtde],supercb[Item],tab_alimentos[[#This Row],[Item]],supercb[Bairro],mercado6)</f>
        <v>0</v>
      </c>
      <c r="R116" s="4">
        <f>SUMIFS(super1[Qtde],super1[Item],tab_alimentos[[#This Row],[Item]],super1[Bairro],mercado7)+SUMIFS(supercb[Qtde],supercb[Item],tab_alimentos[[#This Row],[Item]],supercb[Bairro],mercado7)</f>
        <v>0</v>
      </c>
      <c r="S116" s="4">
        <f>SUMIFS(super1[Qtde],super1[Item],tab_alimentos[[#This Row],[Item]],super1[Bairro],mercado8)+SUMIFS(supercb[Qtde],supercb[Item],tab_alimentos[[#This Row],[Item]],supercb[Bairro],mercado8)</f>
        <v>0</v>
      </c>
      <c r="T116" s="4">
        <f>SUMIFS(super1[Qtde],super1[Item],tab_alimentos[[#This Row],[Item]],super1[Bairro],mercado9)+SUMIFS(supercb[Qtde],supercb[Item],tab_alimentos[[#This Row],[Item]],supercb[Bairro],mercado9)</f>
        <v>0</v>
      </c>
      <c r="U116" s="4">
        <f>SUMIFS(super1[Qtde],super1[Item],tab_alimentos[[#This Row],[Item]],super1[Bairro],mercado10)+SUMIFS(supercb[Qtde],supercb[Item],tab_alimentos[[#This Row],[Item]],supercb[Bairro],mercado10)</f>
        <v>0</v>
      </c>
      <c r="V116" s="4">
        <f>SUMIFS(super1[Qtde],super1[Item],tab_alimentos[[#This Row],[Item]],super1[Bairro],mercado11)+SUMIFS(supercb[Qtde],supercb[Item],tab_alimentos[[#This Row],[Item]],supercb[Bairro],mercado11)</f>
        <v>0</v>
      </c>
      <c r="W116" s="4">
        <f>SUMIFS(super1[Qtde],super1[Item],tab_alimentos[[#This Row],[Item]],super1[Bairro],mercado12)+SUMIFS(supercb[Qtde],supercb[Item],tab_alimentos[[#This Row],[Item]],supercb[Bairro],mercado12)</f>
        <v>0</v>
      </c>
      <c r="X116" s="4">
        <f>SUMIFS(super1[Qtde],super1[Item],tab_alimentos[[#This Row],[Item]],super1[Bairro],mercado13)+SUMIFS(supercb[Qtde],supercb[Item],tab_alimentos[[#This Row],[Item]],supercb[Bairro],mercado13)</f>
        <v>0</v>
      </c>
      <c r="Y116" s="4">
        <f>SUMIFS(super1[Qtde],super1[Item],tab_alimentos[[#This Row],[Item]],super1[Bairro],mercado14)+SUMIFS(supercb[Qtde],supercb[Item],tab_alimentos[[#This Row],[Item]],supercb[Bairro],mercado14)</f>
        <v>0</v>
      </c>
      <c r="Z116" s="4">
        <f>SUMIFS(super1[Qtde],super1[Item],tab_alimentos[[#This Row],[Item]],super1[Bairro],mercado15)+SUMIFS(supercb[Qtde],supercb[Item],tab_alimentos[[#This Row],[Item]],supercb[Bairro],mercado15)</f>
        <v>0</v>
      </c>
      <c r="AA116" s="4">
        <f>SUMIFS(super1[Qtde],super1[Item],tab_alimentos[[#This Row],[Item]],super1[Bairro],mercado16)+SUMIFS(supercb[Qtde],supercb[Item],tab_alimentos[[#This Row],[Item]],supercb[Bairro],mercado16)</f>
        <v>0</v>
      </c>
      <c r="AB116" s="4">
        <f>SUMIFS(super1[Qtde],super1[Item],tab_alimentos[[#This Row],[Item]],super1[Bairro],mercado17)+SUMIFS(supercb[Qtde],supercb[Item],tab_alimentos[[#This Row],[Item]],supercb[Bairro],mercado17)</f>
        <v>0</v>
      </c>
      <c r="AC116" s="4">
        <f>SUMIFS(super1[Qtde],super1[Item],tab_alimentos[[#This Row],[Item]],super1[Bairro],mercado18)+SUMIFS(supercb[Qtde],supercb[Item],tab_alimentos[[#This Row],[Item]],supercb[Bairro],mercado18)</f>
        <v>0</v>
      </c>
      <c r="AD116" s="4">
        <f>SUMIFS(super1[Qtde],super1[Item],tab_alimentos[[#This Row],[Item]],super1[Bairro],extras)+SUMIFS(supercb[Qtde],supercb[Item],tab_alimentos[[#This Row],[Item]],supercb[Bairro],extras)</f>
        <v>0</v>
      </c>
      <c r="AE116" s="4">
        <f t="shared" si="38"/>
        <v>0</v>
      </c>
      <c r="AF116" s="4">
        <f t="shared" si="39"/>
        <v>0</v>
      </c>
      <c r="AG116" s="6">
        <f t="shared" si="40"/>
        <v>0</v>
      </c>
      <c r="AH116" s="19" t="str">
        <f>higiene[[#This Row],[Item]]</f>
        <v>Fraldas Infantis (42un)</v>
      </c>
      <c r="AI116" s="4">
        <f>IFERROR(higiene[[#This Row],[Kg equivalente]],0)</f>
        <v>0</v>
      </c>
      <c r="AJ116" s="4">
        <f>IFERROR(higiene[[#This Row],[Preço por produto]],0)</f>
        <v>58.9</v>
      </c>
      <c r="AK116" s="4">
        <f>SUMIFS(super1[Qtde],super1[Item],tab_higiene[[#This Row],[Item]],super1[Bairro],mercado1)+SUMIFS(supercb[Qtde],supercb[Item],tab_higiene[[#This Row],[Item]],supercb[Bairro],mercado1)</f>
        <v>0</v>
      </c>
      <c r="AL116" s="4">
        <f>SUMIFS(super1[Qtde],super1[Item],tab_higiene[[#This Row],[Item]],super1[Bairro],mercado2)+SUMIFS(supercb[Qtde],supercb[Item],tab_higiene[[#This Row],[Item]],supercb[Bairro],mercado2)</f>
        <v>0</v>
      </c>
      <c r="AM116" s="4">
        <f>SUMIFS(super1[Qtde],super1[Item],tab_higiene[[#This Row],[Item]],super1[Bairro],mercado3)+SUMIFS(supercb[Qtde],supercb[Item],tab_higiene[[#This Row],[Item]],supercb[Bairro],mercado3)</f>
        <v>0</v>
      </c>
      <c r="AN116" s="4">
        <f>SUMIFS(super1[Qtde],super1[Item],tab_higiene[[#This Row],[Item]],super1[Bairro],mercado4)+SUMIFS(supercb[Qtde],supercb[Item],tab_higiene[[#This Row],[Item]],supercb[Bairro],mercado4)</f>
        <v>0</v>
      </c>
      <c r="AO116" s="4">
        <f>SUMIFS(super1[Qtde],super1[Item],tab_higiene[[#This Row],[Item]],super1[Bairro],mercado5)+SUMIFS(supercb[Qtde],supercb[Item],tab_higiene[[#This Row],[Item]],supercb[Bairro],mercado5)</f>
        <v>0</v>
      </c>
      <c r="AP116" s="4">
        <f>SUMIFS(super1[Qtde],super1[Item],tab_higiene[[#This Row],[Item]],super1[Bairro],mercado6)+SUMIFS(supercb[Qtde],supercb[Item],tab_higiene[[#This Row],[Item]],supercb[Bairro],mercado6)</f>
        <v>0</v>
      </c>
      <c r="AQ116" s="4">
        <f>SUMIFS(super1[Qtde],super1[Item],tab_higiene[[#This Row],[Item]],super1[Bairro],mercado7)+SUMIFS(supercb[Qtde],supercb[Item],tab_higiene[[#This Row],[Item]],supercb[Bairro],mercado7)</f>
        <v>0</v>
      </c>
      <c r="AR116" s="4">
        <f>SUMIFS(super1[Qtde],super1[Item],tab_higiene[[#This Row],[Item]],super1[Bairro],mercado8)+SUMIFS(supercb[Qtde],supercb[Item],tab_higiene[[#This Row],[Item]],supercb[Bairro],mercado8)</f>
        <v>0</v>
      </c>
      <c r="AS116" s="4">
        <f>SUMIFS(super1[Qtde],super1[Item],tab_higiene[[#This Row],[Item]],super1[Bairro],mercado9)+SUMIFS(supercb[Qtde],supercb[Item],tab_higiene[[#This Row],[Item]],supercb[Bairro],mercado9)</f>
        <v>0</v>
      </c>
      <c r="AT116" s="4">
        <f>SUMIFS(super1[Qtde],super1[Item],tab_higiene[[#This Row],[Item]],super1[Bairro],mercado10)+SUMIFS(supercb[Qtde],supercb[Item],tab_higiene[[#This Row],[Item]],supercb[Bairro],mercado10)</f>
        <v>0</v>
      </c>
      <c r="AU116" s="4">
        <f>SUMIFS(super1[Qtde],super1[Item],tab_higiene[[#This Row],[Item]],super1[Bairro],mercado11)+SUMIFS(supercb[Qtde],supercb[Item],tab_higiene[[#This Row],[Item]],supercb[Bairro],mercado11)</f>
        <v>0</v>
      </c>
      <c r="AV116" s="4">
        <f>SUMIFS(super1[Qtde],super1[Item],tab_higiene[[#This Row],[Item]],super1[Bairro],mercado12)+SUMIFS(supercb[Qtde],supercb[Item],tab_higiene[[#This Row],[Item]],supercb[Bairro],mercado12)</f>
        <v>0</v>
      </c>
      <c r="AW116" s="4">
        <f>SUMIFS(super1[Qtde],super1[Item],tab_higiene[[#This Row],[Item]],super1[Bairro],mercado13)+SUMIFS(supercb[Qtde],supercb[Item],tab_higiene[[#This Row],[Item]],supercb[Bairro],mercado13)</f>
        <v>0</v>
      </c>
      <c r="AX116" s="4">
        <f>SUMIFS(super1[Qtde],super1[Item],tab_higiene[[#This Row],[Item]],super1[Bairro],mercado14)+SUMIFS(supercb[Qtde],supercb[Item],tab_higiene[[#This Row],[Item]],supercb[Bairro],mercado14)</f>
        <v>0</v>
      </c>
      <c r="AY116" s="4">
        <f>SUMIFS(super1[Qtde],super1[Item],tab_higiene[[#This Row],[Item]],super1[Bairro],mercado15)+SUMIFS(supercb[Qtde],supercb[Item],tab_higiene[[#This Row],[Item]],supercb[Bairro],mercado15)</f>
        <v>0</v>
      </c>
      <c r="AZ116" s="4">
        <f>SUMIFS(super1[Qtde],super1[Item],tab_higiene[[#This Row],[Item]],super1[Bairro],mercado16)+SUMIFS(supercb[Qtde],supercb[Item],tab_higiene[[#This Row],[Item]],supercb[Bairro],mercado16)</f>
        <v>0</v>
      </c>
      <c r="BA116" s="4">
        <f>SUMIFS(super1[Qtde],super1[Item],tab_higiene[[#This Row],[Item]],super1[Bairro],mercado17)+SUMIFS(supercb[Qtde],supercb[Item],tab_higiene[[#This Row],[Item]],supercb[Bairro],mercado17)</f>
        <v>0</v>
      </c>
      <c r="BB116" s="4">
        <f>SUMIFS(super1[Qtde],super1[Item],tab_higiene[[#This Row],[Item]],super1[Bairro],mercado18)+SUMIFS(supercb[Qtde],supercb[Item],tab_higiene[[#This Row],[Item]],supercb[Bairro],mercado18)</f>
        <v>0</v>
      </c>
      <c r="BC116" s="4">
        <f>SUMIFS(super1[Qtde],super1[Item],tab_higiene[[#This Row],[Item]],super1[Bairro],extras)+SUMIFS(supercb[Qtde],supercb[Item],tab_higiene[[#This Row],[Item]],supercb[Bairro],extras)</f>
        <v>0</v>
      </c>
      <c r="BD116" s="4">
        <f t="shared" si="41"/>
        <v>0</v>
      </c>
      <c r="BE116" s="4">
        <f t="shared" si="42"/>
        <v>0</v>
      </c>
      <c r="BF116" s="6">
        <f t="shared" si="43"/>
        <v>0</v>
      </c>
      <c r="BI116" s="1" t="str">
        <f>tab_alimentos[[#This Row],[Item]]</f>
        <v>Bolacha Doce Recheio (115g)</v>
      </c>
      <c r="BJ116" s="1">
        <f t="shared" si="25"/>
        <v>21</v>
      </c>
      <c r="BK116" s="1" t="str">
        <f t="shared" si="26"/>
        <v>Bolacha Doce Recheio</v>
      </c>
      <c r="BL116" s="1">
        <f>tab_alimentos[[#This Row],[kg]]</f>
        <v>0</v>
      </c>
      <c r="BN116" s="1">
        <f t="shared" si="36"/>
        <v>0</v>
      </c>
      <c r="BP116" s="1" t="str">
        <f>tab_higiene[[#This Row],[Item]]</f>
        <v>Fraldas Infantis (42un)</v>
      </c>
      <c r="BQ116" s="1">
        <f t="shared" si="33"/>
        <v>17</v>
      </c>
      <c r="BR116" s="1" t="str">
        <f t="shared" si="34"/>
        <v>Fraldas Infantis</v>
      </c>
      <c r="BS116" s="1">
        <f>higiene[[#This Row],[Quantidade]]</f>
        <v>42</v>
      </c>
      <c r="BT116" s="1">
        <f>tab_higiene[[#This Row],[Qtde (tot)]]</f>
        <v>0</v>
      </c>
      <c r="BU116" s="1">
        <f t="shared" si="37"/>
        <v>0</v>
      </c>
      <c r="BW116" s="1">
        <f t="shared" si="44"/>
        <v>0</v>
      </c>
    </row>
    <row r="117" spans="9:75" x14ac:dyDescent="0.25">
      <c r="I117" s="19" t="str">
        <f>alimentos[[#This Row],[Item]]</f>
        <v>Bolacha Doce Recheio (120g)</v>
      </c>
      <c r="J117" s="4">
        <f>IFERROR(alimentos[[#This Row],[kg/embalagem]],0)</f>
        <v>0.12</v>
      </c>
      <c r="K117" s="4">
        <f>IFERROR(alimentos[[#This Row],[Preço]],0)</f>
        <v>2.79</v>
      </c>
      <c r="L117" s="4">
        <f>SUMIFS(super1[Qtde],super1[Item],tab_alimentos[[#This Row],[Item]],super1[Bairro],mercado1)+SUMIFS(supercb[Qtde],supercb[Item],tab_alimentos[[#This Row],[Item]],supercb[Bairro],mercado1)</f>
        <v>0</v>
      </c>
      <c r="M117" s="4">
        <f>SUMIFS(super1[Qtde],super1[Item],tab_alimentos[[#This Row],[Item]],super1[Bairro],mercado2)+SUMIFS(supercb[Qtde],supercb[Item],tab_alimentos[[#This Row],[Item]],supercb[Bairro],mercado2)</f>
        <v>0</v>
      </c>
      <c r="N117" s="4">
        <f>SUMIFS(super1[Qtde],super1[Item],tab_alimentos[[#This Row],[Item]],super1[Bairro],mercado3)+SUMIFS(supercb[Qtde],supercb[Item],tab_alimentos[[#This Row],[Item]],supercb[Bairro],mercado3)</f>
        <v>0</v>
      </c>
      <c r="O117" s="4">
        <f>SUMIFS(super1[Qtde],super1[Item],tab_alimentos[[#This Row],[Item]],super1[Bairro],mercado4)+SUMIFS(supercb[Qtde],supercb[Item],tab_alimentos[[#This Row],[Item]],supercb[Bairro],mercado4)</f>
        <v>0</v>
      </c>
      <c r="P117" s="4">
        <f>SUMIFS(super1[Qtde],super1[Item],tab_alimentos[[#This Row],[Item]],super1[Bairro],mercado5)+SUMIFS(supercb[Qtde],supercb[Item],tab_alimentos[[#This Row],[Item]],supercb[Bairro],mercado5)</f>
        <v>0</v>
      </c>
      <c r="Q117" s="4">
        <f>SUMIFS(super1[Qtde],super1[Item],tab_alimentos[[#This Row],[Item]],super1[Bairro],mercado6)+SUMIFS(supercb[Qtde],supercb[Item],tab_alimentos[[#This Row],[Item]],supercb[Bairro],mercado6)</f>
        <v>0</v>
      </c>
      <c r="R117" s="4">
        <f>SUMIFS(super1[Qtde],super1[Item],tab_alimentos[[#This Row],[Item]],super1[Bairro],mercado7)+SUMIFS(supercb[Qtde],supercb[Item],tab_alimentos[[#This Row],[Item]],supercb[Bairro],mercado7)</f>
        <v>0</v>
      </c>
      <c r="S117" s="4">
        <f>SUMIFS(super1[Qtde],super1[Item],tab_alimentos[[#This Row],[Item]],super1[Bairro],mercado8)+SUMIFS(supercb[Qtde],supercb[Item],tab_alimentos[[#This Row],[Item]],supercb[Bairro],mercado8)</f>
        <v>0</v>
      </c>
      <c r="T117" s="4">
        <f>SUMIFS(super1[Qtde],super1[Item],tab_alimentos[[#This Row],[Item]],super1[Bairro],mercado9)+SUMIFS(supercb[Qtde],supercb[Item],tab_alimentos[[#This Row],[Item]],supercb[Bairro],mercado9)</f>
        <v>0</v>
      </c>
      <c r="U117" s="4">
        <f>SUMIFS(super1[Qtde],super1[Item],tab_alimentos[[#This Row],[Item]],super1[Bairro],mercado10)+SUMIFS(supercb[Qtde],supercb[Item],tab_alimentos[[#This Row],[Item]],supercb[Bairro],mercado10)</f>
        <v>0</v>
      </c>
      <c r="V117" s="4">
        <f>SUMIFS(super1[Qtde],super1[Item],tab_alimentos[[#This Row],[Item]],super1[Bairro],mercado11)+SUMIFS(supercb[Qtde],supercb[Item],tab_alimentos[[#This Row],[Item]],supercb[Bairro],mercado11)</f>
        <v>0</v>
      </c>
      <c r="W117" s="4">
        <f>SUMIFS(super1[Qtde],super1[Item],tab_alimentos[[#This Row],[Item]],super1[Bairro],mercado12)+SUMIFS(supercb[Qtde],supercb[Item],tab_alimentos[[#This Row],[Item]],supercb[Bairro],mercado12)</f>
        <v>0</v>
      </c>
      <c r="X117" s="4">
        <f>SUMIFS(super1[Qtde],super1[Item],tab_alimentos[[#This Row],[Item]],super1[Bairro],mercado13)+SUMIFS(supercb[Qtde],supercb[Item],tab_alimentos[[#This Row],[Item]],supercb[Bairro],mercado13)</f>
        <v>0</v>
      </c>
      <c r="Y117" s="4">
        <f>SUMIFS(super1[Qtde],super1[Item],tab_alimentos[[#This Row],[Item]],super1[Bairro],mercado14)+SUMIFS(supercb[Qtde],supercb[Item],tab_alimentos[[#This Row],[Item]],supercb[Bairro],mercado14)</f>
        <v>0</v>
      </c>
      <c r="Z117" s="4">
        <f>SUMIFS(super1[Qtde],super1[Item],tab_alimentos[[#This Row],[Item]],super1[Bairro],mercado15)+SUMIFS(supercb[Qtde],supercb[Item],tab_alimentos[[#This Row],[Item]],supercb[Bairro],mercado15)</f>
        <v>0</v>
      </c>
      <c r="AA117" s="4">
        <f>SUMIFS(super1[Qtde],super1[Item],tab_alimentos[[#This Row],[Item]],super1[Bairro],mercado16)+SUMIFS(supercb[Qtde],supercb[Item],tab_alimentos[[#This Row],[Item]],supercb[Bairro],mercado16)</f>
        <v>0</v>
      </c>
      <c r="AB117" s="4">
        <f>SUMIFS(super1[Qtde],super1[Item],tab_alimentos[[#This Row],[Item]],super1[Bairro],mercado17)+SUMIFS(supercb[Qtde],supercb[Item],tab_alimentos[[#This Row],[Item]],supercb[Bairro],mercado17)</f>
        <v>0</v>
      </c>
      <c r="AC117" s="4">
        <f>SUMIFS(super1[Qtde],super1[Item],tab_alimentos[[#This Row],[Item]],super1[Bairro],mercado18)+SUMIFS(supercb[Qtde],supercb[Item],tab_alimentos[[#This Row],[Item]],supercb[Bairro],mercado18)</f>
        <v>0</v>
      </c>
      <c r="AD117" s="4">
        <f>SUMIFS(super1[Qtde],super1[Item],tab_alimentos[[#This Row],[Item]],super1[Bairro],extras)+SUMIFS(supercb[Qtde],supercb[Item],tab_alimentos[[#This Row],[Item]],supercb[Bairro],extras)</f>
        <v>0</v>
      </c>
      <c r="AE117" s="4">
        <f t="shared" si="38"/>
        <v>0</v>
      </c>
      <c r="AF117" s="4">
        <f t="shared" si="39"/>
        <v>0</v>
      </c>
      <c r="AG117" s="6">
        <f t="shared" si="40"/>
        <v>0</v>
      </c>
      <c r="AH117" s="19" t="str">
        <f>higiene[[#This Row],[Item]]</f>
        <v>Fraldas Infantis (44un)</v>
      </c>
      <c r="AI117" s="4">
        <f>IFERROR(higiene[[#This Row],[Kg equivalente]],0)</f>
        <v>0</v>
      </c>
      <c r="AJ117" s="4">
        <f>IFERROR(higiene[[#This Row],[Preço por produto]],0)</f>
        <v>29.9</v>
      </c>
      <c r="AK117" s="4">
        <f>SUMIFS(super1[Qtde],super1[Item],tab_higiene[[#This Row],[Item]],super1[Bairro],mercado1)+SUMIFS(supercb[Qtde],supercb[Item],tab_higiene[[#This Row],[Item]],supercb[Bairro],mercado1)</f>
        <v>0</v>
      </c>
      <c r="AL117" s="4">
        <f>SUMIFS(super1[Qtde],super1[Item],tab_higiene[[#This Row],[Item]],super1[Bairro],mercado2)+SUMIFS(supercb[Qtde],supercb[Item],tab_higiene[[#This Row],[Item]],supercb[Bairro],mercado2)</f>
        <v>0</v>
      </c>
      <c r="AM117" s="4">
        <f>SUMIFS(super1[Qtde],super1[Item],tab_higiene[[#This Row],[Item]],super1[Bairro],mercado3)+SUMIFS(supercb[Qtde],supercb[Item],tab_higiene[[#This Row],[Item]],supercb[Bairro],mercado3)</f>
        <v>0</v>
      </c>
      <c r="AN117" s="4">
        <f>SUMIFS(super1[Qtde],super1[Item],tab_higiene[[#This Row],[Item]],super1[Bairro],mercado4)+SUMIFS(supercb[Qtde],supercb[Item],tab_higiene[[#This Row],[Item]],supercb[Bairro],mercado4)</f>
        <v>0</v>
      </c>
      <c r="AO117" s="4">
        <f>SUMIFS(super1[Qtde],super1[Item],tab_higiene[[#This Row],[Item]],super1[Bairro],mercado5)+SUMIFS(supercb[Qtde],supercb[Item],tab_higiene[[#This Row],[Item]],supercb[Bairro],mercado5)</f>
        <v>0</v>
      </c>
      <c r="AP117" s="4">
        <f>SUMIFS(super1[Qtde],super1[Item],tab_higiene[[#This Row],[Item]],super1[Bairro],mercado6)+SUMIFS(supercb[Qtde],supercb[Item],tab_higiene[[#This Row],[Item]],supercb[Bairro],mercado6)</f>
        <v>0</v>
      </c>
      <c r="AQ117" s="4">
        <f>SUMIFS(super1[Qtde],super1[Item],tab_higiene[[#This Row],[Item]],super1[Bairro],mercado7)+SUMIFS(supercb[Qtde],supercb[Item],tab_higiene[[#This Row],[Item]],supercb[Bairro],mercado7)</f>
        <v>0</v>
      </c>
      <c r="AR117" s="4">
        <f>SUMIFS(super1[Qtde],super1[Item],tab_higiene[[#This Row],[Item]],super1[Bairro],mercado8)+SUMIFS(supercb[Qtde],supercb[Item],tab_higiene[[#This Row],[Item]],supercb[Bairro],mercado8)</f>
        <v>0</v>
      </c>
      <c r="AS117" s="4">
        <f>SUMIFS(super1[Qtde],super1[Item],tab_higiene[[#This Row],[Item]],super1[Bairro],mercado9)+SUMIFS(supercb[Qtde],supercb[Item],tab_higiene[[#This Row],[Item]],supercb[Bairro],mercado9)</f>
        <v>0</v>
      </c>
      <c r="AT117" s="4">
        <f>SUMIFS(super1[Qtde],super1[Item],tab_higiene[[#This Row],[Item]],super1[Bairro],mercado10)+SUMIFS(supercb[Qtde],supercb[Item],tab_higiene[[#This Row],[Item]],supercb[Bairro],mercado10)</f>
        <v>0</v>
      </c>
      <c r="AU117" s="4">
        <f>SUMIFS(super1[Qtde],super1[Item],tab_higiene[[#This Row],[Item]],super1[Bairro],mercado11)+SUMIFS(supercb[Qtde],supercb[Item],tab_higiene[[#This Row],[Item]],supercb[Bairro],mercado11)</f>
        <v>0</v>
      </c>
      <c r="AV117" s="4">
        <f>SUMIFS(super1[Qtde],super1[Item],tab_higiene[[#This Row],[Item]],super1[Bairro],mercado12)+SUMIFS(supercb[Qtde],supercb[Item],tab_higiene[[#This Row],[Item]],supercb[Bairro],mercado12)</f>
        <v>0</v>
      </c>
      <c r="AW117" s="4">
        <f>SUMIFS(super1[Qtde],super1[Item],tab_higiene[[#This Row],[Item]],super1[Bairro],mercado13)+SUMIFS(supercb[Qtde],supercb[Item],tab_higiene[[#This Row],[Item]],supercb[Bairro],mercado13)</f>
        <v>0</v>
      </c>
      <c r="AX117" s="4">
        <f>SUMIFS(super1[Qtde],super1[Item],tab_higiene[[#This Row],[Item]],super1[Bairro],mercado14)+SUMIFS(supercb[Qtde],supercb[Item],tab_higiene[[#This Row],[Item]],supercb[Bairro],mercado14)</f>
        <v>0</v>
      </c>
      <c r="AY117" s="4">
        <f>SUMIFS(super1[Qtde],super1[Item],tab_higiene[[#This Row],[Item]],super1[Bairro],mercado15)+SUMIFS(supercb[Qtde],supercb[Item],tab_higiene[[#This Row],[Item]],supercb[Bairro],mercado15)</f>
        <v>0</v>
      </c>
      <c r="AZ117" s="4">
        <f>SUMIFS(super1[Qtde],super1[Item],tab_higiene[[#This Row],[Item]],super1[Bairro],mercado16)+SUMIFS(supercb[Qtde],supercb[Item],tab_higiene[[#This Row],[Item]],supercb[Bairro],mercado16)</f>
        <v>0</v>
      </c>
      <c r="BA117" s="4">
        <f>SUMIFS(super1[Qtde],super1[Item],tab_higiene[[#This Row],[Item]],super1[Bairro],mercado17)+SUMIFS(supercb[Qtde],supercb[Item],tab_higiene[[#This Row],[Item]],supercb[Bairro],mercado17)</f>
        <v>0</v>
      </c>
      <c r="BB117" s="4">
        <f>SUMIFS(super1[Qtde],super1[Item],tab_higiene[[#This Row],[Item]],super1[Bairro],mercado18)+SUMIFS(supercb[Qtde],supercb[Item],tab_higiene[[#This Row],[Item]],supercb[Bairro],mercado18)</f>
        <v>0</v>
      </c>
      <c r="BC117" s="4">
        <f>SUMIFS(super1[Qtde],super1[Item],tab_higiene[[#This Row],[Item]],super1[Bairro],extras)+SUMIFS(supercb[Qtde],supercb[Item],tab_higiene[[#This Row],[Item]],supercb[Bairro],extras)</f>
        <v>0</v>
      </c>
      <c r="BD117" s="4">
        <f t="shared" si="41"/>
        <v>0</v>
      </c>
      <c r="BE117" s="4">
        <f t="shared" si="42"/>
        <v>0</v>
      </c>
      <c r="BF117" s="6">
        <f t="shared" si="43"/>
        <v>0</v>
      </c>
      <c r="BI117" s="1" t="str">
        <f>tab_alimentos[[#This Row],[Item]]</f>
        <v>Bolacha Doce Recheio (120g)</v>
      </c>
      <c r="BJ117" s="1">
        <f t="shared" si="25"/>
        <v>21</v>
      </c>
      <c r="BK117" s="1" t="str">
        <f t="shared" si="26"/>
        <v>Bolacha Doce Recheio</v>
      </c>
      <c r="BL117" s="1">
        <f>tab_alimentos[[#This Row],[kg]]</f>
        <v>0</v>
      </c>
      <c r="BN117" s="1">
        <f t="shared" si="36"/>
        <v>0</v>
      </c>
      <c r="BP117" s="1" t="str">
        <f>tab_higiene[[#This Row],[Item]]</f>
        <v>Fraldas Infantis (44un)</v>
      </c>
      <c r="BQ117" s="1">
        <f t="shared" si="33"/>
        <v>17</v>
      </c>
      <c r="BR117" s="1" t="str">
        <f t="shared" si="34"/>
        <v>Fraldas Infantis</v>
      </c>
      <c r="BS117" s="1">
        <f>higiene[[#This Row],[Quantidade]]</f>
        <v>0.75</v>
      </c>
      <c r="BT117" s="1">
        <f>tab_higiene[[#This Row],[Qtde (tot)]]</f>
        <v>0</v>
      </c>
      <c r="BU117" s="1">
        <f t="shared" si="37"/>
        <v>0</v>
      </c>
      <c r="BW117" s="1">
        <f t="shared" si="44"/>
        <v>0</v>
      </c>
    </row>
    <row r="118" spans="9:75" x14ac:dyDescent="0.25">
      <c r="I118" s="19" t="str">
        <f>alimentos[[#This Row],[Item]]</f>
        <v>Bolacha Doce Recheio (126g)</v>
      </c>
      <c r="J118" s="4">
        <f>IFERROR(alimentos[[#This Row],[kg/embalagem]],0)</f>
        <v>0.126</v>
      </c>
      <c r="K118" s="4">
        <f>IFERROR(alimentos[[#This Row],[Preço]],0)</f>
        <v>3.22</v>
      </c>
      <c r="L118" s="4">
        <f>SUMIFS(super1[Qtde],super1[Item],tab_alimentos[[#This Row],[Item]],super1[Bairro],mercado1)+SUMIFS(supercb[Qtde],supercb[Item],tab_alimentos[[#This Row],[Item]],supercb[Bairro],mercado1)</f>
        <v>0</v>
      </c>
      <c r="M118" s="4">
        <f>SUMIFS(super1[Qtde],super1[Item],tab_alimentos[[#This Row],[Item]],super1[Bairro],mercado2)+SUMIFS(supercb[Qtde],supercb[Item],tab_alimentos[[#This Row],[Item]],supercb[Bairro],mercado2)</f>
        <v>0</v>
      </c>
      <c r="N118" s="4">
        <f>SUMIFS(super1[Qtde],super1[Item],tab_alimentos[[#This Row],[Item]],super1[Bairro],mercado3)+SUMIFS(supercb[Qtde],supercb[Item],tab_alimentos[[#This Row],[Item]],supercb[Bairro],mercado3)</f>
        <v>0</v>
      </c>
      <c r="O118" s="4">
        <f>SUMIFS(super1[Qtde],super1[Item],tab_alimentos[[#This Row],[Item]],super1[Bairro],mercado4)+SUMIFS(supercb[Qtde],supercb[Item],tab_alimentos[[#This Row],[Item]],supercb[Bairro],mercado4)</f>
        <v>0</v>
      </c>
      <c r="P118" s="4">
        <f>SUMIFS(super1[Qtde],super1[Item],tab_alimentos[[#This Row],[Item]],super1[Bairro],mercado5)+SUMIFS(supercb[Qtde],supercb[Item],tab_alimentos[[#This Row],[Item]],supercb[Bairro],mercado5)</f>
        <v>0</v>
      </c>
      <c r="Q118" s="4">
        <f>SUMIFS(super1[Qtde],super1[Item],tab_alimentos[[#This Row],[Item]],super1[Bairro],mercado6)+SUMIFS(supercb[Qtde],supercb[Item],tab_alimentos[[#This Row],[Item]],supercb[Bairro],mercado6)</f>
        <v>0</v>
      </c>
      <c r="R118" s="4">
        <f>SUMIFS(super1[Qtde],super1[Item],tab_alimentos[[#This Row],[Item]],super1[Bairro],mercado7)+SUMIFS(supercb[Qtde],supercb[Item],tab_alimentos[[#This Row],[Item]],supercb[Bairro],mercado7)</f>
        <v>0</v>
      </c>
      <c r="S118" s="4">
        <f>SUMIFS(super1[Qtde],super1[Item],tab_alimentos[[#This Row],[Item]],super1[Bairro],mercado8)+SUMIFS(supercb[Qtde],supercb[Item],tab_alimentos[[#This Row],[Item]],supercb[Bairro],mercado8)</f>
        <v>0</v>
      </c>
      <c r="T118" s="4">
        <f>SUMIFS(super1[Qtde],super1[Item],tab_alimentos[[#This Row],[Item]],super1[Bairro],mercado9)+SUMIFS(supercb[Qtde],supercb[Item],tab_alimentos[[#This Row],[Item]],supercb[Bairro],mercado9)</f>
        <v>0</v>
      </c>
      <c r="U118" s="4">
        <f>SUMIFS(super1[Qtde],super1[Item],tab_alimentos[[#This Row],[Item]],super1[Bairro],mercado10)+SUMIFS(supercb[Qtde],supercb[Item],tab_alimentos[[#This Row],[Item]],supercb[Bairro],mercado10)</f>
        <v>0</v>
      </c>
      <c r="V118" s="4">
        <f>SUMIFS(super1[Qtde],super1[Item],tab_alimentos[[#This Row],[Item]],super1[Bairro],mercado11)+SUMIFS(supercb[Qtde],supercb[Item],tab_alimentos[[#This Row],[Item]],supercb[Bairro],mercado11)</f>
        <v>0</v>
      </c>
      <c r="W118" s="4">
        <f>SUMIFS(super1[Qtde],super1[Item],tab_alimentos[[#This Row],[Item]],super1[Bairro],mercado12)+SUMIFS(supercb[Qtde],supercb[Item],tab_alimentos[[#This Row],[Item]],supercb[Bairro],mercado12)</f>
        <v>0</v>
      </c>
      <c r="X118" s="4">
        <f>SUMIFS(super1[Qtde],super1[Item],tab_alimentos[[#This Row],[Item]],super1[Bairro],mercado13)+SUMIFS(supercb[Qtde],supercb[Item],tab_alimentos[[#This Row],[Item]],supercb[Bairro],mercado13)</f>
        <v>0</v>
      </c>
      <c r="Y118" s="4">
        <f>SUMIFS(super1[Qtde],super1[Item],tab_alimentos[[#This Row],[Item]],super1[Bairro],mercado14)+SUMIFS(supercb[Qtde],supercb[Item],tab_alimentos[[#This Row],[Item]],supercb[Bairro],mercado14)</f>
        <v>0</v>
      </c>
      <c r="Z118" s="4">
        <f>SUMIFS(super1[Qtde],super1[Item],tab_alimentos[[#This Row],[Item]],super1[Bairro],mercado15)+SUMIFS(supercb[Qtde],supercb[Item],tab_alimentos[[#This Row],[Item]],supercb[Bairro],mercado15)</f>
        <v>0</v>
      </c>
      <c r="AA118" s="4">
        <f>SUMIFS(super1[Qtde],super1[Item],tab_alimentos[[#This Row],[Item]],super1[Bairro],mercado16)+SUMIFS(supercb[Qtde],supercb[Item],tab_alimentos[[#This Row],[Item]],supercb[Bairro],mercado16)</f>
        <v>0</v>
      </c>
      <c r="AB118" s="4">
        <f>SUMIFS(super1[Qtde],super1[Item],tab_alimentos[[#This Row],[Item]],super1[Bairro],mercado17)+SUMIFS(supercb[Qtde],supercb[Item],tab_alimentos[[#This Row],[Item]],supercb[Bairro],mercado17)</f>
        <v>0</v>
      </c>
      <c r="AC118" s="4">
        <f>SUMIFS(super1[Qtde],super1[Item],tab_alimentos[[#This Row],[Item]],super1[Bairro],mercado18)+SUMIFS(supercb[Qtde],supercb[Item],tab_alimentos[[#This Row],[Item]],supercb[Bairro],mercado18)</f>
        <v>0</v>
      </c>
      <c r="AD118" s="4">
        <f>SUMIFS(super1[Qtde],super1[Item],tab_alimentos[[#This Row],[Item]],super1[Bairro],extras)+SUMIFS(supercb[Qtde],supercb[Item],tab_alimentos[[#This Row],[Item]],supercb[Bairro],extras)</f>
        <v>0</v>
      </c>
      <c r="AE118" s="4">
        <f t="shared" si="38"/>
        <v>0</v>
      </c>
      <c r="AF118" s="4">
        <f t="shared" si="39"/>
        <v>0</v>
      </c>
      <c r="AG118" s="6">
        <f t="shared" si="40"/>
        <v>0</v>
      </c>
      <c r="AH118" s="19" t="str">
        <f>higiene[[#This Row],[Item]]</f>
        <v>Fraldas Infantis (46un)</v>
      </c>
      <c r="AI118" s="4">
        <f>IFERROR(higiene[[#This Row],[Kg equivalente]],0)</f>
        <v>0</v>
      </c>
      <c r="AJ118" s="4">
        <f>IFERROR(higiene[[#This Row],[Preço por produto]],0)</f>
        <v>39.99</v>
      </c>
      <c r="AK118" s="4">
        <f>SUMIFS(super1[Qtde],super1[Item],tab_higiene[[#This Row],[Item]],super1[Bairro],mercado1)+SUMIFS(supercb[Qtde],supercb[Item],tab_higiene[[#This Row],[Item]],supercb[Bairro],mercado1)</f>
        <v>0</v>
      </c>
      <c r="AL118" s="4">
        <f>SUMIFS(super1[Qtde],super1[Item],tab_higiene[[#This Row],[Item]],super1[Bairro],mercado2)+SUMIFS(supercb[Qtde],supercb[Item],tab_higiene[[#This Row],[Item]],supercb[Bairro],mercado2)</f>
        <v>0</v>
      </c>
      <c r="AM118" s="4">
        <f>SUMIFS(super1[Qtde],super1[Item],tab_higiene[[#This Row],[Item]],super1[Bairro],mercado3)+SUMIFS(supercb[Qtde],supercb[Item],tab_higiene[[#This Row],[Item]],supercb[Bairro],mercado3)</f>
        <v>0</v>
      </c>
      <c r="AN118" s="4">
        <f>SUMIFS(super1[Qtde],super1[Item],tab_higiene[[#This Row],[Item]],super1[Bairro],mercado4)+SUMIFS(supercb[Qtde],supercb[Item],tab_higiene[[#This Row],[Item]],supercb[Bairro],mercado4)</f>
        <v>0</v>
      </c>
      <c r="AO118" s="4">
        <f>SUMIFS(super1[Qtde],super1[Item],tab_higiene[[#This Row],[Item]],super1[Bairro],mercado5)+SUMIFS(supercb[Qtde],supercb[Item],tab_higiene[[#This Row],[Item]],supercb[Bairro],mercado5)</f>
        <v>0</v>
      </c>
      <c r="AP118" s="4">
        <f>SUMIFS(super1[Qtde],super1[Item],tab_higiene[[#This Row],[Item]],super1[Bairro],mercado6)+SUMIFS(supercb[Qtde],supercb[Item],tab_higiene[[#This Row],[Item]],supercb[Bairro],mercado6)</f>
        <v>0</v>
      </c>
      <c r="AQ118" s="4">
        <f>SUMIFS(super1[Qtde],super1[Item],tab_higiene[[#This Row],[Item]],super1[Bairro],mercado7)+SUMIFS(supercb[Qtde],supercb[Item],tab_higiene[[#This Row],[Item]],supercb[Bairro],mercado7)</f>
        <v>0</v>
      </c>
      <c r="AR118" s="4">
        <f>SUMIFS(super1[Qtde],super1[Item],tab_higiene[[#This Row],[Item]],super1[Bairro],mercado8)+SUMIFS(supercb[Qtde],supercb[Item],tab_higiene[[#This Row],[Item]],supercb[Bairro],mercado8)</f>
        <v>0</v>
      </c>
      <c r="AS118" s="4">
        <f>SUMIFS(super1[Qtde],super1[Item],tab_higiene[[#This Row],[Item]],super1[Bairro],mercado9)+SUMIFS(supercb[Qtde],supercb[Item],tab_higiene[[#This Row],[Item]],supercb[Bairro],mercado9)</f>
        <v>0</v>
      </c>
      <c r="AT118" s="4">
        <f>SUMIFS(super1[Qtde],super1[Item],tab_higiene[[#This Row],[Item]],super1[Bairro],mercado10)+SUMIFS(supercb[Qtde],supercb[Item],tab_higiene[[#This Row],[Item]],supercb[Bairro],mercado10)</f>
        <v>0</v>
      </c>
      <c r="AU118" s="4">
        <f>SUMIFS(super1[Qtde],super1[Item],tab_higiene[[#This Row],[Item]],super1[Bairro],mercado11)+SUMIFS(supercb[Qtde],supercb[Item],tab_higiene[[#This Row],[Item]],supercb[Bairro],mercado11)</f>
        <v>0</v>
      </c>
      <c r="AV118" s="4">
        <f>SUMIFS(super1[Qtde],super1[Item],tab_higiene[[#This Row],[Item]],super1[Bairro],mercado12)+SUMIFS(supercb[Qtde],supercb[Item],tab_higiene[[#This Row],[Item]],supercb[Bairro],mercado12)</f>
        <v>0</v>
      </c>
      <c r="AW118" s="4">
        <f>SUMIFS(super1[Qtde],super1[Item],tab_higiene[[#This Row],[Item]],super1[Bairro],mercado13)+SUMIFS(supercb[Qtde],supercb[Item],tab_higiene[[#This Row],[Item]],supercb[Bairro],mercado13)</f>
        <v>0</v>
      </c>
      <c r="AX118" s="4">
        <f>SUMIFS(super1[Qtde],super1[Item],tab_higiene[[#This Row],[Item]],super1[Bairro],mercado14)+SUMIFS(supercb[Qtde],supercb[Item],tab_higiene[[#This Row],[Item]],supercb[Bairro],mercado14)</f>
        <v>0</v>
      </c>
      <c r="AY118" s="4">
        <f>SUMIFS(super1[Qtde],super1[Item],tab_higiene[[#This Row],[Item]],super1[Bairro],mercado15)+SUMIFS(supercb[Qtde],supercb[Item],tab_higiene[[#This Row],[Item]],supercb[Bairro],mercado15)</f>
        <v>0</v>
      </c>
      <c r="AZ118" s="4">
        <f>SUMIFS(super1[Qtde],super1[Item],tab_higiene[[#This Row],[Item]],super1[Bairro],mercado16)+SUMIFS(supercb[Qtde],supercb[Item],tab_higiene[[#This Row],[Item]],supercb[Bairro],mercado16)</f>
        <v>0</v>
      </c>
      <c r="BA118" s="4">
        <f>SUMIFS(super1[Qtde],super1[Item],tab_higiene[[#This Row],[Item]],super1[Bairro],mercado17)+SUMIFS(supercb[Qtde],supercb[Item],tab_higiene[[#This Row],[Item]],supercb[Bairro],mercado17)</f>
        <v>0</v>
      </c>
      <c r="BB118" s="4">
        <f>SUMIFS(super1[Qtde],super1[Item],tab_higiene[[#This Row],[Item]],super1[Bairro],mercado18)+SUMIFS(supercb[Qtde],supercb[Item],tab_higiene[[#This Row],[Item]],supercb[Bairro],mercado18)</f>
        <v>0</v>
      </c>
      <c r="BC118" s="4">
        <f>SUMIFS(super1[Qtde],super1[Item],tab_higiene[[#This Row],[Item]],super1[Bairro],extras)+SUMIFS(supercb[Qtde],supercb[Item],tab_higiene[[#This Row],[Item]],supercb[Bairro],extras)</f>
        <v>0</v>
      </c>
      <c r="BD118" s="4">
        <f t="shared" si="41"/>
        <v>0</v>
      </c>
      <c r="BE118" s="4">
        <f t="shared" si="42"/>
        <v>0</v>
      </c>
      <c r="BF118" s="6">
        <f t="shared" si="43"/>
        <v>0</v>
      </c>
      <c r="BI118" s="1" t="str">
        <f>tab_alimentos[[#This Row],[Item]]</f>
        <v>Bolacha Doce Recheio (126g)</v>
      </c>
      <c r="BJ118" s="1">
        <f t="shared" si="25"/>
        <v>21</v>
      </c>
      <c r="BK118" s="1" t="str">
        <f t="shared" si="26"/>
        <v>Bolacha Doce Recheio</v>
      </c>
      <c r="BL118" s="1">
        <f>tab_alimentos[[#This Row],[kg]]</f>
        <v>0</v>
      </c>
      <c r="BN118" s="1">
        <f t="shared" si="36"/>
        <v>0</v>
      </c>
      <c r="BP118" s="1" t="str">
        <f>tab_higiene[[#This Row],[Item]]</f>
        <v>Fraldas Infantis (46un)</v>
      </c>
      <c r="BQ118" s="1">
        <f t="shared" si="33"/>
        <v>17</v>
      </c>
      <c r="BR118" s="1" t="str">
        <f t="shared" si="34"/>
        <v>Fraldas Infantis</v>
      </c>
      <c r="BS118" s="1">
        <f>higiene[[#This Row],[Quantidade]]</f>
        <v>3</v>
      </c>
      <c r="BT118" s="1">
        <f>tab_higiene[[#This Row],[Qtde (tot)]]</f>
        <v>0</v>
      </c>
      <c r="BU118" s="1">
        <f t="shared" si="37"/>
        <v>0</v>
      </c>
      <c r="BW118" s="1">
        <f t="shared" si="44"/>
        <v>0</v>
      </c>
    </row>
    <row r="119" spans="9:75" x14ac:dyDescent="0.25">
      <c r="I119" s="19" t="str">
        <f>alimentos[[#This Row],[Item]]</f>
        <v>Bolacha Doce Recheio (130g)</v>
      </c>
      <c r="J119" s="4">
        <f>IFERROR(alimentos[[#This Row],[kg/embalagem]],0)</f>
        <v>0.13</v>
      </c>
      <c r="K119" s="4">
        <f>IFERROR(alimentos[[#This Row],[Preço]],0)</f>
        <v>3.22</v>
      </c>
      <c r="L119" s="4">
        <f>SUMIFS(super1[Qtde],super1[Item],tab_alimentos[[#This Row],[Item]],super1[Bairro],mercado1)+SUMIFS(supercb[Qtde],supercb[Item],tab_alimentos[[#This Row],[Item]],supercb[Bairro],mercado1)</f>
        <v>0</v>
      </c>
      <c r="M119" s="4">
        <f>SUMIFS(super1[Qtde],super1[Item],tab_alimentos[[#This Row],[Item]],super1[Bairro],mercado2)+SUMIFS(supercb[Qtde],supercb[Item],tab_alimentos[[#This Row],[Item]],supercb[Bairro],mercado2)</f>
        <v>0</v>
      </c>
      <c r="N119" s="4">
        <f>SUMIFS(super1[Qtde],super1[Item],tab_alimentos[[#This Row],[Item]],super1[Bairro],mercado3)+SUMIFS(supercb[Qtde],supercb[Item],tab_alimentos[[#This Row],[Item]],supercb[Bairro],mercado3)</f>
        <v>0</v>
      </c>
      <c r="O119" s="4">
        <f>SUMIFS(super1[Qtde],super1[Item],tab_alimentos[[#This Row],[Item]],super1[Bairro],mercado4)+SUMIFS(supercb[Qtde],supercb[Item],tab_alimentos[[#This Row],[Item]],supercb[Bairro],mercado4)</f>
        <v>0</v>
      </c>
      <c r="P119" s="4">
        <f>SUMIFS(super1[Qtde],super1[Item],tab_alimentos[[#This Row],[Item]],super1[Bairro],mercado5)+SUMIFS(supercb[Qtde],supercb[Item],tab_alimentos[[#This Row],[Item]],supercb[Bairro],mercado5)</f>
        <v>0</v>
      </c>
      <c r="Q119" s="4">
        <f>SUMIFS(super1[Qtde],super1[Item],tab_alimentos[[#This Row],[Item]],super1[Bairro],mercado6)+SUMIFS(supercb[Qtde],supercb[Item],tab_alimentos[[#This Row],[Item]],supercb[Bairro],mercado6)</f>
        <v>0</v>
      </c>
      <c r="R119" s="4">
        <f>SUMIFS(super1[Qtde],super1[Item],tab_alimentos[[#This Row],[Item]],super1[Bairro],mercado7)+SUMIFS(supercb[Qtde],supercb[Item],tab_alimentos[[#This Row],[Item]],supercb[Bairro],mercado7)</f>
        <v>0</v>
      </c>
      <c r="S119" s="4">
        <f>SUMIFS(super1[Qtde],super1[Item],tab_alimentos[[#This Row],[Item]],super1[Bairro],mercado8)+SUMIFS(supercb[Qtde],supercb[Item],tab_alimentos[[#This Row],[Item]],supercb[Bairro],mercado8)</f>
        <v>0</v>
      </c>
      <c r="T119" s="4">
        <f>SUMIFS(super1[Qtde],super1[Item],tab_alimentos[[#This Row],[Item]],super1[Bairro],mercado9)+SUMIFS(supercb[Qtde],supercb[Item],tab_alimentos[[#This Row],[Item]],supercb[Bairro],mercado9)</f>
        <v>0</v>
      </c>
      <c r="U119" s="4">
        <f>SUMIFS(super1[Qtde],super1[Item],tab_alimentos[[#This Row],[Item]],super1[Bairro],mercado10)+SUMIFS(supercb[Qtde],supercb[Item],tab_alimentos[[#This Row],[Item]],supercb[Bairro],mercado10)</f>
        <v>0</v>
      </c>
      <c r="V119" s="4">
        <f>SUMIFS(super1[Qtde],super1[Item],tab_alimentos[[#This Row],[Item]],super1[Bairro],mercado11)+SUMIFS(supercb[Qtde],supercb[Item],tab_alimentos[[#This Row],[Item]],supercb[Bairro],mercado11)</f>
        <v>0</v>
      </c>
      <c r="W119" s="4">
        <f>SUMIFS(super1[Qtde],super1[Item],tab_alimentos[[#This Row],[Item]],super1[Bairro],mercado12)+SUMIFS(supercb[Qtde],supercb[Item],tab_alimentos[[#This Row],[Item]],supercb[Bairro],mercado12)</f>
        <v>0</v>
      </c>
      <c r="X119" s="4">
        <f>SUMIFS(super1[Qtde],super1[Item],tab_alimentos[[#This Row],[Item]],super1[Bairro],mercado13)+SUMIFS(supercb[Qtde],supercb[Item],tab_alimentos[[#This Row],[Item]],supercb[Bairro],mercado13)</f>
        <v>0</v>
      </c>
      <c r="Y119" s="4">
        <f>SUMIFS(super1[Qtde],super1[Item],tab_alimentos[[#This Row],[Item]],super1[Bairro],mercado14)+SUMIFS(supercb[Qtde],supercb[Item],tab_alimentos[[#This Row],[Item]],supercb[Bairro],mercado14)</f>
        <v>0</v>
      </c>
      <c r="Z119" s="4">
        <f>SUMIFS(super1[Qtde],super1[Item],tab_alimentos[[#This Row],[Item]],super1[Bairro],mercado15)+SUMIFS(supercb[Qtde],supercb[Item],tab_alimentos[[#This Row],[Item]],supercb[Bairro],mercado15)</f>
        <v>0</v>
      </c>
      <c r="AA119" s="4">
        <f>SUMIFS(super1[Qtde],super1[Item],tab_alimentos[[#This Row],[Item]],super1[Bairro],mercado16)+SUMIFS(supercb[Qtde],supercb[Item],tab_alimentos[[#This Row],[Item]],supercb[Bairro],mercado16)</f>
        <v>0</v>
      </c>
      <c r="AB119" s="4">
        <f>SUMIFS(super1[Qtde],super1[Item],tab_alimentos[[#This Row],[Item]],super1[Bairro],mercado17)+SUMIFS(supercb[Qtde],supercb[Item],tab_alimentos[[#This Row],[Item]],supercb[Bairro],mercado17)</f>
        <v>0</v>
      </c>
      <c r="AC119" s="4">
        <f>SUMIFS(super1[Qtde],super1[Item],tab_alimentos[[#This Row],[Item]],super1[Bairro],mercado18)+SUMIFS(supercb[Qtde],supercb[Item],tab_alimentos[[#This Row],[Item]],supercb[Bairro],mercado18)</f>
        <v>0</v>
      </c>
      <c r="AD119" s="4">
        <f>SUMIFS(super1[Qtde],super1[Item],tab_alimentos[[#This Row],[Item]],super1[Bairro],extras)+SUMIFS(supercb[Qtde],supercb[Item],tab_alimentos[[#This Row],[Item]],supercb[Bairro],extras)</f>
        <v>0</v>
      </c>
      <c r="AE119" s="4">
        <f t="shared" si="38"/>
        <v>0</v>
      </c>
      <c r="AF119" s="4">
        <f t="shared" si="39"/>
        <v>0</v>
      </c>
      <c r="AG119" s="6">
        <f t="shared" si="40"/>
        <v>0</v>
      </c>
      <c r="AH119" s="19" t="str">
        <f>higiene[[#This Row],[Item]]</f>
        <v>Fraldas Infantis (48un)</v>
      </c>
      <c r="AI119" s="4">
        <f>IFERROR(higiene[[#This Row],[Kg equivalente]],0)</f>
        <v>0</v>
      </c>
      <c r="AJ119" s="4">
        <f>IFERROR(higiene[[#This Row],[Preço por produto]],0)</f>
        <v>31.9</v>
      </c>
      <c r="AK119" s="4">
        <f>SUMIFS(super1[Qtde],super1[Item],tab_higiene[[#This Row],[Item]],super1[Bairro],mercado1)+SUMIFS(supercb[Qtde],supercb[Item],tab_higiene[[#This Row],[Item]],supercb[Bairro],mercado1)</f>
        <v>0</v>
      </c>
      <c r="AL119" s="4">
        <f>SUMIFS(super1[Qtde],super1[Item],tab_higiene[[#This Row],[Item]],super1[Bairro],mercado2)+SUMIFS(supercb[Qtde],supercb[Item],tab_higiene[[#This Row],[Item]],supercb[Bairro],mercado2)</f>
        <v>0</v>
      </c>
      <c r="AM119" s="4">
        <f>SUMIFS(super1[Qtde],super1[Item],tab_higiene[[#This Row],[Item]],super1[Bairro],mercado3)+SUMIFS(supercb[Qtde],supercb[Item],tab_higiene[[#This Row],[Item]],supercb[Bairro],mercado3)</f>
        <v>0</v>
      </c>
      <c r="AN119" s="4">
        <f>SUMIFS(super1[Qtde],super1[Item],tab_higiene[[#This Row],[Item]],super1[Bairro],mercado4)+SUMIFS(supercb[Qtde],supercb[Item],tab_higiene[[#This Row],[Item]],supercb[Bairro],mercado4)</f>
        <v>0</v>
      </c>
      <c r="AO119" s="4">
        <f>SUMIFS(super1[Qtde],super1[Item],tab_higiene[[#This Row],[Item]],super1[Bairro],mercado5)+SUMIFS(supercb[Qtde],supercb[Item],tab_higiene[[#This Row],[Item]],supercb[Bairro],mercado5)</f>
        <v>0</v>
      </c>
      <c r="AP119" s="4">
        <f>SUMIFS(super1[Qtde],super1[Item],tab_higiene[[#This Row],[Item]],super1[Bairro],mercado6)+SUMIFS(supercb[Qtde],supercb[Item],tab_higiene[[#This Row],[Item]],supercb[Bairro],mercado6)</f>
        <v>0</v>
      </c>
      <c r="AQ119" s="4">
        <f>SUMIFS(super1[Qtde],super1[Item],tab_higiene[[#This Row],[Item]],super1[Bairro],mercado7)+SUMIFS(supercb[Qtde],supercb[Item],tab_higiene[[#This Row],[Item]],supercb[Bairro],mercado7)</f>
        <v>0</v>
      </c>
      <c r="AR119" s="4">
        <f>SUMIFS(super1[Qtde],super1[Item],tab_higiene[[#This Row],[Item]],super1[Bairro],mercado8)+SUMIFS(supercb[Qtde],supercb[Item],tab_higiene[[#This Row],[Item]],supercb[Bairro],mercado8)</f>
        <v>0</v>
      </c>
      <c r="AS119" s="4">
        <f>SUMIFS(super1[Qtde],super1[Item],tab_higiene[[#This Row],[Item]],super1[Bairro],mercado9)+SUMIFS(supercb[Qtde],supercb[Item],tab_higiene[[#This Row],[Item]],supercb[Bairro],mercado9)</f>
        <v>0</v>
      </c>
      <c r="AT119" s="4">
        <f>SUMIFS(super1[Qtde],super1[Item],tab_higiene[[#This Row],[Item]],super1[Bairro],mercado10)+SUMIFS(supercb[Qtde],supercb[Item],tab_higiene[[#This Row],[Item]],supercb[Bairro],mercado10)</f>
        <v>0</v>
      </c>
      <c r="AU119" s="4">
        <f>SUMIFS(super1[Qtde],super1[Item],tab_higiene[[#This Row],[Item]],super1[Bairro],mercado11)+SUMIFS(supercb[Qtde],supercb[Item],tab_higiene[[#This Row],[Item]],supercb[Bairro],mercado11)</f>
        <v>0</v>
      </c>
      <c r="AV119" s="4">
        <f>SUMIFS(super1[Qtde],super1[Item],tab_higiene[[#This Row],[Item]],super1[Bairro],mercado12)+SUMIFS(supercb[Qtde],supercb[Item],tab_higiene[[#This Row],[Item]],supercb[Bairro],mercado12)</f>
        <v>0</v>
      </c>
      <c r="AW119" s="4">
        <f>SUMIFS(super1[Qtde],super1[Item],tab_higiene[[#This Row],[Item]],super1[Bairro],mercado13)+SUMIFS(supercb[Qtde],supercb[Item],tab_higiene[[#This Row],[Item]],supercb[Bairro],mercado13)</f>
        <v>0</v>
      </c>
      <c r="AX119" s="4">
        <f>SUMIFS(super1[Qtde],super1[Item],tab_higiene[[#This Row],[Item]],super1[Bairro],mercado14)+SUMIFS(supercb[Qtde],supercb[Item],tab_higiene[[#This Row],[Item]],supercb[Bairro],mercado14)</f>
        <v>0</v>
      </c>
      <c r="AY119" s="4">
        <f>SUMIFS(super1[Qtde],super1[Item],tab_higiene[[#This Row],[Item]],super1[Bairro],mercado15)+SUMIFS(supercb[Qtde],supercb[Item],tab_higiene[[#This Row],[Item]],supercb[Bairro],mercado15)</f>
        <v>0</v>
      </c>
      <c r="AZ119" s="4">
        <f>SUMIFS(super1[Qtde],super1[Item],tab_higiene[[#This Row],[Item]],super1[Bairro],mercado16)+SUMIFS(supercb[Qtde],supercb[Item],tab_higiene[[#This Row],[Item]],supercb[Bairro],mercado16)</f>
        <v>0</v>
      </c>
      <c r="BA119" s="4">
        <f>SUMIFS(super1[Qtde],super1[Item],tab_higiene[[#This Row],[Item]],super1[Bairro],mercado17)+SUMIFS(supercb[Qtde],supercb[Item],tab_higiene[[#This Row],[Item]],supercb[Bairro],mercado17)</f>
        <v>0</v>
      </c>
      <c r="BB119" s="4">
        <f>SUMIFS(super1[Qtde],super1[Item],tab_higiene[[#This Row],[Item]],super1[Bairro],mercado18)+SUMIFS(supercb[Qtde],supercb[Item],tab_higiene[[#This Row],[Item]],supercb[Bairro],mercado18)</f>
        <v>0</v>
      </c>
      <c r="BC119" s="4">
        <f>SUMIFS(super1[Qtde],super1[Item],tab_higiene[[#This Row],[Item]],super1[Bairro],extras)+SUMIFS(supercb[Qtde],supercb[Item],tab_higiene[[#This Row],[Item]],supercb[Bairro],extras)</f>
        <v>0</v>
      </c>
      <c r="BD119" s="4">
        <f t="shared" si="41"/>
        <v>0</v>
      </c>
      <c r="BE119" s="4">
        <f t="shared" si="42"/>
        <v>0</v>
      </c>
      <c r="BF119" s="6">
        <f t="shared" si="43"/>
        <v>0</v>
      </c>
      <c r="BI119" s="1" t="str">
        <f>tab_alimentos[[#This Row],[Item]]</f>
        <v>Bolacha Doce Recheio (130g)</v>
      </c>
      <c r="BJ119" s="1">
        <f t="shared" si="25"/>
        <v>21</v>
      </c>
      <c r="BK119" s="1" t="str">
        <f t="shared" si="26"/>
        <v>Bolacha Doce Recheio</v>
      </c>
      <c r="BL119" s="1">
        <f>tab_alimentos[[#This Row],[kg]]</f>
        <v>0</v>
      </c>
      <c r="BN119" s="1">
        <f t="shared" si="36"/>
        <v>0</v>
      </c>
      <c r="BP119" s="1" t="str">
        <f>tab_higiene[[#This Row],[Item]]</f>
        <v>Fraldas Infantis (48un)</v>
      </c>
      <c r="BQ119" s="1">
        <f t="shared" si="33"/>
        <v>17</v>
      </c>
      <c r="BR119" s="1" t="str">
        <f t="shared" si="34"/>
        <v>Fraldas Infantis</v>
      </c>
      <c r="BS119" s="1">
        <f>higiene[[#This Row],[Quantidade]]</f>
        <v>0</v>
      </c>
      <c r="BT119" s="1">
        <f>tab_higiene[[#This Row],[Qtde (tot)]]</f>
        <v>0</v>
      </c>
      <c r="BU119" s="1">
        <f t="shared" si="37"/>
        <v>0</v>
      </c>
      <c r="BW119" s="1">
        <f t="shared" si="44"/>
        <v>0</v>
      </c>
    </row>
    <row r="120" spans="9:75" x14ac:dyDescent="0.25">
      <c r="I120" s="19" t="str">
        <f>alimentos[[#This Row],[Item]]</f>
        <v>Bolacha Doce Recheio (135g)</v>
      </c>
      <c r="J120" s="4">
        <f>IFERROR(alimentos[[#This Row],[kg/embalagem]],0)</f>
        <v>0.13500000000000001</v>
      </c>
      <c r="K120" s="4">
        <f>IFERROR(alimentos[[#This Row],[Preço]],0)</f>
        <v>2.59</v>
      </c>
      <c r="L120" s="4">
        <f>SUMIFS(super1[Qtde],super1[Item],tab_alimentos[[#This Row],[Item]],super1[Bairro],mercado1)+SUMIFS(supercb[Qtde],supercb[Item],tab_alimentos[[#This Row],[Item]],supercb[Bairro],mercado1)</f>
        <v>0</v>
      </c>
      <c r="M120" s="4">
        <f>SUMIFS(super1[Qtde],super1[Item],tab_alimentos[[#This Row],[Item]],super1[Bairro],mercado2)+SUMIFS(supercb[Qtde],supercb[Item],tab_alimentos[[#This Row],[Item]],supercb[Bairro],mercado2)</f>
        <v>0</v>
      </c>
      <c r="N120" s="4">
        <f>SUMIFS(super1[Qtde],super1[Item],tab_alimentos[[#This Row],[Item]],super1[Bairro],mercado3)+SUMIFS(supercb[Qtde],supercb[Item],tab_alimentos[[#This Row],[Item]],supercb[Bairro],mercado3)</f>
        <v>0</v>
      </c>
      <c r="O120" s="4">
        <f>SUMIFS(super1[Qtde],super1[Item],tab_alimentos[[#This Row],[Item]],super1[Bairro],mercado4)+SUMIFS(supercb[Qtde],supercb[Item],tab_alimentos[[#This Row],[Item]],supercb[Bairro],mercado4)</f>
        <v>0</v>
      </c>
      <c r="P120" s="4">
        <f>SUMIFS(super1[Qtde],super1[Item],tab_alimentos[[#This Row],[Item]],super1[Bairro],mercado5)+SUMIFS(supercb[Qtde],supercb[Item],tab_alimentos[[#This Row],[Item]],supercb[Bairro],mercado5)</f>
        <v>0</v>
      </c>
      <c r="Q120" s="4">
        <f>SUMIFS(super1[Qtde],super1[Item],tab_alimentos[[#This Row],[Item]],super1[Bairro],mercado6)+SUMIFS(supercb[Qtde],supercb[Item],tab_alimentos[[#This Row],[Item]],supercb[Bairro],mercado6)</f>
        <v>0</v>
      </c>
      <c r="R120" s="4">
        <f>SUMIFS(super1[Qtde],super1[Item],tab_alimentos[[#This Row],[Item]],super1[Bairro],mercado7)+SUMIFS(supercb[Qtde],supercb[Item],tab_alimentos[[#This Row],[Item]],supercb[Bairro],mercado7)</f>
        <v>0</v>
      </c>
      <c r="S120" s="4">
        <f>SUMIFS(super1[Qtde],super1[Item],tab_alimentos[[#This Row],[Item]],super1[Bairro],mercado8)+SUMIFS(supercb[Qtde],supercb[Item],tab_alimentos[[#This Row],[Item]],supercb[Bairro],mercado8)</f>
        <v>0</v>
      </c>
      <c r="T120" s="4">
        <f>SUMIFS(super1[Qtde],super1[Item],tab_alimentos[[#This Row],[Item]],super1[Bairro],mercado9)+SUMIFS(supercb[Qtde],supercb[Item],tab_alimentos[[#This Row],[Item]],supercb[Bairro],mercado9)</f>
        <v>0</v>
      </c>
      <c r="U120" s="4">
        <f>SUMIFS(super1[Qtde],super1[Item],tab_alimentos[[#This Row],[Item]],super1[Bairro],mercado10)+SUMIFS(supercb[Qtde],supercb[Item],tab_alimentos[[#This Row],[Item]],supercb[Bairro],mercado10)</f>
        <v>0</v>
      </c>
      <c r="V120" s="4">
        <f>SUMIFS(super1[Qtde],super1[Item],tab_alimentos[[#This Row],[Item]],super1[Bairro],mercado11)+SUMIFS(supercb[Qtde],supercb[Item],tab_alimentos[[#This Row],[Item]],supercb[Bairro],mercado11)</f>
        <v>0</v>
      </c>
      <c r="W120" s="4">
        <f>SUMIFS(super1[Qtde],super1[Item],tab_alimentos[[#This Row],[Item]],super1[Bairro],mercado12)+SUMIFS(supercb[Qtde],supercb[Item],tab_alimentos[[#This Row],[Item]],supercb[Bairro],mercado12)</f>
        <v>0</v>
      </c>
      <c r="X120" s="4">
        <f>SUMIFS(super1[Qtde],super1[Item],tab_alimentos[[#This Row],[Item]],super1[Bairro],mercado13)+SUMIFS(supercb[Qtde],supercb[Item],tab_alimentos[[#This Row],[Item]],supercb[Bairro],mercado13)</f>
        <v>0</v>
      </c>
      <c r="Y120" s="4">
        <f>SUMIFS(super1[Qtde],super1[Item],tab_alimentos[[#This Row],[Item]],super1[Bairro],mercado14)+SUMIFS(supercb[Qtde],supercb[Item],tab_alimentos[[#This Row],[Item]],supercb[Bairro],mercado14)</f>
        <v>0</v>
      </c>
      <c r="Z120" s="4">
        <f>SUMIFS(super1[Qtde],super1[Item],tab_alimentos[[#This Row],[Item]],super1[Bairro],mercado15)+SUMIFS(supercb[Qtde],supercb[Item],tab_alimentos[[#This Row],[Item]],supercb[Bairro],mercado15)</f>
        <v>0</v>
      </c>
      <c r="AA120" s="4">
        <f>SUMIFS(super1[Qtde],super1[Item],tab_alimentos[[#This Row],[Item]],super1[Bairro],mercado16)+SUMIFS(supercb[Qtde],supercb[Item],tab_alimentos[[#This Row],[Item]],supercb[Bairro],mercado16)</f>
        <v>0</v>
      </c>
      <c r="AB120" s="4">
        <f>SUMIFS(super1[Qtde],super1[Item],tab_alimentos[[#This Row],[Item]],super1[Bairro],mercado17)+SUMIFS(supercb[Qtde],supercb[Item],tab_alimentos[[#This Row],[Item]],supercb[Bairro],mercado17)</f>
        <v>0</v>
      </c>
      <c r="AC120" s="4">
        <f>SUMIFS(super1[Qtde],super1[Item],tab_alimentos[[#This Row],[Item]],super1[Bairro],mercado18)+SUMIFS(supercb[Qtde],supercb[Item],tab_alimentos[[#This Row],[Item]],supercb[Bairro],mercado18)</f>
        <v>0</v>
      </c>
      <c r="AD120" s="4">
        <f>SUMIFS(super1[Qtde],super1[Item],tab_alimentos[[#This Row],[Item]],super1[Bairro],extras)+SUMIFS(supercb[Qtde],supercb[Item],tab_alimentos[[#This Row],[Item]],supercb[Bairro],extras)</f>
        <v>0</v>
      </c>
      <c r="AE120" s="4">
        <f t="shared" si="38"/>
        <v>0</v>
      </c>
      <c r="AF120" s="4">
        <f t="shared" si="39"/>
        <v>0</v>
      </c>
      <c r="AG120" s="6">
        <f t="shared" si="40"/>
        <v>0</v>
      </c>
      <c r="AH120" s="19" t="str">
        <f>higiene[[#This Row],[Item]]</f>
        <v>Fraldas Infantis (50un)</v>
      </c>
      <c r="AI120" s="4">
        <f>IFERROR(higiene[[#This Row],[Kg equivalente]],0)</f>
        <v>0</v>
      </c>
      <c r="AJ120" s="4">
        <f>IFERROR(higiene[[#This Row],[Preço por produto]],0)</f>
        <v>43.99</v>
      </c>
      <c r="AK120" s="4">
        <f>SUMIFS(super1[Qtde],super1[Item],tab_higiene[[#This Row],[Item]],super1[Bairro],mercado1)+SUMIFS(supercb[Qtde],supercb[Item],tab_higiene[[#This Row],[Item]],supercb[Bairro],mercado1)</f>
        <v>0</v>
      </c>
      <c r="AL120" s="4">
        <f>SUMIFS(super1[Qtde],super1[Item],tab_higiene[[#This Row],[Item]],super1[Bairro],mercado2)+SUMIFS(supercb[Qtde],supercb[Item],tab_higiene[[#This Row],[Item]],supercb[Bairro],mercado2)</f>
        <v>0</v>
      </c>
      <c r="AM120" s="4">
        <f>SUMIFS(super1[Qtde],super1[Item],tab_higiene[[#This Row],[Item]],super1[Bairro],mercado3)+SUMIFS(supercb[Qtde],supercb[Item],tab_higiene[[#This Row],[Item]],supercb[Bairro],mercado3)</f>
        <v>0</v>
      </c>
      <c r="AN120" s="4">
        <f>SUMIFS(super1[Qtde],super1[Item],tab_higiene[[#This Row],[Item]],super1[Bairro],mercado4)+SUMIFS(supercb[Qtde],supercb[Item],tab_higiene[[#This Row],[Item]],supercb[Bairro],mercado4)</f>
        <v>0</v>
      </c>
      <c r="AO120" s="4">
        <f>SUMIFS(super1[Qtde],super1[Item],tab_higiene[[#This Row],[Item]],super1[Bairro],mercado5)+SUMIFS(supercb[Qtde],supercb[Item],tab_higiene[[#This Row],[Item]],supercb[Bairro],mercado5)</f>
        <v>0</v>
      </c>
      <c r="AP120" s="4">
        <f>SUMIFS(super1[Qtde],super1[Item],tab_higiene[[#This Row],[Item]],super1[Bairro],mercado6)+SUMIFS(supercb[Qtde],supercb[Item],tab_higiene[[#This Row],[Item]],supercb[Bairro],mercado6)</f>
        <v>0</v>
      </c>
      <c r="AQ120" s="4">
        <f>SUMIFS(super1[Qtde],super1[Item],tab_higiene[[#This Row],[Item]],super1[Bairro],mercado7)+SUMIFS(supercb[Qtde],supercb[Item],tab_higiene[[#This Row],[Item]],supercb[Bairro],mercado7)</f>
        <v>0</v>
      </c>
      <c r="AR120" s="4">
        <f>SUMIFS(super1[Qtde],super1[Item],tab_higiene[[#This Row],[Item]],super1[Bairro],mercado8)+SUMIFS(supercb[Qtde],supercb[Item],tab_higiene[[#This Row],[Item]],supercb[Bairro],mercado8)</f>
        <v>0</v>
      </c>
      <c r="AS120" s="4">
        <f>SUMIFS(super1[Qtde],super1[Item],tab_higiene[[#This Row],[Item]],super1[Bairro],mercado9)+SUMIFS(supercb[Qtde],supercb[Item],tab_higiene[[#This Row],[Item]],supercb[Bairro],mercado9)</f>
        <v>0</v>
      </c>
      <c r="AT120" s="4">
        <f>SUMIFS(super1[Qtde],super1[Item],tab_higiene[[#This Row],[Item]],super1[Bairro],mercado10)+SUMIFS(supercb[Qtde],supercb[Item],tab_higiene[[#This Row],[Item]],supercb[Bairro],mercado10)</f>
        <v>0</v>
      </c>
      <c r="AU120" s="4">
        <f>SUMIFS(super1[Qtde],super1[Item],tab_higiene[[#This Row],[Item]],super1[Bairro],mercado11)+SUMIFS(supercb[Qtde],supercb[Item],tab_higiene[[#This Row],[Item]],supercb[Bairro],mercado11)</f>
        <v>0</v>
      </c>
      <c r="AV120" s="4">
        <f>SUMIFS(super1[Qtde],super1[Item],tab_higiene[[#This Row],[Item]],super1[Bairro],mercado12)+SUMIFS(supercb[Qtde],supercb[Item],tab_higiene[[#This Row],[Item]],supercb[Bairro],mercado12)</f>
        <v>0</v>
      </c>
      <c r="AW120" s="4">
        <f>SUMIFS(super1[Qtde],super1[Item],tab_higiene[[#This Row],[Item]],super1[Bairro],mercado13)+SUMIFS(supercb[Qtde],supercb[Item],tab_higiene[[#This Row],[Item]],supercb[Bairro],mercado13)</f>
        <v>0</v>
      </c>
      <c r="AX120" s="4">
        <f>SUMIFS(super1[Qtde],super1[Item],tab_higiene[[#This Row],[Item]],super1[Bairro],mercado14)+SUMIFS(supercb[Qtde],supercb[Item],tab_higiene[[#This Row],[Item]],supercb[Bairro],mercado14)</f>
        <v>0</v>
      </c>
      <c r="AY120" s="4">
        <f>SUMIFS(super1[Qtde],super1[Item],tab_higiene[[#This Row],[Item]],super1[Bairro],mercado15)+SUMIFS(supercb[Qtde],supercb[Item],tab_higiene[[#This Row],[Item]],supercb[Bairro],mercado15)</f>
        <v>0</v>
      </c>
      <c r="AZ120" s="4">
        <f>SUMIFS(super1[Qtde],super1[Item],tab_higiene[[#This Row],[Item]],super1[Bairro],mercado16)+SUMIFS(supercb[Qtde],supercb[Item],tab_higiene[[#This Row],[Item]],supercb[Bairro],mercado16)</f>
        <v>0</v>
      </c>
      <c r="BA120" s="4">
        <f>SUMIFS(super1[Qtde],super1[Item],tab_higiene[[#This Row],[Item]],super1[Bairro],mercado17)+SUMIFS(supercb[Qtde],supercb[Item],tab_higiene[[#This Row],[Item]],supercb[Bairro],mercado17)</f>
        <v>0</v>
      </c>
      <c r="BB120" s="4">
        <f>SUMIFS(super1[Qtde],super1[Item],tab_higiene[[#This Row],[Item]],super1[Bairro],mercado18)+SUMIFS(supercb[Qtde],supercb[Item],tab_higiene[[#This Row],[Item]],supercb[Bairro],mercado18)</f>
        <v>0</v>
      </c>
      <c r="BC120" s="4">
        <f>SUMIFS(super1[Qtde],super1[Item],tab_higiene[[#This Row],[Item]],super1[Bairro],extras)+SUMIFS(supercb[Qtde],supercb[Item],tab_higiene[[#This Row],[Item]],supercb[Bairro],extras)</f>
        <v>0</v>
      </c>
      <c r="BD120" s="4">
        <f t="shared" si="41"/>
        <v>0</v>
      </c>
      <c r="BE120" s="4">
        <f t="shared" si="42"/>
        <v>0</v>
      </c>
      <c r="BF120" s="6">
        <f t="shared" si="43"/>
        <v>0</v>
      </c>
      <c r="BI120" s="1" t="str">
        <f>tab_alimentos[[#This Row],[Item]]</f>
        <v>Bolacha Doce Recheio (135g)</v>
      </c>
      <c r="BJ120" s="1">
        <f t="shared" si="25"/>
        <v>21</v>
      </c>
      <c r="BK120" s="1" t="str">
        <f t="shared" si="26"/>
        <v>Bolacha Doce Recheio</v>
      </c>
      <c r="BL120" s="1">
        <f>tab_alimentos[[#This Row],[kg]]</f>
        <v>0</v>
      </c>
      <c r="BN120" s="1">
        <f t="shared" si="36"/>
        <v>0</v>
      </c>
      <c r="BP120" s="1" t="str">
        <f>tab_higiene[[#This Row],[Item]]</f>
        <v>Fraldas Infantis (50un)</v>
      </c>
      <c r="BQ120" s="1">
        <f t="shared" si="33"/>
        <v>17</v>
      </c>
      <c r="BR120" s="1" t="str">
        <f t="shared" si="34"/>
        <v>Fraldas Infantis</v>
      </c>
      <c r="BS120" s="1">
        <f>higiene[[#This Row],[Quantidade]]</f>
        <v>0</v>
      </c>
      <c r="BT120" s="1">
        <f>tab_higiene[[#This Row],[Qtde (tot)]]</f>
        <v>0</v>
      </c>
      <c r="BU120" s="1">
        <f t="shared" si="37"/>
        <v>0</v>
      </c>
      <c r="BW120" s="1">
        <f t="shared" si="44"/>
        <v>0</v>
      </c>
    </row>
    <row r="121" spans="9:75" x14ac:dyDescent="0.25">
      <c r="I121" s="19" t="str">
        <f>alimentos[[#This Row],[Item]]</f>
        <v>Bolacha Doce Recheio (140g)</v>
      </c>
      <c r="J121" s="4">
        <f>IFERROR(alimentos[[#This Row],[kg/embalagem]],0)</f>
        <v>0.14000000000000001</v>
      </c>
      <c r="K121" s="4">
        <f>IFERROR(alimentos[[#This Row],[Preço]],0)</f>
        <v>2.4</v>
      </c>
      <c r="L121" s="4">
        <f>SUMIFS(super1[Qtde],super1[Item],tab_alimentos[[#This Row],[Item]],super1[Bairro],mercado1)+SUMIFS(supercb[Qtde],supercb[Item],tab_alimentos[[#This Row],[Item]],supercb[Bairro],mercado1)</f>
        <v>0</v>
      </c>
      <c r="M121" s="4">
        <f>SUMIFS(super1[Qtde],super1[Item],tab_alimentos[[#This Row],[Item]],super1[Bairro],mercado2)+SUMIFS(supercb[Qtde],supercb[Item],tab_alimentos[[#This Row],[Item]],supercb[Bairro],mercado2)</f>
        <v>0</v>
      </c>
      <c r="N121" s="4">
        <f>SUMIFS(super1[Qtde],super1[Item],tab_alimentos[[#This Row],[Item]],super1[Bairro],mercado3)+SUMIFS(supercb[Qtde],supercb[Item],tab_alimentos[[#This Row],[Item]],supercb[Bairro],mercado3)</f>
        <v>0</v>
      </c>
      <c r="O121" s="4">
        <f>SUMIFS(super1[Qtde],super1[Item],tab_alimentos[[#This Row],[Item]],super1[Bairro],mercado4)+SUMIFS(supercb[Qtde],supercb[Item],tab_alimentos[[#This Row],[Item]],supercb[Bairro],mercado4)</f>
        <v>0</v>
      </c>
      <c r="P121" s="4">
        <f>SUMIFS(super1[Qtde],super1[Item],tab_alimentos[[#This Row],[Item]],super1[Bairro],mercado5)+SUMIFS(supercb[Qtde],supercb[Item],tab_alimentos[[#This Row],[Item]],supercb[Bairro],mercado5)</f>
        <v>0</v>
      </c>
      <c r="Q121" s="4">
        <f>SUMIFS(super1[Qtde],super1[Item],tab_alimentos[[#This Row],[Item]],super1[Bairro],mercado6)+SUMIFS(supercb[Qtde],supercb[Item],tab_alimentos[[#This Row],[Item]],supercb[Bairro],mercado6)</f>
        <v>0</v>
      </c>
      <c r="R121" s="4">
        <f>SUMIFS(super1[Qtde],super1[Item],tab_alimentos[[#This Row],[Item]],super1[Bairro],mercado7)+SUMIFS(supercb[Qtde],supercb[Item],tab_alimentos[[#This Row],[Item]],supercb[Bairro],mercado7)</f>
        <v>0</v>
      </c>
      <c r="S121" s="4">
        <f>SUMIFS(super1[Qtde],super1[Item],tab_alimentos[[#This Row],[Item]],super1[Bairro],mercado8)+SUMIFS(supercb[Qtde],supercb[Item],tab_alimentos[[#This Row],[Item]],supercb[Bairro],mercado8)</f>
        <v>0</v>
      </c>
      <c r="T121" s="4">
        <f>SUMIFS(super1[Qtde],super1[Item],tab_alimentos[[#This Row],[Item]],super1[Bairro],mercado9)+SUMIFS(supercb[Qtde],supercb[Item],tab_alimentos[[#This Row],[Item]],supercb[Bairro],mercado9)</f>
        <v>0</v>
      </c>
      <c r="U121" s="4">
        <f>SUMIFS(super1[Qtde],super1[Item],tab_alimentos[[#This Row],[Item]],super1[Bairro],mercado10)+SUMIFS(supercb[Qtde],supercb[Item],tab_alimentos[[#This Row],[Item]],supercb[Bairro],mercado10)</f>
        <v>0</v>
      </c>
      <c r="V121" s="4">
        <f>SUMIFS(super1[Qtde],super1[Item],tab_alimentos[[#This Row],[Item]],super1[Bairro],mercado11)+SUMIFS(supercb[Qtde],supercb[Item],tab_alimentos[[#This Row],[Item]],supercb[Bairro],mercado11)</f>
        <v>0</v>
      </c>
      <c r="W121" s="4">
        <f>SUMIFS(super1[Qtde],super1[Item],tab_alimentos[[#This Row],[Item]],super1[Bairro],mercado12)+SUMIFS(supercb[Qtde],supercb[Item],tab_alimentos[[#This Row],[Item]],supercb[Bairro],mercado12)</f>
        <v>0</v>
      </c>
      <c r="X121" s="4">
        <f>SUMIFS(super1[Qtde],super1[Item],tab_alimentos[[#This Row],[Item]],super1[Bairro],mercado13)+SUMIFS(supercb[Qtde],supercb[Item],tab_alimentos[[#This Row],[Item]],supercb[Bairro],mercado13)</f>
        <v>0</v>
      </c>
      <c r="Y121" s="4">
        <f>SUMIFS(super1[Qtde],super1[Item],tab_alimentos[[#This Row],[Item]],super1[Bairro],mercado14)+SUMIFS(supercb[Qtde],supercb[Item],tab_alimentos[[#This Row],[Item]],supercb[Bairro],mercado14)</f>
        <v>0</v>
      </c>
      <c r="Z121" s="4">
        <f>SUMIFS(super1[Qtde],super1[Item],tab_alimentos[[#This Row],[Item]],super1[Bairro],mercado15)+SUMIFS(supercb[Qtde],supercb[Item],tab_alimentos[[#This Row],[Item]],supercb[Bairro],mercado15)</f>
        <v>0</v>
      </c>
      <c r="AA121" s="4">
        <f>SUMIFS(super1[Qtde],super1[Item],tab_alimentos[[#This Row],[Item]],super1[Bairro],mercado16)+SUMIFS(supercb[Qtde],supercb[Item],tab_alimentos[[#This Row],[Item]],supercb[Bairro],mercado16)</f>
        <v>0</v>
      </c>
      <c r="AB121" s="4">
        <f>SUMIFS(super1[Qtde],super1[Item],tab_alimentos[[#This Row],[Item]],super1[Bairro],mercado17)+SUMIFS(supercb[Qtde],supercb[Item],tab_alimentos[[#This Row],[Item]],supercb[Bairro],mercado17)</f>
        <v>0</v>
      </c>
      <c r="AC121" s="4">
        <f>SUMIFS(super1[Qtde],super1[Item],tab_alimentos[[#This Row],[Item]],super1[Bairro],mercado18)+SUMIFS(supercb[Qtde],supercb[Item],tab_alimentos[[#This Row],[Item]],supercb[Bairro],mercado18)</f>
        <v>0</v>
      </c>
      <c r="AD121" s="4">
        <f>SUMIFS(super1[Qtde],super1[Item],tab_alimentos[[#This Row],[Item]],super1[Bairro],extras)+SUMIFS(supercb[Qtde],supercb[Item],tab_alimentos[[#This Row],[Item]],supercb[Bairro],extras)</f>
        <v>0</v>
      </c>
      <c r="AE121" s="4">
        <f t="shared" si="38"/>
        <v>0</v>
      </c>
      <c r="AF121" s="4">
        <f t="shared" si="39"/>
        <v>0</v>
      </c>
      <c r="AG121" s="6">
        <f t="shared" si="40"/>
        <v>0</v>
      </c>
      <c r="AH121" s="19" t="str">
        <f>higiene[[#This Row],[Item]]</f>
        <v>Fraldas Infantis (52un)</v>
      </c>
      <c r="AI121" s="4">
        <f>IFERROR(higiene[[#This Row],[Kg equivalente]],0)</f>
        <v>0</v>
      </c>
      <c r="AJ121" s="4">
        <f>IFERROR(higiene[[#This Row],[Preço por produto]],0)</f>
        <v>85.9</v>
      </c>
      <c r="AK121" s="4">
        <f>SUMIFS(super1[Qtde],super1[Item],tab_higiene[[#This Row],[Item]],super1[Bairro],mercado1)+SUMIFS(supercb[Qtde],supercb[Item],tab_higiene[[#This Row],[Item]],supercb[Bairro],mercado1)</f>
        <v>0</v>
      </c>
      <c r="AL121" s="4">
        <f>SUMIFS(super1[Qtde],super1[Item],tab_higiene[[#This Row],[Item]],super1[Bairro],mercado2)+SUMIFS(supercb[Qtde],supercb[Item],tab_higiene[[#This Row],[Item]],supercb[Bairro],mercado2)</f>
        <v>0</v>
      </c>
      <c r="AM121" s="4">
        <f>SUMIFS(super1[Qtde],super1[Item],tab_higiene[[#This Row],[Item]],super1[Bairro],mercado3)+SUMIFS(supercb[Qtde],supercb[Item],tab_higiene[[#This Row],[Item]],supercb[Bairro],mercado3)</f>
        <v>0</v>
      </c>
      <c r="AN121" s="4">
        <f>SUMIFS(super1[Qtde],super1[Item],tab_higiene[[#This Row],[Item]],super1[Bairro],mercado4)+SUMIFS(supercb[Qtde],supercb[Item],tab_higiene[[#This Row],[Item]],supercb[Bairro],mercado4)</f>
        <v>0</v>
      </c>
      <c r="AO121" s="4">
        <f>SUMIFS(super1[Qtde],super1[Item],tab_higiene[[#This Row],[Item]],super1[Bairro],mercado5)+SUMIFS(supercb[Qtde],supercb[Item],tab_higiene[[#This Row],[Item]],supercb[Bairro],mercado5)</f>
        <v>0</v>
      </c>
      <c r="AP121" s="4">
        <f>SUMIFS(super1[Qtde],super1[Item],tab_higiene[[#This Row],[Item]],super1[Bairro],mercado6)+SUMIFS(supercb[Qtde],supercb[Item],tab_higiene[[#This Row],[Item]],supercb[Bairro],mercado6)</f>
        <v>0</v>
      </c>
      <c r="AQ121" s="4">
        <f>SUMIFS(super1[Qtde],super1[Item],tab_higiene[[#This Row],[Item]],super1[Bairro],mercado7)+SUMIFS(supercb[Qtde],supercb[Item],tab_higiene[[#This Row],[Item]],supercb[Bairro],mercado7)</f>
        <v>0</v>
      </c>
      <c r="AR121" s="4">
        <f>SUMIFS(super1[Qtde],super1[Item],tab_higiene[[#This Row],[Item]],super1[Bairro],mercado8)+SUMIFS(supercb[Qtde],supercb[Item],tab_higiene[[#This Row],[Item]],supercb[Bairro],mercado8)</f>
        <v>0</v>
      </c>
      <c r="AS121" s="4">
        <f>SUMIFS(super1[Qtde],super1[Item],tab_higiene[[#This Row],[Item]],super1[Bairro],mercado9)+SUMIFS(supercb[Qtde],supercb[Item],tab_higiene[[#This Row],[Item]],supercb[Bairro],mercado9)</f>
        <v>0</v>
      </c>
      <c r="AT121" s="4">
        <f>SUMIFS(super1[Qtde],super1[Item],tab_higiene[[#This Row],[Item]],super1[Bairro],mercado10)+SUMIFS(supercb[Qtde],supercb[Item],tab_higiene[[#This Row],[Item]],supercb[Bairro],mercado10)</f>
        <v>0</v>
      </c>
      <c r="AU121" s="4">
        <f>SUMIFS(super1[Qtde],super1[Item],tab_higiene[[#This Row],[Item]],super1[Bairro],mercado11)+SUMIFS(supercb[Qtde],supercb[Item],tab_higiene[[#This Row],[Item]],supercb[Bairro],mercado11)</f>
        <v>0</v>
      </c>
      <c r="AV121" s="4">
        <f>SUMIFS(super1[Qtde],super1[Item],tab_higiene[[#This Row],[Item]],super1[Bairro],mercado12)+SUMIFS(supercb[Qtde],supercb[Item],tab_higiene[[#This Row],[Item]],supercb[Bairro],mercado12)</f>
        <v>0</v>
      </c>
      <c r="AW121" s="4">
        <f>SUMIFS(super1[Qtde],super1[Item],tab_higiene[[#This Row],[Item]],super1[Bairro],mercado13)+SUMIFS(supercb[Qtde],supercb[Item],tab_higiene[[#This Row],[Item]],supercb[Bairro],mercado13)</f>
        <v>0</v>
      </c>
      <c r="AX121" s="4">
        <f>SUMIFS(super1[Qtde],super1[Item],tab_higiene[[#This Row],[Item]],super1[Bairro],mercado14)+SUMIFS(supercb[Qtde],supercb[Item],tab_higiene[[#This Row],[Item]],supercb[Bairro],mercado14)</f>
        <v>0</v>
      </c>
      <c r="AY121" s="4">
        <f>SUMIFS(super1[Qtde],super1[Item],tab_higiene[[#This Row],[Item]],super1[Bairro],mercado15)+SUMIFS(supercb[Qtde],supercb[Item],tab_higiene[[#This Row],[Item]],supercb[Bairro],mercado15)</f>
        <v>0</v>
      </c>
      <c r="AZ121" s="4">
        <f>SUMIFS(super1[Qtde],super1[Item],tab_higiene[[#This Row],[Item]],super1[Bairro],mercado16)+SUMIFS(supercb[Qtde],supercb[Item],tab_higiene[[#This Row],[Item]],supercb[Bairro],mercado16)</f>
        <v>0</v>
      </c>
      <c r="BA121" s="4">
        <f>SUMIFS(super1[Qtde],super1[Item],tab_higiene[[#This Row],[Item]],super1[Bairro],mercado17)+SUMIFS(supercb[Qtde],supercb[Item],tab_higiene[[#This Row],[Item]],supercb[Bairro],mercado17)</f>
        <v>0</v>
      </c>
      <c r="BB121" s="4">
        <f>SUMIFS(super1[Qtde],super1[Item],tab_higiene[[#This Row],[Item]],super1[Bairro],mercado18)+SUMIFS(supercb[Qtde],supercb[Item],tab_higiene[[#This Row],[Item]],supercb[Bairro],mercado18)</f>
        <v>0</v>
      </c>
      <c r="BC121" s="4">
        <f>SUMIFS(super1[Qtde],super1[Item],tab_higiene[[#This Row],[Item]],super1[Bairro],extras)+SUMIFS(supercb[Qtde],supercb[Item],tab_higiene[[#This Row],[Item]],supercb[Bairro],extras)</f>
        <v>0</v>
      </c>
      <c r="BD121" s="4">
        <f t="shared" si="41"/>
        <v>0</v>
      </c>
      <c r="BE121" s="4">
        <f t="shared" si="42"/>
        <v>0</v>
      </c>
      <c r="BF121" s="6">
        <f t="shared" si="43"/>
        <v>0</v>
      </c>
      <c r="BI121" s="1" t="str">
        <f>tab_alimentos[[#This Row],[Item]]</f>
        <v>Bolacha Doce Recheio (140g)</v>
      </c>
      <c r="BJ121" s="1">
        <f t="shared" si="25"/>
        <v>21</v>
      </c>
      <c r="BK121" s="1" t="str">
        <f t="shared" si="26"/>
        <v>Bolacha Doce Recheio</v>
      </c>
      <c r="BL121" s="1">
        <f>tab_alimentos[[#This Row],[kg]]</f>
        <v>0</v>
      </c>
      <c r="BN121" s="1">
        <f t="shared" si="36"/>
        <v>0</v>
      </c>
      <c r="BP121" s="1" t="str">
        <f>tab_higiene[[#This Row],[Item]]</f>
        <v>Fraldas Infantis (52un)</v>
      </c>
      <c r="BQ121" s="1">
        <f t="shared" si="33"/>
        <v>17</v>
      </c>
      <c r="BR121" s="1" t="str">
        <f t="shared" si="34"/>
        <v>Fraldas Infantis</v>
      </c>
      <c r="BS121" s="1">
        <f>higiene[[#This Row],[Quantidade]]</f>
        <v>0</v>
      </c>
      <c r="BT121" s="1">
        <f>tab_higiene[[#This Row],[Qtde (tot)]]</f>
        <v>0</v>
      </c>
      <c r="BU121" s="1">
        <f t="shared" si="37"/>
        <v>0</v>
      </c>
      <c r="BW121" s="1">
        <f t="shared" si="44"/>
        <v>0</v>
      </c>
    </row>
    <row r="122" spans="9:75" x14ac:dyDescent="0.25">
      <c r="I122" s="19" t="str">
        <f>alimentos[[#This Row],[Item]]</f>
        <v>Bolacha Doce Recheio (145g)</v>
      </c>
      <c r="J122" s="4">
        <f>IFERROR(alimentos[[#This Row],[kg/embalagem]],0)</f>
        <v>0.14499999999999999</v>
      </c>
      <c r="K122" s="4">
        <f>IFERROR(alimentos[[#This Row],[Preço]],0)</f>
        <v>6.39</v>
      </c>
      <c r="L122" s="4">
        <f>SUMIFS(super1[Qtde],super1[Item],tab_alimentos[[#This Row],[Item]],super1[Bairro],mercado1)+SUMIFS(supercb[Qtde],supercb[Item],tab_alimentos[[#This Row],[Item]],supercb[Bairro],mercado1)</f>
        <v>0</v>
      </c>
      <c r="M122" s="4">
        <f>SUMIFS(super1[Qtde],super1[Item],tab_alimentos[[#This Row],[Item]],super1[Bairro],mercado2)+SUMIFS(supercb[Qtde],supercb[Item],tab_alimentos[[#This Row],[Item]],supercb[Bairro],mercado2)</f>
        <v>0</v>
      </c>
      <c r="N122" s="4">
        <f>SUMIFS(super1[Qtde],super1[Item],tab_alimentos[[#This Row],[Item]],super1[Bairro],mercado3)+SUMIFS(supercb[Qtde],supercb[Item],tab_alimentos[[#This Row],[Item]],supercb[Bairro],mercado3)</f>
        <v>0</v>
      </c>
      <c r="O122" s="4">
        <f>SUMIFS(super1[Qtde],super1[Item],tab_alimentos[[#This Row],[Item]],super1[Bairro],mercado4)+SUMIFS(supercb[Qtde],supercb[Item],tab_alimentos[[#This Row],[Item]],supercb[Bairro],mercado4)</f>
        <v>0</v>
      </c>
      <c r="P122" s="4">
        <f>SUMIFS(super1[Qtde],super1[Item],tab_alimentos[[#This Row],[Item]],super1[Bairro],mercado5)+SUMIFS(supercb[Qtde],supercb[Item],tab_alimentos[[#This Row],[Item]],supercb[Bairro],mercado5)</f>
        <v>0</v>
      </c>
      <c r="Q122" s="4">
        <f>SUMIFS(super1[Qtde],super1[Item],tab_alimentos[[#This Row],[Item]],super1[Bairro],mercado6)+SUMIFS(supercb[Qtde],supercb[Item],tab_alimentos[[#This Row],[Item]],supercb[Bairro],mercado6)</f>
        <v>0</v>
      </c>
      <c r="R122" s="4">
        <f>SUMIFS(super1[Qtde],super1[Item],tab_alimentos[[#This Row],[Item]],super1[Bairro],mercado7)+SUMIFS(supercb[Qtde],supercb[Item],tab_alimentos[[#This Row],[Item]],supercb[Bairro],mercado7)</f>
        <v>0</v>
      </c>
      <c r="S122" s="4">
        <f>SUMIFS(super1[Qtde],super1[Item],tab_alimentos[[#This Row],[Item]],super1[Bairro],mercado8)+SUMIFS(supercb[Qtde],supercb[Item],tab_alimentos[[#This Row],[Item]],supercb[Bairro],mercado8)</f>
        <v>0</v>
      </c>
      <c r="T122" s="4">
        <f>SUMIFS(super1[Qtde],super1[Item],tab_alimentos[[#This Row],[Item]],super1[Bairro],mercado9)+SUMIFS(supercb[Qtde],supercb[Item],tab_alimentos[[#This Row],[Item]],supercb[Bairro],mercado9)</f>
        <v>0</v>
      </c>
      <c r="U122" s="4">
        <f>SUMIFS(super1[Qtde],super1[Item],tab_alimentos[[#This Row],[Item]],super1[Bairro],mercado10)+SUMIFS(supercb[Qtde],supercb[Item],tab_alimentos[[#This Row],[Item]],supercb[Bairro],mercado10)</f>
        <v>0</v>
      </c>
      <c r="V122" s="4">
        <f>SUMIFS(super1[Qtde],super1[Item],tab_alimentos[[#This Row],[Item]],super1[Bairro],mercado11)+SUMIFS(supercb[Qtde],supercb[Item],tab_alimentos[[#This Row],[Item]],supercb[Bairro],mercado11)</f>
        <v>0</v>
      </c>
      <c r="W122" s="4">
        <f>SUMIFS(super1[Qtde],super1[Item],tab_alimentos[[#This Row],[Item]],super1[Bairro],mercado12)+SUMIFS(supercb[Qtde],supercb[Item],tab_alimentos[[#This Row],[Item]],supercb[Bairro],mercado12)</f>
        <v>0</v>
      </c>
      <c r="X122" s="4">
        <f>SUMIFS(super1[Qtde],super1[Item],tab_alimentos[[#This Row],[Item]],super1[Bairro],mercado13)+SUMIFS(supercb[Qtde],supercb[Item],tab_alimentos[[#This Row],[Item]],supercb[Bairro],mercado13)</f>
        <v>0</v>
      </c>
      <c r="Y122" s="4">
        <f>SUMIFS(super1[Qtde],super1[Item],tab_alimentos[[#This Row],[Item]],super1[Bairro],mercado14)+SUMIFS(supercb[Qtde],supercb[Item],tab_alimentos[[#This Row],[Item]],supercb[Bairro],mercado14)</f>
        <v>0</v>
      </c>
      <c r="Z122" s="4">
        <f>SUMIFS(super1[Qtde],super1[Item],tab_alimentos[[#This Row],[Item]],super1[Bairro],mercado15)+SUMIFS(supercb[Qtde],supercb[Item],tab_alimentos[[#This Row],[Item]],supercb[Bairro],mercado15)</f>
        <v>0</v>
      </c>
      <c r="AA122" s="4">
        <f>SUMIFS(super1[Qtde],super1[Item],tab_alimentos[[#This Row],[Item]],super1[Bairro],mercado16)+SUMIFS(supercb[Qtde],supercb[Item],tab_alimentos[[#This Row],[Item]],supercb[Bairro],mercado16)</f>
        <v>0</v>
      </c>
      <c r="AB122" s="4">
        <f>SUMIFS(super1[Qtde],super1[Item],tab_alimentos[[#This Row],[Item]],super1[Bairro],mercado17)+SUMIFS(supercb[Qtde],supercb[Item],tab_alimentos[[#This Row],[Item]],supercb[Bairro],mercado17)</f>
        <v>0</v>
      </c>
      <c r="AC122" s="4">
        <f>SUMIFS(super1[Qtde],super1[Item],tab_alimentos[[#This Row],[Item]],super1[Bairro],mercado18)+SUMIFS(supercb[Qtde],supercb[Item],tab_alimentos[[#This Row],[Item]],supercb[Bairro],mercado18)</f>
        <v>0</v>
      </c>
      <c r="AD122" s="4">
        <f>SUMIFS(super1[Qtde],super1[Item],tab_alimentos[[#This Row],[Item]],super1[Bairro],extras)+SUMIFS(supercb[Qtde],supercb[Item],tab_alimentos[[#This Row],[Item]],supercb[Bairro],extras)</f>
        <v>0</v>
      </c>
      <c r="AE122" s="4">
        <f t="shared" si="38"/>
        <v>0</v>
      </c>
      <c r="AF122" s="4">
        <f t="shared" si="39"/>
        <v>0</v>
      </c>
      <c r="AG122" s="6">
        <f t="shared" si="40"/>
        <v>0</v>
      </c>
      <c r="AH122" s="19" t="str">
        <f>higiene[[#This Row],[Item]]</f>
        <v>Fraldas Infantis (56un)</v>
      </c>
      <c r="AI122" s="4">
        <f>IFERROR(higiene[[#This Row],[Kg equivalente]],0)</f>
        <v>0</v>
      </c>
      <c r="AJ122" s="4">
        <f>IFERROR(higiene[[#This Row],[Preço por produto]],0)</f>
        <v>79.900000000000006</v>
      </c>
      <c r="AK122" s="4">
        <f>SUMIFS(super1[Qtde],super1[Item],tab_higiene[[#This Row],[Item]],super1[Bairro],mercado1)+SUMIFS(supercb[Qtde],supercb[Item],tab_higiene[[#This Row],[Item]],supercb[Bairro],mercado1)</f>
        <v>0</v>
      </c>
      <c r="AL122" s="4">
        <f>SUMIFS(super1[Qtde],super1[Item],tab_higiene[[#This Row],[Item]],super1[Bairro],mercado2)+SUMIFS(supercb[Qtde],supercb[Item],tab_higiene[[#This Row],[Item]],supercb[Bairro],mercado2)</f>
        <v>0</v>
      </c>
      <c r="AM122" s="4">
        <f>SUMIFS(super1[Qtde],super1[Item],tab_higiene[[#This Row],[Item]],super1[Bairro],mercado3)+SUMIFS(supercb[Qtde],supercb[Item],tab_higiene[[#This Row],[Item]],supercb[Bairro],mercado3)</f>
        <v>0</v>
      </c>
      <c r="AN122" s="4">
        <f>SUMIFS(super1[Qtde],super1[Item],tab_higiene[[#This Row],[Item]],super1[Bairro],mercado4)+SUMIFS(supercb[Qtde],supercb[Item],tab_higiene[[#This Row],[Item]],supercb[Bairro],mercado4)</f>
        <v>0</v>
      </c>
      <c r="AO122" s="4">
        <f>SUMIFS(super1[Qtde],super1[Item],tab_higiene[[#This Row],[Item]],super1[Bairro],mercado5)+SUMIFS(supercb[Qtde],supercb[Item],tab_higiene[[#This Row],[Item]],supercb[Bairro],mercado5)</f>
        <v>0</v>
      </c>
      <c r="AP122" s="4">
        <f>SUMIFS(super1[Qtde],super1[Item],tab_higiene[[#This Row],[Item]],super1[Bairro],mercado6)+SUMIFS(supercb[Qtde],supercb[Item],tab_higiene[[#This Row],[Item]],supercb[Bairro],mercado6)</f>
        <v>0</v>
      </c>
      <c r="AQ122" s="4">
        <f>SUMIFS(super1[Qtde],super1[Item],tab_higiene[[#This Row],[Item]],super1[Bairro],mercado7)+SUMIFS(supercb[Qtde],supercb[Item],tab_higiene[[#This Row],[Item]],supercb[Bairro],mercado7)</f>
        <v>0</v>
      </c>
      <c r="AR122" s="4">
        <f>SUMIFS(super1[Qtde],super1[Item],tab_higiene[[#This Row],[Item]],super1[Bairro],mercado8)+SUMIFS(supercb[Qtde],supercb[Item],tab_higiene[[#This Row],[Item]],supercb[Bairro],mercado8)</f>
        <v>0</v>
      </c>
      <c r="AS122" s="4">
        <f>SUMIFS(super1[Qtde],super1[Item],tab_higiene[[#This Row],[Item]],super1[Bairro],mercado9)+SUMIFS(supercb[Qtde],supercb[Item],tab_higiene[[#This Row],[Item]],supercb[Bairro],mercado9)</f>
        <v>0</v>
      </c>
      <c r="AT122" s="4">
        <f>SUMIFS(super1[Qtde],super1[Item],tab_higiene[[#This Row],[Item]],super1[Bairro],mercado10)+SUMIFS(supercb[Qtde],supercb[Item],tab_higiene[[#This Row],[Item]],supercb[Bairro],mercado10)</f>
        <v>0</v>
      </c>
      <c r="AU122" s="4">
        <f>SUMIFS(super1[Qtde],super1[Item],tab_higiene[[#This Row],[Item]],super1[Bairro],mercado11)+SUMIFS(supercb[Qtde],supercb[Item],tab_higiene[[#This Row],[Item]],supercb[Bairro],mercado11)</f>
        <v>0</v>
      </c>
      <c r="AV122" s="4">
        <f>SUMIFS(super1[Qtde],super1[Item],tab_higiene[[#This Row],[Item]],super1[Bairro],mercado12)+SUMIFS(supercb[Qtde],supercb[Item],tab_higiene[[#This Row],[Item]],supercb[Bairro],mercado12)</f>
        <v>0</v>
      </c>
      <c r="AW122" s="4">
        <f>SUMIFS(super1[Qtde],super1[Item],tab_higiene[[#This Row],[Item]],super1[Bairro],mercado13)+SUMIFS(supercb[Qtde],supercb[Item],tab_higiene[[#This Row],[Item]],supercb[Bairro],mercado13)</f>
        <v>0</v>
      </c>
      <c r="AX122" s="4">
        <f>SUMIFS(super1[Qtde],super1[Item],tab_higiene[[#This Row],[Item]],super1[Bairro],mercado14)+SUMIFS(supercb[Qtde],supercb[Item],tab_higiene[[#This Row],[Item]],supercb[Bairro],mercado14)</f>
        <v>0</v>
      </c>
      <c r="AY122" s="4">
        <f>SUMIFS(super1[Qtde],super1[Item],tab_higiene[[#This Row],[Item]],super1[Bairro],mercado15)+SUMIFS(supercb[Qtde],supercb[Item],tab_higiene[[#This Row],[Item]],supercb[Bairro],mercado15)</f>
        <v>0</v>
      </c>
      <c r="AZ122" s="4">
        <f>SUMIFS(super1[Qtde],super1[Item],tab_higiene[[#This Row],[Item]],super1[Bairro],mercado16)+SUMIFS(supercb[Qtde],supercb[Item],tab_higiene[[#This Row],[Item]],supercb[Bairro],mercado16)</f>
        <v>0</v>
      </c>
      <c r="BA122" s="4">
        <f>SUMIFS(super1[Qtde],super1[Item],tab_higiene[[#This Row],[Item]],super1[Bairro],mercado17)+SUMIFS(supercb[Qtde],supercb[Item],tab_higiene[[#This Row],[Item]],supercb[Bairro],mercado17)</f>
        <v>0</v>
      </c>
      <c r="BB122" s="4">
        <f>SUMIFS(super1[Qtde],super1[Item],tab_higiene[[#This Row],[Item]],super1[Bairro],mercado18)+SUMIFS(supercb[Qtde],supercb[Item],tab_higiene[[#This Row],[Item]],supercb[Bairro],mercado18)</f>
        <v>0</v>
      </c>
      <c r="BC122" s="4">
        <f>SUMIFS(super1[Qtde],super1[Item],tab_higiene[[#This Row],[Item]],super1[Bairro],extras)+SUMIFS(supercb[Qtde],supercb[Item],tab_higiene[[#This Row],[Item]],supercb[Bairro],extras)</f>
        <v>0</v>
      </c>
      <c r="BD122" s="4">
        <f t="shared" si="41"/>
        <v>0</v>
      </c>
      <c r="BE122" s="4">
        <f t="shared" si="42"/>
        <v>0</v>
      </c>
      <c r="BF122" s="6">
        <f t="shared" si="43"/>
        <v>0</v>
      </c>
      <c r="BI122" s="1" t="str">
        <f>tab_alimentos[[#This Row],[Item]]</f>
        <v>Bolacha Doce Recheio (145g)</v>
      </c>
      <c r="BJ122" s="1">
        <f t="shared" si="25"/>
        <v>21</v>
      </c>
      <c r="BK122" s="1" t="str">
        <f t="shared" si="26"/>
        <v>Bolacha Doce Recheio</v>
      </c>
      <c r="BL122" s="1">
        <f>tab_alimentos[[#This Row],[kg]]</f>
        <v>0</v>
      </c>
      <c r="BN122" s="1">
        <f t="shared" si="36"/>
        <v>0</v>
      </c>
      <c r="BP122" s="1" t="str">
        <f>tab_higiene[[#This Row],[Item]]</f>
        <v>Fraldas Infantis (56un)</v>
      </c>
      <c r="BQ122" s="1">
        <f t="shared" si="33"/>
        <v>17</v>
      </c>
      <c r="BR122" s="1" t="str">
        <f t="shared" si="34"/>
        <v>Fraldas Infantis</v>
      </c>
      <c r="BS122" s="1">
        <f>higiene[[#This Row],[Quantidade]]</f>
        <v>56</v>
      </c>
      <c r="BT122" s="1">
        <f>tab_higiene[[#This Row],[Qtde (tot)]]</f>
        <v>0</v>
      </c>
      <c r="BU122" s="1">
        <f t="shared" si="37"/>
        <v>0</v>
      </c>
      <c r="BW122" s="1">
        <f t="shared" si="44"/>
        <v>0</v>
      </c>
    </row>
    <row r="123" spans="9:75" x14ac:dyDescent="0.25">
      <c r="I123" s="19" t="str">
        <f>alimentos[[#This Row],[Item]]</f>
        <v>Bolacha Doce Recheio (150g)</v>
      </c>
      <c r="J123" s="4">
        <f>IFERROR(alimentos[[#This Row],[kg/embalagem]],0)</f>
        <v>0.15</v>
      </c>
      <c r="K123" s="4">
        <f>IFERROR(alimentos[[#This Row],[Preço]],0)</f>
        <v>5.98</v>
      </c>
      <c r="L123" s="4">
        <f>SUMIFS(super1[Qtde],super1[Item],tab_alimentos[[#This Row],[Item]],super1[Bairro],mercado1)+SUMIFS(supercb[Qtde],supercb[Item],tab_alimentos[[#This Row],[Item]],supercb[Bairro],mercado1)</f>
        <v>0</v>
      </c>
      <c r="M123" s="4">
        <f>SUMIFS(super1[Qtde],super1[Item],tab_alimentos[[#This Row],[Item]],super1[Bairro],mercado2)+SUMIFS(supercb[Qtde],supercb[Item],tab_alimentos[[#This Row],[Item]],supercb[Bairro],mercado2)</f>
        <v>0</v>
      </c>
      <c r="N123" s="4">
        <f>SUMIFS(super1[Qtde],super1[Item],tab_alimentos[[#This Row],[Item]],super1[Bairro],mercado3)+SUMIFS(supercb[Qtde],supercb[Item],tab_alimentos[[#This Row],[Item]],supercb[Bairro],mercado3)</f>
        <v>0</v>
      </c>
      <c r="O123" s="4">
        <f>SUMIFS(super1[Qtde],super1[Item],tab_alimentos[[#This Row],[Item]],super1[Bairro],mercado4)+SUMIFS(supercb[Qtde],supercb[Item],tab_alimentos[[#This Row],[Item]],supercb[Bairro],mercado4)</f>
        <v>0</v>
      </c>
      <c r="P123" s="4">
        <f>SUMIFS(super1[Qtde],super1[Item],tab_alimentos[[#This Row],[Item]],super1[Bairro],mercado5)+SUMIFS(supercb[Qtde],supercb[Item],tab_alimentos[[#This Row],[Item]],supercb[Bairro],mercado5)</f>
        <v>0</v>
      </c>
      <c r="Q123" s="4">
        <f>SUMIFS(super1[Qtde],super1[Item],tab_alimentos[[#This Row],[Item]],super1[Bairro],mercado6)+SUMIFS(supercb[Qtde],supercb[Item],tab_alimentos[[#This Row],[Item]],supercb[Bairro],mercado6)</f>
        <v>0</v>
      </c>
      <c r="R123" s="4">
        <f>SUMIFS(super1[Qtde],super1[Item],tab_alimentos[[#This Row],[Item]],super1[Bairro],mercado7)+SUMIFS(supercb[Qtde],supercb[Item],tab_alimentos[[#This Row],[Item]],supercb[Bairro],mercado7)</f>
        <v>0</v>
      </c>
      <c r="S123" s="4">
        <f>SUMIFS(super1[Qtde],super1[Item],tab_alimentos[[#This Row],[Item]],super1[Bairro],mercado8)+SUMIFS(supercb[Qtde],supercb[Item],tab_alimentos[[#This Row],[Item]],supercb[Bairro],mercado8)</f>
        <v>0</v>
      </c>
      <c r="T123" s="4">
        <f>SUMIFS(super1[Qtde],super1[Item],tab_alimentos[[#This Row],[Item]],super1[Bairro],mercado9)+SUMIFS(supercb[Qtde],supercb[Item],tab_alimentos[[#This Row],[Item]],supercb[Bairro],mercado9)</f>
        <v>0</v>
      </c>
      <c r="U123" s="4">
        <f>SUMIFS(super1[Qtde],super1[Item],tab_alimentos[[#This Row],[Item]],super1[Bairro],mercado10)+SUMIFS(supercb[Qtde],supercb[Item],tab_alimentos[[#This Row],[Item]],supercb[Bairro],mercado10)</f>
        <v>0</v>
      </c>
      <c r="V123" s="4">
        <f>SUMIFS(super1[Qtde],super1[Item],tab_alimentos[[#This Row],[Item]],super1[Bairro],mercado11)+SUMIFS(supercb[Qtde],supercb[Item],tab_alimentos[[#This Row],[Item]],supercb[Bairro],mercado11)</f>
        <v>0</v>
      </c>
      <c r="W123" s="4">
        <f>SUMIFS(super1[Qtde],super1[Item],tab_alimentos[[#This Row],[Item]],super1[Bairro],mercado12)+SUMIFS(supercb[Qtde],supercb[Item],tab_alimentos[[#This Row],[Item]],supercb[Bairro],mercado12)</f>
        <v>0</v>
      </c>
      <c r="X123" s="4">
        <f>SUMIFS(super1[Qtde],super1[Item],tab_alimentos[[#This Row],[Item]],super1[Bairro],mercado13)+SUMIFS(supercb[Qtde],supercb[Item],tab_alimentos[[#This Row],[Item]],supercb[Bairro],mercado13)</f>
        <v>0</v>
      </c>
      <c r="Y123" s="4">
        <f>SUMIFS(super1[Qtde],super1[Item],tab_alimentos[[#This Row],[Item]],super1[Bairro],mercado14)+SUMIFS(supercb[Qtde],supercb[Item],tab_alimentos[[#This Row],[Item]],supercb[Bairro],mercado14)</f>
        <v>0</v>
      </c>
      <c r="Z123" s="4">
        <f>SUMIFS(super1[Qtde],super1[Item],tab_alimentos[[#This Row],[Item]],super1[Bairro],mercado15)+SUMIFS(supercb[Qtde],supercb[Item],tab_alimentos[[#This Row],[Item]],supercb[Bairro],mercado15)</f>
        <v>0</v>
      </c>
      <c r="AA123" s="4">
        <f>SUMIFS(super1[Qtde],super1[Item],tab_alimentos[[#This Row],[Item]],super1[Bairro],mercado16)+SUMIFS(supercb[Qtde],supercb[Item],tab_alimentos[[#This Row],[Item]],supercb[Bairro],mercado16)</f>
        <v>0</v>
      </c>
      <c r="AB123" s="4">
        <f>SUMIFS(super1[Qtde],super1[Item],tab_alimentos[[#This Row],[Item]],super1[Bairro],mercado17)+SUMIFS(supercb[Qtde],supercb[Item],tab_alimentos[[#This Row],[Item]],supercb[Bairro],mercado17)</f>
        <v>0</v>
      </c>
      <c r="AC123" s="4">
        <f>SUMIFS(super1[Qtde],super1[Item],tab_alimentos[[#This Row],[Item]],super1[Bairro],mercado18)+SUMIFS(supercb[Qtde],supercb[Item],tab_alimentos[[#This Row],[Item]],supercb[Bairro],mercado18)</f>
        <v>0</v>
      </c>
      <c r="AD123" s="4">
        <f>SUMIFS(super1[Qtde],super1[Item],tab_alimentos[[#This Row],[Item]],super1[Bairro],extras)+SUMIFS(supercb[Qtde],supercb[Item],tab_alimentos[[#This Row],[Item]],supercb[Bairro],extras)</f>
        <v>0</v>
      </c>
      <c r="AE123" s="4">
        <f t="shared" si="38"/>
        <v>0</v>
      </c>
      <c r="AF123" s="4">
        <f t="shared" si="39"/>
        <v>0</v>
      </c>
      <c r="AG123" s="6">
        <f t="shared" si="40"/>
        <v>0</v>
      </c>
      <c r="AH123" s="19" t="str">
        <f>higiene[[#This Row],[Item]]</f>
        <v>Fraldas Infantis (58un)</v>
      </c>
      <c r="AI123" s="4">
        <f>IFERROR(higiene[[#This Row],[Kg equivalente]],0)</f>
        <v>0</v>
      </c>
      <c r="AJ123" s="4">
        <f>IFERROR(higiene[[#This Row],[Preço por produto]],0)</f>
        <v>79.900000000000006</v>
      </c>
      <c r="AK123" s="4">
        <f>SUMIFS(super1[Qtde],super1[Item],tab_higiene[[#This Row],[Item]],super1[Bairro],mercado1)+SUMIFS(supercb[Qtde],supercb[Item],tab_higiene[[#This Row],[Item]],supercb[Bairro],mercado1)</f>
        <v>0</v>
      </c>
      <c r="AL123" s="4">
        <f>SUMIFS(super1[Qtde],super1[Item],tab_higiene[[#This Row],[Item]],super1[Bairro],mercado2)+SUMIFS(supercb[Qtde],supercb[Item],tab_higiene[[#This Row],[Item]],supercb[Bairro],mercado2)</f>
        <v>0</v>
      </c>
      <c r="AM123" s="4">
        <f>SUMIFS(super1[Qtde],super1[Item],tab_higiene[[#This Row],[Item]],super1[Bairro],mercado3)+SUMIFS(supercb[Qtde],supercb[Item],tab_higiene[[#This Row],[Item]],supercb[Bairro],mercado3)</f>
        <v>0</v>
      </c>
      <c r="AN123" s="4">
        <f>SUMIFS(super1[Qtde],super1[Item],tab_higiene[[#This Row],[Item]],super1[Bairro],mercado4)+SUMIFS(supercb[Qtde],supercb[Item],tab_higiene[[#This Row],[Item]],supercb[Bairro],mercado4)</f>
        <v>0</v>
      </c>
      <c r="AO123" s="4">
        <f>SUMIFS(super1[Qtde],super1[Item],tab_higiene[[#This Row],[Item]],super1[Bairro],mercado5)+SUMIFS(supercb[Qtde],supercb[Item],tab_higiene[[#This Row],[Item]],supercb[Bairro],mercado5)</f>
        <v>0</v>
      </c>
      <c r="AP123" s="4">
        <f>SUMIFS(super1[Qtde],super1[Item],tab_higiene[[#This Row],[Item]],super1[Bairro],mercado6)+SUMIFS(supercb[Qtde],supercb[Item],tab_higiene[[#This Row],[Item]],supercb[Bairro],mercado6)</f>
        <v>0</v>
      </c>
      <c r="AQ123" s="4">
        <f>SUMIFS(super1[Qtde],super1[Item],tab_higiene[[#This Row],[Item]],super1[Bairro],mercado7)+SUMIFS(supercb[Qtde],supercb[Item],tab_higiene[[#This Row],[Item]],supercb[Bairro],mercado7)</f>
        <v>0</v>
      </c>
      <c r="AR123" s="4">
        <f>SUMIFS(super1[Qtde],super1[Item],tab_higiene[[#This Row],[Item]],super1[Bairro],mercado8)+SUMIFS(supercb[Qtde],supercb[Item],tab_higiene[[#This Row],[Item]],supercb[Bairro],mercado8)</f>
        <v>0</v>
      </c>
      <c r="AS123" s="4">
        <f>SUMIFS(super1[Qtde],super1[Item],tab_higiene[[#This Row],[Item]],super1[Bairro],mercado9)+SUMIFS(supercb[Qtde],supercb[Item],tab_higiene[[#This Row],[Item]],supercb[Bairro],mercado9)</f>
        <v>0</v>
      </c>
      <c r="AT123" s="4">
        <f>SUMIFS(super1[Qtde],super1[Item],tab_higiene[[#This Row],[Item]],super1[Bairro],mercado10)+SUMIFS(supercb[Qtde],supercb[Item],tab_higiene[[#This Row],[Item]],supercb[Bairro],mercado10)</f>
        <v>0</v>
      </c>
      <c r="AU123" s="4">
        <f>SUMIFS(super1[Qtde],super1[Item],tab_higiene[[#This Row],[Item]],super1[Bairro],mercado11)+SUMIFS(supercb[Qtde],supercb[Item],tab_higiene[[#This Row],[Item]],supercb[Bairro],mercado11)</f>
        <v>0</v>
      </c>
      <c r="AV123" s="4">
        <f>SUMIFS(super1[Qtde],super1[Item],tab_higiene[[#This Row],[Item]],super1[Bairro],mercado12)+SUMIFS(supercb[Qtde],supercb[Item],tab_higiene[[#This Row],[Item]],supercb[Bairro],mercado12)</f>
        <v>0</v>
      </c>
      <c r="AW123" s="4">
        <f>SUMIFS(super1[Qtde],super1[Item],tab_higiene[[#This Row],[Item]],super1[Bairro],mercado13)+SUMIFS(supercb[Qtde],supercb[Item],tab_higiene[[#This Row],[Item]],supercb[Bairro],mercado13)</f>
        <v>0</v>
      </c>
      <c r="AX123" s="4">
        <f>SUMIFS(super1[Qtde],super1[Item],tab_higiene[[#This Row],[Item]],super1[Bairro],mercado14)+SUMIFS(supercb[Qtde],supercb[Item],tab_higiene[[#This Row],[Item]],supercb[Bairro],mercado14)</f>
        <v>0</v>
      </c>
      <c r="AY123" s="4">
        <f>SUMIFS(super1[Qtde],super1[Item],tab_higiene[[#This Row],[Item]],super1[Bairro],mercado15)+SUMIFS(supercb[Qtde],supercb[Item],tab_higiene[[#This Row],[Item]],supercb[Bairro],mercado15)</f>
        <v>0</v>
      </c>
      <c r="AZ123" s="4">
        <f>SUMIFS(super1[Qtde],super1[Item],tab_higiene[[#This Row],[Item]],super1[Bairro],mercado16)+SUMIFS(supercb[Qtde],supercb[Item],tab_higiene[[#This Row],[Item]],supercb[Bairro],mercado16)</f>
        <v>0</v>
      </c>
      <c r="BA123" s="4">
        <f>SUMIFS(super1[Qtde],super1[Item],tab_higiene[[#This Row],[Item]],super1[Bairro],mercado17)+SUMIFS(supercb[Qtde],supercb[Item],tab_higiene[[#This Row],[Item]],supercb[Bairro],mercado17)</f>
        <v>0</v>
      </c>
      <c r="BB123" s="4">
        <f>SUMIFS(super1[Qtde],super1[Item],tab_higiene[[#This Row],[Item]],super1[Bairro],mercado18)+SUMIFS(supercb[Qtde],supercb[Item],tab_higiene[[#This Row],[Item]],supercb[Bairro],mercado18)</f>
        <v>0</v>
      </c>
      <c r="BC123" s="4">
        <f>SUMIFS(super1[Qtde],super1[Item],tab_higiene[[#This Row],[Item]],super1[Bairro],extras)+SUMIFS(supercb[Qtde],supercb[Item],tab_higiene[[#This Row],[Item]],supercb[Bairro],extras)</f>
        <v>0</v>
      </c>
      <c r="BD123" s="4">
        <f t="shared" si="41"/>
        <v>0</v>
      </c>
      <c r="BE123" s="4">
        <f t="shared" si="42"/>
        <v>0</v>
      </c>
      <c r="BF123" s="6">
        <f t="shared" si="43"/>
        <v>0</v>
      </c>
      <c r="BI123" s="1" t="str">
        <f>tab_alimentos[[#This Row],[Item]]</f>
        <v>Bolacha Doce Recheio (150g)</v>
      </c>
      <c r="BJ123" s="1">
        <f t="shared" si="25"/>
        <v>21</v>
      </c>
      <c r="BK123" s="1" t="str">
        <f t="shared" si="26"/>
        <v>Bolacha Doce Recheio</v>
      </c>
      <c r="BL123" s="1">
        <f>tab_alimentos[[#This Row],[kg]]</f>
        <v>0</v>
      </c>
      <c r="BN123" s="1">
        <f t="shared" si="36"/>
        <v>0</v>
      </c>
      <c r="BP123" s="1" t="str">
        <f>tab_higiene[[#This Row],[Item]]</f>
        <v>Fraldas Infantis (58un)</v>
      </c>
      <c r="BQ123" s="1">
        <f t="shared" si="33"/>
        <v>17</v>
      </c>
      <c r="BR123" s="1" t="str">
        <f t="shared" si="34"/>
        <v>Fraldas Infantis</v>
      </c>
      <c r="BS123" s="1">
        <f>higiene[[#This Row],[Quantidade]]</f>
        <v>4</v>
      </c>
      <c r="BT123" s="1">
        <f>tab_higiene[[#This Row],[Qtde (tot)]]</f>
        <v>0</v>
      </c>
      <c r="BU123" s="1">
        <f t="shared" si="37"/>
        <v>0</v>
      </c>
      <c r="BW123" s="1">
        <f t="shared" si="44"/>
        <v>0</v>
      </c>
    </row>
    <row r="124" spans="9:75" x14ac:dyDescent="0.25">
      <c r="I124" s="19" t="str">
        <f>alimentos[[#This Row],[Item]]</f>
        <v>Bolacha Doce Recheio (160g)</v>
      </c>
      <c r="J124" s="4">
        <f>IFERROR(alimentos[[#This Row],[kg/embalagem]],0)</f>
        <v>0.16</v>
      </c>
      <c r="K124" s="4">
        <f>IFERROR(alimentos[[#This Row],[Preço]],0)</f>
        <v>5.46</v>
      </c>
      <c r="L124" s="4">
        <f>SUMIFS(super1[Qtde],super1[Item],tab_alimentos[[#This Row],[Item]],super1[Bairro],mercado1)+SUMIFS(supercb[Qtde],supercb[Item],tab_alimentos[[#This Row],[Item]],supercb[Bairro],mercado1)</f>
        <v>0</v>
      </c>
      <c r="M124" s="4">
        <f>SUMIFS(super1[Qtde],super1[Item],tab_alimentos[[#This Row],[Item]],super1[Bairro],mercado2)+SUMIFS(supercb[Qtde],supercb[Item],tab_alimentos[[#This Row],[Item]],supercb[Bairro],mercado2)</f>
        <v>0</v>
      </c>
      <c r="N124" s="4">
        <f>SUMIFS(super1[Qtde],super1[Item],tab_alimentos[[#This Row],[Item]],super1[Bairro],mercado3)+SUMIFS(supercb[Qtde],supercb[Item],tab_alimentos[[#This Row],[Item]],supercb[Bairro],mercado3)</f>
        <v>0</v>
      </c>
      <c r="O124" s="4">
        <f>SUMIFS(super1[Qtde],super1[Item],tab_alimentos[[#This Row],[Item]],super1[Bairro],mercado4)+SUMIFS(supercb[Qtde],supercb[Item],tab_alimentos[[#This Row],[Item]],supercb[Bairro],mercado4)</f>
        <v>0</v>
      </c>
      <c r="P124" s="4">
        <f>SUMIFS(super1[Qtde],super1[Item],tab_alimentos[[#This Row],[Item]],super1[Bairro],mercado5)+SUMIFS(supercb[Qtde],supercb[Item],tab_alimentos[[#This Row],[Item]],supercb[Bairro],mercado5)</f>
        <v>0</v>
      </c>
      <c r="Q124" s="4">
        <f>SUMIFS(super1[Qtde],super1[Item],tab_alimentos[[#This Row],[Item]],super1[Bairro],mercado6)+SUMIFS(supercb[Qtde],supercb[Item],tab_alimentos[[#This Row],[Item]],supercb[Bairro],mercado6)</f>
        <v>0</v>
      </c>
      <c r="R124" s="4">
        <f>SUMIFS(super1[Qtde],super1[Item],tab_alimentos[[#This Row],[Item]],super1[Bairro],mercado7)+SUMIFS(supercb[Qtde],supercb[Item],tab_alimentos[[#This Row],[Item]],supercb[Bairro],mercado7)</f>
        <v>0</v>
      </c>
      <c r="S124" s="4">
        <f>SUMIFS(super1[Qtde],super1[Item],tab_alimentos[[#This Row],[Item]],super1[Bairro],mercado8)+SUMIFS(supercb[Qtde],supercb[Item],tab_alimentos[[#This Row],[Item]],supercb[Bairro],mercado8)</f>
        <v>0</v>
      </c>
      <c r="T124" s="4">
        <f>SUMIFS(super1[Qtde],super1[Item],tab_alimentos[[#This Row],[Item]],super1[Bairro],mercado9)+SUMIFS(supercb[Qtde],supercb[Item],tab_alimentos[[#This Row],[Item]],supercb[Bairro],mercado9)</f>
        <v>0</v>
      </c>
      <c r="U124" s="4">
        <f>SUMIFS(super1[Qtde],super1[Item],tab_alimentos[[#This Row],[Item]],super1[Bairro],mercado10)+SUMIFS(supercb[Qtde],supercb[Item],tab_alimentos[[#This Row],[Item]],supercb[Bairro],mercado10)</f>
        <v>0</v>
      </c>
      <c r="V124" s="4">
        <f>SUMIFS(super1[Qtde],super1[Item],tab_alimentos[[#This Row],[Item]],super1[Bairro],mercado11)+SUMIFS(supercb[Qtde],supercb[Item],tab_alimentos[[#This Row],[Item]],supercb[Bairro],mercado11)</f>
        <v>0</v>
      </c>
      <c r="W124" s="4">
        <f>SUMIFS(super1[Qtde],super1[Item],tab_alimentos[[#This Row],[Item]],super1[Bairro],mercado12)+SUMIFS(supercb[Qtde],supercb[Item],tab_alimentos[[#This Row],[Item]],supercb[Bairro],mercado12)</f>
        <v>0</v>
      </c>
      <c r="X124" s="4">
        <f>SUMIFS(super1[Qtde],super1[Item],tab_alimentos[[#This Row],[Item]],super1[Bairro],mercado13)+SUMIFS(supercb[Qtde],supercb[Item],tab_alimentos[[#This Row],[Item]],supercb[Bairro],mercado13)</f>
        <v>0</v>
      </c>
      <c r="Y124" s="4">
        <f>SUMIFS(super1[Qtde],super1[Item],tab_alimentos[[#This Row],[Item]],super1[Bairro],mercado14)+SUMIFS(supercb[Qtde],supercb[Item],tab_alimentos[[#This Row],[Item]],supercb[Bairro],mercado14)</f>
        <v>0</v>
      </c>
      <c r="Z124" s="4">
        <f>SUMIFS(super1[Qtde],super1[Item],tab_alimentos[[#This Row],[Item]],super1[Bairro],mercado15)+SUMIFS(supercb[Qtde],supercb[Item],tab_alimentos[[#This Row],[Item]],supercb[Bairro],mercado15)</f>
        <v>0</v>
      </c>
      <c r="AA124" s="4">
        <f>SUMIFS(super1[Qtde],super1[Item],tab_alimentos[[#This Row],[Item]],super1[Bairro],mercado16)+SUMIFS(supercb[Qtde],supercb[Item],tab_alimentos[[#This Row],[Item]],supercb[Bairro],mercado16)</f>
        <v>0</v>
      </c>
      <c r="AB124" s="4">
        <f>SUMIFS(super1[Qtde],super1[Item],tab_alimentos[[#This Row],[Item]],super1[Bairro],mercado17)+SUMIFS(supercb[Qtde],supercb[Item],tab_alimentos[[#This Row],[Item]],supercb[Bairro],mercado17)</f>
        <v>0</v>
      </c>
      <c r="AC124" s="4">
        <f>SUMIFS(super1[Qtde],super1[Item],tab_alimentos[[#This Row],[Item]],super1[Bairro],mercado18)+SUMIFS(supercb[Qtde],supercb[Item],tab_alimentos[[#This Row],[Item]],supercb[Bairro],mercado18)</f>
        <v>0</v>
      </c>
      <c r="AD124" s="4">
        <f>SUMIFS(super1[Qtde],super1[Item],tab_alimentos[[#This Row],[Item]],super1[Bairro],extras)+SUMIFS(supercb[Qtde],supercb[Item],tab_alimentos[[#This Row],[Item]],supercb[Bairro],extras)</f>
        <v>0</v>
      </c>
      <c r="AE124" s="4">
        <f t="shared" si="38"/>
        <v>0</v>
      </c>
      <c r="AF124" s="4">
        <f t="shared" si="39"/>
        <v>0</v>
      </c>
      <c r="AG124" s="6">
        <f t="shared" si="40"/>
        <v>0</v>
      </c>
      <c r="AH124" s="19" t="str">
        <f>higiene[[#This Row],[Item]]</f>
        <v>Fraldas Infantis (60un)</v>
      </c>
      <c r="AI124" s="4">
        <f>IFERROR(higiene[[#This Row],[Kg equivalente]],0)</f>
        <v>0</v>
      </c>
      <c r="AJ124" s="4">
        <f>IFERROR(higiene[[#This Row],[Preço por produto]],0)</f>
        <v>79.900000000000006</v>
      </c>
      <c r="AK124" s="4">
        <f>SUMIFS(super1[Qtde],super1[Item],tab_higiene[[#This Row],[Item]],super1[Bairro],mercado1)+SUMIFS(supercb[Qtde],supercb[Item],tab_higiene[[#This Row],[Item]],supercb[Bairro],mercado1)</f>
        <v>0</v>
      </c>
      <c r="AL124" s="4">
        <f>SUMIFS(super1[Qtde],super1[Item],tab_higiene[[#This Row],[Item]],super1[Bairro],mercado2)+SUMIFS(supercb[Qtde],supercb[Item],tab_higiene[[#This Row],[Item]],supercb[Bairro],mercado2)</f>
        <v>0</v>
      </c>
      <c r="AM124" s="4">
        <f>SUMIFS(super1[Qtde],super1[Item],tab_higiene[[#This Row],[Item]],super1[Bairro],mercado3)+SUMIFS(supercb[Qtde],supercb[Item],tab_higiene[[#This Row],[Item]],supercb[Bairro],mercado3)</f>
        <v>0</v>
      </c>
      <c r="AN124" s="4">
        <f>SUMIFS(super1[Qtde],super1[Item],tab_higiene[[#This Row],[Item]],super1[Bairro],mercado4)+SUMIFS(supercb[Qtde],supercb[Item],tab_higiene[[#This Row],[Item]],supercb[Bairro],mercado4)</f>
        <v>0</v>
      </c>
      <c r="AO124" s="4">
        <f>SUMIFS(super1[Qtde],super1[Item],tab_higiene[[#This Row],[Item]],super1[Bairro],mercado5)+SUMIFS(supercb[Qtde],supercb[Item],tab_higiene[[#This Row],[Item]],supercb[Bairro],mercado5)</f>
        <v>0</v>
      </c>
      <c r="AP124" s="4">
        <f>SUMIFS(super1[Qtde],super1[Item],tab_higiene[[#This Row],[Item]],super1[Bairro],mercado6)+SUMIFS(supercb[Qtde],supercb[Item],tab_higiene[[#This Row],[Item]],supercb[Bairro],mercado6)</f>
        <v>0</v>
      </c>
      <c r="AQ124" s="4">
        <f>SUMIFS(super1[Qtde],super1[Item],tab_higiene[[#This Row],[Item]],super1[Bairro],mercado7)+SUMIFS(supercb[Qtde],supercb[Item],tab_higiene[[#This Row],[Item]],supercb[Bairro],mercado7)</f>
        <v>0</v>
      </c>
      <c r="AR124" s="4">
        <f>SUMIFS(super1[Qtde],super1[Item],tab_higiene[[#This Row],[Item]],super1[Bairro],mercado8)+SUMIFS(supercb[Qtde],supercb[Item],tab_higiene[[#This Row],[Item]],supercb[Bairro],mercado8)</f>
        <v>0</v>
      </c>
      <c r="AS124" s="4">
        <f>SUMIFS(super1[Qtde],super1[Item],tab_higiene[[#This Row],[Item]],super1[Bairro],mercado9)+SUMIFS(supercb[Qtde],supercb[Item],tab_higiene[[#This Row],[Item]],supercb[Bairro],mercado9)</f>
        <v>0</v>
      </c>
      <c r="AT124" s="4">
        <f>SUMIFS(super1[Qtde],super1[Item],tab_higiene[[#This Row],[Item]],super1[Bairro],mercado10)+SUMIFS(supercb[Qtde],supercb[Item],tab_higiene[[#This Row],[Item]],supercb[Bairro],mercado10)</f>
        <v>0</v>
      </c>
      <c r="AU124" s="4">
        <f>SUMIFS(super1[Qtde],super1[Item],tab_higiene[[#This Row],[Item]],super1[Bairro],mercado11)+SUMIFS(supercb[Qtde],supercb[Item],tab_higiene[[#This Row],[Item]],supercb[Bairro],mercado11)</f>
        <v>0</v>
      </c>
      <c r="AV124" s="4">
        <f>SUMIFS(super1[Qtde],super1[Item],tab_higiene[[#This Row],[Item]],super1[Bairro],mercado12)+SUMIFS(supercb[Qtde],supercb[Item],tab_higiene[[#This Row],[Item]],supercb[Bairro],mercado12)</f>
        <v>0</v>
      </c>
      <c r="AW124" s="4">
        <f>SUMIFS(super1[Qtde],super1[Item],tab_higiene[[#This Row],[Item]],super1[Bairro],mercado13)+SUMIFS(supercb[Qtde],supercb[Item],tab_higiene[[#This Row],[Item]],supercb[Bairro],mercado13)</f>
        <v>0</v>
      </c>
      <c r="AX124" s="4">
        <f>SUMIFS(super1[Qtde],super1[Item],tab_higiene[[#This Row],[Item]],super1[Bairro],mercado14)+SUMIFS(supercb[Qtde],supercb[Item],tab_higiene[[#This Row],[Item]],supercb[Bairro],mercado14)</f>
        <v>0</v>
      </c>
      <c r="AY124" s="4">
        <f>SUMIFS(super1[Qtde],super1[Item],tab_higiene[[#This Row],[Item]],super1[Bairro],mercado15)+SUMIFS(supercb[Qtde],supercb[Item],tab_higiene[[#This Row],[Item]],supercb[Bairro],mercado15)</f>
        <v>0</v>
      </c>
      <c r="AZ124" s="4">
        <f>SUMIFS(super1[Qtde],super1[Item],tab_higiene[[#This Row],[Item]],super1[Bairro],mercado16)+SUMIFS(supercb[Qtde],supercb[Item],tab_higiene[[#This Row],[Item]],supercb[Bairro],mercado16)</f>
        <v>0</v>
      </c>
      <c r="BA124" s="4">
        <f>SUMIFS(super1[Qtde],super1[Item],tab_higiene[[#This Row],[Item]],super1[Bairro],mercado17)+SUMIFS(supercb[Qtde],supercb[Item],tab_higiene[[#This Row],[Item]],supercb[Bairro],mercado17)</f>
        <v>0</v>
      </c>
      <c r="BB124" s="4">
        <f>SUMIFS(super1[Qtde],super1[Item],tab_higiene[[#This Row],[Item]],super1[Bairro],mercado18)+SUMIFS(supercb[Qtde],supercb[Item],tab_higiene[[#This Row],[Item]],supercb[Bairro],mercado18)</f>
        <v>0</v>
      </c>
      <c r="BC124" s="4">
        <f>SUMIFS(super1[Qtde],super1[Item],tab_higiene[[#This Row],[Item]],super1[Bairro],extras)+SUMIFS(supercb[Qtde],supercb[Item],tab_higiene[[#This Row],[Item]],supercb[Bairro],extras)</f>
        <v>0</v>
      </c>
      <c r="BD124" s="4">
        <f t="shared" si="41"/>
        <v>0</v>
      </c>
      <c r="BE124" s="4">
        <f t="shared" si="42"/>
        <v>0</v>
      </c>
      <c r="BF124" s="6">
        <f t="shared" si="43"/>
        <v>0</v>
      </c>
      <c r="BI124" s="1" t="str">
        <f>tab_alimentos[[#This Row],[Item]]</f>
        <v>Bolacha Doce Recheio (160g)</v>
      </c>
      <c r="BJ124" s="1">
        <f t="shared" si="25"/>
        <v>21</v>
      </c>
      <c r="BK124" s="1" t="str">
        <f t="shared" si="26"/>
        <v>Bolacha Doce Recheio</v>
      </c>
      <c r="BL124" s="1">
        <f>tab_alimentos[[#This Row],[kg]]</f>
        <v>0</v>
      </c>
      <c r="BN124" s="1">
        <f t="shared" si="36"/>
        <v>0</v>
      </c>
      <c r="BP124" s="1" t="str">
        <f>tab_higiene[[#This Row],[Item]]</f>
        <v>Fraldas Infantis (60un)</v>
      </c>
      <c r="BQ124" s="1">
        <f t="shared" si="33"/>
        <v>17</v>
      </c>
      <c r="BR124" s="1" t="str">
        <f t="shared" si="34"/>
        <v>Fraldas Infantis</v>
      </c>
      <c r="BS124" s="1">
        <f>higiene[[#This Row],[Quantidade]]</f>
        <v>8</v>
      </c>
      <c r="BT124" s="1">
        <f>tab_higiene[[#This Row],[Qtde (tot)]]</f>
        <v>0</v>
      </c>
      <c r="BU124" s="1">
        <f t="shared" si="37"/>
        <v>0</v>
      </c>
      <c r="BW124" s="1">
        <f t="shared" si="44"/>
        <v>0</v>
      </c>
    </row>
    <row r="125" spans="9:75" x14ac:dyDescent="0.25">
      <c r="I125" s="19" t="str">
        <f>alimentos[[#This Row],[Item]]</f>
        <v>Bolacha Doce Recheio (250g)</v>
      </c>
      <c r="J125" s="4">
        <f>IFERROR(alimentos[[#This Row],[kg/embalagem]],0)</f>
        <v>0.25</v>
      </c>
      <c r="K125" s="4">
        <f>IFERROR(alimentos[[#This Row],[Preço]],0)</f>
        <v>12.09</v>
      </c>
      <c r="L125" s="4">
        <f>SUMIFS(super1[Qtde],super1[Item],tab_alimentos[[#This Row],[Item]],super1[Bairro],mercado1)+SUMIFS(supercb[Qtde],supercb[Item],tab_alimentos[[#This Row],[Item]],supercb[Bairro],mercado1)</f>
        <v>0</v>
      </c>
      <c r="M125" s="4">
        <f>SUMIFS(super1[Qtde],super1[Item],tab_alimentos[[#This Row],[Item]],super1[Bairro],mercado2)+SUMIFS(supercb[Qtde],supercb[Item],tab_alimentos[[#This Row],[Item]],supercb[Bairro],mercado2)</f>
        <v>0</v>
      </c>
      <c r="N125" s="4">
        <f>SUMIFS(super1[Qtde],super1[Item],tab_alimentos[[#This Row],[Item]],super1[Bairro],mercado3)+SUMIFS(supercb[Qtde],supercb[Item],tab_alimentos[[#This Row],[Item]],supercb[Bairro],mercado3)</f>
        <v>0</v>
      </c>
      <c r="O125" s="4">
        <f>SUMIFS(super1[Qtde],super1[Item],tab_alimentos[[#This Row],[Item]],super1[Bairro],mercado4)+SUMIFS(supercb[Qtde],supercb[Item],tab_alimentos[[#This Row],[Item]],supercb[Bairro],mercado4)</f>
        <v>0</v>
      </c>
      <c r="P125" s="4">
        <f>SUMIFS(super1[Qtde],super1[Item],tab_alimentos[[#This Row],[Item]],super1[Bairro],mercado5)+SUMIFS(supercb[Qtde],supercb[Item],tab_alimentos[[#This Row],[Item]],supercb[Bairro],mercado5)</f>
        <v>0</v>
      </c>
      <c r="Q125" s="4">
        <f>SUMIFS(super1[Qtde],super1[Item],tab_alimentos[[#This Row],[Item]],super1[Bairro],mercado6)+SUMIFS(supercb[Qtde],supercb[Item],tab_alimentos[[#This Row],[Item]],supercb[Bairro],mercado6)</f>
        <v>0</v>
      </c>
      <c r="R125" s="4">
        <f>SUMIFS(super1[Qtde],super1[Item],tab_alimentos[[#This Row],[Item]],super1[Bairro],mercado7)+SUMIFS(supercb[Qtde],supercb[Item],tab_alimentos[[#This Row],[Item]],supercb[Bairro],mercado7)</f>
        <v>0</v>
      </c>
      <c r="S125" s="4">
        <f>SUMIFS(super1[Qtde],super1[Item],tab_alimentos[[#This Row],[Item]],super1[Bairro],mercado8)+SUMIFS(supercb[Qtde],supercb[Item],tab_alimentos[[#This Row],[Item]],supercb[Bairro],mercado8)</f>
        <v>0</v>
      </c>
      <c r="T125" s="4">
        <f>SUMIFS(super1[Qtde],super1[Item],tab_alimentos[[#This Row],[Item]],super1[Bairro],mercado9)+SUMIFS(supercb[Qtde],supercb[Item],tab_alimentos[[#This Row],[Item]],supercb[Bairro],mercado9)</f>
        <v>0</v>
      </c>
      <c r="U125" s="4">
        <f>SUMIFS(super1[Qtde],super1[Item],tab_alimentos[[#This Row],[Item]],super1[Bairro],mercado10)+SUMIFS(supercb[Qtde],supercb[Item],tab_alimentos[[#This Row],[Item]],supercb[Bairro],mercado10)</f>
        <v>0</v>
      </c>
      <c r="V125" s="4">
        <f>SUMIFS(super1[Qtde],super1[Item],tab_alimentos[[#This Row],[Item]],super1[Bairro],mercado11)+SUMIFS(supercb[Qtde],supercb[Item],tab_alimentos[[#This Row],[Item]],supercb[Bairro],mercado11)</f>
        <v>0</v>
      </c>
      <c r="W125" s="4">
        <f>SUMIFS(super1[Qtde],super1[Item],tab_alimentos[[#This Row],[Item]],super1[Bairro],mercado12)+SUMIFS(supercb[Qtde],supercb[Item],tab_alimentos[[#This Row],[Item]],supercb[Bairro],mercado12)</f>
        <v>0</v>
      </c>
      <c r="X125" s="4">
        <f>SUMIFS(super1[Qtde],super1[Item],tab_alimentos[[#This Row],[Item]],super1[Bairro],mercado13)+SUMIFS(supercb[Qtde],supercb[Item],tab_alimentos[[#This Row],[Item]],supercb[Bairro],mercado13)</f>
        <v>0</v>
      </c>
      <c r="Y125" s="4">
        <f>SUMIFS(super1[Qtde],super1[Item],tab_alimentos[[#This Row],[Item]],super1[Bairro],mercado14)+SUMIFS(supercb[Qtde],supercb[Item],tab_alimentos[[#This Row],[Item]],supercb[Bairro],mercado14)</f>
        <v>0</v>
      </c>
      <c r="Z125" s="4">
        <f>SUMIFS(super1[Qtde],super1[Item],tab_alimentos[[#This Row],[Item]],super1[Bairro],mercado15)+SUMIFS(supercb[Qtde],supercb[Item],tab_alimentos[[#This Row],[Item]],supercb[Bairro],mercado15)</f>
        <v>0</v>
      </c>
      <c r="AA125" s="4">
        <f>SUMIFS(super1[Qtde],super1[Item],tab_alimentos[[#This Row],[Item]],super1[Bairro],mercado16)+SUMIFS(supercb[Qtde],supercb[Item],tab_alimentos[[#This Row],[Item]],supercb[Bairro],mercado16)</f>
        <v>0</v>
      </c>
      <c r="AB125" s="4">
        <f>SUMIFS(super1[Qtde],super1[Item],tab_alimentos[[#This Row],[Item]],super1[Bairro],mercado17)+SUMIFS(supercb[Qtde],supercb[Item],tab_alimentos[[#This Row],[Item]],supercb[Bairro],mercado17)</f>
        <v>0</v>
      </c>
      <c r="AC125" s="4">
        <f>SUMIFS(super1[Qtde],super1[Item],tab_alimentos[[#This Row],[Item]],super1[Bairro],mercado18)+SUMIFS(supercb[Qtde],supercb[Item],tab_alimentos[[#This Row],[Item]],supercb[Bairro],mercado18)</f>
        <v>0</v>
      </c>
      <c r="AD125" s="4">
        <f>SUMIFS(super1[Qtde],super1[Item],tab_alimentos[[#This Row],[Item]],super1[Bairro],extras)+SUMIFS(supercb[Qtde],supercb[Item],tab_alimentos[[#This Row],[Item]],supercb[Bairro],extras)</f>
        <v>0</v>
      </c>
      <c r="AE125" s="4">
        <f t="shared" si="38"/>
        <v>0</v>
      </c>
      <c r="AF125" s="4">
        <f t="shared" si="39"/>
        <v>0</v>
      </c>
      <c r="AG125" s="6">
        <f t="shared" si="40"/>
        <v>0</v>
      </c>
      <c r="AH125" s="19" t="str">
        <f>higiene[[#This Row],[Item]]</f>
        <v>Fraldas Infantis (70un)</v>
      </c>
      <c r="AI125" s="4">
        <f>IFERROR(higiene[[#This Row],[Kg equivalente]],0)</f>
        <v>0</v>
      </c>
      <c r="AJ125" s="4">
        <f>IFERROR(higiene[[#This Row],[Preço por produto]],0)</f>
        <v>79.900000000000006</v>
      </c>
      <c r="AK125" s="4">
        <f>SUMIFS(super1[Qtde],super1[Item],tab_higiene[[#This Row],[Item]],super1[Bairro],mercado1)+SUMIFS(supercb[Qtde],supercb[Item],tab_higiene[[#This Row],[Item]],supercb[Bairro],mercado1)</f>
        <v>0</v>
      </c>
      <c r="AL125" s="4">
        <f>SUMIFS(super1[Qtde],super1[Item],tab_higiene[[#This Row],[Item]],super1[Bairro],mercado2)+SUMIFS(supercb[Qtde],supercb[Item],tab_higiene[[#This Row],[Item]],supercb[Bairro],mercado2)</f>
        <v>0</v>
      </c>
      <c r="AM125" s="4">
        <f>SUMIFS(super1[Qtde],super1[Item],tab_higiene[[#This Row],[Item]],super1[Bairro],mercado3)+SUMIFS(supercb[Qtde],supercb[Item],tab_higiene[[#This Row],[Item]],supercb[Bairro],mercado3)</f>
        <v>0</v>
      </c>
      <c r="AN125" s="4">
        <f>SUMIFS(super1[Qtde],super1[Item],tab_higiene[[#This Row],[Item]],super1[Bairro],mercado4)+SUMIFS(supercb[Qtde],supercb[Item],tab_higiene[[#This Row],[Item]],supercb[Bairro],mercado4)</f>
        <v>0</v>
      </c>
      <c r="AO125" s="4">
        <f>SUMIFS(super1[Qtde],super1[Item],tab_higiene[[#This Row],[Item]],super1[Bairro],mercado5)+SUMIFS(supercb[Qtde],supercb[Item],tab_higiene[[#This Row],[Item]],supercb[Bairro],mercado5)</f>
        <v>0</v>
      </c>
      <c r="AP125" s="4">
        <f>SUMIFS(super1[Qtde],super1[Item],tab_higiene[[#This Row],[Item]],super1[Bairro],mercado6)+SUMIFS(supercb[Qtde],supercb[Item],tab_higiene[[#This Row],[Item]],supercb[Bairro],mercado6)</f>
        <v>0</v>
      </c>
      <c r="AQ125" s="4">
        <f>SUMIFS(super1[Qtde],super1[Item],tab_higiene[[#This Row],[Item]],super1[Bairro],mercado7)+SUMIFS(supercb[Qtde],supercb[Item],tab_higiene[[#This Row],[Item]],supercb[Bairro],mercado7)</f>
        <v>0</v>
      </c>
      <c r="AR125" s="4">
        <f>SUMIFS(super1[Qtde],super1[Item],tab_higiene[[#This Row],[Item]],super1[Bairro],mercado8)+SUMIFS(supercb[Qtde],supercb[Item],tab_higiene[[#This Row],[Item]],supercb[Bairro],mercado8)</f>
        <v>0</v>
      </c>
      <c r="AS125" s="4">
        <f>SUMIFS(super1[Qtde],super1[Item],tab_higiene[[#This Row],[Item]],super1[Bairro],mercado9)+SUMIFS(supercb[Qtde],supercb[Item],tab_higiene[[#This Row],[Item]],supercb[Bairro],mercado9)</f>
        <v>0</v>
      </c>
      <c r="AT125" s="4">
        <f>SUMIFS(super1[Qtde],super1[Item],tab_higiene[[#This Row],[Item]],super1[Bairro],mercado10)+SUMIFS(supercb[Qtde],supercb[Item],tab_higiene[[#This Row],[Item]],supercb[Bairro],mercado10)</f>
        <v>0</v>
      </c>
      <c r="AU125" s="4">
        <f>SUMIFS(super1[Qtde],super1[Item],tab_higiene[[#This Row],[Item]],super1[Bairro],mercado11)+SUMIFS(supercb[Qtde],supercb[Item],tab_higiene[[#This Row],[Item]],supercb[Bairro],mercado11)</f>
        <v>0</v>
      </c>
      <c r="AV125" s="4">
        <f>SUMIFS(super1[Qtde],super1[Item],tab_higiene[[#This Row],[Item]],super1[Bairro],mercado12)+SUMIFS(supercb[Qtde],supercb[Item],tab_higiene[[#This Row],[Item]],supercb[Bairro],mercado12)</f>
        <v>0</v>
      </c>
      <c r="AW125" s="4">
        <f>SUMIFS(super1[Qtde],super1[Item],tab_higiene[[#This Row],[Item]],super1[Bairro],mercado13)+SUMIFS(supercb[Qtde],supercb[Item],tab_higiene[[#This Row],[Item]],supercb[Bairro],mercado13)</f>
        <v>0</v>
      </c>
      <c r="AX125" s="4">
        <f>SUMIFS(super1[Qtde],super1[Item],tab_higiene[[#This Row],[Item]],super1[Bairro],mercado14)+SUMIFS(supercb[Qtde],supercb[Item],tab_higiene[[#This Row],[Item]],supercb[Bairro],mercado14)</f>
        <v>0</v>
      </c>
      <c r="AY125" s="4">
        <f>SUMIFS(super1[Qtde],super1[Item],tab_higiene[[#This Row],[Item]],super1[Bairro],mercado15)+SUMIFS(supercb[Qtde],supercb[Item],tab_higiene[[#This Row],[Item]],supercb[Bairro],mercado15)</f>
        <v>0</v>
      </c>
      <c r="AZ125" s="4">
        <f>SUMIFS(super1[Qtde],super1[Item],tab_higiene[[#This Row],[Item]],super1[Bairro],mercado16)+SUMIFS(supercb[Qtde],supercb[Item],tab_higiene[[#This Row],[Item]],supercb[Bairro],mercado16)</f>
        <v>0</v>
      </c>
      <c r="BA125" s="4">
        <f>SUMIFS(super1[Qtde],super1[Item],tab_higiene[[#This Row],[Item]],super1[Bairro],mercado17)+SUMIFS(supercb[Qtde],supercb[Item],tab_higiene[[#This Row],[Item]],supercb[Bairro],mercado17)</f>
        <v>0</v>
      </c>
      <c r="BB125" s="4">
        <f>SUMIFS(super1[Qtde],super1[Item],tab_higiene[[#This Row],[Item]],super1[Bairro],mercado18)+SUMIFS(supercb[Qtde],supercb[Item],tab_higiene[[#This Row],[Item]],supercb[Bairro],mercado18)</f>
        <v>0</v>
      </c>
      <c r="BC125" s="4">
        <f>SUMIFS(super1[Qtde],super1[Item],tab_higiene[[#This Row],[Item]],super1[Bairro],extras)+SUMIFS(supercb[Qtde],supercb[Item],tab_higiene[[#This Row],[Item]],supercb[Bairro],extras)</f>
        <v>0</v>
      </c>
      <c r="BD125" s="4">
        <f t="shared" si="41"/>
        <v>0</v>
      </c>
      <c r="BE125" s="4">
        <f t="shared" si="42"/>
        <v>0</v>
      </c>
      <c r="BF125" s="6">
        <f t="shared" si="43"/>
        <v>0</v>
      </c>
      <c r="BI125" s="1" t="str">
        <f>tab_alimentos[[#This Row],[Item]]</f>
        <v>Bolacha Doce Recheio (250g)</v>
      </c>
      <c r="BJ125" s="1">
        <f t="shared" si="25"/>
        <v>21</v>
      </c>
      <c r="BK125" s="1" t="str">
        <f t="shared" si="26"/>
        <v>Bolacha Doce Recheio</v>
      </c>
      <c r="BL125" s="1">
        <f>tab_alimentos[[#This Row],[kg]]</f>
        <v>0</v>
      </c>
      <c r="BN125" s="1">
        <f t="shared" si="36"/>
        <v>0</v>
      </c>
      <c r="BP125" s="1" t="str">
        <f>tab_higiene[[#This Row],[Item]]</f>
        <v>Fraldas Infantis (70un)</v>
      </c>
      <c r="BQ125" s="1">
        <f t="shared" si="33"/>
        <v>17</v>
      </c>
      <c r="BR125" s="1" t="str">
        <f t="shared" si="34"/>
        <v>Fraldas Infantis</v>
      </c>
      <c r="BS125" s="1">
        <f>higiene[[#This Row],[Quantidade]]</f>
        <v>70</v>
      </c>
      <c r="BT125" s="1">
        <f>tab_higiene[[#This Row],[Qtde (tot)]]</f>
        <v>0</v>
      </c>
      <c r="BU125" s="1">
        <f t="shared" si="37"/>
        <v>0</v>
      </c>
      <c r="BW125" s="1">
        <f t="shared" si="44"/>
        <v>0</v>
      </c>
    </row>
    <row r="126" spans="9:75" x14ac:dyDescent="0.25">
      <c r="I126" s="19" t="str">
        <f>alimentos[[#This Row],[Item]]</f>
        <v>Bolacha Doce Recheio (375g)</v>
      </c>
      <c r="J126" s="4">
        <f>IFERROR(alimentos[[#This Row],[kg/embalagem]],0)</f>
        <v>0.375</v>
      </c>
      <c r="K126" s="4">
        <f>IFERROR(alimentos[[#This Row],[Preço]],0)</f>
        <v>6.99</v>
      </c>
      <c r="L126" s="4">
        <f>SUMIFS(super1[Qtde],super1[Item],tab_alimentos[[#This Row],[Item]],super1[Bairro],mercado1)+SUMIFS(supercb[Qtde],supercb[Item],tab_alimentos[[#This Row],[Item]],supercb[Bairro],mercado1)</f>
        <v>0</v>
      </c>
      <c r="M126" s="4">
        <f>SUMIFS(super1[Qtde],super1[Item],tab_alimentos[[#This Row],[Item]],super1[Bairro],mercado2)+SUMIFS(supercb[Qtde],supercb[Item],tab_alimentos[[#This Row],[Item]],supercb[Bairro],mercado2)</f>
        <v>0</v>
      </c>
      <c r="N126" s="4">
        <f>SUMIFS(super1[Qtde],super1[Item],tab_alimentos[[#This Row],[Item]],super1[Bairro],mercado3)+SUMIFS(supercb[Qtde],supercb[Item],tab_alimentos[[#This Row],[Item]],supercb[Bairro],mercado3)</f>
        <v>0</v>
      </c>
      <c r="O126" s="4">
        <f>SUMIFS(super1[Qtde],super1[Item],tab_alimentos[[#This Row],[Item]],super1[Bairro],mercado4)+SUMIFS(supercb[Qtde],supercb[Item],tab_alimentos[[#This Row],[Item]],supercb[Bairro],mercado4)</f>
        <v>0</v>
      </c>
      <c r="P126" s="4">
        <f>SUMIFS(super1[Qtde],super1[Item],tab_alimentos[[#This Row],[Item]],super1[Bairro],mercado5)+SUMIFS(supercb[Qtde],supercb[Item],tab_alimentos[[#This Row],[Item]],supercb[Bairro],mercado5)</f>
        <v>0</v>
      </c>
      <c r="Q126" s="4">
        <f>SUMIFS(super1[Qtde],super1[Item],tab_alimentos[[#This Row],[Item]],super1[Bairro],mercado6)+SUMIFS(supercb[Qtde],supercb[Item],tab_alimentos[[#This Row],[Item]],supercb[Bairro],mercado6)</f>
        <v>0</v>
      </c>
      <c r="R126" s="4">
        <f>SUMIFS(super1[Qtde],super1[Item],tab_alimentos[[#This Row],[Item]],super1[Bairro],mercado7)+SUMIFS(supercb[Qtde],supercb[Item],tab_alimentos[[#This Row],[Item]],supercb[Bairro],mercado7)</f>
        <v>0</v>
      </c>
      <c r="S126" s="4">
        <f>SUMIFS(super1[Qtde],super1[Item],tab_alimentos[[#This Row],[Item]],super1[Bairro],mercado8)+SUMIFS(supercb[Qtde],supercb[Item],tab_alimentos[[#This Row],[Item]],supercb[Bairro],mercado8)</f>
        <v>0</v>
      </c>
      <c r="T126" s="4">
        <f>SUMIFS(super1[Qtde],super1[Item],tab_alimentos[[#This Row],[Item]],super1[Bairro],mercado9)+SUMIFS(supercb[Qtde],supercb[Item],tab_alimentos[[#This Row],[Item]],supercb[Bairro],mercado9)</f>
        <v>0</v>
      </c>
      <c r="U126" s="4">
        <f>SUMIFS(super1[Qtde],super1[Item],tab_alimentos[[#This Row],[Item]],super1[Bairro],mercado10)+SUMIFS(supercb[Qtde],supercb[Item],tab_alimentos[[#This Row],[Item]],supercb[Bairro],mercado10)</f>
        <v>0</v>
      </c>
      <c r="V126" s="4">
        <f>SUMIFS(super1[Qtde],super1[Item],tab_alimentos[[#This Row],[Item]],super1[Bairro],mercado11)+SUMIFS(supercb[Qtde],supercb[Item],tab_alimentos[[#This Row],[Item]],supercb[Bairro],mercado11)</f>
        <v>0</v>
      </c>
      <c r="W126" s="4">
        <f>SUMIFS(super1[Qtde],super1[Item],tab_alimentos[[#This Row],[Item]],super1[Bairro],mercado12)+SUMIFS(supercb[Qtde],supercb[Item],tab_alimentos[[#This Row],[Item]],supercb[Bairro],mercado12)</f>
        <v>0</v>
      </c>
      <c r="X126" s="4">
        <f>SUMIFS(super1[Qtde],super1[Item],tab_alimentos[[#This Row],[Item]],super1[Bairro],mercado13)+SUMIFS(supercb[Qtde],supercb[Item],tab_alimentos[[#This Row],[Item]],supercb[Bairro],mercado13)</f>
        <v>0</v>
      </c>
      <c r="Y126" s="4">
        <f>SUMIFS(super1[Qtde],super1[Item],tab_alimentos[[#This Row],[Item]],super1[Bairro],mercado14)+SUMIFS(supercb[Qtde],supercb[Item],tab_alimentos[[#This Row],[Item]],supercb[Bairro],mercado14)</f>
        <v>0</v>
      </c>
      <c r="Z126" s="4">
        <f>SUMIFS(super1[Qtde],super1[Item],tab_alimentos[[#This Row],[Item]],super1[Bairro],mercado15)+SUMIFS(supercb[Qtde],supercb[Item],tab_alimentos[[#This Row],[Item]],supercb[Bairro],mercado15)</f>
        <v>0</v>
      </c>
      <c r="AA126" s="4">
        <f>SUMIFS(super1[Qtde],super1[Item],tab_alimentos[[#This Row],[Item]],super1[Bairro],mercado16)+SUMIFS(supercb[Qtde],supercb[Item],tab_alimentos[[#This Row],[Item]],supercb[Bairro],mercado16)</f>
        <v>0</v>
      </c>
      <c r="AB126" s="4">
        <f>SUMIFS(super1[Qtde],super1[Item],tab_alimentos[[#This Row],[Item]],super1[Bairro],mercado17)+SUMIFS(supercb[Qtde],supercb[Item],tab_alimentos[[#This Row],[Item]],supercb[Bairro],mercado17)</f>
        <v>0</v>
      </c>
      <c r="AC126" s="4">
        <f>SUMIFS(super1[Qtde],super1[Item],tab_alimentos[[#This Row],[Item]],super1[Bairro],mercado18)+SUMIFS(supercb[Qtde],supercb[Item],tab_alimentos[[#This Row],[Item]],supercb[Bairro],mercado18)</f>
        <v>0</v>
      </c>
      <c r="AD126" s="4">
        <f>SUMIFS(super1[Qtde],super1[Item],tab_alimentos[[#This Row],[Item]],super1[Bairro],extras)+SUMIFS(supercb[Qtde],supercb[Item],tab_alimentos[[#This Row],[Item]],supercb[Bairro],extras)</f>
        <v>0</v>
      </c>
      <c r="AE126" s="4">
        <f t="shared" si="38"/>
        <v>0</v>
      </c>
      <c r="AF126" s="4">
        <f t="shared" si="39"/>
        <v>0</v>
      </c>
      <c r="AG126" s="6">
        <f t="shared" si="40"/>
        <v>0</v>
      </c>
      <c r="AH126" s="19" t="str">
        <f>higiene[[#This Row],[Item]]</f>
        <v>Fraldas Infantis (7un)</v>
      </c>
      <c r="AI126" s="4">
        <f>IFERROR(higiene[[#This Row],[Kg equivalente]],0)</f>
        <v>0</v>
      </c>
      <c r="AJ126" s="4">
        <f>IFERROR(higiene[[#This Row],[Preço por produto]],0)</f>
        <v>16.899999999999999</v>
      </c>
      <c r="AK126" s="4">
        <f>SUMIFS(super1[Qtde],super1[Item],tab_higiene[[#This Row],[Item]],super1[Bairro],mercado1)+SUMIFS(supercb[Qtde],supercb[Item],tab_higiene[[#This Row],[Item]],supercb[Bairro],mercado1)</f>
        <v>0</v>
      </c>
      <c r="AL126" s="4">
        <f>SUMIFS(super1[Qtde],super1[Item],tab_higiene[[#This Row],[Item]],super1[Bairro],mercado2)+SUMIFS(supercb[Qtde],supercb[Item],tab_higiene[[#This Row],[Item]],supercb[Bairro],mercado2)</f>
        <v>0</v>
      </c>
      <c r="AM126" s="4">
        <f>SUMIFS(super1[Qtde],super1[Item],tab_higiene[[#This Row],[Item]],super1[Bairro],mercado3)+SUMIFS(supercb[Qtde],supercb[Item],tab_higiene[[#This Row],[Item]],supercb[Bairro],mercado3)</f>
        <v>0</v>
      </c>
      <c r="AN126" s="4">
        <f>SUMIFS(super1[Qtde],super1[Item],tab_higiene[[#This Row],[Item]],super1[Bairro],mercado4)+SUMIFS(supercb[Qtde],supercb[Item],tab_higiene[[#This Row],[Item]],supercb[Bairro],mercado4)</f>
        <v>0</v>
      </c>
      <c r="AO126" s="4">
        <f>SUMIFS(super1[Qtde],super1[Item],tab_higiene[[#This Row],[Item]],super1[Bairro],mercado5)+SUMIFS(supercb[Qtde],supercb[Item],tab_higiene[[#This Row],[Item]],supercb[Bairro],mercado5)</f>
        <v>0</v>
      </c>
      <c r="AP126" s="4">
        <f>SUMIFS(super1[Qtde],super1[Item],tab_higiene[[#This Row],[Item]],super1[Bairro],mercado6)+SUMIFS(supercb[Qtde],supercb[Item],tab_higiene[[#This Row],[Item]],supercb[Bairro],mercado6)</f>
        <v>0</v>
      </c>
      <c r="AQ126" s="4">
        <f>SUMIFS(super1[Qtde],super1[Item],tab_higiene[[#This Row],[Item]],super1[Bairro],mercado7)+SUMIFS(supercb[Qtde],supercb[Item],tab_higiene[[#This Row],[Item]],supercb[Bairro],mercado7)</f>
        <v>0</v>
      </c>
      <c r="AR126" s="4">
        <f>SUMIFS(super1[Qtde],super1[Item],tab_higiene[[#This Row],[Item]],super1[Bairro],mercado8)+SUMIFS(supercb[Qtde],supercb[Item],tab_higiene[[#This Row],[Item]],supercb[Bairro],mercado8)</f>
        <v>0</v>
      </c>
      <c r="AS126" s="4">
        <f>SUMIFS(super1[Qtde],super1[Item],tab_higiene[[#This Row],[Item]],super1[Bairro],mercado9)+SUMIFS(supercb[Qtde],supercb[Item],tab_higiene[[#This Row],[Item]],supercb[Bairro],mercado9)</f>
        <v>0</v>
      </c>
      <c r="AT126" s="4">
        <f>SUMIFS(super1[Qtde],super1[Item],tab_higiene[[#This Row],[Item]],super1[Bairro],mercado10)+SUMIFS(supercb[Qtde],supercb[Item],tab_higiene[[#This Row],[Item]],supercb[Bairro],mercado10)</f>
        <v>0</v>
      </c>
      <c r="AU126" s="4">
        <f>SUMIFS(super1[Qtde],super1[Item],tab_higiene[[#This Row],[Item]],super1[Bairro],mercado11)+SUMIFS(supercb[Qtde],supercb[Item],tab_higiene[[#This Row],[Item]],supercb[Bairro],mercado11)</f>
        <v>0</v>
      </c>
      <c r="AV126" s="4">
        <f>SUMIFS(super1[Qtde],super1[Item],tab_higiene[[#This Row],[Item]],super1[Bairro],mercado12)+SUMIFS(supercb[Qtde],supercb[Item],tab_higiene[[#This Row],[Item]],supercb[Bairro],mercado12)</f>
        <v>0</v>
      </c>
      <c r="AW126" s="4">
        <f>SUMIFS(super1[Qtde],super1[Item],tab_higiene[[#This Row],[Item]],super1[Bairro],mercado13)+SUMIFS(supercb[Qtde],supercb[Item],tab_higiene[[#This Row],[Item]],supercb[Bairro],mercado13)</f>
        <v>0</v>
      </c>
      <c r="AX126" s="4">
        <f>SUMIFS(super1[Qtde],super1[Item],tab_higiene[[#This Row],[Item]],super1[Bairro],mercado14)+SUMIFS(supercb[Qtde],supercb[Item],tab_higiene[[#This Row],[Item]],supercb[Bairro],mercado14)</f>
        <v>0</v>
      </c>
      <c r="AY126" s="4">
        <f>SUMIFS(super1[Qtde],super1[Item],tab_higiene[[#This Row],[Item]],super1[Bairro],mercado15)+SUMIFS(supercb[Qtde],supercb[Item],tab_higiene[[#This Row],[Item]],supercb[Bairro],mercado15)</f>
        <v>0</v>
      </c>
      <c r="AZ126" s="4">
        <f>SUMIFS(super1[Qtde],super1[Item],tab_higiene[[#This Row],[Item]],super1[Bairro],mercado16)+SUMIFS(supercb[Qtde],supercb[Item],tab_higiene[[#This Row],[Item]],supercb[Bairro],mercado16)</f>
        <v>0</v>
      </c>
      <c r="BA126" s="4">
        <f>SUMIFS(super1[Qtde],super1[Item],tab_higiene[[#This Row],[Item]],super1[Bairro],mercado17)+SUMIFS(supercb[Qtde],supercb[Item],tab_higiene[[#This Row],[Item]],supercb[Bairro],mercado17)</f>
        <v>0</v>
      </c>
      <c r="BB126" s="4">
        <f>SUMIFS(super1[Qtde],super1[Item],tab_higiene[[#This Row],[Item]],super1[Bairro],mercado18)+SUMIFS(supercb[Qtde],supercb[Item],tab_higiene[[#This Row],[Item]],supercb[Bairro],mercado18)</f>
        <v>0</v>
      </c>
      <c r="BC126" s="4">
        <f>SUMIFS(super1[Qtde],super1[Item],tab_higiene[[#This Row],[Item]],super1[Bairro],extras)+SUMIFS(supercb[Qtde],supercb[Item],tab_higiene[[#This Row],[Item]],supercb[Bairro],extras)</f>
        <v>0</v>
      </c>
      <c r="BD126" s="4">
        <f t="shared" si="41"/>
        <v>0</v>
      </c>
      <c r="BE126" s="4">
        <f t="shared" si="42"/>
        <v>0</v>
      </c>
      <c r="BF126" s="6">
        <f t="shared" si="43"/>
        <v>0</v>
      </c>
      <c r="BI126" s="1" t="str">
        <f>tab_alimentos[[#This Row],[Item]]</f>
        <v>Bolacha Doce Recheio (375g)</v>
      </c>
      <c r="BJ126" s="1">
        <f t="shared" si="25"/>
        <v>21</v>
      </c>
      <c r="BK126" s="1" t="str">
        <f t="shared" si="26"/>
        <v>Bolacha Doce Recheio</v>
      </c>
      <c r="BL126" s="1">
        <f>tab_alimentos[[#This Row],[kg]]</f>
        <v>0</v>
      </c>
      <c r="BN126" s="1">
        <f t="shared" si="36"/>
        <v>0</v>
      </c>
      <c r="BP126" s="1" t="str">
        <f>tab_higiene[[#This Row],[Item]]</f>
        <v>Fraldas Infantis (7un)</v>
      </c>
      <c r="BQ126" s="1">
        <f t="shared" si="33"/>
        <v>17</v>
      </c>
      <c r="BR126" s="1" t="str">
        <f t="shared" si="34"/>
        <v>Fraldas Infantis</v>
      </c>
      <c r="BS126" s="1">
        <f>higiene[[#This Row],[Quantidade]]</f>
        <v>7</v>
      </c>
      <c r="BT126" s="1">
        <f>tab_higiene[[#This Row],[Qtde (tot)]]</f>
        <v>0</v>
      </c>
      <c r="BU126" s="1">
        <f t="shared" si="37"/>
        <v>0</v>
      </c>
      <c r="BW126" s="1">
        <f t="shared" si="44"/>
        <v>0</v>
      </c>
    </row>
    <row r="127" spans="9:75" x14ac:dyDescent="0.25">
      <c r="I127" s="19" t="str">
        <f>alimentos[[#This Row],[Item]]</f>
        <v>Bolacha Doce Recheio (80g)</v>
      </c>
      <c r="J127" s="4">
        <f>IFERROR(alimentos[[#This Row],[kg/embalagem]],0)</f>
        <v>0.08</v>
      </c>
      <c r="K127" s="4">
        <f>IFERROR(alimentos[[#This Row],[Preço]],0)</f>
        <v>3.6</v>
      </c>
      <c r="L127" s="4">
        <f>SUMIFS(super1[Qtde],super1[Item],tab_alimentos[[#This Row],[Item]],super1[Bairro],mercado1)+SUMIFS(supercb[Qtde],supercb[Item],tab_alimentos[[#This Row],[Item]],supercb[Bairro],mercado1)</f>
        <v>0</v>
      </c>
      <c r="M127" s="4">
        <f>SUMIFS(super1[Qtde],super1[Item],tab_alimentos[[#This Row],[Item]],super1[Bairro],mercado2)+SUMIFS(supercb[Qtde],supercb[Item],tab_alimentos[[#This Row],[Item]],supercb[Bairro],mercado2)</f>
        <v>0</v>
      </c>
      <c r="N127" s="4">
        <f>SUMIFS(super1[Qtde],super1[Item],tab_alimentos[[#This Row],[Item]],super1[Bairro],mercado3)+SUMIFS(supercb[Qtde],supercb[Item],tab_alimentos[[#This Row],[Item]],supercb[Bairro],mercado3)</f>
        <v>0</v>
      </c>
      <c r="O127" s="4">
        <f>SUMIFS(super1[Qtde],super1[Item],tab_alimentos[[#This Row],[Item]],super1[Bairro],mercado4)+SUMIFS(supercb[Qtde],supercb[Item],tab_alimentos[[#This Row],[Item]],supercb[Bairro],mercado4)</f>
        <v>0</v>
      </c>
      <c r="P127" s="4">
        <f>SUMIFS(super1[Qtde],super1[Item],tab_alimentos[[#This Row],[Item]],super1[Bairro],mercado5)+SUMIFS(supercb[Qtde],supercb[Item],tab_alimentos[[#This Row],[Item]],supercb[Bairro],mercado5)</f>
        <v>0</v>
      </c>
      <c r="Q127" s="4">
        <f>SUMIFS(super1[Qtde],super1[Item],tab_alimentos[[#This Row],[Item]],super1[Bairro],mercado6)+SUMIFS(supercb[Qtde],supercb[Item],tab_alimentos[[#This Row],[Item]],supercb[Bairro],mercado6)</f>
        <v>0</v>
      </c>
      <c r="R127" s="4">
        <f>SUMIFS(super1[Qtde],super1[Item],tab_alimentos[[#This Row],[Item]],super1[Bairro],mercado7)+SUMIFS(supercb[Qtde],supercb[Item],tab_alimentos[[#This Row],[Item]],supercb[Bairro],mercado7)</f>
        <v>0</v>
      </c>
      <c r="S127" s="4">
        <f>SUMIFS(super1[Qtde],super1[Item],tab_alimentos[[#This Row],[Item]],super1[Bairro],mercado8)+SUMIFS(supercb[Qtde],supercb[Item],tab_alimentos[[#This Row],[Item]],supercb[Bairro],mercado8)</f>
        <v>0</v>
      </c>
      <c r="T127" s="4">
        <f>SUMIFS(super1[Qtde],super1[Item],tab_alimentos[[#This Row],[Item]],super1[Bairro],mercado9)+SUMIFS(supercb[Qtde],supercb[Item],tab_alimentos[[#This Row],[Item]],supercb[Bairro],mercado9)</f>
        <v>0</v>
      </c>
      <c r="U127" s="4">
        <f>SUMIFS(super1[Qtde],super1[Item],tab_alimentos[[#This Row],[Item]],super1[Bairro],mercado10)+SUMIFS(supercb[Qtde],supercb[Item],tab_alimentos[[#This Row],[Item]],supercb[Bairro],mercado10)</f>
        <v>0</v>
      </c>
      <c r="V127" s="4">
        <f>SUMIFS(super1[Qtde],super1[Item],tab_alimentos[[#This Row],[Item]],super1[Bairro],mercado11)+SUMIFS(supercb[Qtde],supercb[Item],tab_alimentos[[#This Row],[Item]],supercb[Bairro],mercado11)</f>
        <v>0</v>
      </c>
      <c r="W127" s="4">
        <f>SUMIFS(super1[Qtde],super1[Item],tab_alimentos[[#This Row],[Item]],super1[Bairro],mercado12)+SUMIFS(supercb[Qtde],supercb[Item],tab_alimentos[[#This Row],[Item]],supercb[Bairro],mercado12)</f>
        <v>0</v>
      </c>
      <c r="X127" s="4">
        <f>SUMIFS(super1[Qtde],super1[Item],tab_alimentos[[#This Row],[Item]],super1[Bairro],mercado13)+SUMIFS(supercb[Qtde],supercb[Item],tab_alimentos[[#This Row],[Item]],supercb[Bairro],mercado13)</f>
        <v>0</v>
      </c>
      <c r="Y127" s="4">
        <f>SUMIFS(super1[Qtde],super1[Item],tab_alimentos[[#This Row],[Item]],super1[Bairro],mercado14)+SUMIFS(supercb[Qtde],supercb[Item],tab_alimentos[[#This Row],[Item]],supercb[Bairro],mercado14)</f>
        <v>0</v>
      </c>
      <c r="Z127" s="4">
        <f>SUMIFS(super1[Qtde],super1[Item],tab_alimentos[[#This Row],[Item]],super1[Bairro],mercado15)+SUMIFS(supercb[Qtde],supercb[Item],tab_alimentos[[#This Row],[Item]],supercb[Bairro],mercado15)</f>
        <v>0</v>
      </c>
      <c r="AA127" s="4">
        <f>SUMIFS(super1[Qtde],super1[Item],tab_alimentos[[#This Row],[Item]],super1[Bairro],mercado16)+SUMIFS(supercb[Qtde],supercb[Item],tab_alimentos[[#This Row],[Item]],supercb[Bairro],mercado16)</f>
        <v>0</v>
      </c>
      <c r="AB127" s="4">
        <f>SUMIFS(super1[Qtde],super1[Item],tab_alimentos[[#This Row],[Item]],super1[Bairro],mercado17)+SUMIFS(supercb[Qtde],supercb[Item],tab_alimentos[[#This Row],[Item]],supercb[Bairro],mercado17)</f>
        <v>0</v>
      </c>
      <c r="AC127" s="4">
        <f>SUMIFS(super1[Qtde],super1[Item],tab_alimentos[[#This Row],[Item]],super1[Bairro],mercado18)+SUMIFS(supercb[Qtde],supercb[Item],tab_alimentos[[#This Row],[Item]],supercb[Bairro],mercado18)</f>
        <v>0</v>
      </c>
      <c r="AD127" s="4">
        <f>SUMIFS(super1[Qtde],super1[Item],tab_alimentos[[#This Row],[Item]],super1[Bairro],extras)+SUMIFS(supercb[Qtde],supercb[Item],tab_alimentos[[#This Row],[Item]],supercb[Bairro],extras)</f>
        <v>0</v>
      </c>
      <c r="AE127" s="4">
        <f t="shared" si="38"/>
        <v>0</v>
      </c>
      <c r="AF127" s="4">
        <f t="shared" si="39"/>
        <v>0</v>
      </c>
      <c r="AG127" s="6">
        <f t="shared" si="40"/>
        <v>0</v>
      </c>
      <c r="AH127" s="19" t="str">
        <f>higiene[[#This Row],[Item]]</f>
        <v>Fraldas Infantis (8un)</v>
      </c>
      <c r="AI127" s="4">
        <f>IFERROR(higiene[[#This Row],[Kg equivalente]],0)</f>
        <v>0</v>
      </c>
      <c r="AJ127" s="4">
        <f>IFERROR(higiene[[#This Row],[Preço por produto]],0)</f>
        <v>9.99</v>
      </c>
      <c r="AK127" s="4">
        <f>SUMIFS(super1[Qtde],super1[Item],tab_higiene[[#This Row],[Item]],super1[Bairro],mercado1)+SUMIFS(supercb[Qtde],supercb[Item],tab_higiene[[#This Row],[Item]],supercb[Bairro],mercado1)</f>
        <v>0</v>
      </c>
      <c r="AL127" s="4">
        <f>SUMIFS(super1[Qtde],super1[Item],tab_higiene[[#This Row],[Item]],super1[Bairro],mercado2)+SUMIFS(supercb[Qtde],supercb[Item],tab_higiene[[#This Row],[Item]],supercb[Bairro],mercado2)</f>
        <v>0</v>
      </c>
      <c r="AM127" s="4">
        <f>SUMIFS(super1[Qtde],super1[Item],tab_higiene[[#This Row],[Item]],super1[Bairro],mercado3)+SUMIFS(supercb[Qtde],supercb[Item],tab_higiene[[#This Row],[Item]],supercb[Bairro],mercado3)</f>
        <v>0</v>
      </c>
      <c r="AN127" s="4">
        <f>SUMIFS(super1[Qtde],super1[Item],tab_higiene[[#This Row],[Item]],super1[Bairro],mercado4)+SUMIFS(supercb[Qtde],supercb[Item],tab_higiene[[#This Row],[Item]],supercb[Bairro],mercado4)</f>
        <v>0</v>
      </c>
      <c r="AO127" s="4">
        <f>SUMIFS(super1[Qtde],super1[Item],tab_higiene[[#This Row],[Item]],super1[Bairro],mercado5)+SUMIFS(supercb[Qtde],supercb[Item],tab_higiene[[#This Row],[Item]],supercb[Bairro],mercado5)</f>
        <v>0</v>
      </c>
      <c r="AP127" s="4">
        <f>SUMIFS(super1[Qtde],super1[Item],tab_higiene[[#This Row],[Item]],super1[Bairro],mercado6)+SUMIFS(supercb[Qtde],supercb[Item],tab_higiene[[#This Row],[Item]],supercb[Bairro],mercado6)</f>
        <v>0</v>
      </c>
      <c r="AQ127" s="4">
        <f>SUMIFS(super1[Qtde],super1[Item],tab_higiene[[#This Row],[Item]],super1[Bairro],mercado7)+SUMIFS(supercb[Qtde],supercb[Item],tab_higiene[[#This Row],[Item]],supercb[Bairro],mercado7)</f>
        <v>0</v>
      </c>
      <c r="AR127" s="4">
        <f>SUMIFS(super1[Qtde],super1[Item],tab_higiene[[#This Row],[Item]],super1[Bairro],mercado8)+SUMIFS(supercb[Qtde],supercb[Item],tab_higiene[[#This Row],[Item]],supercb[Bairro],mercado8)</f>
        <v>0</v>
      </c>
      <c r="AS127" s="4">
        <f>SUMIFS(super1[Qtde],super1[Item],tab_higiene[[#This Row],[Item]],super1[Bairro],mercado9)+SUMIFS(supercb[Qtde],supercb[Item],tab_higiene[[#This Row],[Item]],supercb[Bairro],mercado9)</f>
        <v>0</v>
      </c>
      <c r="AT127" s="4">
        <f>SUMIFS(super1[Qtde],super1[Item],tab_higiene[[#This Row],[Item]],super1[Bairro],mercado10)+SUMIFS(supercb[Qtde],supercb[Item],tab_higiene[[#This Row],[Item]],supercb[Bairro],mercado10)</f>
        <v>0</v>
      </c>
      <c r="AU127" s="4">
        <f>SUMIFS(super1[Qtde],super1[Item],tab_higiene[[#This Row],[Item]],super1[Bairro],mercado11)+SUMIFS(supercb[Qtde],supercb[Item],tab_higiene[[#This Row],[Item]],supercb[Bairro],mercado11)</f>
        <v>0</v>
      </c>
      <c r="AV127" s="4">
        <f>SUMIFS(super1[Qtde],super1[Item],tab_higiene[[#This Row],[Item]],super1[Bairro],mercado12)+SUMIFS(supercb[Qtde],supercb[Item],tab_higiene[[#This Row],[Item]],supercb[Bairro],mercado12)</f>
        <v>0</v>
      </c>
      <c r="AW127" s="4">
        <f>SUMIFS(super1[Qtde],super1[Item],tab_higiene[[#This Row],[Item]],super1[Bairro],mercado13)+SUMIFS(supercb[Qtde],supercb[Item],tab_higiene[[#This Row],[Item]],supercb[Bairro],mercado13)</f>
        <v>0</v>
      </c>
      <c r="AX127" s="4">
        <f>SUMIFS(super1[Qtde],super1[Item],tab_higiene[[#This Row],[Item]],super1[Bairro],mercado14)+SUMIFS(supercb[Qtde],supercb[Item],tab_higiene[[#This Row],[Item]],supercb[Bairro],mercado14)</f>
        <v>0</v>
      </c>
      <c r="AY127" s="4">
        <f>SUMIFS(super1[Qtde],super1[Item],tab_higiene[[#This Row],[Item]],super1[Bairro],mercado15)+SUMIFS(supercb[Qtde],supercb[Item],tab_higiene[[#This Row],[Item]],supercb[Bairro],mercado15)</f>
        <v>0</v>
      </c>
      <c r="AZ127" s="4">
        <f>SUMIFS(super1[Qtde],super1[Item],tab_higiene[[#This Row],[Item]],super1[Bairro],mercado16)+SUMIFS(supercb[Qtde],supercb[Item],tab_higiene[[#This Row],[Item]],supercb[Bairro],mercado16)</f>
        <v>0</v>
      </c>
      <c r="BA127" s="4">
        <f>SUMIFS(super1[Qtde],super1[Item],tab_higiene[[#This Row],[Item]],super1[Bairro],mercado17)+SUMIFS(supercb[Qtde],supercb[Item],tab_higiene[[#This Row],[Item]],supercb[Bairro],mercado17)</f>
        <v>0</v>
      </c>
      <c r="BB127" s="4">
        <f>SUMIFS(super1[Qtde],super1[Item],tab_higiene[[#This Row],[Item]],super1[Bairro],mercado18)+SUMIFS(supercb[Qtde],supercb[Item],tab_higiene[[#This Row],[Item]],supercb[Bairro],mercado18)</f>
        <v>0</v>
      </c>
      <c r="BC127" s="4">
        <f>SUMIFS(super1[Qtde],super1[Item],tab_higiene[[#This Row],[Item]],super1[Bairro],extras)+SUMIFS(supercb[Qtde],supercb[Item],tab_higiene[[#This Row],[Item]],supercb[Bairro],extras)</f>
        <v>0</v>
      </c>
      <c r="BD127" s="4">
        <f t="shared" si="41"/>
        <v>0</v>
      </c>
      <c r="BE127" s="4">
        <f t="shared" si="42"/>
        <v>0</v>
      </c>
      <c r="BF127" s="6">
        <f t="shared" si="43"/>
        <v>0</v>
      </c>
      <c r="BI127" s="1" t="str">
        <f>tab_alimentos[[#This Row],[Item]]</f>
        <v>Bolacha Doce Recheio (80g)</v>
      </c>
      <c r="BJ127" s="1">
        <f t="shared" si="25"/>
        <v>21</v>
      </c>
      <c r="BK127" s="1" t="str">
        <f t="shared" si="26"/>
        <v>Bolacha Doce Recheio</v>
      </c>
      <c r="BL127" s="1">
        <f>tab_alimentos[[#This Row],[kg]]</f>
        <v>0</v>
      </c>
      <c r="BN127" s="1">
        <f t="shared" si="36"/>
        <v>0</v>
      </c>
      <c r="BP127" s="1" t="str">
        <f>tab_higiene[[#This Row],[Item]]</f>
        <v>Fraldas Infantis (8un)</v>
      </c>
      <c r="BQ127" s="1">
        <f t="shared" si="33"/>
        <v>17</v>
      </c>
      <c r="BR127" s="1" t="str">
        <f t="shared" si="34"/>
        <v>Fraldas Infantis</v>
      </c>
      <c r="BS127" s="1">
        <f>higiene[[#This Row],[Quantidade]]</f>
        <v>1</v>
      </c>
      <c r="BT127" s="1">
        <f>tab_higiene[[#This Row],[Qtde (tot)]]</f>
        <v>0</v>
      </c>
      <c r="BU127" s="1">
        <f t="shared" si="37"/>
        <v>0</v>
      </c>
      <c r="BW127" s="1">
        <f t="shared" si="44"/>
        <v>0</v>
      </c>
    </row>
    <row r="128" spans="9:75" x14ac:dyDescent="0.25">
      <c r="I128" s="19" t="str">
        <f>alimentos[[#This Row],[Item]]</f>
        <v>Bolacha Doce Recheio (90g)</v>
      </c>
      <c r="J128" s="4">
        <f>IFERROR(alimentos[[#This Row],[kg/embalagem]],0)</f>
        <v>0.09</v>
      </c>
      <c r="K128" s="4">
        <f>IFERROR(alimentos[[#This Row],[Preço]],0)</f>
        <v>2.68</v>
      </c>
      <c r="L128" s="4">
        <f>SUMIFS(super1[Qtde],super1[Item],tab_alimentos[[#This Row],[Item]],super1[Bairro],mercado1)+SUMIFS(supercb[Qtde],supercb[Item],tab_alimentos[[#This Row],[Item]],supercb[Bairro],mercado1)</f>
        <v>0</v>
      </c>
      <c r="M128" s="4">
        <f>SUMIFS(super1[Qtde],super1[Item],tab_alimentos[[#This Row],[Item]],super1[Bairro],mercado2)+SUMIFS(supercb[Qtde],supercb[Item],tab_alimentos[[#This Row],[Item]],supercb[Bairro],mercado2)</f>
        <v>0</v>
      </c>
      <c r="N128" s="4">
        <f>SUMIFS(super1[Qtde],super1[Item],tab_alimentos[[#This Row],[Item]],super1[Bairro],mercado3)+SUMIFS(supercb[Qtde],supercb[Item],tab_alimentos[[#This Row],[Item]],supercb[Bairro],mercado3)</f>
        <v>0</v>
      </c>
      <c r="O128" s="4">
        <f>SUMIFS(super1[Qtde],super1[Item],tab_alimentos[[#This Row],[Item]],super1[Bairro],mercado4)+SUMIFS(supercb[Qtde],supercb[Item],tab_alimentos[[#This Row],[Item]],supercb[Bairro],mercado4)</f>
        <v>0</v>
      </c>
      <c r="P128" s="4">
        <f>SUMIFS(super1[Qtde],super1[Item],tab_alimentos[[#This Row],[Item]],super1[Bairro],mercado5)+SUMIFS(supercb[Qtde],supercb[Item],tab_alimentos[[#This Row],[Item]],supercb[Bairro],mercado5)</f>
        <v>0</v>
      </c>
      <c r="Q128" s="4">
        <f>SUMIFS(super1[Qtde],super1[Item],tab_alimentos[[#This Row],[Item]],super1[Bairro],mercado6)+SUMIFS(supercb[Qtde],supercb[Item],tab_alimentos[[#This Row],[Item]],supercb[Bairro],mercado6)</f>
        <v>0</v>
      </c>
      <c r="R128" s="4">
        <f>SUMIFS(super1[Qtde],super1[Item],tab_alimentos[[#This Row],[Item]],super1[Bairro],mercado7)+SUMIFS(supercb[Qtde],supercb[Item],tab_alimentos[[#This Row],[Item]],supercb[Bairro],mercado7)</f>
        <v>0</v>
      </c>
      <c r="S128" s="4">
        <f>SUMIFS(super1[Qtde],super1[Item],tab_alimentos[[#This Row],[Item]],super1[Bairro],mercado8)+SUMIFS(supercb[Qtde],supercb[Item],tab_alimentos[[#This Row],[Item]],supercb[Bairro],mercado8)</f>
        <v>0</v>
      </c>
      <c r="T128" s="4">
        <f>SUMIFS(super1[Qtde],super1[Item],tab_alimentos[[#This Row],[Item]],super1[Bairro],mercado9)+SUMIFS(supercb[Qtde],supercb[Item],tab_alimentos[[#This Row],[Item]],supercb[Bairro],mercado9)</f>
        <v>0</v>
      </c>
      <c r="U128" s="4">
        <f>SUMIFS(super1[Qtde],super1[Item],tab_alimentos[[#This Row],[Item]],super1[Bairro],mercado10)+SUMIFS(supercb[Qtde],supercb[Item],tab_alimentos[[#This Row],[Item]],supercb[Bairro],mercado10)</f>
        <v>0</v>
      </c>
      <c r="V128" s="4">
        <f>SUMIFS(super1[Qtde],super1[Item],tab_alimentos[[#This Row],[Item]],super1[Bairro],mercado11)+SUMIFS(supercb[Qtde],supercb[Item],tab_alimentos[[#This Row],[Item]],supercb[Bairro],mercado11)</f>
        <v>0</v>
      </c>
      <c r="W128" s="4">
        <f>SUMIFS(super1[Qtde],super1[Item],tab_alimentos[[#This Row],[Item]],super1[Bairro],mercado12)+SUMIFS(supercb[Qtde],supercb[Item],tab_alimentos[[#This Row],[Item]],supercb[Bairro],mercado12)</f>
        <v>0</v>
      </c>
      <c r="X128" s="4">
        <f>SUMIFS(super1[Qtde],super1[Item],tab_alimentos[[#This Row],[Item]],super1[Bairro],mercado13)+SUMIFS(supercb[Qtde],supercb[Item],tab_alimentos[[#This Row],[Item]],supercb[Bairro],mercado13)</f>
        <v>0</v>
      </c>
      <c r="Y128" s="4">
        <f>SUMIFS(super1[Qtde],super1[Item],tab_alimentos[[#This Row],[Item]],super1[Bairro],mercado14)+SUMIFS(supercb[Qtde],supercb[Item],tab_alimentos[[#This Row],[Item]],supercb[Bairro],mercado14)</f>
        <v>0</v>
      </c>
      <c r="Z128" s="4">
        <f>SUMIFS(super1[Qtde],super1[Item],tab_alimentos[[#This Row],[Item]],super1[Bairro],mercado15)+SUMIFS(supercb[Qtde],supercb[Item],tab_alimentos[[#This Row],[Item]],supercb[Bairro],mercado15)</f>
        <v>0</v>
      </c>
      <c r="AA128" s="4">
        <f>SUMIFS(super1[Qtde],super1[Item],tab_alimentos[[#This Row],[Item]],super1[Bairro],mercado16)+SUMIFS(supercb[Qtde],supercb[Item],tab_alimentos[[#This Row],[Item]],supercb[Bairro],mercado16)</f>
        <v>0</v>
      </c>
      <c r="AB128" s="4">
        <f>SUMIFS(super1[Qtde],super1[Item],tab_alimentos[[#This Row],[Item]],super1[Bairro],mercado17)+SUMIFS(supercb[Qtde],supercb[Item],tab_alimentos[[#This Row],[Item]],supercb[Bairro],mercado17)</f>
        <v>0</v>
      </c>
      <c r="AC128" s="4">
        <f>SUMIFS(super1[Qtde],super1[Item],tab_alimentos[[#This Row],[Item]],super1[Bairro],mercado18)+SUMIFS(supercb[Qtde],supercb[Item],tab_alimentos[[#This Row],[Item]],supercb[Bairro],mercado18)</f>
        <v>0</v>
      </c>
      <c r="AD128" s="4">
        <f>SUMIFS(super1[Qtde],super1[Item],tab_alimentos[[#This Row],[Item]],super1[Bairro],extras)+SUMIFS(supercb[Qtde],supercb[Item],tab_alimentos[[#This Row],[Item]],supercb[Bairro],extras)</f>
        <v>0</v>
      </c>
      <c r="AE128" s="4">
        <f t="shared" si="38"/>
        <v>0</v>
      </c>
      <c r="AF128" s="4">
        <f t="shared" si="39"/>
        <v>0</v>
      </c>
      <c r="AG128" s="6">
        <f t="shared" si="40"/>
        <v>0</v>
      </c>
      <c r="AH128" s="19" t="str">
        <f>higiene[[#This Row],[Item]]</f>
        <v>G</v>
      </c>
      <c r="AI128" s="4">
        <f>IFERROR(higiene[[#This Row],[Kg equivalente]],0)</f>
        <v>0</v>
      </c>
      <c r="AJ128" s="4">
        <f>IFERROR(higiene[[#This Row],[Preço por produto]],0)</f>
        <v>0</v>
      </c>
      <c r="AK128" s="4">
        <f>SUMIFS(super1[Qtde],super1[Item],tab_higiene[[#This Row],[Item]],super1[Bairro],mercado1)+SUMIFS(supercb[Qtde],supercb[Item],tab_higiene[[#This Row],[Item]],supercb[Bairro],mercado1)</f>
        <v>0</v>
      </c>
      <c r="AL128" s="4">
        <f>SUMIFS(super1[Qtde],super1[Item],tab_higiene[[#This Row],[Item]],super1[Bairro],mercado2)+SUMIFS(supercb[Qtde],supercb[Item],tab_higiene[[#This Row],[Item]],supercb[Bairro],mercado2)</f>
        <v>0</v>
      </c>
      <c r="AM128" s="4">
        <f>SUMIFS(super1[Qtde],super1[Item],tab_higiene[[#This Row],[Item]],super1[Bairro],mercado3)+SUMIFS(supercb[Qtde],supercb[Item],tab_higiene[[#This Row],[Item]],supercb[Bairro],mercado3)</f>
        <v>0</v>
      </c>
      <c r="AN128" s="4">
        <f>SUMIFS(super1[Qtde],super1[Item],tab_higiene[[#This Row],[Item]],super1[Bairro],mercado4)+SUMIFS(supercb[Qtde],supercb[Item],tab_higiene[[#This Row],[Item]],supercb[Bairro],mercado4)</f>
        <v>0</v>
      </c>
      <c r="AO128" s="4">
        <f>SUMIFS(super1[Qtde],super1[Item],tab_higiene[[#This Row],[Item]],super1[Bairro],mercado5)+SUMIFS(supercb[Qtde],supercb[Item],tab_higiene[[#This Row],[Item]],supercb[Bairro],mercado5)</f>
        <v>0</v>
      </c>
      <c r="AP128" s="4">
        <f>SUMIFS(super1[Qtde],super1[Item],tab_higiene[[#This Row],[Item]],super1[Bairro],mercado6)+SUMIFS(supercb[Qtde],supercb[Item],tab_higiene[[#This Row],[Item]],supercb[Bairro],mercado6)</f>
        <v>0</v>
      </c>
      <c r="AQ128" s="4">
        <f>SUMIFS(super1[Qtde],super1[Item],tab_higiene[[#This Row],[Item]],super1[Bairro],mercado7)+SUMIFS(supercb[Qtde],supercb[Item],tab_higiene[[#This Row],[Item]],supercb[Bairro],mercado7)</f>
        <v>0</v>
      </c>
      <c r="AR128" s="4">
        <f>SUMIFS(super1[Qtde],super1[Item],tab_higiene[[#This Row],[Item]],super1[Bairro],mercado8)+SUMIFS(supercb[Qtde],supercb[Item],tab_higiene[[#This Row],[Item]],supercb[Bairro],mercado8)</f>
        <v>0</v>
      </c>
      <c r="AS128" s="4">
        <f>SUMIFS(super1[Qtde],super1[Item],tab_higiene[[#This Row],[Item]],super1[Bairro],mercado9)+SUMIFS(supercb[Qtde],supercb[Item],tab_higiene[[#This Row],[Item]],supercb[Bairro],mercado9)</f>
        <v>0</v>
      </c>
      <c r="AT128" s="4">
        <f>SUMIFS(super1[Qtde],super1[Item],tab_higiene[[#This Row],[Item]],super1[Bairro],mercado10)+SUMIFS(supercb[Qtde],supercb[Item],tab_higiene[[#This Row],[Item]],supercb[Bairro],mercado10)</f>
        <v>0</v>
      </c>
      <c r="AU128" s="4">
        <f>SUMIFS(super1[Qtde],super1[Item],tab_higiene[[#This Row],[Item]],super1[Bairro],mercado11)+SUMIFS(supercb[Qtde],supercb[Item],tab_higiene[[#This Row],[Item]],supercb[Bairro],mercado11)</f>
        <v>0</v>
      </c>
      <c r="AV128" s="4">
        <f>SUMIFS(super1[Qtde],super1[Item],tab_higiene[[#This Row],[Item]],super1[Bairro],mercado12)+SUMIFS(supercb[Qtde],supercb[Item],tab_higiene[[#This Row],[Item]],supercb[Bairro],mercado12)</f>
        <v>0</v>
      </c>
      <c r="AW128" s="4">
        <f>SUMIFS(super1[Qtde],super1[Item],tab_higiene[[#This Row],[Item]],super1[Bairro],mercado13)+SUMIFS(supercb[Qtde],supercb[Item],tab_higiene[[#This Row],[Item]],supercb[Bairro],mercado13)</f>
        <v>0</v>
      </c>
      <c r="AX128" s="4">
        <f>SUMIFS(super1[Qtde],super1[Item],tab_higiene[[#This Row],[Item]],super1[Bairro],mercado14)+SUMIFS(supercb[Qtde],supercb[Item],tab_higiene[[#This Row],[Item]],supercb[Bairro],mercado14)</f>
        <v>0</v>
      </c>
      <c r="AY128" s="4">
        <f>SUMIFS(super1[Qtde],super1[Item],tab_higiene[[#This Row],[Item]],super1[Bairro],mercado15)+SUMIFS(supercb[Qtde],supercb[Item],tab_higiene[[#This Row],[Item]],supercb[Bairro],mercado15)</f>
        <v>0</v>
      </c>
      <c r="AZ128" s="4">
        <f>SUMIFS(super1[Qtde],super1[Item],tab_higiene[[#This Row],[Item]],super1[Bairro],mercado16)+SUMIFS(supercb[Qtde],supercb[Item],tab_higiene[[#This Row],[Item]],supercb[Bairro],mercado16)</f>
        <v>0</v>
      </c>
      <c r="BA128" s="4">
        <f>SUMIFS(super1[Qtde],super1[Item],tab_higiene[[#This Row],[Item]],super1[Bairro],mercado17)+SUMIFS(supercb[Qtde],supercb[Item],tab_higiene[[#This Row],[Item]],supercb[Bairro],mercado17)</f>
        <v>0</v>
      </c>
      <c r="BB128" s="4">
        <f>SUMIFS(super1[Qtde],super1[Item],tab_higiene[[#This Row],[Item]],super1[Bairro],mercado18)+SUMIFS(supercb[Qtde],supercb[Item],tab_higiene[[#This Row],[Item]],supercb[Bairro],mercado18)</f>
        <v>0</v>
      </c>
      <c r="BC128" s="4">
        <f>SUMIFS(super1[Qtde],super1[Item],tab_higiene[[#This Row],[Item]],super1[Bairro],extras)+SUMIFS(supercb[Qtde],supercb[Item],tab_higiene[[#This Row],[Item]],supercb[Bairro],extras)</f>
        <v>0</v>
      </c>
      <c r="BD128" s="4">
        <f t="shared" si="41"/>
        <v>0</v>
      </c>
      <c r="BE128" s="4">
        <f t="shared" si="42"/>
        <v>0</v>
      </c>
      <c r="BF128" s="6">
        <f t="shared" si="43"/>
        <v>0</v>
      </c>
      <c r="BI128" s="1" t="str">
        <f>tab_alimentos[[#This Row],[Item]]</f>
        <v>Bolacha Doce Recheio (90g)</v>
      </c>
      <c r="BJ128" s="1">
        <f t="shared" si="25"/>
        <v>21</v>
      </c>
      <c r="BK128" s="1" t="str">
        <f t="shared" si="26"/>
        <v>Bolacha Doce Recheio</v>
      </c>
      <c r="BL128" s="1">
        <f>tab_alimentos[[#This Row],[kg]]</f>
        <v>0</v>
      </c>
      <c r="BN128" s="1">
        <f t="shared" si="36"/>
        <v>0</v>
      </c>
      <c r="BP128" s="1" t="str">
        <f>tab_higiene[[#This Row],[Item]]</f>
        <v>G</v>
      </c>
      <c r="BQ128" s="1">
        <f t="shared" si="33"/>
        <v>0</v>
      </c>
      <c r="BR128" s="1" t="str">
        <f t="shared" si="34"/>
        <v>G</v>
      </c>
      <c r="BS128" s="1">
        <f>higiene[[#This Row],[Quantidade]]</f>
        <v>0</v>
      </c>
      <c r="BT128" s="1">
        <f>tab_higiene[[#This Row],[Qtde (tot)]]</f>
        <v>0</v>
      </c>
      <c r="BU128" s="1">
        <f t="shared" si="37"/>
        <v>0</v>
      </c>
      <c r="BW128" s="1">
        <f t="shared" si="44"/>
        <v>0</v>
      </c>
    </row>
    <row r="129" spans="9:75" x14ac:dyDescent="0.25">
      <c r="I129" s="19" t="str">
        <f>alimentos[[#This Row],[Item]]</f>
        <v>Bolacha Doce Recheio (90g)</v>
      </c>
      <c r="J129" s="4">
        <f>IFERROR(alimentos[[#This Row],[kg/embalagem]],0)</f>
        <v>0.14000000000000001</v>
      </c>
      <c r="K129" s="4">
        <f>IFERROR(alimentos[[#This Row],[Preço]],0)</f>
        <v>4.49</v>
      </c>
      <c r="L129" s="4">
        <f>SUMIFS(super1[Qtde],super1[Item],tab_alimentos[[#This Row],[Item]],super1[Bairro],mercado1)+SUMIFS(supercb[Qtde],supercb[Item],tab_alimentos[[#This Row],[Item]],supercb[Bairro],mercado1)</f>
        <v>0</v>
      </c>
      <c r="M129" s="4">
        <f>SUMIFS(super1[Qtde],super1[Item],tab_alimentos[[#This Row],[Item]],super1[Bairro],mercado2)+SUMIFS(supercb[Qtde],supercb[Item],tab_alimentos[[#This Row],[Item]],supercb[Bairro],mercado2)</f>
        <v>0</v>
      </c>
      <c r="N129" s="4">
        <f>SUMIFS(super1[Qtde],super1[Item],tab_alimentos[[#This Row],[Item]],super1[Bairro],mercado3)+SUMIFS(supercb[Qtde],supercb[Item],tab_alimentos[[#This Row],[Item]],supercb[Bairro],mercado3)</f>
        <v>0</v>
      </c>
      <c r="O129" s="4">
        <f>SUMIFS(super1[Qtde],super1[Item],tab_alimentos[[#This Row],[Item]],super1[Bairro],mercado4)+SUMIFS(supercb[Qtde],supercb[Item],tab_alimentos[[#This Row],[Item]],supercb[Bairro],mercado4)</f>
        <v>0</v>
      </c>
      <c r="P129" s="4">
        <f>SUMIFS(super1[Qtde],super1[Item],tab_alimentos[[#This Row],[Item]],super1[Bairro],mercado5)+SUMIFS(supercb[Qtde],supercb[Item],tab_alimentos[[#This Row],[Item]],supercb[Bairro],mercado5)</f>
        <v>0</v>
      </c>
      <c r="Q129" s="4">
        <f>SUMIFS(super1[Qtde],super1[Item],tab_alimentos[[#This Row],[Item]],super1[Bairro],mercado6)+SUMIFS(supercb[Qtde],supercb[Item],tab_alimentos[[#This Row],[Item]],supercb[Bairro],mercado6)</f>
        <v>0</v>
      </c>
      <c r="R129" s="4">
        <f>SUMIFS(super1[Qtde],super1[Item],tab_alimentos[[#This Row],[Item]],super1[Bairro],mercado7)+SUMIFS(supercb[Qtde],supercb[Item],tab_alimentos[[#This Row],[Item]],supercb[Bairro],mercado7)</f>
        <v>0</v>
      </c>
      <c r="S129" s="4">
        <f>SUMIFS(super1[Qtde],super1[Item],tab_alimentos[[#This Row],[Item]],super1[Bairro],mercado8)+SUMIFS(supercb[Qtde],supercb[Item],tab_alimentos[[#This Row],[Item]],supercb[Bairro],mercado8)</f>
        <v>0</v>
      </c>
      <c r="T129" s="4">
        <f>SUMIFS(super1[Qtde],super1[Item],tab_alimentos[[#This Row],[Item]],super1[Bairro],mercado9)+SUMIFS(supercb[Qtde],supercb[Item],tab_alimentos[[#This Row],[Item]],supercb[Bairro],mercado9)</f>
        <v>0</v>
      </c>
      <c r="U129" s="4">
        <f>SUMIFS(super1[Qtde],super1[Item],tab_alimentos[[#This Row],[Item]],super1[Bairro],mercado10)+SUMIFS(supercb[Qtde],supercb[Item],tab_alimentos[[#This Row],[Item]],supercb[Bairro],mercado10)</f>
        <v>0</v>
      </c>
      <c r="V129" s="4">
        <f>SUMIFS(super1[Qtde],super1[Item],tab_alimentos[[#This Row],[Item]],super1[Bairro],mercado11)+SUMIFS(supercb[Qtde],supercb[Item],tab_alimentos[[#This Row],[Item]],supercb[Bairro],mercado11)</f>
        <v>0</v>
      </c>
      <c r="W129" s="4">
        <f>SUMIFS(super1[Qtde],super1[Item],tab_alimentos[[#This Row],[Item]],super1[Bairro],mercado12)+SUMIFS(supercb[Qtde],supercb[Item],tab_alimentos[[#This Row],[Item]],supercb[Bairro],mercado12)</f>
        <v>0</v>
      </c>
      <c r="X129" s="4">
        <f>SUMIFS(super1[Qtde],super1[Item],tab_alimentos[[#This Row],[Item]],super1[Bairro],mercado13)+SUMIFS(supercb[Qtde],supercb[Item],tab_alimentos[[#This Row],[Item]],supercb[Bairro],mercado13)</f>
        <v>0</v>
      </c>
      <c r="Y129" s="4">
        <f>SUMIFS(super1[Qtde],super1[Item],tab_alimentos[[#This Row],[Item]],super1[Bairro],mercado14)+SUMIFS(supercb[Qtde],supercb[Item],tab_alimentos[[#This Row],[Item]],supercb[Bairro],mercado14)</f>
        <v>0</v>
      </c>
      <c r="Z129" s="4">
        <f>SUMIFS(super1[Qtde],super1[Item],tab_alimentos[[#This Row],[Item]],super1[Bairro],mercado15)+SUMIFS(supercb[Qtde],supercb[Item],tab_alimentos[[#This Row],[Item]],supercb[Bairro],mercado15)</f>
        <v>0</v>
      </c>
      <c r="AA129" s="4">
        <f>SUMIFS(super1[Qtde],super1[Item],tab_alimentos[[#This Row],[Item]],super1[Bairro],mercado16)+SUMIFS(supercb[Qtde],supercb[Item],tab_alimentos[[#This Row],[Item]],supercb[Bairro],mercado16)</f>
        <v>0</v>
      </c>
      <c r="AB129" s="4">
        <f>SUMIFS(super1[Qtde],super1[Item],tab_alimentos[[#This Row],[Item]],super1[Bairro],mercado17)+SUMIFS(supercb[Qtde],supercb[Item],tab_alimentos[[#This Row],[Item]],supercb[Bairro],mercado17)</f>
        <v>0</v>
      </c>
      <c r="AC129" s="4">
        <f>SUMIFS(super1[Qtde],super1[Item],tab_alimentos[[#This Row],[Item]],super1[Bairro],mercado18)+SUMIFS(supercb[Qtde],supercb[Item],tab_alimentos[[#This Row],[Item]],supercb[Bairro],mercado18)</f>
        <v>0</v>
      </c>
      <c r="AD129" s="4">
        <f>SUMIFS(super1[Qtde],super1[Item],tab_alimentos[[#This Row],[Item]],super1[Bairro],extras)+SUMIFS(supercb[Qtde],supercb[Item],tab_alimentos[[#This Row],[Item]],supercb[Bairro],extras)</f>
        <v>0</v>
      </c>
      <c r="AE129" s="4">
        <f t="shared" si="38"/>
        <v>0</v>
      </c>
      <c r="AF129" s="4">
        <f t="shared" si="39"/>
        <v>0</v>
      </c>
      <c r="AG129" s="6">
        <f t="shared" si="40"/>
        <v>0</v>
      </c>
      <c r="AH129" s="19" t="str">
        <f>higiene[[#This Row],[Item]]</f>
        <v>Gaze</v>
      </c>
      <c r="AI129" s="4">
        <f>IFERROR(higiene[[#This Row],[Kg equivalente]],0)</f>
        <v>0</v>
      </c>
      <c r="AJ129" s="4">
        <f>IFERROR(higiene[[#This Row],[Preço por produto]],0)</f>
        <v>12.69</v>
      </c>
      <c r="AK129" s="4">
        <f>SUMIFS(super1[Qtde],super1[Item],tab_higiene[[#This Row],[Item]],super1[Bairro],mercado1)+SUMIFS(supercb[Qtde],supercb[Item],tab_higiene[[#This Row],[Item]],supercb[Bairro],mercado1)</f>
        <v>0</v>
      </c>
      <c r="AL129" s="4">
        <f>SUMIFS(super1[Qtde],super1[Item],tab_higiene[[#This Row],[Item]],super1[Bairro],mercado2)+SUMIFS(supercb[Qtde],supercb[Item],tab_higiene[[#This Row],[Item]],supercb[Bairro],mercado2)</f>
        <v>0</v>
      </c>
      <c r="AM129" s="4">
        <f>SUMIFS(super1[Qtde],super1[Item],tab_higiene[[#This Row],[Item]],super1[Bairro],mercado3)+SUMIFS(supercb[Qtde],supercb[Item],tab_higiene[[#This Row],[Item]],supercb[Bairro],mercado3)</f>
        <v>0</v>
      </c>
      <c r="AN129" s="4">
        <f>SUMIFS(super1[Qtde],super1[Item],tab_higiene[[#This Row],[Item]],super1[Bairro],mercado4)+SUMIFS(supercb[Qtde],supercb[Item],tab_higiene[[#This Row],[Item]],supercb[Bairro],mercado4)</f>
        <v>0</v>
      </c>
      <c r="AO129" s="4">
        <f>SUMIFS(super1[Qtde],super1[Item],tab_higiene[[#This Row],[Item]],super1[Bairro],mercado5)+SUMIFS(supercb[Qtde],supercb[Item],tab_higiene[[#This Row],[Item]],supercb[Bairro],mercado5)</f>
        <v>0</v>
      </c>
      <c r="AP129" s="4">
        <f>SUMIFS(super1[Qtde],super1[Item],tab_higiene[[#This Row],[Item]],super1[Bairro],mercado6)+SUMIFS(supercb[Qtde],supercb[Item],tab_higiene[[#This Row],[Item]],supercb[Bairro],mercado6)</f>
        <v>0</v>
      </c>
      <c r="AQ129" s="4">
        <f>SUMIFS(super1[Qtde],super1[Item],tab_higiene[[#This Row],[Item]],super1[Bairro],mercado7)+SUMIFS(supercb[Qtde],supercb[Item],tab_higiene[[#This Row],[Item]],supercb[Bairro],mercado7)</f>
        <v>0</v>
      </c>
      <c r="AR129" s="4">
        <f>SUMIFS(super1[Qtde],super1[Item],tab_higiene[[#This Row],[Item]],super1[Bairro],mercado8)+SUMIFS(supercb[Qtde],supercb[Item],tab_higiene[[#This Row],[Item]],supercb[Bairro],mercado8)</f>
        <v>0</v>
      </c>
      <c r="AS129" s="4">
        <f>SUMIFS(super1[Qtde],super1[Item],tab_higiene[[#This Row],[Item]],super1[Bairro],mercado9)+SUMIFS(supercb[Qtde],supercb[Item],tab_higiene[[#This Row],[Item]],supercb[Bairro],mercado9)</f>
        <v>0</v>
      </c>
      <c r="AT129" s="4">
        <f>SUMIFS(super1[Qtde],super1[Item],tab_higiene[[#This Row],[Item]],super1[Bairro],mercado10)+SUMIFS(supercb[Qtde],supercb[Item],tab_higiene[[#This Row],[Item]],supercb[Bairro],mercado10)</f>
        <v>0</v>
      </c>
      <c r="AU129" s="4">
        <f>SUMIFS(super1[Qtde],super1[Item],tab_higiene[[#This Row],[Item]],super1[Bairro],mercado11)+SUMIFS(supercb[Qtde],supercb[Item],tab_higiene[[#This Row],[Item]],supercb[Bairro],mercado11)</f>
        <v>0</v>
      </c>
      <c r="AV129" s="4">
        <f>SUMIFS(super1[Qtde],super1[Item],tab_higiene[[#This Row],[Item]],super1[Bairro],mercado12)+SUMIFS(supercb[Qtde],supercb[Item],tab_higiene[[#This Row],[Item]],supercb[Bairro],mercado12)</f>
        <v>0</v>
      </c>
      <c r="AW129" s="4">
        <f>SUMIFS(super1[Qtde],super1[Item],tab_higiene[[#This Row],[Item]],super1[Bairro],mercado13)+SUMIFS(supercb[Qtde],supercb[Item],tab_higiene[[#This Row],[Item]],supercb[Bairro],mercado13)</f>
        <v>0</v>
      </c>
      <c r="AX129" s="4">
        <f>SUMIFS(super1[Qtde],super1[Item],tab_higiene[[#This Row],[Item]],super1[Bairro],mercado14)+SUMIFS(supercb[Qtde],supercb[Item],tab_higiene[[#This Row],[Item]],supercb[Bairro],mercado14)</f>
        <v>0</v>
      </c>
      <c r="AY129" s="4">
        <f>SUMIFS(super1[Qtde],super1[Item],tab_higiene[[#This Row],[Item]],super1[Bairro],mercado15)+SUMIFS(supercb[Qtde],supercb[Item],tab_higiene[[#This Row],[Item]],supercb[Bairro],mercado15)</f>
        <v>0</v>
      </c>
      <c r="AZ129" s="4">
        <f>SUMIFS(super1[Qtde],super1[Item],tab_higiene[[#This Row],[Item]],super1[Bairro],mercado16)+SUMIFS(supercb[Qtde],supercb[Item],tab_higiene[[#This Row],[Item]],supercb[Bairro],mercado16)</f>
        <v>0</v>
      </c>
      <c r="BA129" s="4">
        <f>SUMIFS(super1[Qtde],super1[Item],tab_higiene[[#This Row],[Item]],super1[Bairro],mercado17)+SUMIFS(supercb[Qtde],supercb[Item],tab_higiene[[#This Row],[Item]],supercb[Bairro],mercado17)</f>
        <v>0</v>
      </c>
      <c r="BB129" s="4">
        <f>SUMIFS(super1[Qtde],super1[Item],tab_higiene[[#This Row],[Item]],super1[Bairro],mercado18)+SUMIFS(supercb[Qtde],supercb[Item],tab_higiene[[#This Row],[Item]],supercb[Bairro],mercado18)</f>
        <v>0</v>
      </c>
      <c r="BC129" s="4">
        <f>SUMIFS(super1[Qtde],super1[Item],tab_higiene[[#This Row],[Item]],super1[Bairro],extras)+SUMIFS(supercb[Qtde],supercb[Item],tab_higiene[[#This Row],[Item]],supercb[Bairro],extras)</f>
        <v>0</v>
      </c>
      <c r="BD129" s="4">
        <f t="shared" si="41"/>
        <v>0</v>
      </c>
      <c r="BE129" s="4">
        <f t="shared" si="42"/>
        <v>0</v>
      </c>
      <c r="BF129" s="6">
        <f t="shared" si="43"/>
        <v>0</v>
      </c>
      <c r="BI129" s="1" t="str">
        <f>tab_alimentos[[#This Row],[Item]]</f>
        <v>Bolacha Doce Recheio (90g)</v>
      </c>
      <c r="BJ129" s="1">
        <f t="shared" si="25"/>
        <v>21</v>
      </c>
      <c r="BK129" s="1" t="str">
        <f t="shared" si="26"/>
        <v>Bolacha Doce Recheio</v>
      </c>
      <c r="BL129" s="1">
        <f>tab_alimentos[[#This Row],[kg]]</f>
        <v>0</v>
      </c>
      <c r="BN129" s="1">
        <f t="shared" si="36"/>
        <v>0</v>
      </c>
      <c r="BP129" s="1" t="str">
        <f>tab_higiene[[#This Row],[Item]]</f>
        <v>Gaze</v>
      </c>
      <c r="BQ129" s="1">
        <f t="shared" si="33"/>
        <v>0</v>
      </c>
      <c r="BR129" s="1" t="str">
        <f t="shared" si="34"/>
        <v>Gaze</v>
      </c>
      <c r="BS129" s="1">
        <f>higiene[[#This Row],[Quantidade]]</f>
        <v>1</v>
      </c>
      <c r="BT129" s="1">
        <f>tab_higiene[[#This Row],[Qtde (tot)]]</f>
        <v>0</v>
      </c>
      <c r="BU129" s="1">
        <f t="shared" si="37"/>
        <v>0</v>
      </c>
      <c r="BW129" s="1">
        <f t="shared" si="44"/>
        <v>0</v>
      </c>
    </row>
    <row r="130" spans="9:75" x14ac:dyDescent="0.25">
      <c r="I130" s="19" t="str">
        <f>alimentos[[#This Row],[Item]]</f>
        <v>Bolacha Maizena (350g)</v>
      </c>
      <c r="J130" s="4">
        <f>IFERROR(alimentos[[#This Row],[kg/embalagem]],0)</f>
        <v>0.35</v>
      </c>
      <c r="K130" s="4">
        <f>IFERROR(alimentos[[#This Row],[Preço]],0)</f>
        <v>3.98</v>
      </c>
      <c r="L130" s="4">
        <f>SUMIFS(super1[Qtde],super1[Item],tab_alimentos[[#This Row],[Item]],super1[Bairro],mercado1)+SUMIFS(supercb[Qtde],supercb[Item],tab_alimentos[[#This Row],[Item]],supercb[Bairro],mercado1)</f>
        <v>0</v>
      </c>
      <c r="M130" s="4">
        <f>SUMIFS(super1[Qtde],super1[Item],tab_alimentos[[#This Row],[Item]],super1[Bairro],mercado2)+SUMIFS(supercb[Qtde],supercb[Item],tab_alimentos[[#This Row],[Item]],supercb[Bairro],mercado2)</f>
        <v>0</v>
      </c>
      <c r="N130" s="4">
        <f>SUMIFS(super1[Qtde],super1[Item],tab_alimentos[[#This Row],[Item]],super1[Bairro],mercado3)+SUMIFS(supercb[Qtde],supercb[Item],tab_alimentos[[#This Row],[Item]],supercb[Bairro],mercado3)</f>
        <v>0</v>
      </c>
      <c r="O130" s="4">
        <f>SUMIFS(super1[Qtde],super1[Item],tab_alimentos[[#This Row],[Item]],super1[Bairro],mercado4)+SUMIFS(supercb[Qtde],supercb[Item],tab_alimentos[[#This Row],[Item]],supercb[Bairro],mercado4)</f>
        <v>0</v>
      </c>
      <c r="P130" s="4">
        <f>SUMIFS(super1[Qtde],super1[Item],tab_alimentos[[#This Row],[Item]],super1[Bairro],mercado5)+SUMIFS(supercb[Qtde],supercb[Item],tab_alimentos[[#This Row],[Item]],supercb[Bairro],mercado5)</f>
        <v>0</v>
      </c>
      <c r="Q130" s="4">
        <f>SUMIFS(super1[Qtde],super1[Item],tab_alimentos[[#This Row],[Item]],super1[Bairro],mercado6)+SUMIFS(supercb[Qtde],supercb[Item],tab_alimentos[[#This Row],[Item]],supercb[Bairro],mercado6)</f>
        <v>0</v>
      </c>
      <c r="R130" s="4">
        <f>SUMIFS(super1[Qtde],super1[Item],tab_alimentos[[#This Row],[Item]],super1[Bairro],mercado7)+SUMIFS(supercb[Qtde],supercb[Item],tab_alimentos[[#This Row],[Item]],supercb[Bairro],mercado7)</f>
        <v>0</v>
      </c>
      <c r="S130" s="4">
        <f>SUMIFS(super1[Qtde],super1[Item],tab_alimentos[[#This Row],[Item]],super1[Bairro],mercado8)+SUMIFS(supercb[Qtde],supercb[Item],tab_alimentos[[#This Row],[Item]],supercb[Bairro],mercado8)</f>
        <v>0</v>
      </c>
      <c r="T130" s="4">
        <f>SUMIFS(super1[Qtde],super1[Item],tab_alimentos[[#This Row],[Item]],super1[Bairro],mercado9)+SUMIFS(supercb[Qtde],supercb[Item],tab_alimentos[[#This Row],[Item]],supercb[Bairro],mercado9)</f>
        <v>0</v>
      </c>
      <c r="U130" s="4">
        <f>SUMIFS(super1[Qtde],super1[Item],tab_alimentos[[#This Row],[Item]],super1[Bairro],mercado10)+SUMIFS(supercb[Qtde],supercb[Item],tab_alimentos[[#This Row],[Item]],supercb[Bairro],mercado10)</f>
        <v>0</v>
      </c>
      <c r="V130" s="4">
        <f>SUMIFS(super1[Qtde],super1[Item],tab_alimentos[[#This Row],[Item]],super1[Bairro],mercado11)+SUMIFS(supercb[Qtde],supercb[Item],tab_alimentos[[#This Row],[Item]],supercb[Bairro],mercado11)</f>
        <v>0</v>
      </c>
      <c r="W130" s="4">
        <f>SUMIFS(super1[Qtde],super1[Item],tab_alimentos[[#This Row],[Item]],super1[Bairro],mercado12)+SUMIFS(supercb[Qtde],supercb[Item],tab_alimentos[[#This Row],[Item]],supercb[Bairro],mercado12)</f>
        <v>0</v>
      </c>
      <c r="X130" s="4">
        <f>SUMIFS(super1[Qtde],super1[Item],tab_alimentos[[#This Row],[Item]],super1[Bairro],mercado13)+SUMIFS(supercb[Qtde],supercb[Item],tab_alimentos[[#This Row],[Item]],supercb[Bairro],mercado13)</f>
        <v>0</v>
      </c>
      <c r="Y130" s="4">
        <f>SUMIFS(super1[Qtde],super1[Item],tab_alimentos[[#This Row],[Item]],super1[Bairro],mercado14)+SUMIFS(supercb[Qtde],supercb[Item],tab_alimentos[[#This Row],[Item]],supercb[Bairro],mercado14)</f>
        <v>0</v>
      </c>
      <c r="Z130" s="4">
        <f>SUMIFS(super1[Qtde],super1[Item],tab_alimentos[[#This Row],[Item]],super1[Bairro],mercado15)+SUMIFS(supercb[Qtde],supercb[Item],tab_alimentos[[#This Row],[Item]],supercb[Bairro],mercado15)</f>
        <v>0</v>
      </c>
      <c r="AA130" s="4">
        <f>SUMIFS(super1[Qtde],super1[Item],tab_alimentos[[#This Row],[Item]],super1[Bairro],mercado16)+SUMIFS(supercb[Qtde],supercb[Item],tab_alimentos[[#This Row],[Item]],supercb[Bairro],mercado16)</f>
        <v>0</v>
      </c>
      <c r="AB130" s="4">
        <f>SUMIFS(super1[Qtde],super1[Item],tab_alimentos[[#This Row],[Item]],super1[Bairro],mercado17)+SUMIFS(supercb[Qtde],supercb[Item],tab_alimentos[[#This Row],[Item]],supercb[Bairro],mercado17)</f>
        <v>0</v>
      </c>
      <c r="AC130" s="4">
        <f>SUMIFS(super1[Qtde],super1[Item],tab_alimentos[[#This Row],[Item]],super1[Bairro],mercado18)+SUMIFS(supercb[Qtde],supercb[Item],tab_alimentos[[#This Row],[Item]],supercb[Bairro],mercado18)</f>
        <v>0</v>
      </c>
      <c r="AD130" s="4">
        <f>SUMIFS(super1[Qtde],super1[Item],tab_alimentos[[#This Row],[Item]],super1[Bairro],extras)+SUMIFS(supercb[Qtde],supercb[Item],tab_alimentos[[#This Row],[Item]],supercb[Bairro],extras)</f>
        <v>0</v>
      </c>
      <c r="AE130" s="4">
        <f t="shared" si="38"/>
        <v>0</v>
      </c>
      <c r="AF130" s="4">
        <f t="shared" si="39"/>
        <v>0</v>
      </c>
      <c r="AG130" s="6">
        <f t="shared" si="40"/>
        <v>0</v>
      </c>
      <c r="AH130" s="19" t="str">
        <f>higiene[[#This Row],[Item]]</f>
        <v>Glicerina (250g)</v>
      </c>
      <c r="AI130" s="4">
        <f>IFERROR(higiene[[#This Row],[Kg equivalente]],0)</f>
        <v>0</v>
      </c>
      <c r="AJ130" s="4">
        <f>IFERROR(higiene[[#This Row],[Preço por produto]],0)</f>
        <v>10</v>
      </c>
      <c r="AK130" s="4">
        <f>SUMIFS(super1[Qtde],super1[Item],tab_higiene[[#This Row],[Item]],super1[Bairro],mercado1)+SUMIFS(supercb[Qtde],supercb[Item],tab_higiene[[#This Row],[Item]],supercb[Bairro],mercado1)</f>
        <v>0</v>
      </c>
      <c r="AL130" s="4">
        <f>SUMIFS(super1[Qtde],super1[Item],tab_higiene[[#This Row],[Item]],super1[Bairro],mercado2)+SUMIFS(supercb[Qtde],supercb[Item],tab_higiene[[#This Row],[Item]],supercb[Bairro],mercado2)</f>
        <v>0</v>
      </c>
      <c r="AM130" s="4">
        <f>SUMIFS(super1[Qtde],super1[Item],tab_higiene[[#This Row],[Item]],super1[Bairro],mercado3)+SUMIFS(supercb[Qtde],supercb[Item],tab_higiene[[#This Row],[Item]],supercb[Bairro],mercado3)</f>
        <v>0</v>
      </c>
      <c r="AN130" s="4">
        <f>SUMIFS(super1[Qtde],super1[Item],tab_higiene[[#This Row],[Item]],super1[Bairro],mercado4)+SUMIFS(supercb[Qtde],supercb[Item],tab_higiene[[#This Row],[Item]],supercb[Bairro],mercado4)</f>
        <v>0</v>
      </c>
      <c r="AO130" s="4">
        <f>SUMIFS(super1[Qtde],super1[Item],tab_higiene[[#This Row],[Item]],super1[Bairro],mercado5)+SUMIFS(supercb[Qtde],supercb[Item],tab_higiene[[#This Row],[Item]],supercb[Bairro],mercado5)</f>
        <v>0</v>
      </c>
      <c r="AP130" s="4">
        <f>SUMIFS(super1[Qtde],super1[Item],tab_higiene[[#This Row],[Item]],super1[Bairro],mercado6)+SUMIFS(supercb[Qtde],supercb[Item],tab_higiene[[#This Row],[Item]],supercb[Bairro],mercado6)</f>
        <v>0</v>
      </c>
      <c r="AQ130" s="4">
        <f>SUMIFS(super1[Qtde],super1[Item],tab_higiene[[#This Row],[Item]],super1[Bairro],mercado7)+SUMIFS(supercb[Qtde],supercb[Item],tab_higiene[[#This Row],[Item]],supercb[Bairro],mercado7)</f>
        <v>0</v>
      </c>
      <c r="AR130" s="4">
        <f>SUMIFS(super1[Qtde],super1[Item],tab_higiene[[#This Row],[Item]],super1[Bairro],mercado8)+SUMIFS(supercb[Qtde],supercb[Item],tab_higiene[[#This Row],[Item]],supercb[Bairro],mercado8)</f>
        <v>0</v>
      </c>
      <c r="AS130" s="4">
        <f>SUMIFS(super1[Qtde],super1[Item],tab_higiene[[#This Row],[Item]],super1[Bairro],mercado9)+SUMIFS(supercb[Qtde],supercb[Item],tab_higiene[[#This Row],[Item]],supercb[Bairro],mercado9)</f>
        <v>0</v>
      </c>
      <c r="AT130" s="4">
        <f>SUMIFS(super1[Qtde],super1[Item],tab_higiene[[#This Row],[Item]],super1[Bairro],mercado10)+SUMIFS(supercb[Qtde],supercb[Item],tab_higiene[[#This Row],[Item]],supercb[Bairro],mercado10)</f>
        <v>0</v>
      </c>
      <c r="AU130" s="4">
        <f>SUMIFS(super1[Qtde],super1[Item],tab_higiene[[#This Row],[Item]],super1[Bairro],mercado11)+SUMIFS(supercb[Qtde],supercb[Item],tab_higiene[[#This Row],[Item]],supercb[Bairro],mercado11)</f>
        <v>0</v>
      </c>
      <c r="AV130" s="4">
        <f>SUMIFS(super1[Qtde],super1[Item],tab_higiene[[#This Row],[Item]],super1[Bairro],mercado12)+SUMIFS(supercb[Qtde],supercb[Item],tab_higiene[[#This Row],[Item]],supercb[Bairro],mercado12)</f>
        <v>0</v>
      </c>
      <c r="AW130" s="4">
        <f>SUMIFS(super1[Qtde],super1[Item],tab_higiene[[#This Row],[Item]],super1[Bairro],mercado13)+SUMIFS(supercb[Qtde],supercb[Item],tab_higiene[[#This Row],[Item]],supercb[Bairro],mercado13)</f>
        <v>0</v>
      </c>
      <c r="AX130" s="4">
        <f>SUMIFS(super1[Qtde],super1[Item],tab_higiene[[#This Row],[Item]],super1[Bairro],mercado14)+SUMIFS(supercb[Qtde],supercb[Item],tab_higiene[[#This Row],[Item]],supercb[Bairro],mercado14)</f>
        <v>0</v>
      </c>
      <c r="AY130" s="4">
        <f>SUMIFS(super1[Qtde],super1[Item],tab_higiene[[#This Row],[Item]],super1[Bairro],mercado15)+SUMIFS(supercb[Qtde],supercb[Item],tab_higiene[[#This Row],[Item]],supercb[Bairro],mercado15)</f>
        <v>0</v>
      </c>
      <c r="AZ130" s="4">
        <f>SUMIFS(super1[Qtde],super1[Item],tab_higiene[[#This Row],[Item]],super1[Bairro],mercado16)+SUMIFS(supercb[Qtde],supercb[Item],tab_higiene[[#This Row],[Item]],supercb[Bairro],mercado16)</f>
        <v>0</v>
      </c>
      <c r="BA130" s="4">
        <f>SUMIFS(super1[Qtde],super1[Item],tab_higiene[[#This Row],[Item]],super1[Bairro],mercado17)+SUMIFS(supercb[Qtde],supercb[Item],tab_higiene[[#This Row],[Item]],supercb[Bairro],mercado17)</f>
        <v>0</v>
      </c>
      <c r="BB130" s="4">
        <f>SUMIFS(super1[Qtde],super1[Item],tab_higiene[[#This Row],[Item]],super1[Bairro],mercado18)+SUMIFS(supercb[Qtde],supercb[Item],tab_higiene[[#This Row],[Item]],supercb[Bairro],mercado18)</f>
        <v>0</v>
      </c>
      <c r="BC130" s="4">
        <f>SUMIFS(super1[Qtde],super1[Item],tab_higiene[[#This Row],[Item]],super1[Bairro],extras)+SUMIFS(supercb[Qtde],supercb[Item],tab_higiene[[#This Row],[Item]],supercb[Bairro],extras)</f>
        <v>0</v>
      </c>
      <c r="BD130" s="4">
        <f t="shared" si="41"/>
        <v>0</v>
      </c>
      <c r="BE130" s="4">
        <f t="shared" si="42"/>
        <v>0</v>
      </c>
      <c r="BF130" s="6">
        <f t="shared" si="43"/>
        <v>0</v>
      </c>
      <c r="BI130" s="1" t="str">
        <f>tab_alimentos[[#This Row],[Item]]</f>
        <v>Bolacha Maizena (350g)</v>
      </c>
      <c r="BJ130" s="1">
        <f t="shared" si="25"/>
        <v>16</v>
      </c>
      <c r="BK130" s="1" t="str">
        <f t="shared" si="26"/>
        <v>Bolacha Maizena</v>
      </c>
      <c r="BL130" s="1">
        <f>tab_alimentos[[#This Row],[kg]]</f>
        <v>0</v>
      </c>
      <c r="BN130" s="1">
        <f t="shared" si="36"/>
        <v>0</v>
      </c>
      <c r="BP130" s="1" t="str">
        <f>tab_higiene[[#This Row],[Item]]</f>
        <v>Glicerina (250g)</v>
      </c>
      <c r="BQ130" s="1">
        <f t="shared" si="33"/>
        <v>10</v>
      </c>
      <c r="BR130" s="1" t="str">
        <f t="shared" si="34"/>
        <v>Glicerina</v>
      </c>
      <c r="BS130" s="1">
        <f>higiene[[#This Row],[Quantidade]]</f>
        <v>0.25</v>
      </c>
      <c r="BT130" s="1">
        <f>tab_higiene[[#This Row],[Qtde (tot)]]</f>
        <v>0</v>
      </c>
      <c r="BU130" s="1">
        <f t="shared" si="37"/>
        <v>0</v>
      </c>
      <c r="BW130" s="1">
        <f t="shared" si="44"/>
        <v>0</v>
      </c>
    </row>
    <row r="131" spans="9:75" x14ac:dyDescent="0.25">
      <c r="I131" s="19" t="str">
        <f>alimentos[[#This Row],[Item]]</f>
        <v>Bolacha Salg (144g)</v>
      </c>
      <c r="J131" s="4">
        <f>IFERROR(alimentos[[#This Row],[kg/embalagem]],0)</f>
        <v>0.14399999999999999</v>
      </c>
      <c r="K131" s="4">
        <f>IFERROR(alimentos[[#This Row],[Preço]],0)</f>
        <v>4.47</v>
      </c>
      <c r="L131" s="4">
        <f>SUMIFS(super1[Qtde],super1[Item],tab_alimentos[[#This Row],[Item]],super1[Bairro],mercado1)+SUMIFS(supercb[Qtde],supercb[Item],tab_alimentos[[#This Row],[Item]],supercb[Bairro],mercado1)</f>
        <v>0</v>
      </c>
      <c r="M131" s="4">
        <f>SUMIFS(super1[Qtde],super1[Item],tab_alimentos[[#This Row],[Item]],super1[Bairro],mercado2)+SUMIFS(supercb[Qtde],supercb[Item],tab_alimentos[[#This Row],[Item]],supercb[Bairro],mercado2)</f>
        <v>0</v>
      </c>
      <c r="N131" s="4">
        <f>SUMIFS(super1[Qtde],super1[Item],tab_alimentos[[#This Row],[Item]],super1[Bairro],mercado3)+SUMIFS(supercb[Qtde],supercb[Item],tab_alimentos[[#This Row],[Item]],supercb[Bairro],mercado3)</f>
        <v>0</v>
      </c>
      <c r="O131" s="4">
        <f>SUMIFS(super1[Qtde],super1[Item],tab_alimentos[[#This Row],[Item]],super1[Bairro],mercado4)+SUMIFS(supercb[Qtde],supercb[Item],tab_alimentos[[#This Row],[Item]],supercb[Bairro],mercado4)</f>
        <v>0</v>
      </c>
      <c r="P131" s="4">
        <f>SUMIFS(super1[Qtde],super1[Item],tab_alimentos[[#This Row],[Item]],super1[Bairro],mercado5)+SUMIFS(supercb[Qtde],supercb[Item],tab_alimentos[[#This Row],[Item]],supercb[Bairro],mercado5)</f>
        <v>0</v>
      </c>
      <c r="Q131" s="4">
        <f>SUMIFS(super1[Qtde],super1[Item],tab_alimentos[[#This Row],[Item]],super1[Bairro],mercado6)+SUMIFS(supercb[Qtde],supercb[Item],tab_alimentos[[#This Row],[Item]],supercb[Bairro],mercado6)</f>
        <v>0</v>
      </c>
      <c r="R131" s="4">
        <f>SUMIFS(super1[Qtde],super1[Item],tab_alimentos[[#This Row],[Item]],super1[Bairro],mercado7)+SUMIFS(supercb[Qtde],supercb[Item],tab_alimentos[[#This Row],[Item]],supercb[Bairro],mercado7)</f>
        <v>0</v>
      </c>
      <c r="S131" s="4">
        <f>SUMIFS(super1[Qtde],super1[Item],tab_alimentos[[#This Row],[Item]],super1[Bairro],mercado8)+SUMIFS(supercb[Qtde],supercb[Item],tab_alimentos[[#This Row],[Item]],supercb[Bairro],mercado8)</f>
        <v>0</v>
      </c>
      <c r="T131" s="4">
        <f>SUMIFS(super1[Qtde],super1[Item],tab_alimentos[[#This Row],[Item]],super1[Bairro],mercado9)+SUMIFS(supercb[Qtde],supercb[Item],tab_alimentos[[#This Row],[Item]],supercb[Bairro],mercado9)</f>
        <v>0</v>
      </c>
      <c r="U131" s="4">
        <f>SUMIFS(super1[Qtde],super1[Item],tab_alimentos[[#This Row],[Item]],super1[Bairro],mercado10)+SUMIFS(supercb[Qtde],supercb[Item],tab_alimentos[[#This Row],[Item]],supercb[Bairro],mercado10)</f>
        <v>0</v>
      </c>
      <c r="V131" s="4">
        <f>SUMIFS(super1[Qtde],super1[Item],tab_alimentos[[#This Row],[Item]],super1[Bairro],mercado11)+SUMIFS(supercb[Qtde],supercb[Item],tab_alimentos[[#This Row],[Item]],supercb[Bairro],mercado11)</f>
        <v>0</v>
      </c>
      <c r="W131" s="4">
        <f>SUMIFS(super1[Qtde],super1[Item],tab_alimentos[[#This Row],[Item]],super1[Bairro],mercado12)+SUMIFS(supercb[Qtde],supercb[Item],tab_alimentos[[#This Row],[Item]],supercb[Bairro],mercado12)</f>
        <v>0</v>
      </c>
      <c r="X131" s="4">
        <f>SUMIFS(super1[Qtde],super1[Item],tab_alimentos[[#This Row],[Item]],super1[Bairro],mercado13)+SUMIFS(supercb[Qtde],supercb[Item],tab_alimentos[[#This Row],[Item]],supercb[Bairro],mercado13)</f>
        <v>0</v>
      </c>
      <c r="Y131" s="4">
        <f>SUMIFS(super1[Qtde],super1[Item],tab_alimentos[[#This Row],[Item]],super1[Bairro],mercado14)+SUMIFS(supercb[Qtde],supercb[Item],tab_alimentos[[#This Row],[Item]],supercb[Bairro],mercado14)</f>
        <v>0</v>
      </c>
      <c r="Z131" s="4">
        <f>SUMIFS(super1[Qtde],super1[Item],tab_alimentos[[#This Row],[Item]],super1[Bairro],mercado15)+SUMIFS(supercb[Qtde],supercb[Item],tab_alimentos[[#This Row],[Item]],supercb[Bairro],mercado15)</f>
        <v>0</v>
      </c>
      <c r="AA131" s="4">
        <f>SUMIFS(super1[Qtde],super1[Item],tab_alimentos[[#This Row],[Item]],super1[Bairro],mercado16)+SUMIFS(supercb[Qtde],supercb[Item],tab_alimentos[[#This Row],[Item]],supercb[Bairro],mercado16)</f>
        <v>0</v>
      </c>
      <c r="AB131" s="4">
        <f>SUMIFS(super1[Qtde],super1[Item],tab_alimentos[[#This Row],[Item]],super1[Bairro],mercado17)+SUMIFS(supercb[Qtde],supercb[Item],tab_alimentos[[#This Row],[Item]],supercb[Bairro],mercado17)</f>
        <v>0</v>
      </c>
      <c r="AC131" s="4">
        <f>SUMIFS(super1[Qtde],super1[Item],tab_alimentos[[#This Row],[Item]],super1[Bairro],mercado18)+SUMIFS(supercb[Qtde],supercb[Item],tab_alimentos[[#This Row],[Item]],supercb[Bairro],mercado18)</f>
        <v>0</v>
      </c>
      <c r="AD131" s="4">
        <f>SUMIFS(super1[Qtde],super1[Item],tab_alimentos[[#This Row],[Item]],super1[Bairro],extras)+SUMIFS(supercb[Qtde],supercb[Item],tab_alimentos[[#This Row],[Item]],supercb[Bairro],extras)</f>
        <v>0</v>
      </c>
      <c r="AE131" s="4">
        <f t="shared" si="38"/>
        <v>0</v>
      </c>
      <c r="AF131" s="4">
        <f t="shared" si="39"/>
        <v>0</v>
      </c>
      <c r="AG131" s="6">
        <f t="shared" si="40"/>
        <v>0</v>
      </c>
      <c r="AH131" s="19" t="str">
        <f>higiene[[#This Row],[Item]]</f>
        <v>Guardanapo</v>
      </c>
      <c r="AI131" s="4">
        <f>IFERROR(higiene[[#This Row],[Kg equivalente]],0)</f>
        <v>0</v>
      </c>
      <c r="AJ131" s="4">
        <f>IFERROR(higiene[[#This Row],[Preço por produto]],0)</f>
        <v>2.99</v>
      </c>
      <c r="AK131" s="4">
        <f>SUMIFS(super1[Qtde],super1[Item],tab_higiene[[#This Row],[Item]],super1[Bairro],mercado1)+SUMIFS(supercb[Qtde],supercb[Item],tab_higiene[[#This Row],[Item]],supercb[Bairro],mercado1)</f>
        <v>0</v>
      </c>
      <c r="AL131" s="4">
        <f>SUMIFS(super1[Qtde],super1[Item],tab_higiene[[#This Row],[Item]],super1[Bairro],mercado2)+SUMIFS(supercb[Qtde],supercb[Item],tab_higiene[[#This Row],[Item]],supercb[Bairro],mercado2)</f>
        <v>0</v>
      </c>
      <c r="AM131" s="4">
        <f>SUMIFS(super1[Qtde],super1[Item],tab_higiene[[#This Row],[Item]],super1[Bairro],mercado3)+SUMIFS(supercb[Qtde],supercb[Item],tab_higiene[[#This Row],[Item]],supercb[Bairro],mercado3)</f>
        <v>0</v>
      </c>
      <c r="AN131" s="4">
        <f>SUMIFS(super1[Qtde],super1[Item],tab_higiene[[#This Row],[Item]],super1[Bairro],mercado4)+SUMIFS(supercb[Qtde],supercb[Item],tab_higiene[[#This Row],[Item]],supercb[Bairro],mercado4)</f>
        <v>0</v>
      </c>
      <c r="AO131" s="4">
        <f>SUMIFS(super1[Qtde],super1[Item],tab_higiene[[#This Row],[Item]],super1[Bairro],mercado5)+SUMIFS(supercb[Qtde],supercb[Item],tab_higiene[[#This Row],[Item]],supercb[Bairro],mercado5)</f>
        <v>0</v>
      </c>
      <c r="AP131" s="4">
        <f>SUMIFS(super1[Qtde],super1[Item],tab_higiene[[#This Row],[Item]],super1[Bairro],mercado6)+SUMIFS(supercb[Qtde],supercb[Item],tab_higiene[[#This Row],[Item]],supercb[Bairro],mercado6)</f>
        <v>0</v>
      </c>
      <c r="AQ131" s="4">
        <f>SUMIFS(super1[Qtde],super1[Item],tab_higiene[[#This Row],[Item]],super1[Bairro],mercado7)+SUMIFS(supercb[Qtde],supercb[Item],tab_higiene[[#This Row],[Item]],supercb[Bairro],mercado7)</f>
        <v>0</v>
      </c>
      <c r="AR131" s="4">
        <f>SUMIFS(super1[Qtde],super1[Item],tab_higiene[[#This Row],[Item]],super1[Bairro],mercado8)+SUMIFS(supercb[Qtde],supercb[Item],tab_higiene[[#This Row],[Item]],supercb[Bairro],mercado8)</f>
        <v>0</v>
      </c>
      <c r="AS131" s="4">
        <f>SUMIFS(super1[Qtde],super1[Item],tab_higiene[[#This Row],[Item]],super1[Bairro],mercado9)+SUMIFS(supercb[Qtde],supercb[Item],tab_higiene[[#This Row],[Item]],supercb[Bairro],mercado9)</f>
        <v>0</v>
      </c>
      <c r="AT131" s="4">
        <f>SUMIFS(super1[Qtde],super1[Item],tab_higiene[[#This Row],[Item]],super1[Bairro],mercado10)+SUMIFS(supercb[Qtde],supercb[Item],tab_higiene[[#This Row],[Item]],supercb[Bairro],mercado10)</f>
        <v>0</v>
      </c>
      <c r="AU131" s="4">
        <f>SUMIFS(super1[Qtde],super1[Item],tab_higiene[[#This Row],[Item]],super1[Bairro],mercado11)+SUMIFS(supercb[Qtde],supercb[Item],tab_higiene[[#This Row],[Item]],supercb[Bairro],mercado11)</f>
        <v>0</v>
      </c>
      <c r="AV131" s="4">
        <f>SUMIFS(super1[Qtde],super1[Item],tab_higiene[[#This Row],[Item]],super1[Bairro],mercado12)+SUMIFS(supercb[Qtde],supercb[Item],tab_higiene[[#This Row],[Item]],supercb[Bairro],mercado12)</f>
        <v>0</v>
      </c>
      <c r="AW131" s="4">
        <f>SUMIFS(super1[Qtde],super1[Item],tab_higiene[[#This Row],[Item]],super1[Bairro],mercado13)+SUMIFS(supercb[Qtde],supercb[Item],tab_higiene[[#This Row],[Item]],supercb[Bairro],mercado13)</f>
        <v>0</v>
      </c>
      <c r="AX131" s="4">
        <f>SUMIFS(super1[Qtde],super1[Item],tab_higiene[[#This Row],[Item]],super1[Bairro],mercado14)+SUMIFS(supercb[Qtde],supercb[Item],tab_higiene[[#This Row],[Item]],supercb[Bairro],mercado14)</f>
        <v>0</v>
      </c>
      <c r="AY131" s="4">
        <f>SUMIFS(super1[Qtde],super1[Item],tab_higiene[[#This Row],[Item]],super1[Bairro],mercado15)+SUMIFS(supercb[Qtde],supercb[Item],tab_higiene[[#This Row],[Item]],supercb[Bairro],mercado15)</f>
        <v>0</v>
      </c>
      <c r="AZ131" s="4">
        <f>SUMIFS(super1[Qtde],super1[Item],tab_higiene[[#This Row],[Item]],super1[Bairro],mercado16)+SUMIFS(supercb[Qtde],supercb[Item],tab_higiene[[#This Row],[Item]],supercb[Bairro],mercado16)</f>
        <v>0</v>
      </c>
      <c r="BA131" s="4">
        <f>SUMIFS(super1[Qtde],super1[Item],tab_higiene[[#This Row],[Item]],super1[Bairro],mercado17)+SUMIFS(supercb[Qtde],supercb[Item],tab_higiene[[#This Row],[Item]],supercb[Bairro],mercado17)</f>
        <v>0</v>
      </c>
      <c r="BB131" s="4">
        <f>SUMIFS(super1[Qtde],super1[Item],tab_higiene[[#This Row],[Item]],super1[Bairro],mercado18)+SUMIFS(supercb[Qtde],supercb[Item],tab_higiene[[#This Row],[Item]],supercb[Bairro],mercado18)</f>
        <v>0</v>
      </c>
      <c r="BC131" s="4">
        <f>SUMIFS(super1[Qtde],super1[Item],tab_higiene[[#This Row],[Item]],super1[Bairro],extras)+SUMIFS(supercb[Qtde],supercb[Item],tab_higiene[[#This Row],[Item]],supercb[Bairro],extras)</f>
        <v>0</v>
      </c>
      <c r="BD131" s="4">
        <f t="shared" si="41"/>
        <v>0</v>
      </c>
      <c r="BE131" s="4">
        <f t="shared" si="42"/>
        <v>0</v>
      </c>
      <c r="BF131" s="6">
        <f t="shared" si="43"/>
        <v>0</v>
      </c>
      <c r="BI131" s="1" t="str">
        <f>tab_alimentos[[#This Row],[Item]]</f>
        <v>Bolacha Salg (144g)</v>
      </c>
      <c r="BJ131" s="1">
        <f t="shared" si="25"/>
        <v>13</v>
      </c>
      <c r="BK131" s="1" t="str">
        <f t="shared" si="26"/>
        <v>Bolacha Salg</v>
      </c>
      <c r="BL131" s="1">
        <f>tab_alimentos[[#This Row],[kg]]</f>
        <v>0</v>
      </c>
      <c r="BN131" s="1">
        <f t="shared" si="36"/>
        <v>0</v>
      </c>
      <c r="BP131" s="1" t="str">
        <f>tab_higiene[[#This Row],[Item]]</f>
        <v>Guardanapo</v>
      </c>
      <c r="BQ131" s="1">
        <f t="shared" si="33"/>
        <v>0</v>
      </c>
      <c r="BR131" s="1" t="str">
        <f t="shared" si="34"/>
        <v>Guardanapo</v>
      </c>
      <c r="BS131" s="1">
        <f>higiene[[#This Row],[Quantidade]]</f>
        <v>24</v>
      </c>
      <c r="BT131" s="1">
        <f>tab_higiene[[#This Row],[Qtde (tot)]]</f>
        <v>0</v>
      </c>
      <c r="BU131" s="1">
        <f t="shared" si="37"/>
        <v>0</v>
      </c>
      <c r="BW131" s="1">
        <f t="shared" si="44"/>
        <v>0</v>
      </c>
    </row>
    <row r="132" spans="9:75" x14ac:dyDescent="0.25">
      <c r="I132" s="19" t="str">
        <f>alimentos[[#This Row],[Item]]</f>
        <v>Bolacha Salg Recheio (100g)</v>
      </c>
      <c r="J132" s="4">
        <f>IFERROR(alimentos[[#This Row],[kg/embalagem]],0)</f>
        <v>0.1</v>
      </c>
      <c r="K132" s="4">
        <f>IFERROR(alimentos[[#This Row],[Preço]],0)</f>
        <v>4.49</v>
      </c>
      <c r="L132" s="4">
        <f>SUMIFS(super1[Qtde],super1[Item],tab_alimentos[[#This Row],[Item]],super1[Bairro],mercado1)+SUMIFS(supercb[Qtde],supercb[Item],tab_alimentos[[#This Row],[Item]],supercb[Bairro],mercado1)</f>
        <v>0</v>
      </c>
      <c r="M132" s="4">
        <f>SUMIFS(super1[Qtde],super1[Item],tab_alimentos[[#This Row],[Item]],super1[Bairro],mercado2)+SUMIFS(supercb[Qtde],supercb[Item],tab_alimentos[[#This Row],[Item]],supercb[Bairro],mercado2)</f>
        <v>0</v>
      </c>
      <c r="N132" s="4">
        <f>SUMIFS(super1[Qtde],super1[Item],tab_alimentos[[#This Row],[Item]],super1[Bairro],mercado3)+SUMIFS(supercb[Qtde],supercb[Item],tab_alimentos[[#This Row],[Item]],supercb[Bairro],mercado3)</f>
        <v>0</v>
      </c>
      <c r="O132" s="4">
        <f>SUMIFS(super1[Qtde],super1[Item],tab_alimentos[[#This Row],[Item]],super1[Bairro],mercado4)+SUMIFS(supercb[Qtde],supercb[Item],tab_alimentos[[#This Row],[Item]],supercb[Bairro],mercado4)</f>
        <v>0</v>
      </c>
      <c r="P132" s="4">
        <f>SUMIFS(super1[Qtde],super1[Item],tab_alimentos[[#This Row],[Item]],super1[Bairro],mercado5)+SUMIFS(supercb[Qtde],supercb[Item],tab_alimentos[[#This Row],[Item]],supercb[Bairro],mercado5)</f>
        <v>0</v>
      </c>
      <c r="Q132" s="4">
        <f>SUMIFS(super1[Qtde],super1[Item],tab_alimentos[[#This Row],[Item]],super1[Bairro],mercado6)+SUMIFS(supercb[Qtde],supercb[Item],tab_alimentos[[#This Row],[Item]],supercb[Bairro],mercado6)</f>
        <v>0</v>
      </c>
      <c r="R132" s="4">
        <f>SUMIFS(super1[Qtde],super1[Item],tab_alimentos[[#This Row],[Item]],super1[Bairro],mercado7)+SUMIFS(supercb[Qtde],supercb[Item],tab_alimentos[[#This Row],[Item]],supercb[Bairro],mercado7)</f>
        <v>0</v>
      </c>
      <c r="S132" s="4">
        <f>SUMIFS(super1[Qtde],super1[Item],tab_alimentos[[#This Row],[Item]],super1[Bairro],mercado8)+SUMIFS(supercb[Qtde],supercb[Item],tab_alimentos[[#This Row],[Item]],supercb[Bairro],mercado8)</f>
        <v>0</v>
      </c>
      <c r="T132" s="4">
        <f>SUMIFS(super1[Qtde],super1[Item],tab_alimentos[[#This Row],[Item]],super1[Bairro],mercado9)+SUMIFS(supercb[Qtde],supercb[Item],tab_alimentos[[#This Row],[Item]],supercb[Bairro],mercado9)</f>
        <v>0</v>
      </c>
      <c r="U132" s="4">
        <f>SUMIFS(super1[Qtde],super1[Item],tab_alimentos[[#This Row],[Item]],super1[Bairro],mercado10)+SUMIFS(supercb[Qtde],supercb[Item],tab_alimentos[[#This Row],[Item]],supercb[Bairro],mercado10)</f>
        <v>0</v>
      </c>
      <c r="V132" s="4">
        <f>SUMIFS(super1[Qtde],super1[Item],tab_alimentos[[#This Row],[Item]],super1[Bairro],mercado11)+SUMIFS(supercb[Qtde],supercb[Item],tab_alimentos[[#This Row],[Item]],supercb[Bairro],mercado11)</f>
        <v>0</v>
      </c>
      <c r="W132" s="4">
        <f>SUMIFS(super1[Qtde],super1[Item],tab_alimentos[[#This Row],[Item]],super1[Bairro],mercado12)+SUMIFS(supercb[Qtde],supercb[Item],tab_alimentos[[#This Row],[Item]],supercb[Bairro],mercado12)</f>
        <v>0</v>
      </c>
      <c r="X132" s="4">
        <f>SUMIFS(super1[Qtde],super1[Item],tab_alimentos[[#This Row],[Item]],super1[Bairro],mercado13)+SUMIFS(supercb[Qtde],supercb[Item],tab_alimentos[[#This Row],[Item]],supercb[Bairro],mercado13)</f>
        <v>0</v>
      </c>
      <c r="Y132" s="4">
        <f>SUMIFS(super1[Qtde],super1[Item],tab_alimentos[[#This Row],[Item]],super1[Bairro],mercado14)+SUMIFS(supercb[Qtde],supercb[Item],tab_alimentos[[#This Row],[Item]],supercb[Bairro],mercado14)</f>
        <v>0</v>
      </c>
      <c r="Z132" s="4">
        <f>SUMIFS(super1[Qtde],super1[Item],tab_alimentos[[#This Row],[Item]],super1[Bairro],mercado15)+SUMIFS(supercb[Qtde],supercb[Item],tab_alimentos[[#This Row],[Item]],supercb[Bairro],mercado15)</f>
        <v>0</v>
      </c>
      <c r="AA132" s="4">
        <f>SUMIFS(super1[Qtde],super1[Item],tab_alimentos[[#This Row],[Item]],super1[Bairro],mercado16)+SUMIFS(supercb[Qtde],supercb[Item],tab_alimentos[[#This Row],[Item]],supercb[Bairro],mercado16)</f>
        <v>0</v>
      </c>
      <c r="AB132" s="4">
        <f>SUMIFS(super1[Qtde],super1[Item],tab_alimentos[[#This Row],[Item]],super1[Bairro],mercado17)+SUMIFS(supercb[Qtde],supercb[Item],tab_alimentos[[#This Row],[Item]],supercb[Bairro],mercado17)</f>
        <v>0</v>
      </c>
      <c r="AC132" s="4">
        <f>SUMIFS(super1[Qtde],super1[Item],tab_alimentos[[#This Row],[Item]],super1[Bairro],mercado18)+SUMIFS(supercb[Qtde],supercb[Item],tab_alimentos[[#This Row],[Item]],supercb[Bairro],mercado18)</f>
        <v>0</v>
      </c>
      <c r="AD132" s="4">
        <f>SUMIFS(super1[Qtde],super1[Item],tab_alimentos[[#This Row],[Item]],super1[Bairro],extras)+SUMIFS(supercb[Qtde],supercb[Item],tab_alimentos[[#This Row],[Item]],supercb[Bairro],extras)</f>
        <v>0</v>
      </c>
      <c r="AE132" s="4">
        <f t="shared" si="38"/>
        <v>0</v>
      </c>
      <c r="AF132" s="4">
        <f t="shared" si="39"/>
        <v>0</v>
      </c>
      <c r="AG132" s="6">
        <f t="shared" si="40"/>
        <v>0</v>
      </c>
      <c r="AH132" s="19" t="str">
        <f>higiene[[#This Row],[Item]]</f>
        <v>H</v>
      </c>
      <c r="AI132" s="4">
        <f>IFERROR(higiene[[#This Row],[Kg equivalente]],0)</f>
        <v>0</v>
      </c>
      <c r="AJ132" s="4">
        <f>IFERROR(higiene[[#This Row],[Preço por produto]],0)</f>
        <v>0</v>
      </c>
      <c r="AK132" s="4">
        <f>SUMIFS(super1[Qtde],super1[Item],tab_higiene[[#This Row],[Item]],super1[Bairro],mercado1)+SUMIFS(supercb[Qtde],supercb[Item],tab_higiene[[#This Row],[Item]],supercb[Bairro],mercado1)</f>
        <v>0</v>
      </c>
      <c r="AL132" s="4">
        <f>SUMIFS(super1[Qtde],super1[Item],tab_higiene[[#This Row],[Item]],super1[Bairro],mercado2)+SUMIFS(supercb[Qtde],supercb[Item],tab_higiene[[#This Row],[Item]],supercb[Bairro],mercado2)</f>
        <v>0</v>
      </c>
      <c r="AM132" s="4">
        <f>SUMIFS(super1[Qtde],super1[Item],tab_higiene[[#This Row],[Item]],super1[Bairro],mercado3)+SUMIFS(supercb[Qtde],supercb[Item],tab_higiene[[#This Row],[Item]],supercb[Bairro],mercado3)</f>
        <v>0</v>
      </c>
      <c r="AN132" s="4">
        <f>SUMIFS(super1[Qtde],super1[Item],tab_higiene[[#This Row],[Item]],super1[Bairro],mercado4)+SUMIFS(supercb[Qtde],supercb[Item],tab_higiene[[#This Row],[Item]],supercb[Bairro],mercado4)</f>
        <v>0</v>
      </c>
      <c r="AO132" s="4">
        <f>SUMIFS(super1[Qtde],super1[Item],tab_higiene[[#This Row],[Item]],super1[Bairro],mercado5)+SUMIFS(supercb[Qtde],supercb[Item],tab_higiene[[#This Row],[Item]],supercb[Bairro],mercado5)</f>
        <v>0</v>
      </c>
      <c r="AP132" s="4">
        <f>SUMIFS(super1[Qtde],super1[Item],tab_higiene[[#This Row],[Item]],super1[Bairro],mercado6)+SUMIFS(supercb[Qtde],supercb[Item],tab_higiene[[#This Row],[Item]],supercb[Bairro],mercado6)</f>
        <v>0</v>
      </c>
      <c r="AQ132" s="4">
        <f>SUMIFS(super1[Qtde],super1[Item],tab_higiene[[#This Row],[Item]],super1[Bairro],mercado7)+SUMIFS(supercb[Qtde],supercb[Item],tab_higiene[[#This Row],[Item]],supercb[Bairro],mercado7)</f>
        <v>0</v>
      </c>
      <c r="AR132" s="4">
        <f>SUMIFS(super1[Qtde],super1[Item],tab_higiene[[#This Row],[Item]],super1[Bairro],mercado8)+SUMIFS(supercb[Qtde],supercb[Item],tab_higiene[[#This Row],[Item]],supercb[Bairro],mercado8)</f>
        <v>0</v>
      </c>
      <c r="AS132" s="4">
        <f>SUMIFS(super1[Qtde],super1[Item],tab_higiene[[#This Row],[Item]],super1[Bairro],mercado9)+SUMIFS(supercb[Qtde],supercb[Item],tab_higiene[[#This Row],[Item]],supercb[Bairro],mercado9)</f>
        <v>0</v>
      </c>
      <c r="AT132" s="4">
        <f>SUMIFS(super1[Qtde],super1[Item],tab_higiene[[#This Row],[Item]],super1[Bairro],mercado10)+SUMIFS(supercb[Qtde],supercb[Item],tab_higiene[[#This Row],[Item]],supercb[Bairro],mercado10)</f>
        <v>0</v>
      </c>
      <c r="AU132" s="4">
        <f>SUMIFS(super1[Qtde],super1[Item],tab_higiene[[#This Row],[Item]],super1[Bairro],mercado11)+SUMIFS(supercb[Qtde],supercb[Item],tab_higiene[[#This Row],[Item]],supercb[Bairro],mercado11)</f>
        <v>0</v>
      </c>
      <c r="AV132" s="4">
        <f>SUMIFS(super1[Qtde],super1[Item],tab_higiene[[#This Row],[Item]],super1[Bairro],mercado12)+SUMIFS(supercb[Qtde],supercb[Item],tab_higiene[[#This Row],[Item]],supercb[Bairro],mercado12)</f>
        <v>0</v>
      </c>
      <c r="AW132" s="4">
        <f>SUMIFS(super1[Qtde],super1[Item],tab_higiene[[#This Row],[Item]],super1[Bairro],mercado13)+SUMIFS(supercb[Qtde],supercb[Item],tab_higiene[[#This Row],[Item]],supercb[Bairro],mercado13)</f>
        <v>0</v>
      </c>
      <c r="AX132" s="4">
        <f>SUMIFS(super1[Qtde],super1[Item],tab_higiene[[#This Row],[Item]],super1[Bairro],mercado14)+SUMIFS(supercb[Qtde],supercb[Item],tab_higiene[[#This Row],[Item]],supercb[Bairro],mercado14)</f>
        <v>0</v>
      </c>
      <c r="AY132" s="4">
        <f>SUMIFS(super1[Qtde],super1[Item],tab_higiene[[#This Row],[Item]],super1[Bairro],mercado15)+SUMIFS(supercb[Qtde],supercb[Item],tab_higiene[[#This Row],[Item]],supercb[Bairro],mercado15)</f>
        <v>0</v>
      </c>
      <c r="AZ132" s="4">
        <f>SUMIFS(super1[Qtde],super1[Item],tab_higiene[[#This Row],[Item]],super1[Bairro],mercado16)+SUMIFS(supercb[Qtde],supercb[Item],tab_higiene[[#This Row],[Item]],supercb[Bairro],mercado16)</f>
        <v>0</v>
      </c>
      <c r="BA132" s="4">
        <f>SUMIFS(super1[Qtde],super1[Item],tab_higiene[[#This Row],[Item]],super1[Bairro],mercado17)+SUMIFS(supercb[Qtde],supercb[Item],tab_higiene[[#This Row],[Item]],supercb[Bairro],mercado17)</f>
        <v>0</v>
      </c>
      <c r="BB132" s="4">
        <f>SUMIFS(super1[Qtde],super1[Item],tab_higiene[[#This Row],[Item]],super1[Bairro],mercado18)+SUMIFS(supercb[Qtde],supercb[Item],tab_higiene[[#This Row],[Item]],supercb[Bairro],mercado18)</f>
        <v>0</v>
      </c>
      <c r="BC132" s="4">
        <f>SUMIFS(super1[Qtde],super1[Item],tab_higiene[[#This Row],[Item]],super1[Bairro],extras)+SUMIFS(supercb[Qtde],supercb[Item],tab_higiene[[#This Row],[Item]],supercb[Bairro],extras)</f>
        <v>0</v>
      </c>
      <c r="BD132" s="4">
        <f t="shared" si="41"/>
        <v>0</v>
      </c>
      <c r="BE132" s="4">
        <f t="shared" si="42"/>
        <v>0</v>
      </c>
      <c r="BF132" s="6">
        <f t="shared" si="43"/>
        <v>0</v>
      </c>
      <c r="BI132" s="1" t="str">
        <f>tab_alimentos[[#This Row],[Item]]</f>
        <v>Bolacha Salg Recheio (100g)</v>
      </c>
      <c r="BJ132" s="1">
        <f t="shared" ref="BJ132:BJ142" si="45">IFERROR(FIND(" (",BI132),0)</f>
        <v>21</v>
      </c>
      <c r="BK132" s="1" t="str">
        <f t="shared" ref="BK132:BK142" si="46">IF(BJ132=0,BI132,LEFT(BI132,BJ132-1))</f>
        <v>Bolacha Salg Recheio</v>
      </c>
      <c r="BL132" s="1">
        <f>tab_alimentos[[#This Row],[kg]]</f>
        <v>0</v>
      </c>
      <c r="BN132" s="1">
        <f t="shared" si="36"/>
        <v>0</v>
      </c>
      <c r="BP132" s="1" t="str">
        <f>tab_higiene[[#This Row],[Item]]</f>
        <v>H</v>
      </c>
      <c r="BQ132" s="1">
        <f t="shared" si="33"/>
        <v>0</v>
      </c>
      <c r="BR132" s="1" t="str">
        <f t="shared" si="34"/>
        <v>H</v>
      </c>
      <c r="BS132" s="1">
        <f>higiene[[#This Row],[Quantidade]]</f>
        <v>0</v>
      </c>
      <c r="BT132" s="1">
        <f>tab_higiene[[#This Row],[Qtde (tot)]]</f>
        <v>0</v>
      </c>
      <c r="BU132" s="1">
        <f t="shared" si="37"/>
        <v>0</v>
      </c>
      <c r="BW132" s="1">
        <f t="shared" si="44"/>
        <v>0</v>
      </c>
    </row>
    <row r="133" spans="9:75" x14ac:dyDescent="0.25">
      <c r="I133" s="19" t="str">
        <f>alimentos[[#This Row],[Item]]</f>
        <v>Bolacha Salg Recheio (110g)</v>
      </c>
      <c r="J133" s="4">
        <f>IFERROR(alimentos[[#This Row],[kg/embalagem]],0)</f>
        <v>0.11</v>
      </c>
      <c r="K133" s="4">
        <f>IFERROR(alimentos[[#This Row],[Preço]],0)</f>
        <v>3.79</v>
      </c>
      <c r="L133" s="4">
        <f>SUMIFS(super1[Qtde],super1[Item],tab_alimentos[[#This Row],[Item]],super1[Bairro],mercado1)+SUMIFS(supercb[Qtde],supercb[Item],tab_alimentos[[#This Row],[Item]],supercb[Bairro],mercado1)</f>
        <v>0</v>
      </c>
      <c r="M133" s="4">
        <f>SUMIFS(super1[Qtde],super1[Item],tab_alimentos[[#This Row],[Item]],super1[Bairro],mercado2)+SUMIFS(supercb[Qtde],supercb[Item],tab_alimentos[[#This Row],[Item]],supercb[Bairro],mercado2)</f>
        <v>0</v>
      </c>
      <c r="N133" s="4">
        <f>SUMIFS(super1[Qtde],super1[Item],tab_alimentos[[#This Row],[Item]],super1[Bairro],mercado3)+SUMIFS(supercb[Qtde],supercb[Item],tab_alimentos[[#This Row],[Item]],supercb[Bairro],mercado3)</f>
        <v>0</v>
      </c>
      <c r="O133" s="4">
        <f>SUMIFS(super1[Qtde],super1[Item],tab_alimentos[[#This Row],[Item]],super1[Bairro],mercado4)+SUMIFS(supercb[Qtde],supercb[Item],tab_alimentos[[#This Row],[Item]],supercb[Bairro],mercado4)</f>
        <v>0</v>
      </c>
      <c r="P133" s="4">
        <f>SUMIFS(super1[Qtde],super1[Item],tab_alimentos[[#This Row],[Item]],super1[Bairro],mercado5)+SUMIFS(supercb[Qtde],supercb[Item],tab_alimentos[[#This Row],[Item]],supercb[Bairro],mercado5)</f>
        <v>0</v>
      </c>
      <c r="Q133" s="4">
        <f>SUMIFS(super1[Qtde],super1[Item],tab_alimentos[[#This Row],[Item]],super1[Bairro],mercado6)+SUMIFS(supercb[Qtde],supercb[Item],tab_alimentos[[#This Row],[Item]],supercb[Bairro],mercado6)</f>
        <v>0</v>
      </c>
      <c r="R133" s="4">
        <f>SUMIFS(super1[Qtde],super1[Item],tab_alimentos[[#This Row],[Item]],super1[Bairro],mercado7)+SUMIFS(supercb[Qtde],supercb[Item],tab_alimentos[[#This Row],[Item]],supercb[Bairro],mercado7)</f>
        <v>0</v>
      </c>
      <c r="S133" s="4">
        <f>SUMIFS(super1[Qtde],super1[Item],tab_alimentos[[#This Row],[Item]],super1[Bairro],mercado8)+SUMIFS(supercb[Qtde],supercb[Item],tab_alimentos[[#This Row],[Item]],supercb[Bairro],mercado8)</f>
        <v>0</v>
      </c>
      <c r="T133" s="4">
        <f>SUMIFS(super1[Qtde],super1[Item],tab_alimentos[[#This Row],[Item]],super1[Bairro],mercado9)+SUMIFS(supercb[Qtde],supercb[Item],tab_alimentos[[#This Row],[Item]],supercb[Bairro],mercado9)</f>
        <v>0</v>
      </c>
      <c r="U133" s="4">
        <f>SUMIFS(super1[Qtde],super1[Item],tab_alimentos[[#This Row],[Item]],super1[Bairro],mercado10)+SUMIFS(supercb[Qtde],supercb[Item],tab_alimentos[[#This Row],[Item]],supercb[Bairro],mercado10)</f>
        <v>0</v>
      </c>
      <c r="V133" s="4">
        <f>SUMIFS(super1[Qtde],super1[Item],tab_alimentos[[#This Row],[Item]],super1[Bairro],mercado11)+SUMIFS(supercb[Qtde],supercb[Item],tab_alimentos[[#This Row],[Item]],supercb[Bairro],mercado11)</f>
        <v>0</v>
      </c>
      <c r="W133" s="4">
        <f>SUMIFS(super1[Qtde],super1[Item],tab_alimentos[[#This Row],[Item]],super1[Bairro],mercado12)+SUMIFS(supercb[Qtde],supercb[Item],tab_alimentos[[#This Row],[Item]],supercb[Bairro],mercado12)</f>
        <v>0</v>
      </c>
      <c r="X133" s="4">
        <f>SUMIFS(super1[Qtde],super1[Item],tab_alimentos[[#This Row],[Item]],super1[Bairro],mercado13)+SUMIFS(supercb[Qtde],supercb[Item],tab_alimentos[[#This Row],[Item]],supercb[Bairro],mercado13)</f>
        <v>0</v>
      </c>
      <c r="Y133" s="4">
        <f>SUMIFS(super1[Qtde],super1[Item],tab_alimentos[[#This Row],[Item]],super1[Bairro],mercado14)+SUMIFS(supercb[Qtde],supercb[Item],tab_alimentos[[#This Row],[Item]],supercb[Bairro],mercado14)</f>
        <v>0</v>
      </c>
      <c r="Z133" s="4">
        <f>SUMIFS(super1[Qtde],super1[Item],tab_alimentos[[#This Row],[Item]],super1[Bairro],mercado15)+SUMIFS(supercb[Qtde],supercb[Item],tab_alimentos[[#This Row],[Item]],supercb[Bairro],mercado15)</f>
        <v>0</v>
      </c>
      <c r="AA133" s="4">
        <f>SUMIFS(super1[Qtde],super1[Item],tab_alimentos[[#This Row],[Item]],super1[Bairro],mercado16)+SUMIFS(supercb[Qtde],supercb[Item],tab_alimentos[[#This Row],[Item]],supercb[Bairro],mercado16)</f>
        <v>0</v>
      </c>
      <c r="AB133" s="4">
        <f>SUMIFS(super1[Qtde],super1[Item],tab_alimentos[[#This Row],[Item]],super1[Bairro],mercado17)+SUMIFS(supercb[Qtde],supercb[Item],tab_alimentos[[#This Row],[Item]],supercb[Bairro],mercado17)</f>
        <v>0</v>
      </c>
      <c r="AC133" s="4">
        <f>SUMIFS(super1[Qtde],super1[Item],tab_alimentos[[#This Row],[Item]],super1[Bairro],mercado18)+SUMIFS(supercb[Qtde],supercb[Item],tab_alimentos[[#This Row],[Item]],supercb[Bairro],mercado18)</f>
        <v>0</v>
      </c>
      <c r="AD133" s="4">
        <f>SUMIFS(super1[Qtde],super1[Item],tab_alimentos[[#This Row],[Item]],super1[Bairro],extras)+SUMIFS(supercb[Qtde],supercb[Item],tab_alimentos[[#This Row],[Item]],supercb[Bairro],extras)</f>
        <v>0</v>
      </c>
      <c r="AE133" s="4">
        <f t="shared" ref="AE133:AE156" si="47">SUM(L133:AC133)</f>
        <v>0</v>
      </c>
      <c r="AF133" s="4">
        <f t="shared" ref="AF133:AF156" si="48">IFERROR(AE133*K133,0)</f>
        <v>0</v>
      </c>
      <c r="AG133" s="6">
        <f t="shared" ref="AG133:AG156" si="49">IFERROR(J133*AE133,0)</f>
        <v>0</v>
      </c>
      <c r="AH133" s="19" t="str">
        <f>higiene[[#This Row],[Item]]</f>
        <v>Hastes Flexíveis (75un)</v>
      </c>
      <c r="AI133" s="4">
        <f>IFERROR(higiene[[#This Row],[Kg equivalente]],0)</f>
        <v>0</v>
      </c>
      <c r="AJ133" s="4">
        <f>IFERROR(higiene[[#This Row],[Preço por produto]],0)</f>
        <v>4.29</v>
      </c>
      <c r="AK133" s="4">
        <f>SUMIFS(super1[Qtde],super1[Item],tab_higiene[[#This Row],[Item]],super1[Bairro],mercado1)+SUMIFS(supercb[Qtde],supercb[Item],tab_higiene[[#This Row],[Item]],supercb[Bairro],mercado1)</f>
        <v>0</v>
      </c>
      <c r="AL133" s="4">
        <f>SUMIFS(super1[Qtde],super1[Item],tab_higiene[[#This Row],[Item]],super1[Bairro],mercado2)+SUMIFS(supercb[Qtde],supercb[Item],tab_higiene[[#This Row],[Item]],supercb[Bairro],mercado2)</f>
        <v>0</v>
      </c>
      <c r="AM133" s="4">
        <f>SUMIFS(super1[Qtde],super1[Item],tab_higiene[[#This Row],[Item]],super1[Bairro],mercado3)+SUMIFS(supercb[Qtde],supercb[Item],tab_higiene[[#This Row],[Item]],supercb[Bairro],mercado3)</f>
        <v>0</v>
      </c>
      <c r="AN133" s="4">
        <f>SUMIFS(super1[Qtde],super1[Item],tab_higiene[[#This Row],[Item]],super1[Bairro],mercado4)+SUMIFS(supercb[Qtde],supercb[Item],tab_higiene[[#This Row],[Item]],supercb[Bairro],mercado4)</f>
        <v>0</v>
      </c>
      <c r="AO133" s="4">
        <f>SUMIFS(super1[Qtde],super1[Item],tab_higiene[[#This Row],[Item]],super1[Bairro],mercado5)+SUMIFS(supercb[Qtde],supercb[Item],tab_higiene[[#This Row],[Item]],supercb[Bairro],mercado5)</f>
        <v>0</v>
      </c>
      <c r="AP133" s="4">
        <f>SUMIFS(super1[Qtde],super1[Item],tab_higiene[[#This Row],[Item]],super1[Bairro],mercado6)+SUMIFS(supercb[Qtde],supercb[Item],tab_higiene[[#This Row],[Item]],supercb[Bairro],mercado6)</f>
        <v>0</v>
      </c>
      <c r="AQ133" s="4">
        <f>SUMIFS(super1[Qtde],super1[Item],tab_higiene[[#This Row],[Item]],super1[Bairro],mercado7)+SUMIFS(supercb[Qtde],supercb[Item],tab_higiene[[#This Row],[Item]],supercb[Bairro],mercado7)</f>
        <v>0</v>
      </c>
      <c r="AR133" s="4">
        <f>SUMIFS(super1[Qtde],super1[Item],tab_higiene[[#This Row],[Item]],super1[Bairro],mercado8)+SUMIFS(supercb[Qtde],supercb[Item],tab_higiene[[#This Row],[Item]],supercb[Bairro],mercado8)</f>
        <v>0</v>
      </c>
      <c r="AS133" s="4">
        <f>SUMIFS(super1[Qtde],super1[Item],tab_higiene[[#This Row],[Item]],super1[Bairro],mercado9)+SUMIFS(supercb[Qtde],supercb[Item],tab_higiene[[#This Row],[Item]],supercb[Bairro],mercado9)</f>
        <v>0</v>
      </c>
      <c r="AT133" s="4">
        <f>SUMIFS(super1[Qtde],super1[Item],tab_higiene[[#This Row],[Item]],super1[Bairro],mercado10)+SUMIFS(supercb[Qtde],supercb[Item],tab_higiene[[#This Row],[Item]],supercb[Bairro],mercado10)</f>
        <v>0</v>
      </c>
      <c r="AU133" s="4">
        <f>SUMIFS(super1[Qtde],super1[Item],tab_higiene[[#This Row],[Item]],super1[Bairro],mercado11)+SUMIFS(supercb[Qtde],supercb[Item],tab_higiene[[#This Row],[Item]],supercb[Bairro],mercado11)</f>
        <v>0</v>
      </c>
      <c r="AV133" s="4">
        <f>SUMIFS(super1[Qtde],super1[Item],tab_higiene[[#This Row],[Item]],super1[Bairro],mercado12)+SUMIFS(supercb[Qtde],supercb[Item],tab_higiene[[#This Row],[Item]],supercb[Bairro],mercado12)</f>
        <v>0</v>
      </c>
      <c r="AW133" s="4">
        <f>SUMIFS(super1[Qtde],super1[Item],tab_higiene[[#This Row],[Item]],super1[Bairro],mercado13)+SUMIFS(supercb[Qtde],supercb[Item],tab_higiene[[#This Row],[Item]],supercb[Bairro],mercado13)</f>
        <v>0</v>
      </c>
      <c r="AX133" s="4">
        <f>SUMIFS(super1[Qtde],super1[Item],tab_higiene[[#This Row],[Item]],super1[Bairro],mercado14)+SUMIFS(supercb[Qtde],supercb[Item],tab_higiene[[#This Row],[Item]],supercb[Bairro],mercado14)</f>
        <v>0</v>
      </c>
      <c r="AY133" s="4">
        <f>SUMIFS(super1[Qtde],super1[Item],tab_higiene[[#This Row],[Item]],super1[Bairro],mercado15)+SUMIFS(supercb[Qtde],supercb[Item],tab_higiene[[#This Row],[Item]],supercb[Bairro],mercado15)</f>
        <v>0</v>
      </c>
      <c r="AZ133" s="4">
        <f>SUMIFS(super1[Qtde],super1[Item],tab_higiene[[#This Row],[Item]],super1[Bairro],mercado16)+SUMIFS(supercb[Qtde],supercb[Item],tab_higiene[[#This Row],[Item]],supercb[Bairro],mercado16)</f>
        <v>0</v>
      </c>
      <c r="BA133" s="4">
        <f>SUMIFS(super1[Qtde],super1[Item],tab_higiene[[#This Row],[Item]],super1[Bairro],mercado17)+SUMIFS(supercb[Qtde],supercb[Item],tab_higiene[[#This Row],[Item]],supercb[Bairro],mercado17)</f>
        <v>0</v>
      </c>
      <c r="BB133" s="4">
        <f>SUMIFS(super1[Qtde],super1[Item],tab_higiene[[#This Row],[Item]],super1[Bairro],mercado18)+SUMIFS(supercb[Qtde],supercb[Item],tab_higiene[[#This Row],[Item]],supercb[Bairro],mercado18)</f>
        <v>0</v>
      </c>
      <c r="BC133" s="4">
        <f>SUMIFS(super1[Qtde],super1[Item],tab_higiene[[#This Row],[Item]],super1[Bairro],extras)+SUMIFS(supercb[Qtde],supercb[Item],tab_higiene[[#This Row],[Item]],supercb[Bairro],extras)</f>
        <v>0</v>
      </c>
      <c r="BD133" s="4">
        <f t="shared" ref="BD133:BD186" si="50">SUM(AK133:BB133)</f>
        <v>0</v>
      </c>
      <c r="BE133" s="4">
        <f t="shared" ref="BE133:BE186" si="51">IFERROR(BD133*AJ133,0)</f>
        <v>0</v>
      </c>
      <c r="BF133" s="6">
        <f t="shared" ref="BF133:BF186" si="52">IFERROR(AI133*BD133,0)</f>
        <v>0</v>
      </c>
      <c r="BI133" s="1" t="str">
        <f>tab_alimentos[[#This Row],[Item]]</f>
        <v>Bolacha Salg Recheio (110g)</v>
      </c>
      <c r="BJ133" s="1">
        <f t="shared" si="45"/>
        <v>21</v>
      </c>
      <c r="BK133" s="1" t="str">
        <f t="shared" si="46"/>
        <v>Bolacha Salg Recheio</v>
      </c>
      <c r="BL133" s="1">
        <f>tab_alimentos[[#This Row],[kg]]</f>
        <v>0</v>
      </c>
      <c r="BN133" s="1">
        <f t="shared" si="36"/>
        <v>0</v>
      </c>
      <c r="BP133" s="1" t="str">
        <f>tab_higiene[[#This Row],[Item]]</f>
        <v>Hastes Flexíveis (75un)</v>
      </c>
      <c r="BQ133" s="1">
        <f t="shared" ref="BQ133:BQ142" si="53">IFERROR(FIND(" (",BP133),0)</f>
        <v>17</v>
      </c>
      <c r="BR133" s="1" t="str">
        <f t="shared" ref="BR133:BR142" si="54">IF(BQ133=0,BP133,LEFT(BP133,BQ133-1))</f>
        <v>Hastes Flexíveis</v>
      </c>
      <c r="BS133" s="1" t="str">
        <f>higiene[[#This Row],[Quantidade]]</f>
        <v>1 caixa com 75un</v>
      </c>
      <c r="BT133" s="1">
        <f>tab_higiene[[#This Row],[Qtde (tot)]]</f>
        <v>0</v>
      </c>
      <c r="BU133" s="1" t="e">
        <f t="shared" si="37"/>
        <v>#VALUE!</v>
      </c>
      <c r="BW133" s="1">
        <f t="shared" ref="BW133" si="55">SUMIF($BR$5:$BR$142,BV133,$BU$5:$BU$142)</f>
        <v>0</v>
      </c>
    </row>
    <row r="134" spans="9:75" x14ac:dyDescent="0.25">
      <c r="I134" s="19" t="str">
        <f>alimentos[[#This Row],[Item]]</f>
        <v>Bolacha Salg Recheio (140g)</v>
      </c>
      <c r="J134" s="4">
        <f>IFERROR(alimentos[[#This Row],[kg/embalagem]],0)</f>
        <v>0.14000000000000001</v>
      </c>
      <c r="K134" s="4">
        <f>IFERROR(alimentos[[#This Row],[Preço]],0)</f>
        <v>4.49</v>
      </c>
      <c r="L134" s="4">
        <f>SUMIFS(super1[Qtde],super1[Item],tab_alimentos[[#This Row],[Item]],super1[Bairro],mercado1)+SUMIFS(supercb[Qtde],supercb[Item],tab_alimentos[[#This Row],[Item]],supercb[Bairro],mercado1)</f>
        <v>0</v>
      </c>
      <c r="M134" s="4">
        <f>SUMIFS(super1[Qtde],super1[Item],tab_alimentos[[#This Row],[Item]],super1[Bairro],mercado2)+SUMIFS(supercb[Qtde],supercb[Item],tab_alimentos[[#This Row],[Item]],supercb[Bairro],mercado2)</f>
        <v>0</v>
      </c>
      <c r="N134" s="4">
        <f>SUMIFS(super1[Qtde],super1[Item],tab_alimentos[[#This Row],[Item]],super1[Bairro],mercado3)+SUMIFS(supercb[Qtde],supercb[Item],tab_alimentos[[#This Row],[Item]],supercb[Bairro],mercado3)</f>
        <v>0</v>
      </c>
      <c r="O134" s="4">
        <f>SUMIFS(super1[Qtde],super1[Item],tab_alimentos[[#This Row],[Item]],super1[Bairro],mercado4)+SUMIFS(supercb[Qtde],supercb[Item],tab_alimentos[[#This Row],[Item]],supercb[Bairro],mercado4)</f>
        <v>0</v>
      </c>
      <c r="P134" s="4">
        <f>SUMIFS(super1[Qtde],super1[Item],tab_alimentos[[#This Row],[Item]],super1[Bairro],mercado5)+SUMIFS(supercb[Qtde],supercb[Item],tab_alimentos[[#This Row],[Item]],supercb[Bairro],mercado5)</f>
        <v>0</v>
      </c>
      <c r="Q134" s="4">
        <f>SUMIFS(super1[Qtde],super1[Item],tab_alimentos[[#This Row],[Item]],super1[Bairro],mercado6)+SUMIFS(supercb[Qtde],supercb[Item],tab_alimentos[[#This Row],[Item]],supercb[Bairro],mercado6)</f>
        <v>0</v>
      </c>
      <c r="R134" s="4">
        <f>SUMIFS(super1[Qtde],super1[Item],tab_alimentos[[#This Row],[Item]],super1[Bairro],mercado7)+SUMIFS(supercb[Qtde],supercb[Item],tab_alimentos[[#This Row],[Item]],supercb[Bairro],mercado7)</f>
        <v>0</v>
      </c>
      <c r="S134" s="4">
        <f>SUMIFS(super1[Qtde],super1[Item],tab_alimentos[[#This Row],[Item]],super1[Bairro],mercado8)+SUMIFS(supercb[Qtde],supercb[Item],tab_alimentos[[#This Row],[Item]],supercb[Bairro],mercado8)</f>
        <v>0</v>
      </c>
      <c r="T134" s="4">
        <f>SUMIFS(super1[Qtde],super1[Item],tab_alimentos[[#This Row],[Item]],super1[Bairro],mercado9)+SUMIFS(supercb[Qtde],supercb[Item],tab_alimentos[[#This Row],[Item]],supercb[Bairro],mercado9)</f>
        <v>0</v>
      </c>
      <c r="U134" s="4">
        <f>SUMIFS(super1[Qtde],super1[Item],tab_alimentos[[#This Row],[Item]],super1[Bairro],mercado10)+SUMIFS(supercb[Qtde],supercb[Item],tab_alimentos[[#This Row],[Item]],supercb[Bairro],mercado10)</f>
        <v>0</v>
      </c>
      <c r="V134" s="4">
        <f>SUMIFS(super1[Qtde],super1[Item],tab_alimentos[[#This Row],[Item]],super1[Bairro],mercado11)+SUMIFS(supercb[Qtde],supercb[Item],tab_alimentos[[#This Row],[Item]],supercb[Bairro],mercado11)</f>
        <v>0</v>
      </c>
      <c r="W134" s="4">
        <f>SUMIFS(super1[Qtde],super1[Item],tab_alimentos[[#This Row],[Item]],super1[Bairro],mercado12)+SUMIFS(supercb[Qtde],supercb[Item],tab_alimentos[[#This Row],[Item]],supercb[Bairro],mercado12)</f>
        <v>0</v>
      </c>
      <c r="X134" s="4">
        <f>SUMIFS(super1[Qtde],super1[Item],tab_alimentos[[#This Row],[Item]],super1[Bairro],mercado13)+SUMIFS(supercb[Qtde],supercb[Item],tab_alimentos[[#This Row],[Item]],supercb[Bairro],mercado13)</f>
        <v>0</v>
      </c>
      <c r="Y134" s="4">
        <f>SUMIFS(super1[Qtde],super1[Item],tab_alimentos[[#This Row],[Item]],super1[Bairro],mercado14)+SUMIFS(supercb[Qtde],supercb[Item],tab_alimentos[[#This Row],[Item]],supercb[Bairro],mercado14)</f>
        <v>0</v>
      </c>
      <c r="Z134" s="4">
        <f>SUMIFS(super1[Qtde],super1[Item],tab_alimentos[[#This Row],[Item]],super1[Bairro],mercado15)+SUMIFS(supercb[Qtde],supercb[Item],tab_alimentos[[#This Row],[Item]],supercb[Bairro],mercado15)</f>
        <v>0</v>
      </c>
      <c r="AA134" s="4">
        <f>SUMIFS(super1[Qtde],super1[Item],tab_alimentos[[#This Row],[Item]],super1[Bairro],mercado16)+SUMIFS(supercb[Qtde],supercb[Item],tab_alimentos[[#This Row],[Item]],supercb[Bairro],mercado16)</f>
        <v>0</v>
      </c>
      <c r="AB134" s="4">
        <f>SUMIFS(super1[Qtde],super1[Item],tab_alimentos[[#This Row],[Item]],super1[Bairro],mercado17)+SUMIFS(supercb[Qtde],supercb[Item],tab_alimentos[[#This Row],[Item]],supercb[Bairro],mercado17)</f>
        <v>0</v>
      </c>
      <c r="AC134" s="4">
        <f>SUMIFS(super1[Qtde],super1[Item],tab_alimentos[[#This Row],[Item]],super1[Bairro],mercado18)+SUMIFS(supercb[Qtde],supercb[Item],tab_alimentos[[#This Row],[Item]],supercb[Bairro],mercado18)</f>
        <v>0</v>
      </c>
      <c r="AD134" s="4">
        <f>SUMIFS(super1[Qtde],super1[Item],tab_alimentos[[#This Row],[Item]],super1[Bairro],extras)+SUMIFS(supercb[Qtde],supercb[Item],tab_alimentos[[#This Row],[Item]],supercb[Bairro],extras)</f>
        <v>0</v>
      </c>
      <c r="AE134" s="4">
        <f t="shared" si="47"/>
        <v>0</v>
      </c>
      <c r="AF134" s="4">
        <f t="shared" si="48"/>
        <v>0</v>
      </c>
      <c r="AG134" s="6">
        <f t="shared" si="49"/>
        <v>0</v>
      </c>
      <c r="AH134" s="19" t="str">
        <f>higiene[[#This Row],[Item]]</f>
        <v>Hidratante (150mL)</v>
      </c>
      <c r="AI134" s="4">
        <f>IFERROR(higiene[[#This Row],[Kg equivalente]],0)</f>
        <v>0</v>
      </c>
      <c r="AJ134" s="4">
        <f>IFERROR(higiene[[#This Row],[Preço por produto]],0)</f>
        <v>21.99</v>
      </c>
      <c r="AK134" s="4">
        <f>SUMIFS(super1[Qtde],super1[Item],tab_higiene[[#This Row],[Item]],super1[Bairro],mercado1)+SUMIFS(supercb[Qtde],supercb[Item],tab_higiene[[#This Row],[Item]],supercb[Bairro],mercado1)</f>
        <v>0</v>
      </c>
      <c r="AL134" s="4">
        <f>SUMIFS(super1[Qtde],super1[Item],tab_higiene[[#This Row],[Item]],super1[Bairro],mercado2)+SUMIFS(supercb[Qtde],supercb[Item],tab_higiene[[#This Row],[Item]],supercb[Bairro],mercado2)</f>
        <v>0</v>
      </c>
      <c r="AM134" s="4">
        <f>SUMIFS(super1[Qtde],super1[Item],tab_higiene[[#This Row],[Item]],super1[Bairro],mercado3)+SUMIFS(supercb[Qtde],supercb[Item],tab_higiene[[#This Row],[Item]],supercb[Bairro],mercado3)</f>
        <v>0</v>
      </c>
      <c r="AN134" s="4">
        <f>SUMIFS(super1[Qtde],super1[Item],tab_higiene[[#This Row],[Item]],super1[Bairro],mercado4)+SUMIFS(supercb[Qtde],supercb[Item],tab_higiene[[#This Row],[Item]],supercb[Bairro],mercado4)</f>
        <v>0</v>
      </c>
      <c r="AO134" s="4">
        <f>SUMIFS(super1[Qtde],super1[Item],tab_higiene[[#This Row],[Item]],super1[Bairro],mercado5)+SUMIFS(supercb[Qtde],supercb[Item],tab_higiene[[#This Row],[Item]],supercb[Bairro],mercado5)</f>
        <v>0</v>
      </c>
      <c r="AP134" s="4">
        <f>SUMIFS(super1[Qtde],super1[Item],tab_higiene[[#This Row],[Item]],super1[Bairro],mercado6)+SUMIFS(supercb[Qtde],supercb[Item],tab_higiene[[#This Row],[Item]],supercb[Bairro],mercado6)</f>
        <v>0</v>
      </c>
      <c r="AQ134" s="4">
        <f>SUMIFS(super1[Qtde],super1[Item],tab_higiene[[#This Row],[Item]],super1[Bairro],mercado7)+SUMIFS(supercb[Qtde],supercb[Item],tab_higiene[[#This Row],[Item]],supercb[Bairro],mercado7)</f>
        <v>0</v>
      </c>
      <c r="AR134" s="4">
        <f>SUMIFS(super1[Qtde],super1[Item],tab_higiene[[#This Row],[Item]],super1[Bairro],mercado8)+SUMIFS(supercb[Qtde],supercb[Item],tab_higiene[[#This Row],[Item]],supercb[Bairro],mercado8)</f>
        <v>0</v>
      </c>
      <c r="AS134" s="4">
        <f>SUMIFS(super1[Qtde],super1[Item],tab_higiene[[#This Row],[Item]],super1[Bairro],mercado9)+SUMIFS(supercb[Qtde],supercb[Item],tab_higiene[[#This Row],[Item]],supercb[Bairro],mercado9)</f>
        <v>0</v>
      </c>
      <c r="AT134" s="4">
        <f>SUMIFS(super1[Qtde],super1[Item],tab_higiene[[#This Row],[Item]],super1[Bairro],mercado10)+SUMIFS(supercb[Qtde],supercb[Item],tab_higiene[[#This Row],[Item]],supercb[Bairro],mercado10)</f>
        <v>0</v>
      </c>
      <c r="AU134" s="4">
        <f>SUMIFS(super1[Qtde],super1[Item],tab_higiene[[#This Row],[Item]],super1[Bairro],mercado11)+SUMIFS(supercb[Qtde],supercb[Item],tab_higiene[[#This Row],[Item]],supercb[Bairro],mercado11)</f>
        <v>0</v>
      </c>
      <c r="AV134" s="4">
        <f>SUMIFS(super1[Qtde],super1[Item],tab_higiene[[#This Row],[Item]],super1[Bairro],mercado12)+SUMIFS(supercb[Qtde],supercb[Item],tab_higiene[[#This Row],[Item]],supercb[Bairro],mercado12)</f>
        <v>0</v>
      </c>
      <c r="AW134" s="4">
        <f>SUMIFS(super1[Qtde],super1[Item],tab_higiene[[#This Row],[Item]],super1[Bairro],mercado13)+SUMIFS(supercb[Qtde],supercb[Item],tab_higiene[[#This Row],[Item]],supercb[Bairro],mercado13)</f>
        <v>0</v>
      </c>
      <c r="AX134" s="4">
        <f>SUMIFS(super1[Qtde],super1[Item],tab_higiene[[#This Row],[Item]],super1[Bairro],mercado14)+SUMIFS(supercb[Qtde],supercb[Item],tab_higiene[[#This Row],[Item]],supercb[Bairro],mercado14)</f>
        <v>0</v>
      </c>
      <c r="AY134" s="4">
        <f>SUMIFS(super1[Qtde],super1[Item],tab_higiene[[#This Row],[Item]],super1[Bairro],mercado15)+SUMIFS(supercb[Qtde],supercb[Item],tab_higiene[[#This Row],[Item]],supercb[Bairro],mercado15)</f>
        <v>0</v>
      </c>
      <c r="AZ134" s="4">
        <f>SUMIFS(super1[Qtde],super1[Item],tab_higiene[[#This Row],[Item]],super1[Bairro],mercado16)+SUMIFS(supercb[Qtde],supercb[Item],tab_higiene[[#This Row],[Item]],supercb[Bairro],mercado16)</f>
        <v>0</v>
      </c>
      <c r="BA134" s="4">
        <f>SUMIFS(super1[Qtde],super1[Item],tab_higiene[[#This Row],[Item]],super1[Bairro],mercado17)+SUMIFS(supercb[Qtde],supercb[Item],tab_higiene[[#This Row],[Item]],supercb[Bairro],mercado17)</f>
        <v>0</v>
      </c>
      <c r="BB134" s="4">
        <f>SUMIFS(super1[Qtde],super1[Item],tab_higiene[[#This Row],[Item]],super1[Bairro],mercado18)+SUMIFS(supercb[Qtde],supercb[Item],tab_higiene[[#This Row],[Item]],supercb[Bairro],mercado18)</f>
        <v>0</v>
      </c>
      <c r="BC134" s="4">
        <f>SUMIFS(super1[Qtde],super1[Item],tab_higiene[[#This Row],[Item]],super1[Bairro],extras)+SUMIFS(supercb[Qtde],supercb[Item],tab_higiene[[#This Row],[Item]],supercb[Bairro],extras)</f>
        <v>0</v>
      </c>
      <c r="BD134" s="4">
        <f t="shared" si="50"/>
        <v>0</v>
      </c>
      <c r="BE134" s="4">
        <f t="shared" si="51"/>
        <v>0</v>
      </c>
      <c r="BF134" s="6">
        <f t="shared" si="52"/>
        <v>0</v>
      </c>
      <c r="BI134" s="1" t="str">
        <f>tab_alimentos[[#This Row],[Item]]</f>
        <v>Bolacha Salg Recheio (140g)</v>
      </c>
      <c r="BJ134" s="1">
        <f t="shared" si="45"/>
        <v>21</v>
      </c>
      <c r="BK134" s="1" t="str">
        <f t="shared" si="46"/>
        <v>Bolacha Salg Recheio</v>
      </c>
      <c r="BL134" s="1">
        <f>tab_alimentos[[#This Row],[kg]]</f>
        <v>0</v>
      </c>
      <c r="BN134" s="1">
        <f t="shared" ref="BN134:BN141" si="56">SUMIF($BJ$5:$BJ$158,BM134,$BK$5:$BK$158)</f>
        <v>0</v>
      </c>
      <c r="BP134" s="1" t="str">
        <f>tab_higiene[[#This Row],[Item]]</f>
        <v>Hidratante (150mL)</v>
      </c>
      <c r="BQ134" s="1">
        <f t="shared" si="53"/>
        <v>11</v>
      </c>
      <c r="BR134" s="1" t="str">
        <f t="shared" si="54"/>
        <v>Hidratante</v>
      </c>
      <c r="BS134" s="1">
        <f>higiene[[#This Row],[Quantidade]]</f>
        <v>0.15</v>
      </c>
      <c r="BT134" s="1">
        <f>tab_higiene[[#This Row],[Qtde (tot)]]</f>
        <v>0</v>
      </c>
      <c r="BU134" s="1">
        <f t="shared" ref="BU134:BU142" si="57">BS134*BT134</f>
        <v>0</v>
      </c>
      <c r="BW134" s="1">
        <f t="shared" ref="BW134:BW142" si="58">SUMIF($BR$5:$BR$142,BV134,$BU$5:$BU$142)</f>
        <v>0</v>
      </c>
    </row>
    <row r="135" spans="9:75" x14ac:dyDescent="0.25">
      <c r="I135" s="19" t="str">
        <f>alimentos[[#This Row],[Item]]</f>
        <v>Bolacha Salg Recheio (145g)</v>
      </c>
      <c r="J135" s="4">
        <f>IFERROR(alimentos[[#This Row],[kg/embalagem]],0)</f>
        <v>0.14499999999999999</v>
      </c>
      <c r="K135" s="4">
        <f>IFERROR(alimentos[[#This Row],[Preço]],0)</f>
        <v>4.49</v>
      </c>
      <c r="L135" s="4">
        <f>SUMIFS(super1[Qtde],super1[Item],tab_alimentos[[#This Row],[Item]],super1[Bairro],mercado1)+SUMIFS(supercb[Qtde],supercb[Item],tab_alimentos[[#This Row],[Item]],supercb[Bairro],mercado1)</f>
        <v>0</v>
      </c>
      <c r="M135" s="4">
        <f>SUMIFS(super1[Qtde],super1[Item],tab_alimentos[[#This Row],[Item]],super1[Bairro],mercado2)+SUMIFS(supercb[Qtde],supercb[Item],tab_alimentos[[#This Row],[Item]],supercb[Bairro],mercado2)</f>
        <v>0</v>
      </c>
      <c r="N135" s="4">
        <f>SUMIFS(super1[Qtde],super1[Item],tab_alimentos[[#This Row],[Item]],super1[Bairro],mercado3)+SUMIFS(supercb[Qtde],supercb[Item],tab_alimentos[[#This Row],[Item]],supercb[Bairro],mercado3)</f>
        <v>0</v>
      </c>
      <c r="O135" s="4">
        <f>SUMIFS(super1[Qtde],super1[Item],tab_alimentos[[#This Row],[Item]],super1[Bairro],mercado4)+SUMIFS(supercb[Qtde],supercb[Item],tab_alimentos[[#This Row],[Item]],supercb[Bairro],mercado4)</f>
        <v>0</v>
      </c>
      <c r="P135" s="4">
        <f>SUMIFS(super1[Qtde],super1[Item],tab_alimentos[[#This Row],[Item]],super1[Bairro],mercado5)+SUMIFS(supercb[Qtde],supercb[Item],tab_alimentos[[#This Row],[Item]],supercb[Bairro],mercado5)</f>
        <v>0</v>
      </c>
      <c r="Q135" s="4">
        <f>SUMIFS(super1[Qtde],super1[Item],tab_alimentos[[#This Row],[Item]],super1[Bairro],mercado6)+SUMIFS(supercb[Qtde],supercb[Item],tab_alimentos[[#This Row],[Item]],supercb[Bairro],mercado6)</f>
        <v>0</v>
      </c>
      <c r="R135" s="4">
        <f>SUMIFS(super1[Qtde],super1[Item],tab_alimentos[[#This Row],[Item]],super1[Bairro],mercado7)+SUMIFS(supercb[Qtde],supercb[Item],tab_alimentos[[#This Row],[Item]],supercb[Bairro],mercado7)</f>
        <v>0</v>
      </c>
      <c r="S135" s="4">
        <f>SUMIFS(super1[Qtde],super1[Item],tab_alimentos[[#This Row],[Item]],super1[Bairro],mercado8)+SUMIFS(supercb[Qtde],supercb[Item],tab_alimentos[[#This Row],[Item]],supercb[Bairro],mercado8)</f>
        <v>0</v>
      </c>
      <c r="T135" s="4">
        <f>SUMIFS(super1[Qtde],super1[Item],tab_alimentos[[#This Row],[Item]],super1[Bairro],mercado9)+SUMIFS(supercb[Qtde],supercb[Item],tab_alimentos[[#This Row],[Item]],supercb[Bairro],mercado9)</f>
        <v>0</v>
      </c>
      <c r="U135" s="4">
        <f>SUMIFS(super1[Qtde],super1[Item],tab_alimentos[[#This Row],[Item]],super1[Bairro],mercado10)+SUMIFS(supercb[Qtde],supercb[Item],tab_alimentos[[#This Row],[Item]],supercb[Bairro],mercado10)</f>
        <v>0</v>
      </c>
      <c r="V135" s="4">
        <f>SUMIFS(super1[Qtde],super1[Item],tab_alimentos[[#This Row],[Item]],super1[Bairro],mercado11)+SUMIFS(supercb[Qtde],supercb[Item],tab_alimentos[[#This Row],[Item]],supercb[Bairro],mercado11)</f>
        <v>0</v>
      </c>
      <c r="W135" s="4">
        <f>SUMIFS(super1[Qtde],super1[Item],tab_alimentos[[#This Row],[Item]],super1[Bairro],mercado12)+SUMIFS(supercb[Qtde],supercb[Item],tab_alimentos[[#This Row],[Item]],supercb[Bairro],mercado12)</f>
        <v>0</v>
      </c>
      <c r="X135" s="4">
        <f>SUMIFS(super1[Qtde],super1[Item],tab_alimentos[[#This Row],[Item]],super1[Bairro],mercado13)+SUMIFS(supercb[Qtde],supercb[Item],tab_alimentos[[#This Row],[Item]],supercb[Bairro],mercado13)</f>
        <v>0</v>
      </c>
      <c r="Y135" s="4">
        <f>SUMIFS(super1[Qtde],super1[Item],tab_alimentos[[#This Row],[Item]],super1[Bairro],mercado14)+SUMIFS(supercb[Qtde],supercb[Item],tab_alimentos[[#This Row],[Item]],supercb[Bairro],mercado14)</f>
        <v>0</v>
      </c>
      <c r="Z135" s="4">
        <f>SUMIFS(super1[Qtde],super1[Item],tab_alimentos[[#This Row],[Item]],super1[Bairro],mercado15)+SUMIFS(supercb[Qtde],supercb[Item],tab_alimentos[[#This Row],[Item]],supercb[Bairro],mercado15)</f>
        <v>0</v>
      </c>
      <c r="AA135" s="4">
        <f>SUMIFS(super1[Qtde],super1[Item],tab_alimentos[[#This Row],[Item]],super1[Bairro],mercado16)+SUMIFS(supercb[Qtde],supercb[Item],tab_alimentos[[#This Row],[Item]],supercb[Bairro],mercado16)</f>
        <v>0</v>
      </c>
      <c r="AB135" s="4">
        <f>SUMIFS(super1[Qtde],super1[Item],tab_alimentos[[#This Row],[Item]],super1[Bairro],mercado17)+SUMIFS(supercb[Qtde],supercb[Item],tab_alimentos[[#This Row],[Item]],supercb[Bairro],mercado17)</f>
        <v>0</v>
      </c>
      <c r="AC135" s="4">
        <f>SUMIFS(super1[Qtde],super1[Item],tab_alimentos[[#This Row],[Item]],super1[Bairro],mercado18)+SUMIFS(supercb[Qtde],supercb[Item],tab_alimentos[[#This Row],[Item]],supercb[Bairro],mercado18)</f>
        <v>0</v>
      </c>
      <c r="AD135" s="4">
        <f>SUMIFS(super1[Qtde],super1[Item],tab_alimentos[[#This Row],[Item]],super1[Bairro],extras)+SUMIFS(supercb[Qtde],supercb[Item],tab_alimentos[[#This Row],[Item]],supercb[Bairro],extras)</f>
        <v>0</v>
      </c>
      <c r="AE135" s="4">
        <f t="shared" si="47"/>
        <v>0</v>
      </c>
      <c r="AF135" s="4">
        <f t="shared" si="48"/>
        <v>0</v>
      </c>
      <c r="AG135" s="6">
        <f t="shared" si="49"/>
        <v>0</v>
      </c>
      <c r="AH135" s="19" t="str">
        <f>higiene[[#This Row],[Item]]</f>
        <v>Hidratante (200mL)</v>
      </c>
      <c r="AI135" s="4">
        <f>IFERROR(higiene[[#This Row],[Kg equivalente]],0)</f>
        <v>0</v>
      </c>
      <c r="AJ135" s="4">
        <f>IFERROR(higiene[[#This Row],[Preço por produto]],0)</f>
        <v>13.99</v>
      </c>
      <c r="AK135" s="4">
        <f>SUMIFS(super1[Qtde],super1[Item],tab_higiene[[#This Row],[Item]],super1[Bairro],mercado1)+SUMIFS(supercb[Qtde],supercb[Item],tab_higiene[[#This Row],[Item]],supercb[Bairro],mercado1)</f>
        <v>0</v>
      </c>
      <c r="AL135" s="4">
        <f>SUMIFS(super1[Qtde],super1[Item],tab_higiene[[#This Row],[Item]],super1[Bairro],mercado2)+SUMIFS(supercb[Qtde],supercb[Item],tab_higiene[[#This Row],[Item]],supercb[Bairro],mercado2)</f>
        <v>0</v>
      </c>
      <c r="AM135" s="4">
        <f>SUMIFS(super1[Qtde],super1[Item],tab_higiene[[#This Row],[Item]],super1[Bairro],mercado3)+SUMIFS(supercb[Qtde],supercb[Item],tab_higiene[[#This Row],[Item]],supercb[Bairro],mercado3)</f>
        <v>0</v>
      </c>
      <c r="AN135" s="4">
        <f>SUMIFS(super1[Qtde],super1[Item],tab_higiene[[#This Row],[Item]],super1[Bairro],mercado4)+SUMIFS(supercb[Qtde],supercb[Item],tab_higiene[[#This Row],[Item]],supercb[Bairro],mercado4)</f>
        <v>0</v>
      </c>
      <c r="AO135" s="4">
        <f>SUMIFS(super1[Qtde],super1[Item],tab_higiene[[#This Row],[Item]],super1[Bairro],mercado5)+SUMIFS(supercb[Qtde],supercb[Item],tab_higiene[[#This Row],[Item]],supercb[Bairro],mercado5)</f>
        <v>0</v>
      </c>
      <c r="AP135" s="4">
        <f>SUMIFS(super1[Qtde],super1[Item],tab_higiene[[#This Row],[Item]],super1[Bairro],mercado6)+SUMIFS(supercb[Qtde],supercb[Item],tab_higiene[[#This Row],[Item]],supercb[Bairro],mercado6)</f>
        <v>0</v>
      </c>
      <c r="AQ135" s="4">
        <f>SUMIFS(super1[Qtde],super1[Item],tab_higiene[[#This Row],[Item]],super1[Bairro],mercado7)+SUMIFS(supercb[Qtde],supercb[Item],tab_higiene[[#This Row],[Item]],supercb[Bairro],mercado7)</f>
        <v>0</v>
      </c>
      <c r="AR135" s="4">
        <f>SUMIFS(super1[Qtde],super1[Item],tab_higiene[[#This Row],[Item]],super1[Bairro],mercado8)+SUMIFS(supercb[Qtde],supercb[Item],tab_higiene[[#This Row],[Item]],supercb[Bairro],mercado8)</f>
        <v>0</v>
      </c>
      <c r="AS135" s="4">
        <f>SUMIFS(super1[Qtde],super1[Item],tab_higiene[[#This Row],[Item]],super1[Bairro],mercado9)+SUMIFS(supercb[Qtde],supercb[Item],tab_higiene[[#This Row],[Item]],supercb[Bairro],mercado9)</f>
        <v>0</v>
      </c>
      <c r="AT135" s="4">
        <f>SUMIFS(super1[Qtde],super1[Item],tab_higiene[[#This Row],[Item]],super1[Bairro],mercado10)+SUMIFS(supercb[Qtde],supercb[Item],tab_higiene[[#This Row],[Item]],supercb[Bairro],mercado10)</f>
        <v>0</v>
      </c>
      <c r="AU135" s="4">
        <f>SUMIFS(super1[Qtde],super1[Item],tab_higiene[[#This Row],[Item]],super1[Bairro],mercado11)+SUMIFS(supercb[Qtde],supercb[Item],tab_higiene[[#This Row],[Item]],supercb[Bairro],mercado11)</f>
        <v>0</v>
      </c>
      <c r="AV135" s="4">
        <f>SUMIFS(super1[Qtde],super1[Item],tab_higiene[[#This Row],[Item]],super1[Bairro],mercado12)+SUMIFS(supercb[Qtde],supercb[Item],tab_higiene[[#This Row],[Item]],supercb[Bairro],mercado12)</f>
        <v>0</v>
      </c>
      <c r="AW135" s="4">
        <f>SUMIFS(super1[Qtde],super1[Item],tab_higiene[[#This Row],[Item]],super1[Bairro],mercado13)+SUMIFS(supercb[Qtde],supercb[Item],tab_higiene[[#This Row],[Item]],supercb[Bairro],mercado13)</f>
        <v>0</v>
      </c>
      <c r="AX135" s="4">
        <f>SUMIFS(super1[Qtde],super1[Item],tab_higiene[[#This Row],[Item]],super1[Bairro],mercado14)+SUMIFS(supercb[Qtde],supercb[Item],tab_higiene[[#This Row],[Item]],supercb[Bairro],mercado14)</f>
        <v>0</v>
      </c>
      <c r="AY135" s="4">
        <f>SUMIFS(super1[Qtde],super1[Item],tab_higiene[[#This Row],[Item]],super1[Bairro],mercado15)+SUMIFS(supercb[Qtde],supercb[Item],tab_higiene[[#This Row],[Item]],supercb[Bairro],mercado15)</f>
        <v>0</v>
      </c>
      <c r="AZ135" s="4">
        <f>SUMIFS(super1[Qtde],super1[Item],tab_higiene[[#This Row],[Item]],super1[Bairro],mercado16)+SUMIFS(supercb[Qtde],supercb[Item],tab_higiene[[#This Row],[Item]],supercb[Bairro],mercado16)</f>
        <v>0</v>
      </c>
      <c r="BA135" s="4">
        <f>SUMIFS(super1[Qtde],super1[Item],tab_higiene[[#This Row],[Item]],super1[Bairro],mercado17)+SUMIFS(supercb[Qtde],supercb[Item],tab_higiene[[#This Row],[Item]],supercb[Bairro],mercado17)</f>
        <v>0</v>
      </c>
      <c r="BB135" s="4">
        <f>SUMIFS(super1[Qtde],super1[Item],tab_higiene[[#This Row],[Item]],super1[Bairro],mercado18)+SUMIFS(supercb[Qtde],supercb[Item],tab_higiene[[#This Row],[Item]],supercb[Bairro],mercado18)</f>
        <v>0</v>
      </c>
      <c r="BC135" s="4">
        <f>SUMIFS(super1[Qtde],super1[Item],tab_higiene[[#This Row],[Item]],super1[Bairro],extras)+SUMIFS(supercb[Qtde],supercb[Item],tab_higiene[[#This Row],[Item]],supercb[Bairro],extras)</f>
        <v>0</v>
      </c>
      <c r="BD135" s="4">
        <f t="shared" si="50"/>
        <v>0</v>
      </c>
      <c r="BE135" s="4">
        <f t="shared" si="51"/>
        <v>0</v>
      </c>
      <c r="BF135" s="6">
        <f t="shared" si="52"/>
        <v>0</v>
      </c>
      <c r="BI135" s="1" t="str">
        <f>tab_alimentos[[#This Row],[Item]]</f>
        <v>Bolacha Salg Recheio (145g)</v>
      </c>
      <c r="BJ135" s="1">
        <f t="shared" si="45"/>
        <v>21</v>
      </c>
      <c r="BK135" s="1" t="str">
        <f t="shared" si="46"/>
        <v>Bolacha Salg Recheio</v>
      </c>
      <c r="BL135" s="1">
        <f>tab_alimentos[[#This Row],[kg]]</f>
        <v>0</v>
      </c>
      <c r="BN135" s="1">
        <f t="shared" si="56"/>
        <v>0</v>
      </c>
      <c r="BP135" s="1" t="str">
        <f>tab_higiene[[#This Row],[Item]]</f>
        <v>Hidratante (200mL)</v>
      </c>
      <c r="BQ135" s="1">
        <f t="shared" si="53"/>
        <v>11</v>
      </c>
      <c r="BR135" s="1" t="str">
        <f t="shared" si="54"/>
        <v>Hidratante</v>
      </c>
      <c r="BS135" s="1">
        <f>higiene[[#This Row],[Quantidade]]</f>
        <v>0.2</v>
      </c>
      <c r="BT135" s="1">
        <f>tab_higiene[[#This Row],[Qtde (tot)]]</f>
        <v>0</v>
      </c>
      <c r="BU135" s="1">
        <f t="shared" si="57"/>
        <v>0</v>
      </c>
      <c r="BW135" s="1">
        <f t="shared" si="58"/>
        <v>0</v>
      </c>
    </row>
    <row r="136" spans="9:75" x14ac:dyDescent="0.25">
      <c r="I136" s="19" t="str">
        <f>alimentos[[#This Row],[Item]]</f>
        <v>Bolacha Salg Recheio (80g)</v>
      </c>
      <c r="J136" s="4">
        <f>IFERROR(alimentos[[#This Row],[kg/embalagem]],0)</f>
        <v>0.08</v>
      </c>
      <c r="K136" s="4">
        <f>IFERROR(alimentos[[#This Row],[Preço]],0)</f>
        <v>4.49</v>
      </c>
      <c r="L136" s="4">
        <f>SUMIFS(super1[Qtde],super1[Item],tab_alimentos[[#This Row],[Item]],super1[Bairro],mercado1)+SUMIFS(supercb[Qtde],supercb[Item],tab_alimentos[[#This Row],[Item]],supercb[Bairro],mercado1)</f>
        <v>0</v>
      </c>
      <c r="M136" s="4">
        <f>SUMIFS(super1[Qtde],super1[Item],tab_alimentos[[#This Row],[Item]],super1[Bairro],mercado2)+SUMIFS(supercb[Qtde],supercb[Item],tab_alimentos[[#This Row],[Item]],supercb[Bairro],mercado2)</f>
        <v>0</v>
      </c>
      <c r="N136" s="4">
        <f>SUMIFS(super1[Qtde],super1[Item],tab_alimentos[[#This Row],[Item]],super1[Bairro],mercado3)+SUMIFS(supercb[Qtde],supercb[Item],tab_alimentos[[#This Row],[Item]],supercb[Bairro],mercado3)</f>
        <v>0</v>
      </c>
      <c r="O136" s="4">
        <f>SUMIFS(super1[Qtde],super1[Item],tab_alimentos[[#This Row],[Item]],super1[Bairro],mercado4)+SUMIFS(supercb[Qtde],supercb[Item],tab_alimentos[[#This Row],[Item]],supercb[Bairro],mercado4)</f>
        <v>0</v>
      </c>
      <c r="P136" s="4">
        <f>SUMIFS(super1[Qtde],super1[Item],tab_alimentos[[#This Row],[Item]],super1[Bairro],mercado5)+SUMIFS(supercb[Qtde],supercb[Item],tab_alimentos[[#This Row],[Item]],supercb[Bairro],mercado5)</f>
        <v>0</v>
      </c>
      <c r="Q136" s="4">
        <f>SUMIFS(super1[Qtde],super1[Item],tab_alimentos[[#This Row],[Item]],super1[Bairro],mercado6)+SUMIFS(supercb[Qtde],supercb[Item],tab_alimentos[[#This Row],[Item]],supercb[Bairro],mercado6)</f>
        <v>0</v>
      </c>
      <c r="R136" s="4">
        <f>SUMIFS(super1[Qtde],super1[Item],tab_alimentos[[#This Row],[Item]],super1[Bairro],mercado7)+SUMIFS(supercb[Qtde],supercb[Item],tab_alimentos[[#This Row],[Item]],supercb[Bairro],mercado7)</f>
        <v>0</v>
      </c>
      <c r="S136" s="4">
        <f>SUMIFS(super1[Qtde],super1[Item],tab_alimentos[[#This Row],[Item]],super1[Bairro],mercado8)+SUMIFS(supercb[Qtde],supercb[Item],tab_alimentos[[#This Row],[Item]],supercb[Bairro],mercado8)</f>
        <v>0</v>
      </c>
      <c r="T136" s="4">
        <f>SUMIFS(super1[Qtde],super1[Item],tab_alimentos[[#This Row],[Item]],super1[Bairro],mercado9)+SUMIFS(supercb[Qtde],supercb[Item],tab_alimentos[[#This Row],[Item]],supercb[Bairro],mercado9)</f>
        <v>0</v>
      </c>
      <c r="U136" s="4">
        <f>SUMIFS(super1[Qtde],super1[Item],tab_alimentos[[#This Row],[Item]],super1[Bairro],mercado10)+SUMIFS(supercb[Qtde],supercb[Item],tab_alimentos[[#This Row],[Item]],supercb[Bairro],mercado10)</f>
        <v>0</v>
      </c>
      <c r="V136" s="4">
        <f>SUMIFS(super1[Qtde],super1[Item],tab_alimentos[[#This Row],[Item]],super1[Bairro],mercado11)+SUMIFS(supercb[Qtde],supercb[Item],tab_alimentos[[#This Row],[Item]],supercb[Bairro],mercado11)</f>
        <v>0</v>
      </c>
      <c r="W136" s="4">
        <f>SUMIFS(super1[Qtde],super1[Item],tab_alimentos[[#This Row],[Item]],super1[Bairro],mercado12)+SUMIFS(supercb[Qtde],supercb[Item],tab_alimentos[[#This Row],[Item]],supercb[Bairro],mercado12)</f>
        <v>0</v>
      </c>
      <c r="X136" s="4">
        <f>SUMIFS(super1[Qtde],super1[Item],tab_alimentos[[#This Row],[Item]],super1[Bairro],mercado13)+SUMIFS(supercb[Qtde],supercb[Item],tab_alimentos[[#This Row],[Item]],supercb[Bairro],mercado13)</f>
        <v>0</v>
      </c>
      <c r="Y136" s="4">
        <f>SUMIFS(super1[Qtde],super1[Item],tab_alimentos[[#This Row],[Item]],super1[Bairro],mercado14)+SUMIFS(supercb[Qtde],supercb[Item],tab_alimentos[[#This Row],[Item]],supercb[Bairro],mercado14)</f>
        <v>0</v>
      </c>
      <c r="Z136" s="4">
        <f>SUMIFS(super1[Qtde],super1[Item],tab_alimentos[[#This Row],[Item]],super1[Bairro],mercado15)+SUMIFS(supercb[Qtde],supercb[Item],tab_alimentos[[#This Row],[Item]],supercb[Bairro],mercado15)</f>
        <v>0</v>
      </c>
      <c r="AA136" s="4">
        <f>SUMIFS(super1[Qtde],super1[Item],tab_alimentos[[#This Row],[Item]],super1[Bairro],mercado16)+SUMIFS(supercb[Qtde],supercb[Item],tab_alimentos[[#This Row],[Item]],supercb[Bairro],mercado16)</f>
        <v>0</v>
      </c>
      <c r="AB136" s="4">
        <f>SUMIFS(super1[Qtde],super1[Item],tab_alimentos[[#This Row],[Item]],super1[Bairro],mercado17)+SUMIFS(supercb[Qtde],supercb[Item],tab_alimentos[[#This Row],[Item]],supercb[Bairro],mercado17)</f>
        <v>0</v>
      </c>
      <c r="AC136" s="4">
        <f>SUMIFS(super1[Qtde],super1[Item],tab_alimentos[[#This Row],[Item]],super1[Bairro],mercado18)+SUMIFS(supercb[Qtde],supercb[Item],tab_alimentos[[#This Row],[Item]],supercb[Bairro],mercado18)</f>
        <v>0</v>
      </c>
      <c r="AD136" s="4">
        <f>SUMIFS(super1[Qtde],super1[Item],tab_alimentos[[#This Row],[Item]],super1[Bairro],extras)+SUMIFS(supercb[Qtde],supercb[Item],tab_alimentos[[#This Row],[Item]],supercb[Bairro],extras)</f>
        <v>0</v>
      </c>
      <c r="AE136" s="4">
        <f t="shared" si="47"/>
        <v>0</v>
      </c>
      <c r="AF136" s="4">
        <f t="shared" si="48"/>
        <v>0</v>
      </c>
      <c r="AG136" s="6">
        <f t="shared" si="49"/>
        <v>0</v>
      </c>
      <c r="AH136" s="19" t="str">
        <f>higiene[[#This Row],[Item]]</f>
        <v>Hidratante (400mL)</v>
      </c>
      <c r="AI136" s="4">
        <f>IFERROR(higiene[[#This Row],[Kg equivalente]],0)</f>
        <v>0</v>
      </c>
      <c r="AJ136" s="4">
        <f>IFERROR(higiene[[#This Row],[Preço por produto]],0)</f>
        <v>12.9</v>
      </c>
      <c r="AK136" s="4">
        <f>SUMIFS(super1[Qtde],super1[Item],tab_higiene[[#This Row],[Item]],super1[Bairro],mercado1)+SUMIFS(supercb[Qtde],supercb[Item],tab_higiene[[#This Row],[Item]],supercb[Bairro],mercado1)</f>
        <v>0</v>
      </c>
      <c r="AL136" s="4">
        <f>SUMIFS(super1[Qtde],super1[Item],tab_higiene[[#This Row],[Item]],super1[Bairro],mercado2)+SUMIFS(supercb[Qtde],supercb[Item],tab_higiene[[#This Row],[Item]],supercb[Bairro],mercado2)</f>
        <v>0</v>
      </c>
      <c r="AM136" s="4">
        <f>SUMIFS(super1[Qtde],super1[Item],tab_higiene[[#This Row],[Item]],super1[Bairro],mercado3)+SUMIFS(supercb[Qtde],supercb[Item],tab_higiene[[#This Row],[Item]],supercb[Bairro],mercado3)</f>
        <v>0</v>
      </c>
      <c r="AN136" s="4">
        <f>SUMIFS(super1[Qtde],super1[Item],tab_higiene[[#This Row],[Item]],super1[Bairro],mercado4)+SUMIFS(supercb[Qtde],supercb[Item],tab_higiene[[#This Row],[Item]],supercb[Bairro],mercado4)</f>
        <v>0</v>
      </c>
      <c r="AO136" s="4">
        <f>SUMIFS(super1[Qtde],super1[Item],tab_higiene[[#This Row],[Item]],super1[Bairro],mercado5)+SUMIFS(supercb[Qtde],supercb[Item],tab_higiene[[#This Row],[Item]],supercb[Bairro],mercado5)</f>
        <v>0</v>
      </c>
      <c r="AP136" s="4">
        <f>SUMIFS(super1[Qtde],super1[Item],tab_higiene[[#This Row],[Item]],super1[Bairro],mercado6)+SUMIFS(supercb[Qtde],supercb[Item],tab_higiene[[#This Row],[Item]],supercb[Bairro],mercado6)</f>
        <v>0</v>
      </c>
      <c r="AQ136" s="4">
        <f>SUMIFS(super1[Qtde],super1[Item],tab_higiene[[#This Row],[Item]],super1[Bairro],mercado7)+SUMIFS(supercb[Qtde],supercb[Item],tab_higiene[[#This Row],[Item]],supercb[Bairro],mercado7)</f>
        <v>0</v>
      </c>
      <c r="AR136" s="4">
        <f>SUMIFS(super1[Qtde],super1[Item],tab_higiene[[#This Row],[Item]],super1[Bairro],mercado8)+SUMIFS(supercb[Qtde],supercb[Item],tab_higiene[[#This Row],[Item]],supercb[Bairro],mercado8)</f>
        <v>0</v>
      </c>
      <c r="AS136" s="4">
        <f>SUMIFS(super1[Qtde],super1[Item],tab_higiene[[#This Row],[Item]],super1[Bairro],mercado9)+SUMIFS(supercb[Qtde],supercb[Item],tab_higiene[[#This Row],[Item]],supercb[Bairro],mercado9)</f>
        <v>0</v>
      </c>
      <c r="AT136" s="4">
        <f>SUMIFS(super1[Qtde],super1[Item],tab_higiene[[#This Row],[Item]],super1[Bairro],mercado10)+SUMIFS(supercb[Qtde],supercb[Item],tab_higiene[[#This Row],[Item]],supercb[Bairro],mercado10)</f>
        <v>0</v>
      </c>
      <c r="AU136" s="4">
        <f>SUMIFS(super1[Qtde],super1[Item],tab_higiene[[#This Row],[Item]],super1[Bairro],mercado11)+SUMIFS(supercb[Qtde],supercb[Item],tab_higiene[[#This Row],[Item]],supercb[Bairro],mercado11)</f>
        <v>0</v>
      </c>
      <c r="AV136" s="4">
        <f>SUMIFS(super1[Qtde],super1[Item],tab_higiene[[#This Row],[Item]],super1[Bairro],mercado12)+SUMIFS(supercb[Qtde],supercb[Item],tab_higiene[[#This Row],[Item]],supercb[Bairro],mercado12)</f>
        <v>0</v>
      </c>
      <c r="AW136" s="4">
        <f>SUMIFS(super1[Qtde],super1[Item],tab_higiene[[#This Row],[Item]],super1[Bairro],mercado13)+SUMIFS(supercb[Qtde],supercb[Item],tab_higiene[[#This Row],[Item]],supercb[Bairro],mercado13)</f>
        <v>0</v>
      </c>
      <c r="AX136" s="4">
        <f>SUMIFS(super1[Qtde],super1[Item],tab_higiene[[#This Row],[Item]],super1[Bairro],mercado14)+SUMIFS(supercb[Qtde],supercb[Item],tab_higiene[[#This Row],[Item]],supercb[Bairro],mercado14)</f>
        <v>0</v>
      </c>
      <c r="AY136" s="4">
        <f>SUMIFS(super1[Qtde],super1[Item],tab_higiene[[#This Row],[Item]],super1[Bairro],mercado15)+SUMIFS(supercb[Qtde],supercb[Item],tab_higiene[[#This Row],[Item]],supercb[Bairro],mercado15)</f>
        <v>0</v>
      </c>
      <c r="AZ136" s="4">
        <f>SUMIFS(super1[Qtde],super1[Item],tab_higiene[[#This Row],[Item]],super1[Bairro],mercado16)+SUMIFS(supercb[Qtde],supercb[Item],tab_higiene[[#This Row],[Item]],supercb[Bairro],mercado16)</f>
        <v>0</v>
      </c>
      <c r="BA136" s="4">
        <f>SUMIFS(super1[Qtde],super1[Item],tab_higiene[[#This Row],[Item]],super1[Bairro],mercado17)+SUMIFS(supercb[Qtde],supercb[Item],tab_higiene[[#This Row],[Item]],supercb[Bairro],mercado17)</f>
        <v>0</v>
      </c>
      <c r="BB136" s="4">
        <f>SUMIFS(super1[Qtde],super1[Item],tab_higiene[[#This Row],[Item]],super1[Bairro],mercado18)+SUMIFS(supercb[Qtde],supercb[Item],tab_higiene[[#This Row],[Item]],supercb[Bairro],mercado18)</f>
        <v>0</v>
      </c>
      <c r="BC136" s="4">
        <f>SUMIFS(super1[Qtde],super1[Item],tab_higiene[[#This Row],[Item]],super1[Bairro],extras)+SUMIFS(supercb[Qtde],supercb[Item],tab_higiene[[#This Row],[Item]],supercb[Bairro],extras)</f>
        <v>0</v>
      </c>
      <c r="BD136" s="4">
        <f t="shared" si="50"/>
        <v>0</v>
      </c>
      <c r="BE136" s="4">
        <f t="shared" si="51"/>
        <v>0</v>
      </c>
      <c r="BF136" s="6">
        <f t="shared" si="52"/>
        <v>0</v>
      </c>
      <c r="BI136" s="1" t="str">
        <f>tab_alimentos[[#This Row],[Item]]</f>
        <v>Bolacha Salg Recheio (80g)</v>
      </c>
      <c r="BJ136" s="1">
        <f t="shared" si="45"/>
        <v>21</v>
      </c>
      <c r="BK136" s="1" t="str">
        <f t="shared" si="46"/>
        <v>Bolacha Salg Recheio</v>
      </c>
      <c r="BL136" s="1">
        <f>tab_alimentos[[#This Row],[kg]]</f>
        <v>0</v>
      </c>
      <c r="BN136" s="1">
        <f t="shared" si="56"/>
        <v>0</v>
      </c>
      <c r="BP136" s="1" t="str">
        <f>tab_higiene[[#This Row],[Item]]</f>
        <v>Hidratante (400mL)</v>
      </c>
      <c r="BQ136" s="1">
        <f t="shared" si="53"/>
        <v>11</v>
      </c>
      <c r="BR136" s="1" t="str">
        <f t="shared" si="54"/>
        <v>Hidratante</v>
      </c>
      <c r="BS136" s="1">
        <f>higiene[[#This Row],[Quantidade]]</f>
        <v>0.4</v>
      </c>
      <c r="BT136" s="1">
        <f>tab_higiene[[#This Row],[Qtde (tot)]]</f>
        <v>0</v>
      </c>
      <c r="BU136" s="1">
        <f t="shared" si="57"/>
        <v>0</v>
      </c>
      <c r="BW136" s="1">
        <f t="shared" si="58"/>
        <v>0</v>
      </c>
    </row>
    <row r="137" spans="9:75" x14ac:dyDescent="0.25">
      <c r="I137" s="19" t="str">
        <f>alimentos[[#This Row],[Item]]</f>
        <v>Bolinho (35g)</v>
      </c>
      <c r="J137" s="4">
        <f>IFERROR(alimentos[[#This Row],[kg/embalagem]],0)</f>
        <v>3.5000000000000003E-2</v>
      </c>
      <c r="K137" s="4">
        <f>IFERROR(alimentos[[#This Row],[Preço]],0)</f>
        <v>4.29</v>
      </c>
      <c r="L137" s="4">
        <f>SUMIFS(super1[Qtde],super1[Item],tab_alimentos[[#This Row],[Item]],super1[Bairro],mercado1)+SUMIFS(supercb[Qtde],supercb[Item],tab_alimentos[[#This Row],[Item]],supercb[Bairro],mercado1)</f>
        <v>0</v>
      </c>
      <c r="M137" s="4">
        <f>SUMIFS(super1[Qtde],super1[Item],tab_alimentos[[#This Row],[Item]],super1[Bairro],mercado2)+SUMIFS(supercb[Qtde],supercb[Item],tab_alimentos[[#This Row],[Item]],supercb[Bairro],mercado2)</f>
        <v>0</v>
      </c>
      <c r="N137" s="4">
        <f>SUMIFS(super1[Qtde],super1[Item],tab_alimentos[[#This Row],[Item]],super1[Bairro],mercado3)+SUMIFS(supercb[Qtde],supercb[Item],tab_alimentos[[#This Row],[Item]],supercb[Bairro],mercado3)</f>
        <v>0</v>
      </c>
      <c r="O137" s="4">
        <f>SUMIFS(super1[Qtde],super1[Item],tab_alimentos[[#This Row],[Item]],super1[Bairro],mercado4)+SUMIFS(supercb[Qtde],supercb[Item],tab_alimentos[[#This Row],[Item]],supercb[Bairro],mercado4)</f>
        <v>0</v>
      </c>
      <c r="P137" s="4">
        <f>SUMIFS(super1[Qtde],super1[Item],tab_alimentos[[#This Row],[Item]],super1[Bairro],mercado5)+SUMIFS(supercb[Qtde],supercb[Item],tab_alimentos[[#This Row],[Item]],supercb[Bairro],mercado5)</f>
        <v>0</v>
      </c>
      <c r="Q137" s="4">
        <f>SUMIFS(super1[Qtde],super1[Item],tab_alimentos[[#This Row],[Item]],super1[Bairro],mercado6)+SUMIFS(supercb[Qtde],supercb[Item],tab_alimentos[[#This Row],[Item]],supercb[Bairro],mercado6)</f>
        <v>0</v>
      </c>
      <c r="R137" s="4">
        <f>SUMIFS(super1[Qtde],super1[Item],tab_alimentos[[#This Row],[Item]],super1[Bairro],mercado7)+SUMIFS(supercb[Qtde],supercb[Item],tab_alimentos[[#This Row],[Item]],supercb[Bairro],mercado7)</f>
        <v>0</v>
      </c>
      <c r="S137" s="4">
        <f>SUMIFS(super1[Qtde],super1[Item],tab_alimentos[[#This Row],[Item]],super1[Bairro],mercado8)+SUMIFS(supercb[Qtde],supercb[Item],tab_alimentos[[#This Row],[Item]],supercb[Bairro],mercado8)</f>
        <v>0</v>
      </c>
      <c r="T137" s="4">
        <f>SUMIFS(super1[Qtde],super1[Item],tab_alimentos[[#This Row],[Item]],super1[Bairro],mercado9)+SUMIFS(supercb[Qtde],supercb[Item],tab_alimentos[[#This Row],[Item]],supercb[Bairro],mercado9)</f>
        <v>0</v>
      </c>
      <c r="U137" s="4">
        <f>SUMIFS(super1[Qtde],super1[Item],tab_alimentos[[#This Row],[Item]],super1[Bairro],mercado10)+SUMIFS(supercb[Qtde],supercb[Item],tab_alimentos[[#This Row],[Item]],supercb[Bairro],mercado10)</f>
        <v>0</v>
      </c>
      <c r="V137" s="4">
        <f>SUMIFS(super1[Qtde],super1[Item],tab_alimentos[[#This Row],[Item]],super1[Bairro],mercado11)+SUMIFS(supercb[Qtde],supercb[Item],tab_alimentos[[#This Row],[Item]],supercb[Bairro],mercado11)</f>
        <v>0</v>
      </c>
      <c r="W137" s="4">
        <f>SUMIFS(super1[Qtde],super1[Item],tab_alimentos[[#This Row],[Item]],super1[Bairro],mercado12)+SUMIFS(supercb[Qtde],supercb[Item],tab_alimentos[[#This Row],[Item]],supercb[Bairro],mercado12)</f>
        <v>0</v>
      </c>
      <c r="X137" s="4">
        <f>SUMIFS(super1[Qtde],super1[Item],tab_alimentos[[#This Row],[Item]],super1[Bairro],mercado13)+SUMIFS(supercb[Qtde],supercb[Item],tab_alimentos[[#This Row],[Item]],supercb[Bairro],mercado13)</f>
        <v>0</v>
      </c>
      <c r="Y137" s="4">
        <f>SUMIFS(super1[Qtde],super1[Item],tab_alimentos[[#This Row],[Item]],super1[Bairro],mercado14)+SUMIFS(supercb[Qtde],supercb[Item],tab_alimentos[[#This Row],[Item]],supercb[Bairro],mercado14)</f>
        <v>0</v>
      </c>
      <c r="Z137" s="4">
        <f>SUMIFS(super1[Qtde],super1[Item],tab_alimentos[[#This Row],[Item]],super1[Bairro],mercado15)+SUMIFS(supercb[Qtde],supercb[Item],tab_alimentos[[#This Row],[Item]],supercb[Bairro],mercado15)</f>
        <v>0</v>
      </c>
      <c r="AA137" s="4">
        <f>SUMIFS(super1[Qtde],super1[Item],tab_alimentos[[#This Row],[Item]],super1[Bairro],mercado16)+SUMIFS(supercb[Qtde],supercb[Item],tab_alimentos[[#This Row],[Item]],supercb[Bairro],mercado16)</f>
        <v>0</v>
      </c>
      <c r="AB137" s="4">
        <f>SUMIFS(super1[Qtde],super1[Item],tab_alimentos[[#This Row],[Item]],super1[Bairro],mercado17)+SUMIFS(supercb[Qtde],supercb[Item],tab_alimentos[[#This Row],[Item]],supercb[Bairro],mercado17)</f>
        <v>0</v>
      </c>
      <c r="AC137" s="4">
        <f>SUMIFS(super1[Qtde],super1[Item],tab_alimentos[[#This Row],[Item]],super1[Bairro],mercado18)+SUMIFS(supercb[Qtde],supercb[Item],tab_alimentos[[#This Row],[Item]],supercb[Bairro],mercado18)</f>
        <v>0</v>
      </c>
      <c r="AD137" s="4">
        <f>SUMIFS(super1[Qtde],super1[Item],tab_alimentos[[#This Row],[Item]],super1[Bairro],extras)+SUMIFS(supercb[Qtde],supercb[Item],tab_alimentos[[#This Row],[Item]],supercb[Bairro],extras)</f>
        <v>0</v>
      </c>
      <c r="AE137" s="4">
        <f t="shared" si="47"/>
        <v>0</v>
      </c>
      <c r="AF137" s="4">
        <f t="shared" si="48"/>
        <v>0</v>
      </c>
      <c r="AG137" s="6">
        <f t="shared" si="49"/>
        <v>0</v>
      </c>
      <c r="AH137" s="19" t="str">
        <f>higiene[[#This Row],[Item]]</f>
        <v>Hidratante (500mL)</v>
      </c>
      <c r="AI137" s="4">
        <f>IFERROR(higiene[[#This Row],[Kg equivalente]],0)</f>
        <v>0</v>
      </c>
      <c r="AJ137" s="4">
        <f>IFERROR(higiene[[#This Row],[Preço por produto]],0)</f>
        <v>6.99</v>
      </c>
      <c r="AK137" s="4">
        <f>SUMIFS(super1[Qtde],super1[Item],tab_higiene[[#This Row],[Item]],super1[Bairro],mercado1)+SUMIFS(supercb[Qtde],supercb[Item],tab_higiene[[#This Row],[Item]],supercb[Bairro],mercado1)</f>
        <v>0</v>
      </c>
      <c r="AL137" s="4">
        <f>SUMIFS(super1[Qtde],super1[Item],tab_higiene[[#This Row],[Item]],super1[Bairro],mercado2)+SUMIFS(supercb[Qtde],supercb[Item],tab_higiene[[#This Row],[Item]],supercb[Bairro],mercado2)</f>
        <v>0</v>
      </c>
      <c r="AM137" s="4">
        <f>SUMIFS(super1[Qtde],super1[Item],tab_higiene[[#This Row],[Item]],super1[Bairro],mercado3)+SUMIFS(supercb[Qtde],supercb[Item],tab_higiene[[#This Row],[Item]],supercb[Bairro],mercado3)</f>
        <v>0</v>
      </c>
      <c r="AN137" s="4">
        <f>SUMIFS(super1[Qtde],super1[Item],tab_higiene[[#This Row],[Item]],super1[Bairro],mercado4)+SUMIFS(supercb[Qtde],supercb[Item],tab_higiene[[#This Row],[Item]],supercb[Bairro],mercado4)</f>
        <v>0</v>
      </c>
      <c r="AO137" s="4">
        <f>SUMIFS(super1[Qtde],super1[Item],tab_higiene[[#This Row],[Item]],super1[Bairro],mercado5)+SUMIFS(supercb[Qtde],supercb[Item],tab_higiene[[#This Row],[Item]],supercb[Bairro],mercado5)</f>
        <v>0</v>
      </c>
      <c r="AP137" s="4">
        <f>SUMIFS(super1[Qtde],super1[Item],tab_higiene[[#This Row],[Item]],super1[Bairro],mercado6)+SUMIFS(supercb[Qtde],supercb[Item],tab_higiene[[#This Row],[Item]],supercb[Bairro],mercado6)</f>
        <v>0</v>
      </c>
      <c r="AQ137" s="4">
        <f>SUMIFS(super1[Qtde],super1[Item],tab_higiene[[#This Row],[Item]],super1[Bairro],mercado7)+SUMIFS(supercb[Qtde],supercb[Item],tab_higiene[[#This Row],[Item]],supercb[Bairro],mercado7)</f>
        <v>0</v>
      </c>
      <c r="AR137" s="4">
        <f>SUMIFS(super1[Qtde],super1[Item],tab_higiene[[#This Row],[Item]],super1[Bairro],mercado8)+SUMIFS(supercb[Qtde],supercb[Item],tab_higiene[[#This Row],[Item]],supercb[Bairro],mercado8)</f>
        <v>0</v>
      </c>
      <c r="AS137" s="4">
        <f>SUMIFS(super1[Qtde],super1[Item],tab_higiene[[#This Row],[Item]],super1[Bairro],mercado9)+SUMIFS(supercb[Qtde],supercb[Item],tab_higiene[[#This Row],[Item]],supercb[Bairro],mercado9)</f>
        <v>0</v>
      </c>
      <c r="AT137" s="4">
        <f>SUMIFS(super1[Qtde],super1[Item],tab_higiene[[#This Row],[Item]],super1[Bairro],mercado10)+SUMIFS(supercb[Qtde],supercb[Item],tab_higiene[[#This Row],[Item]],supercb[Bairro],mercado10)</f>
        <v>0</v>
      </c>
      <c r="AU137" s="4">
        <f>SUMIFS(super1[Qtde],super1[Item],tab_higiene[[#This Row],[Item]],super1[Bairro],mercado11)+SUMIFS(supercb[Qtde],supercb[Item],tab_higiene[[#This Row],[Item]],supercb[Bairro],mercado11)</f>
        <v>0</v>
      </c>
      <c r="AV137" s="4">
        <f>SUMIFS(super1[Qtde],super1[Item],tab_higiene[[#This Row],[Item]],super1[Bairro],mercado12)+SUMIFS(supercb[Qtde],supercb[Item],tab_higiene[[#This Row],[Item]],supercb[Bairro],mercado12)</f>
        <v>0</v>
      </c>
      <c r="AW137" s="4">
        <f>SUMIFS(super1[Qtde],super1[Item],tab_higiene[[#This Row],[Item]],super1[Bairro],mercado13)+SUMIFS(supercb[Qtde],supercb[Item],tab_higiene[[#This Row],[Item]],supercb[Bairro],mercado13)</f>
        <v>0</v>
      </c>
      <c r="AX137" s="4">
        <f>SUMIFS(super1[Qtde],super1[Item],tab_higiene[[#This Row],[Item]],super1[Bairro],mercado14)+SUMIFS(supercb[Qtde],supercb[Item],tab_higiene[[#This Row],[Item]],supercb[Bairro],mercado14)</f>
        <v>0</v>
      </c>
      <c r="AY137" s="4">
        <f>SUMIFS(super1[Qtde],super1[Item],tab_higiene[[#This Row],[Item]],super1[Bairro],mercado15)+SUMIFS(supercb[Qtde],supercb[Item],tab_higiene[[#This Row],[Item]],supercb[Bairro],mercado15)</f>
        <v>0</v>
      </c>
      <c r="AZ137" s="4">
        <f>SUMIFS(super1[Qtde],super1[Item],tab_higiene[[#This Row],[Item]],super1[Bairro],mercado16)+SUMIFS(supercb[Qtde],supercb[Item],tab_higiene[[#This Row],[Item]],supercb[Bairro],mercado16)</f>
        <v>0</v>
      </c>
      <c r="BA137" s="4">
        <f>SUMIFS(super1[Qtde],super1[Item],tab_higiene[[#This Row],[Item]],super1[Bairro],mercado17)+SUMIFS(supercb[Qtde],supercb[Item],tab_higiene[[#This Row],[Item]],supercb[Bairro],mercado17)</f>
        <v>0</v>
      </c>
      <c r="BB137" s="4">
        <f>SUMIFS(super1[Qtde],super1[Item],tab_higiene[[#This Row],[Item]],super1[Bairro],mercado18)+SUMIFS(supercb[Qtde],supercb[Item],tab_higiene[[#This Row],[Item]],supercb[Bairro],mercado18)</f>
        <v>0</v>
      </c>
      <c r="BC137" s="4">
        <f>SUMIFS(super1[Qtde],super1[Item],tab_higiene[[#This Row],[Item]],super1[Bairro],extras)+SUMIFS(supercb[Qtde],supercb[Item],tab_higiene[[#This Row],[Item]],supercb[Bairro],extras)</f>
        <v>0</v>
      </c>
      <c r="BD137" s="4">
        <f t="shared" si="50"/>
        <v>0</v>
      </c>
      <c r="BE137" s="4">
        <f t="shared" si="51"/>
        <v>0</v>
      </c>
      <c r="BF137" s="6">
        <f t="shared" si="52"/>
        <v>0</v>
      </c>
      <c r="BI137" s="1" t="str">
        <f>tab_alimentos[[#This Row],[Item]]</f>
        <v>Bolinho (35g)</v>
      </c>
      <c r="BJ137" s="1">
        <f t="shared" si="45"/>
        <v>8</v>
      </c>
      <c r="BK137" s="1" t="str">
        <f t="shared" si="46"/>
        <v>Bolinho</v>
      </c>
      <c r="BL137" s="1">
        <f>tab_alimentos[[#This Row],[kg]]</f>
        <v>0</v>
      </c>
      <c r="BN137" s="1">
        <f t="shared" si="56"/>
        <v>0</v>
      </c>
      <c r="BP137" s="1" t="str">
        <f>tab_higiene[[#This Row],[Item]]</f>
        <v>Hidratante (500mL)</v>
      </c>
      <c r="BQ137" s="1">
        <f t="shared" si="53"/>
        <v>11</v>
      </c>
      <c r="BR137" s="1" t="str">
        <f t="shared" si="54"/>
        <v>Hidratante</v>
      </c>
      <c r="BS137" s="1">
        <f>higiene[[#This Row],[Quantidade]]</f>
        <v>0.5</v>
      </c>
      <c r="BT137" s="1">
        <f>tab_higiene[[#This Row],[Qtde (tot)]]</f>
        <v>0</v>
      </c>
      <c r="BU137" s="1">
        <f t="shared" si="57"/>
        <v>0</v>
      </c>
      <c r="BW137" s="1">
        <f t="shared" si="58"/>
        <v>0</v>
      </c>
    </row>
    <row r="138" spans="9:75" x14ac:dyDescent="0.25">
      <c r="I138" s="19" t="str">
        <f>alimentos[[#This Row],[Item]]</f>
        <v>Bolo (100g)</v>
      </c>
      <c r="J138" s="4">
        <f>IFERROR(alimentos[[#This Row],[kg/embalagem]],0)</f>
        <v>0.1</v>
      </c>
      <c r="K138" s="4">
        <f>IFERROR(alimentos[[#This Row],[Preço]],0)</f>
        <v>2.99</v>
      </c>
      <c r="L138" s="4">
        <f>SUMIFS(super1[Qtde],super1[Item],tab_alimentos[[#This Row],[Item]],super1[Bairro],mercado1)+SUMIFS(supercb[Qtde],supercb[Item],tab_alimentos[[#This Row],[Item]],supercb[Bairro],mercado1)</f>
        <v>0</v>
      </c>
      <c r="M138" s="4">
        <f>SUMIFS(super1[Qtde],super1[Item],tab_alimentos[[#This Row],[Item]],super1[Bairro],mercado2)+SUMIFS(supercb[Qtde],supercb[Item],tab_alimentos[[#This Row],[Item]],supercb[Bairro],mercado2)</f>
        <v>0</v>
      </c>
      <c r="N138" s="4">
        <f>SUMIFS(super1[Qtde],super1[Item],tab_alimentos[[#This Row],[Item]],super1[Bairro],mercado3)+SUMIFS(supercb[Qtde],supercb[Item],tab_alimentos[[#This Row],[Item]],supercb[Bairro],mercado3)</f>
        <v>0</v>
      </c>
      <c r="O138" s="4">
        <f>SUMIFS(super1[Qtde],super1[Item],tab_alimentos[[#This Row],[Item]],super1[Bairro],mercado4)+SUMIFS(supercb[Qtde],supercb[Item],tab_alimentos[[#This Row],[Item]],supercb[Bairro],mercado4)</f>
        <v>0</v>
      </c>
      <c r="P138" s="4">
        <f>SUMIFS(super1[Qtde],super1[Item],tab_alimentos[[#This Row],[Item]],super1[Bairro],mercado5)+SUMIFS(supercb[Qtde],supercb[Item],tab_alimentos[[#This Row],[Item]],supercb[Bairro],mercado5)</f>
        <v>0</v>
      </c>
      <c r="Q138" s="4">
        <f>SUMIFS(super1[Qtde],super1[Item],tab_alimentos[[#This Row],[Item]],super1[Bairro],mercado6)+SUMIFS(supercb[Qtde],supercb[Item],tab_alimentos[[#This Row],[Item]],supercb[Bairro],mercado6)</f>
        <v>0</v>
      </c>
      <c r="R138" s="4">
        <f>SUMIFS(super1[Qtde],super1[Item],tab_alimentos[[#This Row],[Item]],super1[Bairro],mercado7)+SUMIFS(supercb[Qtde],supercb[Item],tab_alimentos[[#This Row],[Item]],supercb[Bairro],mercado7)</f>
        <v>0</v>
      </c>
      <c r="S138" s="4">
        <f>SUMIFS(super1[Qtde],super1[Item],tab_alimentos[[#This Row],[Item]],super1[Bairro],mercado8)+SUMIFS(supercb[Qtde],supercb[Item],tab_alimentos[[#This Row],[Item]],supercb[Bairro],mercado8)</f>
        <v>0</v>
      </c>
      <c r="T138" s="4">
        <f>SUMIFS(super1[Qtde],super1[Item],tab_alimentos[[#This Row],[Item]],super1[Bairro],mercado9)+SUMIFS(supercb[Qtde],supercb[Item],tab_alimentos[[#This Row],[Item]],supercb[Bairro],mercado9)</f>
        <v>0</v>
      </c>
      <c r="U138" s="4">
        <f>SUMIFS(super1[Qtde],super1[Item],tab_alimentos[[#This Row],[Item]],super1[Bairro],mercado10)+SUMIFS(supercb[Qtde],supercb[Item],tab_alimentos[[#This Row],[Item]],supercb[Bairro],mercado10)</f>
        <v>0</v>
      </c>
      <c r="V138" s="4">
        <f>SUMIFS(super1[Qtde],super1[Item],tab_alimentos[[#This Row],[Item]],super1[Bairro],mercado11)+SUMIFS(supercb[Qtde],supercb[Item],tab_alimentos[[#This Row],[Item]],supercb[Bairro],mercado11)</f>
        <v>0</v>
      </c>
      <c r="W138" s="4">
        <f>SUMIFS(super1[Qtde],super1[Item],tab_alimentos[[#This Row],[Item]],super1[Bairro],mercado12)+SUMIFS(supercb[Qtde],supercb[Item],tab_alimentos[[#This Row],[Item]],supercb[Bairro],mercado12)</f>
        <v>0</v>
      </c>
      <c r="X138" s="4">
        <f>SUMIFS(super1[Qtde],super1[Item],tab_alimentos[[#This Row],[Item]],super1[Bairro],mercado13)+SUMIFS(supercb[Qtde],supercb[Item],tab_alimentos[[#This Row],[Item]],supercb[Bairro],mercado13)</f>
        <v>0</v>
      </c>
      <c r="Y138" s="4">
        <f>SUMIFS(super1[Qtde],super1[Item],tab_alimentos[[#This Row],[Item]],super1[Bairro],mercado14)+SUMIFS(supercb[Qtde],supercb[Item],tab_alimentos[[#This Row],[Item]],supercb[Bairro],mercado14)</f>
        <v>0</v>
      </c>
      <c r="Z138" s="4">
        <f>SUMIFS(super1[Qtde],super1[Item],tab_alimentos[[#This Row],[Item]],super1[Bairro],mercado15)+SUMIFS(supercb[Qtde],supercb[Item],tab_alimentos[[#This Row],[Item]],supercb[Bairro],mercado15)</f>
        <v>0</v>
      </c>
      <c r="AA138" s="4">
        <f>SUMIFS(super1[Qtde],super1[Item],tab_alimentos[[#This Row],[Item]],super1[Bairro],mercado16)+SUMIFS(supercb[Qtde],supercb[Item],tab_alimentos[[#This Row],[Item]],supercb[Bairro],mercado16)</f>
        <v>0</v>
      </c>
      <c r="AB138" s="4">
        <f>SUMIFS(super1[Qtde],super1[Item],tab_alimentos[[#This Row],[Item]],super1[Bairro],mercado17)+SUMIFS(supercb[Qtde],supercb[Item],tab_alimentos[[#This Row],[Item]],supercb[Bairro],mercado17)</f>
        <v>0</v>
      </c>
      <c r="AC138" s="4">
        <f>SUMIFS(super1[Qtde],super1[Item],tab_alimentos[[#This Row],[Item]],super1[Bairro],mercado18)+SUMIFS(supercb[Qtde],supercb[Item],tab_alimentos[[#This Row],[Item]],supercb[Bairro],mercado18)</f>
        <v>0</v>
      </c>
      <c r="AD138" s="4">
        <f>SUMIFS(super1[Qtde],super1[Item],tab_alimentos[[#This Row],[Item]],super1[Bairro],extras)+SUMIFS(supercb[Qtde],supercb[Item],tab_alimentos[[#This Row],[Item]],supercb[Bairro],extras)</f>
        <v>0</v>
      </c>
      <c r="AE138" s="4">
        <f t="shared" si="47"/>
        <v>0</v>
      </c>
      <c r="AF138" s="4">
        <f t="shared" si="48"/>
        <v>0</v>
      </c>
      <c r="AG138" s="6">
        <f t="shared" si="49"/>
        <v>0</v>
      </c>
      <c r="AH138" s="19" t="str">
        <f>higiene[[#This Row],[Item]]</f>
        <v>Hidratante para Cabelo (300mL)</v>
      </c>
      <c r="AI138" s="4">
        <f>IFERROR(higiene[[#This Row],[Kg equivalente]],0)</f>
        <v>0</v>
      </c>
      <c r="AJ138" s="4">
        <f>IFERROR(higiene[[#This Row],[Preço por produto]],0)</f>
        <v>8.99</v>
      </c>
      <c r="AK138" s="4">
        <f>SUMIFS(super1[Qtde],super1[Item],tab_higiene[[#This Row],[Item]],super1[Bairro],mercado1)+SUMIFS(supercb[Qtde],supercb[Item],tab_higiene[[#This Row],[Item]],supercb[Bairro],mercado1)</f>
        <v>0</v>
      </c>
      <c r="AL138" s="4">
        <f>SUMIFS(super1[Qtde],super1[Item],tab_higiene[[#This Row],[Item]],super1[Bairro],mercado2)+SUMIFS(supercb[Qtde],supercb[Item],tab_higiene[[#This Row],[Item]],supercb[Bairro],mercado2)</f>
        <v>0</v>
      </c>
      <c r="AM138" s="4">
        <f>SUMIFS(super1[Qtde],super1[Item],tab_higiene[[#This Row],[Item]],super1[Bairro],mercado3)+SUMIFS(supercb[Qtde],supercb[Item],tab_higiene[[#This Row],[Item]],supercb[Bairro],mercado3)</f>
        <v>0</v>
      </c>
      <c r="AN138" s="4">
        <f>SUMIFS(super1[Qtde],super1[Item],tab_higiene[[#This Row],[Item]],super1[Bairro],mercado4)+SUMIFS(supercb[Qtde],supercb[Item],tab_higiene[[#This Row],[Item]],supercb[Bairro],mercado4)</f>
        <v>0</v>
      </c>
      <c r="AO138" s="4">
        <f>SUMIFS(super1[Qtde],super1[Item],tab_higiene[[#This Row],[Item]],super1[Bairro],mercado5)+SUMIFS(supercb[Qtde],supercb[Item],tab_higiene[[#This Row],[Item]],supercb[Bairro],mercado5)</f>
        <v>0</v>
      </c>
      <c r="AP138" s="4">
        <f>SUMIFS(super1[Qtde],super1[Item],tab_higiene[[#This Row],[Item]],super1[Bairro],mercado6)+SUMIFS(supercb[Qtde],supercb[Item],tab_higiene[[#This Row],[Item]],supercb[Bairro],mercado6)</f>
        <v>0</v>
      </c>
      <c r="AQ138" s="4">
        <f>SUMIFS(super1[Qtde],super1[Item],tab_higiene[[#This Row],[Item]],super1[Bairro],mercado7)+SUMIFS(supercb[Qtde],supercb[Item],tab_higiene[[#This Row],[Item]],supercb[Bairro],mercado7)</f>
        <v>0</v>
      </c>
      <c r="AR138" s="4">
        <f>SUMIFS(super1[Qtde],super1[Item],tab_higiene[[#This Row],[Item]],super1[Bairro],mercado8)+SUMIFS(supercb[Qtde],supercb[Item],tab_higiene[[#This Row],[Item]],supercb[Bairro],mercado8)</f>
        <v>0</v>
      </c>
      <c r="AS138" s="4">
        <f>SUMIFS(super1[Qtde],super1[Item],tab_higiene[[#This Row],[Item]],super1[Bairro],mercado9)+SUMIFS(supercb[Qtde],supercb[Item],tab_higiene[[#This Row],[Item]],supercb[Bairro],mercado9)</f>
        <v>0</v>
      </c>
      <c r="AT138" s="4">
        <f>SUMIFS(super1[Qtde],super1[Item],tab_higiene[[#This Row],[Item]],super1[Bairro],mercado10)+SUMIFS(supercb[Qtde],supercb[Item],tab_higiene[[#This Row],[Item]],supercb[Bairro],mercado10)</f>
        <v>0</v>
      </c>
      <c r="AU138" s="4">
        <f>SUMIFS(super1[Qtde],super1[Item],tab_higiene[[#This Row],[Item]],super1[Bairro],mercado11)+SUMIFS(supercb[Qtde],supercb[Item],tab_higiene[[#This Row],[Item]],supercb[Bairro],mercado11)</f>
        <v>0</v>
      </c>
      <c r="AV138" s="4">
        <f>SUMIFS(super1[Qtde],super1[Item],tab_higiene[[#This Row],[Item]],super1[Bairro],mercado12)+SUMIFS(supercb[Qtde],supercb[Item],tab_higiene[[#This Row],[Item]],supercb[Bairro],mercado12)</f>
        <v>0</v>
      </c>
      <c r="AW138" s="4">
        <f>SUMIFS(super1[Qtde],super1[Item],tab_higiene[[#This Row],[Item]],super1[Bairro],mercado13)+SUMIFS(supercb[Qtde],supercb[Item],tab_higiene[[#This Row],[Item]],supercb[Bairro],mercado13)</f>
        <v>0</v>
      </c>
      <c r="AX138" s="4">
        <f>SUMIFS(super1[Qtde],super1[Item],tab_higiene[[#This Row],[Item]],super1[Bairro],mercado14)+SUMIFS(supercb[Qtde],supercb[Item],tab_higiene[[#This Row],[Item]],supercb[Bairro],mercado14)</f>
        <v>0</v>
      </c>
      <c r="AY138" s="4">
        <f>SUMIFS(super1[Qtde],super1[Item],tab_higiene[[#This Row],[Item]],super1[Bairro],mercado15)+SUMIFS(supercb[Qtde],supercb[Item],tab_higiene[[#This Row],[Item]],supercb[Bairro],mercado15)</f>
        <v>0</v>
      </c>
      <c r="AZ138" s="4">
        <f>SUMIFS(super1[Qtde],super1[Item],tab_higiene[[#This Row],[Item]],super1[Bairro],mercado16)+SUMIFS(supercb[Qtde],supercb[Item],tab_higiene[[#This Row],[Item]],supercb[Bairro],mercado16)</f>
        <v>0</v>
      </c>
      <c r="BA138" s="4">
        <f>SUMIFS(super1[Qtde],super1[Item],tab_higiene[[#This Row],[Item]],super1[Bairro],mercado17)+SUMIFS(supercb[Qtde],supercb[Item],tab_higiene[[#This Row],[Item]],supercb[Bairro],mercado17)</f>
        <v>0</v>
      </c>
      <c r="BB138" s="4">
        <f>SUMIFS(super1[Qtde],super1[Item],tab_higiene[[#This Row],[Item]],super1[Bairro],mercado18)+SUMIFS(supercb[Qtde],supercb[Item],tab_higiene[[#This Row],[Item]],supercb[Bairro],mercado18)</f>
        <v>0</v>
      </c>
      <c r="BC138" s="4">
        <f>SUMIFS(super1[Qtde],super1[Item],tab_higiene[[#This Row],[Item]],super1[Bairro],extras)+SUMIFS(supercb[Qtde],supercb[Item],tab_higiene[[#This Row],[Item]],supercb[Bairro],extras)</f>
        <v>0</v>
      </c>
      <c r="BD138" s="4">
        <f t="shared" si="50"/>
        <v>0</v>
      </c>
      <c r="BE138" s="4">
        <f t="shared" si="51"/>
        <v>0</v>
      </c>
      <c r="BF138" s="6">
        <f t="shared" si="52"/>
        <v>0</v>
      </c>
      <c r="BI138" s="1" t="str">
        <f>tab_alimentos[[#This Row],[Item]]</f>
        <v>Bolo (100g)</v>
      </c>
      <c r="BJ138" s="1">
        <f t="shared" si="45"/>
        <v>5</v>
      </c>
      <c r="BK138" s="1" t="str">
        <f t="shared" si="46"/>
        <v>Bolo</v>
      </c>
      <c r="BL138" s="1">
        <f>tab_alimentos[[#This Row],[kg]]</f>
        <v>0</v>
      </c>
      <c r="BN138" s="1">
        <f t="shared" si="56"/>
        <v>0</v>
      </c>
      <c r="BP138" s="1" t="str">
        <f>tab_higiene[[#This Row],[Item]]</f>
        <v>Hidratante para Cabelo (300mL)</v>
      </c>
      <c r="BQ138" s="1">
        <f t="shared" si="53"/>
        <v>23</v>
      </c>
      <c r="BR138" s="1" t="str">
        <f t="shared" si="54"/>
        <v>Hidratante para Cabelo</v>
      </c>
      <c r="BS138" s="1">
        <f>higiene[[#This Row],[Quantidade]]</f>
        <v>0.3</v>
      </c>
      <c r="BT138" s="1">
        <f>tab_higiene[[#This Row],[Qtde (tot)]]</f>
        <v>0</v>
      </c>
      <c r="BU138" s="1">
        <f t="shared" si="57"/>
        <v>0</v>
      </c>
      <c r="BW138" s="1">
        <f t="shared" si="58"/>
        <v>0</v>
      </c>
    </row>
    <row r="139" spans="9:75" x14ac:dyDescent="0.25">
      <c r="I139" s="19" t="str">
        <f>alimentos[[#This Row],[Item]]</f>
        <v>Bolo (300g)</v>
      </c>
      <c r="J139" s="4">
        <f>IFERROR(alimentos[[#This Row],[kg/embalagem]],0)</f>
        <v>0.3</v>
      </c>
      <c r="K139" s="4">
        <f>IFERROR(alimentos[[#This Row],[Preço]],0)</f>
        <v>10.99</v>
      </c>
      <c r="L139" s="4">
        <f>SUMIFS(super1[Qtde],super1[Item],tab_alimentos[[#This Row],[Item]],super1[Bairro],mercado1)+SUMIFS(supercb[Qtde],supercb[Item],tab_alimentos[[#This Row],[Item]],supercb[Bairro],mercado1)</f>
        <v>0</v>
      </c>
      <c r="M139" s="4">
        <f>SUMIFS(super1[Qtde],super1[Item],tab_alimentos[[#This Row],[Item]],super1[Bairro],mercado2)+SUMIFS(supercb[Qtde],supercb[Item],tab_alimentos[[#This Row],[Item]],supercb[Bairro],mercado2)</f>
        <v>0</v>
      </c>
      <c r="N139" s="4">
        <f>SUMIFS(super1[Qtde],super1[Item],tab_alimentos[[#This Row],[Item]],super1[Bairro],mercado3)+SUMIFS(supercb[Qtde],supercb[Item],tab_alimentos[[#This Row],[Item]],supercb[Bairro],mercado3)</f>
        <v>0</v>
      </c>
      <c r="O139" s="4">
        <f>SUMIFS(super1[Qtde],super1[Item],tab_alimentos[[#This Row],[Item]],super1[Bairro],mercado4)+SUMIFS(supercb[Qtde],supercb[Item],tab_alimentos[[#This Row],[Item]],supercb[Bairro],mercado4)</f>
        <v>0</v>
      </c>
      <c r="P139" s="4">
        <f>SUMIFS(super1[Qtde],super1[Item],tab_alimentos[[#This Row],[Item]],super1[Bairro],mercado5)+SUMIFS(supercb[Qtde],supercb[Item],tab_alimentos[[#This Row],[Item]],supercb[Bairro],mercado5)</f>
        <v>0</v>
      </c>
      <c r="Q139" s="4">
        <f>SUMIFS(super1[Qtde],super1[Item],tab_alimentos[[#This Row],[Item]],super1[Bairro],mercado6)+SUMIFS(supercb[Qtde],supercb[Item],tab_alimentos[[#This Row],[Item]],supercb[Bairro],mercado6)</f>
        <v>0</v>
      </c>
      <c r="R139" s="4">
        <f>SUMIFS(super1[Qtde],super1[Item],tab_alimentos[[#This Row],[Item]],super1[Bairro],mercado7)+SUMIFS(supercb[Qtde],supercb[Item],tab_alimentos[[#This Row],[Item]],supercb[Bairro],mercado7)</f>
        <v>0</v>
      </c>
      <c r="S139" s="4">
        <f>SUMIFS(super1[Qtde],super1[Item],tab_alimentos[[#This Row],[Item]],super1[Bairro],mercado8)+SUMIFS(supercb[Qtde],supercb[Item],tab_alimentos[[#This Row],[Item]],supercb[Bairro],mercado8)</f>
        <v>0</v>
      </c>
      <c r="T139" s="4">
        <f>SUMIFS(super1[Qtde],super1[Item],tab_alimentos[[#This Row],[Item]],super1[Bairro],mercado9)+SUMIFS(supercb[Qtde],supercb[Item],tab_alimentos[[#This Row],[Item]],supercb[Bairro],mercado9)</f>
        <v>0</v>
      </c>
      <c r="U139" s="4">
        <f>SUMIFS(super1[Qtde],super1[Item],tab_alimentos[[#This Row],[Item]],super1[Bairro],mercado10)+SUMIFS(supercb[Qtde],supercb[Item],tab_alimentos[[#This Row],[Item]],supercb[Bairro],mercado10)</f>
        <v>0</v>
      </c>
      <c r="V139" s="4">
        <f>SUMIFS(super1[Qtde],super1[Item],tab_alimentos[[#This Row],[Item]],super1[Bairro],mercado11)+SUMIFS(supercb[Qtde],supercb[Item],tab_alimentos[[#This Row],[Item]],supercb[Bairro],mercado11)</f>
        <v>0</v>
      </c>
      <c r="W139" s="4">
        <f>SUMIFS(super1[Qtde],super1[Item],tab_alimentos[[#This Row],[Item]],super1[Bairro],mercado12)+SUMIFS(supercb[Qtde],supercb[Item],tab_alimentos[[#This Row],[Item]],supercb[Bairro],mercado12)</f>
        <v>0</v>
      </c>
      <c r="X139" s="4">
        <f>SUMIFS(super1[Qtde],super1[Item],tab_alimentos[[#This Row],[Item]],super1[Bairro],mercado13)+SUMIFS(supercb[Qtde],supercb[Item],tab_alimentos[[#This Row],[Item]],supercb[Bairro],mercado13)</f>
        <v>0</v>
      </c>
      <c r="Y139" s="4">
        <f>SUMIFS(super1[Qtde],super1[Item],tab_alimentos[[#This Row],[Item]],super1[Bairro],mercado14)+SUMIFS(supercb[Qtde],supercb[Item],tab_alimentos[[#This Row],[Item]],supercb[Bairro],mercado14)</f>
        <v>0</v>
      </c>
      <c r="Z139" s="4">
        <f>SUMIFS(super1[Qtde],super1[Item],tab_alimentos[[#This Row],[Item]],super1[Bairro],mercado15)+SUMIFS(supercb[Qtde],supercb[Item],tab_alimentos[[#This Row],[Item]],supercb[Bairro],mercado15)</f>
        <v>0</v>
      </c>
      <c r="AA139" s="4">
        <f>SUMIFS(super1[Qtde],super1[Item],tab_alimentos[[#This Row],[Item]],super1[Bairro],mercado16)+SUMIFS(supercb[Qtde],supercb[Item],tab_alimentos[[#This Row],[Item]],supercb[Bairro],mercado16)</f>
        <v>0</v>
      </c>
      <c r="AB139" s="4">
        <f>SUMIFS(super1[Qtde],super1[Item],tab_alimentos[[#This Row],[Item]],super1[Bairro],mercado17)+SUMIFS(supercb[Qtde],supercb[Item],tab_alimentos[[#This Row],[Item]],supercb[Bairro],mercado17)</f>
        <v>0</v>
      </c>
      <c r="AC139" s="4">
        <f>SUMIFS(super1[Qtde],super1[Item],tab_alimentos[[#This Row],[Item]],super1[Bairro],mercado18)+SUMIFS(supercb[Qtde],supercb[Item],tab_alimentos[[#This Row],[Item]],supercb[Bairro],mercado18)</f>
        <v>0</v>
      </c>
      <c r="AD139" s="4">
        <f>SUMIFS(super1[Qtde],super1[Item],tab_alimentos[[#This Row],[Item]],super1[Bairro],extras)+SUMIFS(supercb[Qtde],supercb[Item],tab_alimentos[[#This Row],[Item]],supercb[Bairro],extras)</f>
        <v>0</v>
      </c>
      <c r="AE139" s="4">
        <f t="shared" si="47"/>
        <v>0</v>
      </c>
      <c r="AF139" s="4">
        <f t="shared" si="48"/>
        <v>0</v>
      </c>
      <c r="AG139" s="6">
        <f t="shared" si="49"/>
        <v>0</v>
      </c>
      <c r="AH139" s="19" t="str">
        <f>higiene[[#This Row],[Item]]</f>
        <v>I</v>
      </c>
      <c r="AI139" s="4">
        <f>IFERROR(higiene[[#This Row],[Kg equivalente]],0)</f>
        <v>0</v>
      </c>
      <c r="AJ139" s="4">
        <f>IFERROR(higiene[[#This Row],[Preço por produto]],0)</f>
        <v>0</v>
      </c>
      <c r="AK139" s="4">
        <f>SUMIFS(super1[Qtde],super1[Item],tab_higiene[[#This Row],[Item]],super1[Bairro],mercado1)+SUMIFS(supercb[Qtde],supercb[Item],tab_higiene[[#This Row],[Item]],supercb[Bairro],mercado1)</f>
        <v>0</v>
      </c>
      <c r="AL139" s="4">
        <f>SUMIFS(super1[Qtde],super1[Item],tab_higiene[[#This Row],[Item]],super1[Bairro],mercado2)+SUMIFS(supercb[Qtde],supercb[Item],tab_higiene[[#This Row],[Item]],supercb[Bairro],mercado2)</f>
        <v>0</v>
      </c>
      <c r="AM139" s="4">
        <f>SUMIFS(super1[Qtde],super1[Item],tab_higiene[[#This Row],[Item]],super1[Bairro],mercado3)+SUMIFS(supercb[Qtde],supercb[Item],tab_higiene[[#This Row],[Item]],supercb[Bairro],mercado3)</f>
        <v>0</v>
      </c>
      <c r="AN139" s="4">
        <f>SUMIFS(super1[Qtde],super1[Item],tab_higiene[[#This Row],[Item]],super1[Bairro],mercado4)+SUMIFS(supercb[Qtde],supercb[Item],tab_higiene[[#This Row],[Item]],supercb[Bairro],mercado4)</f>
        <v>0</v>
      </c>
      <c r="AO139" s="4">
        <f>SUMIFS(super1[Qtde],super1[Item],tab_higiene[[#This Row],[Item]],super1[Bairro],mercado5)+SUMIFS(supercb[Qtde],supercb[Item],tab_higiene[[#This Row],[Item]],supercb[Bairro],mercado5)</f>
        <v>0</v>
      </c>
      <c r="AP139" s="4">
        <f>SUMIFS(super1[Qtde],super1[Item],tab_higiene[[#This Row],[Item]],super1[Bairro],mercado6)+SUMIFS(supercb[Qtde],supercb[Item],tab_higiene[[#This Row],[Item]],supercb[Bairro],mercado6)</f>
        <v>0</v>
      </c>
      <c r="AQ139" s="4">
        <f>SUMIFS(super1[Qtde],super1[Item],tab_higiene[[#This Row],[Item]],super1[Bairro],mercado7)+SUMIFS(supercb[Qtde],supercb[Item],tab_higiene[[#This Row],[Item]],supercb[Bairro],mercado7)</f>
        <v>0</v>
      </c>
      <c r="AR139" s="4">
        <f>SUMIFS(super1[Qtde],super1[Item],tab_higiene[[#This Row],[Item]],super1[Bairro],mercado8)+SUMIFS(supercb[Qtde],supercb[Item],tab_higiene[[#This Row],[Item]],supercb[Bairro],mercado8)</f>
        <v>0</v>
      </c>
      <c r="AS139" s="4">
        <f>SUMIFS(super1[Qtde],super1[Item],tab_higiene[[#This Row],[Item]],super1[Bairro],mercado9)+SUMIFS(supercb[Qtde],supercb[Item],tab_higiene[[#This Row],[Item]],supercb[Bairro],mercado9)</f>
        <v>0</v>
      </c>
      <c r="AT139" s="4">
        <f>SUMIFS(super1[Qtde],super1[Item],tab_higiene[[#This Row],[Item]],super1[Bairro],mercado10)+SUMIFS(supercb[Qtde],supercb[Item],tab_higiene[[#This Row],[Item]],supercb[Bairro],mercado10)</f>
        <v>0</v>
      </c>
      <c r="AU139" s="4">
        <f>SUMIFS(super1[Qtde],super1[Item],tab_higiene[[#This Row],[Item]],super1[Bairro],mercado11)+SUMIFS(supercb[Qtde],supercb[Item],tab_higiene[[#This Row],[Item]],supercb[Bairro],mercado11)</f>
        <v>0</v>
      </c>
      <c r="AV139" s="4">
        <f>SUMIFS(super1[Qtde],super1[Item],tab_higiene[[#This Row],[Item]],super1[Bairro],mercado12)+SUMIFS(supercb[Qtde],supercb[Item],tab_higiene[[#This Row],[Item]],supercb[Bairro],mercado12)</f>
        <v>0</v>
      </c>
      <c r="AW139" s="4">
        <f>SUMIFS(super1[Qtde],super1[Item],tab_higiene[[#This Row],[Item]],super1[Bairro],mercado13)+SUMIFS(supercb[Qtde],supercb[Item],tab_higiene[[#This Row],[Item]],supercb[Bairro],mercado13)</f>
        <v>0</v>
      </c>
      <c r="AX139" s="4">
        <f>SUMIFS(super1[Qtde],super1[Item],tab_higiene[[#This Row],[Item]],super1[Bairro],mercado14)+SUMIFS(supercb[Qtde],supercb[Item],tab_higiene[[#This Row],[Item]],supercb[Bairro],mercado14)</f>
        <v>0</v>
      </c>
      <c r="AY139" s="4">
        <f>SUMIFS(super1[Qtde],super1[Item],tab_higiene[[#This Row],[Item]],super1[Bairro],mercado15)+SUMIFS(supercb[Qtde],supercb[Item],tab_higiene[[#This Row],[Item]],supercb[Bairro],mercado15)</f>
        <v>0</v>
      </c>
      <c r="AZ139" s="4">
        <f>SUMIFS(super1[Qtde],super1[Item],tab_higiene[[#This Row],[Item]],super1[Bairro],mercado16)+SUMIFS(supercb[Qtde],supercb[Item],tab_higiene[[#This Row],[Item]],supercb[Bairro],mercado16)</f>
        <v>0</v>
      </c>
      <c r="BA139" s="4">
        <f>SUMIFS(super1[Qtde],super1[Item],tab_higiene[[#This Row],[Item]],super1[Bairro],mercado17)+SUMIFS(supercb[Qtde],supercb[Item],tab_higiene[[#This Row],[Item]],supercb[Bairro],mercado17)</f>
        <v>0</v>
      </c>
      <c r="BB139" s="4">
        <f>SUMIFS(super1[Qtde],super1[Item],tab_higiene[[#This Row],[Item]],super1[Bairro],mercado18)+SUMIFS(supercb[Qtde],supercb[Item],tab_higiene[[#This Row],[Item]],supercb[Bairro],mercado18)</f>
        <v>0</v>
      </c>
      <c r="BC139" s="4">
        <f>SUMIFS(super1[Qtde],super1[Item],tab_higiene[[#This Row],[Item]],super1[Bairro],extras)+SUMIFS(supercb[Qtde],supercb[Item],tab_higiene[[#This Row],[Item]],supercb[Bairro],extras)</f>
        <v>0</v>
      </c>
      <c r="BD139" s="4">
        <f t="shared" ref="BD139:BD154" si="59">SUM(AK139:BB139)</f>
        <v>0</v>
      </c>
      <c r="BE139" s="4">
        <f t="shared" ref="BE139:BE154" si="60">IFERROR(BD139*AJ139,0)</f>
        <v>0</v>
      </c>
      <c r="BF139" s="6">
        <f t="shared" ref="BF139:BF154" si="61">IFERROR(AI139*BD139,0)</f>
        <v>0</v>
      </c>
      <c r="BI139" s="1" t="str">
        <f>tab_alimentos[[#This Row],[Item]]</f>
        <v>Bolo (300g)</v>
      </c>
      <c r="BJ139" s="1">
        <f t="shared" si="45"/>
        <v>5</v>
      </c>
      <c r="BK139" s="1" t="str">
        <f t="shared" si="46"/>
        <v>Bolo</v>
      </c>
      <c r="BL139" s="1">
        <f>tab_alimentos[[#This Row],[kg]]</f>
        <v>0</v>
      </c>
      <c r="BN139" s="1">
        <f t="shared" si="56"/>
        <v>0</v>
      </c>
      <c r="BP139" s="1" t="str">
        <f>tab_higiene[[#This Row],[Item]]</f>
        <v>I</v>
      </c>
      <c r="BQ139" s="1">
        <f t="shared" si="53"/>
        <v>0</v>
      </c>
      <c r="BR139" s="1" t="str">
        <f t="shared" si="54"/>
        <v>I</v>
      </c>
      <c r="BS139" s="1">
        <f>higiene[[#This Row],[Quantidade]]</f>
        <v>0</v>
      </c>
      <c r="BT139" s="1">
        <f>tab_higiene[[#This Row],[Qtde (tot)]]</f>
        <v>0</v>
      </c>
      <c r="BU139" s="1">
        <f t="shared" si="57"/>
        <v>0</v>
      </c>
      <c r="BW139" s="1">
        <f t="shared" si="58"/>
        <v>0</v>
      </c>
    </row>
    <row r="140" spans="9:75" x14ac:dyDescent="0.25">
      <c r="I140" s="19" t="str">
        <f>alimentos[[#This Row],[Item]]</f>
        <v>Bolo (380g)</v>
      </c>
      <c r="J140" s="4">
        <f>IFERROR(alimentos[[#This Row],[kg/embalagem]],0)</f>
        <v>0.38</v>
      </c>
      <c r="K140" s="4">
        <f>IFERROR(alimentos[[#This Row],[Preço]],0)</f>
        <v>17.989999999999998</v>
      </c>
      <c r="L140" s="4">
        <f>SUMIFS(super1[Qtde],super1[Item],tab_alimentos[[#This Row],[Item]],super1[Bairro],mercado1)+SUMIFS(supercb[Qtde],supercb[Item],tab_alimentos[[#This Row],[Item]],supercb[Bairro],mercado1)</f>
        <v>0</v>
      </c>
      <c r="M140" s="4">
        <f>SUMIFS(super1[Qtde],super1[Item],tab_alimentos[[#This Row],[Item]],super1[Bairro],mercado2)+SUMIFS(supercb[Qtde],supercb[Item],tab_alimentos[[#This Row],[Item]],supercb[Bairro],mercado2)</f>
        <v>0</v>
      </c>
      <c r="N140" s="4">
        <f>SUMIFS(super1[Qtde],super1[Item],tab_alimentos[[#This Row],[Item]],super1[Bairro],mercado3)+SUMIFS(supercb[Qtde],supercb[Item],tab_alimentos[[#This Row],[Item]],supercb[Bairro],mercado3)</f>
        <v>0</v>
      </c>
      <c r="O140" s="4">
        <f>SUMIFS(super1[Qtde],super1[Item],tab_alimentos[[#This Row],[Item]],super1[Bairro],mercado4)+SUMIFS(supercb[Qtde],supercb[Item],tab_alimentos[[#This Row],[Item]],supercb[Bairro],mercado4)</f>
        <v>0</v>
      </c>
      <c r="P140" s="4">
        <f>SUMIFS(super1[Qtde],super1[Item],tab_alimentos[[#This Row],[Item]],super1[Bairro],mercado5)+SUMIFS(supercb[Qtde],supercb[Item],tab_alimentos[[#This Row],[Item]],supercb[Bairro],mercado5)</f>
        <v>0</v>
      </c>
      <c r="Q140" s="4">
        <f>SUMIFS(super1[Qtde],super1[Item],tab_alimentos[[#This Row],[Item]],super1[Bairro],mercado6)+SUMIFS(supercb[Qtde],supercb[Item],tab_alimentos[[#This Row],[Item]],supercb[Bairro],mercado6)</f>
        <v>0</v>
      </c>
      <c r="R140" s="4">
        <f>SUMIFS(super1[Qtde],super1[Item],tab_alimentos[[#This Row],[Item]],super1[Bairro],mercado7)+SUMIFS(supercb[Qtde],supercb[Item],tab_alimentos[[#This Row],[Item]],supercb[Bairro],mercado7)</f>
        <v>0</v>
      </c>
      <c r="S140" s="4">
        <f>SUMIFS(super1[Qtde],super1[Item],tab_alimentos[[#This Row],[Item]],super1[Bairro],mercado8)+SUMIFS(supercb[Qtde],supercb[Item],tab_alimentos[[#This Row],[Item]],supercb[Bairro],mercado8)</f>
        <v>0</v>
      </c>
      <c r="T140" s="4">
        <f>SUMIFS(super1[Qtde],super1[Item],tab_alimentos[[#This Row],[Item]],super1[Bairro],mercado9)+SUMIFS(supercb[Qtde],supercb[Item],tab_alimentos[[#This Row],[Item]],supercb[Bairro],mercado9)</f>
        <v>0</v>
      </c>
      <c r="U140" s="4">
        <f>SUMIFS(super1[Qtde],super1[Item],tab_alimentos[[#This Row],[Item]],super1[Bairro],mercado10)+SUMIFS(supercb[Qtde],supercb[Item],tab_alimentos[[#This Row],[Item]],supercb[Bairro],mercado10)</f>
        <v>0</v>
      </c>
      <c r="V140" s="4">
        <f>SUMIFS(super1[Qtde],super1[Item],tab_alimentos[[#This Row],[Item]],super1[Bairro],mercado11)+SUMIFS(supercb[Qtde],supercb[Item],tab_alimentos[[#This Row],[Item]],supercb[Bairro],mercado11)</f>
        <v>0</v>
      </c>
      <c r="W140" s="4">
        <f>SUMIFS(super1[Qtde],super1[Item],tab_alimentos[[#This Row],[Item]],super1[Bairro],mercado12)+SUMIFS(supercb[Qtde],supercb[Item],tab_alimentos[[#This Row],[Item]],supercb[Bairro],mercado12)</f>
        <v>0</v>
      </c>
      <c r="X140" s="4">
        <f>SUMIFS(super1[Qtde],super1[Item],tab_alimentos[[#This Row],[Item]],super1[Bairro],mercado13)+SUMIFS(supercb[Qtde],supercb[Item],tab_alimentos[[#This Row],[Item]],supercb[Bairro],mercado13)</f>
        <v>0</v>
      </c>
      <c r="Y140" s="4">
        <f>SUMIFS(super1[Qtde],super1[Item],tab_alimentos[[#This Row],[Item]],super1[Bairro],mercado14)+SUMIFS(supercb[Qtde],supercb[Item],tab_alimentos[[#This Row],[Item]],supercb[Bairro],mercado14)</f>
        <v>0</v>
      </c>
      <c r="Z140" s="4">
        <f>SUMIFS(super1[Qtde],super1[Item],tab_alimentos[[#This Row],[Item]],super1[Bairro],mercado15)+SUMIFS(supercb[Qtde],supercb[Item],tab_alimentos[[#This Row],[Item]],supercb[Bairro],mercado15)</f>
        <v>0</v>
      </c>
      <c r="AA140" s="4">
        <f>SUMIFS(super1[Qtde],super1[Item],tab_alimentos[[#This Row],[Item]],super1[Bairro],mercado16)+SUMIFS(supercb[Qtde],supercb[Item],tab_alimentos[[#This Row],[Item]],supercb[Bairro],mercado16)</f>
        <v>0</v>
      </c>
      <c r="AB140" s="4">
        <f>SUMIFS(super1[Qtde],super1[Item],tab_alimentos[[#This Row],[Item]],super1[Bairro],mercado17)+SUMIFS(supercb[Qtde],supercb[Item],tab_alimentos[[#This Row],[Item]],supercb[Bairro],mercado17)</f>
        <v>0</v>
      </c>
      <c r="AC140" s="4">
        <f>SUMIFS(super1[Qtde],super1[Item],tab_alimentos[[#This Row],[Item]],super1[Bairro],mercado18)+SUMIFS(supercb[Qtde],supercb[Item],tab_alimentos[[#This Row],[Item]],supercb[Bairro],mercado18)</f>
        <v>0</v>
      </c>
      <c r="AD140" s="4">
        <f>SUMIFS(super1[Qtde],super1[Item],tab_alimentos[[#This Row],[Item]],super1[Bairro],extras)+SUMIFS(supercb[Qtde],supercb[Item],tab_alimentos[[#This Row],[Item]],supercb[Bairro],extras)</f>
        <v>0</v>
      </c>
      <c r="AE140" s="4">
        <f t="shared" si="47"/>
        <v>0</v>
      </c>
      <c r="AF140" s="4">
        <f t="shared" si="48"/>
        <v>0</v>
      </c>
      <c r="AG140" s="6">
        <f t="shared" si="49"/>
        <v>0</v>
      </c>
      <c r="AH140" s="19" t="str">
        <f>higiene[[#This Row],[Item]]</f>
        <v>J</v>
      </c>
      <c r="AI140" s="4">
        <f>IFERROR(higiene[[#This Row],[Kg equivalente]],0)</f>
        <v>0</v>
      </c>
      <c r="AJ140" s="4">
        <f>IFERROR(higiene[[#This Row],[Preço por produto]],0)</f>
        <v>0</v>
      </c>
      <c r="AK140" s="4">
        <f>SUMIFS(super1[Qtde],super1[Item],tab_higiene[[#This Row],[Item]],super1[Bairro],mercado1)+SUMIFS(supercb[Qtde],supercb[Item],tab_higiene[[#This Row],[Item]],supercb[Bairro],mercado1)</f>
        <v>0</v>
      </c>
      <c r="AL140" s="4">
        <f>SUMIFS(super1[Qtde],super1[Item],tab_higiene[[#This Row],[Item]],super1[Bairro],mercado2)+SUMIFS(supercb[Qtde],supercb[Item],tab_higiene[[#This Row],[Item]],supercb[Bairro],mercado2)</f>
        <v>0</v>
      </c>
      <c r="AM140" s="4">
        <f>SUMIFS(super1[Qtde],super1[Item],tab_higiene[[#This Row],[Item]],super1[Bairro],mercado3)+SUMIFS(supercb[Qtde],supercb[Item],tab_higiene[[#This Row],[Item]],supercb[Bairro],mercado3)</f>
        <v>0</v>
      </c>
      <c r="AN140" s="4">
        <f>SUMIFS(super1[Qtde],super1[Item],tab_higiene[[#This Row],[Item]],super1[Bairro],mercado4)+SUMIFS(supercb[Qtde],supercb[Item],tab_higiene[[#This Row],[Item]],supercb[Bairro],mercado4)</f>
        <v>0</v>
      </c>
      <c r="AO140" s="4">
        <f>SUMIFS(super1[Qtde],super1[Item],tab_higiene[[#This Row],[Item]],super1[Bairro],mercado5)+SUMIFS(supercb[Qtde],supercb[Item],tab_higiene[[#This Row],[Item]],supercb[Bairro],mercado5)</f>
        <v>0</v>
      </c>
      <c r="AP140" s="4">
        <f>SUMIFS(super1[Qtde],super1[Item],tab_higiene[[#This Row],[Item]],super1[Bairro],mercado6)+SUMIFS(supercb[Qtde],supercb[Item],tab_higiene[[#This Row],[Item]],supercb[Bairro],mercado6)</f>
        <v>0</v>
      </c>
      <c r="AQ140" s="4">
        <f>SUMIFS(super1[Qtde],super1[Item],tab_higiene[[#This Row],[Item]],super1[Bairro],mercado7)+SUMIFS(supercb[Qtde],supercb[Item],tab_higiene[[#This Row],[Item]],supercb[Bairro],mercado7)</f>
        <v>0</v>
      </c>
      <c r="AR140" s="4">
        <f>SUMIFS(super1[Qtde],super1[Item],tab_higiene[[#This Row],[Item]],super1[Bairro],mercado8)+SUMIFS(supercb[Qtde],supercb[Item],tab_higiene[[#This Row],[Item]],supercb[Bairro],mercado8)</f>
        <v>0</v>
      </c>
      <c r="AS140" s="4">
        <f>SUMIFS(super1[Qtde],super1[Item],tab_higiene[[#This Row],[Item]],super1[Bairro],mercado9)+SUMIFS(supercb[Qtde],supercb[Item],tab_higiene[[#This Row],[Item]],supercb[Bairro],mercado9)</f>
        <v>0</v>
      </c>
      <c r="AT140" s="4">
        <f>SUMIFS(super1[Qtde],super1[Item],tab_higiene[[#This Row],[Item]],super1[Bairro],mercado10)+SUMIFS(supercb[Qtde],supercb[Item],tab_higiene[[#This Row],[Item]],supercb[Bairro],mercado10)</f>
        <v>0</v>
      </c>
      <c r="AU140" s="4">
        <f>SUMIFS(super1[Qtde],super1[Item],tab_higiene[[#This Row],[Item]],super1[Bairro],mercado11)+SUMIFS(supercb[Qtde],supercb[Item],tab_higiene[[#This Row],[Item]],supercb[Bairro],mercado11)</f>
        <v>0</v>
      </c>
      <c r="AV140" s="4">
        <f>SUMIFS(super1[Qtde],super1[Item],tab_higiene[[#This Row],[Item]],super1[Bairro],mercado12)+SUMIFS(supercb[Qtde],supercb[Item],tab_higiene[[#This Row],[Item]],supercb[Bairro],mercado12)</f>
        <v>0</v>
      </c>
      <c r="AW140" s="4">
        <f>SUMIFS(super1[Qtde],super1[Item],tab_higiene[[#This Row],[Item]],super1[Bairro],mercado13)+SUMIFS(supercb[Qtde],supercb[Item],tab_higiene[[#This Row],[Item]],supercb[Bairro],mercado13)</f>
        <v>0</v>
      </c>
      <c r="AX140" s="4">
        <f>SUMIFS(super1[Qtde],super1[Item],tab_higiene[[#This Row],[Item]],super1[Bairro],mercado14)+SUMIFS(supercb[Qtde],supercb[Item],tab_higiene[[#This Row],[Item]],supercb[Bairro],mercado14)</f>
        <v>0</v>
      </c>
      <c r="AY140" s="4">
        <f>SUMIFS(super1[Qtde],super1[Item],tab_higiene[[#This Row],[Item]],super1[Bairro],mercado15)+SUMIFS(supercb[Qtde],supercb[Item],tab_higiene[[#This Row],[Item]],supercb[Bairro],mercado15)</f>
        <v>0</v>
      </c>
      <c r="AZ140" s="4">
        <f>SUMIFS(super1[Qtde],super1[Item],tab_higiene[[#This Row],[Item]],super1[Bairro],mercado16)+SUMIFS(supercb[Qtde],supercb[Item],tab_higiene[[#This Row],[Item]],supercb[Bairro],mercado16)</f>
        <v>0</v>
      </c>
      <c r="BA140" s="4">
        <f>SUMIFS(super1[Qtde],super1[Item],tab_higiene[[#This Row],[Item]],super1[Bairro],mercado17)+SUMIFS(supercb[Qtde],supercb[Item],tab_higiene[[#This Row],[Item]],supercb[Bairro],mercado17)</f>
        <v>0</v>
      </c>
      <c r="BB140" s="4">
        <f>SUMIFS(super1[Qtde],super1[Item],tab_higiene[[#This Row],[Item]],super1[Bairro],mercado18)+SUMIFS(supercb[Qtde],supercb[Item],tab_higiene[[#This Row],[Item]],supercb[Bairro],mercado18)</f>
        <v>0</v>
      </c>
      <c r="BC140" s="4">
        <f>SUMIFS(super1[Qtde],super1[Item],tab_higiene[[#This Row],[Item]],super1[Bairro],extras)+SUMIFS(supercb[Qtde],supercb[Item],tab_higiene[[#This Row],[Item]],supercb[Bairro],extras)</f>
        <v>0</v>
      </c>
      <c r="BD140" s="4">
        <f t="shared" si="59"/>
        <v>0</v>
      </c>
      <c r="BE140" s="4">
        <f t="shared" si="60"/>
        <v>0</v>
      </c>
      <c r="BF140" s="6">
        <f t="shared" si="61"/>
        <v>0</v>
      </c>
      <c r="BI140" s="1" t="str">
        <f>tab_alimentos[[#This Row],[Item]]</f>
        <v>Bolo (380g)</v>
      </c>
      <c r="BJ140" s="1">
        <f t="shared" si="45"/>
        <v>5</v>
      </c>
      <c r="BK140" s="1" t="str">
        <f t="shared" si="46"/>
        <v>Bolo</v>
      </c>
      <c r="BL140" s="1">
        <f>tab_alimentos[[#This Row],[kg]]</f>
        <v>0</v>
      </c>
      <c r="BN140" s="1">
        <f t="shared" si="56"/>
        <v>0</v>
      </c>
      <c r="BP140" s="1" t="str">
        <f>tab_higiene[[#This Row],[Item]]</f>
        <v>J</v>
      </c>
      <c r="BQ140" s="1">
        <f t="shared" si="53"/>
        <v>0</v>
      </c>
      <c r="BR140" s="1" t="str">
        <f t="shared" si="54"/>
        <v>J</v>
      </c>
      <c r="BS140" s="1">
        <f>higiene[[#This Row],[Quantidade]]</f>
        <v>0</v>
      </c>
      <c r="BT140" s="1">
        <f>tab_higiene[[#This Row],[Qtde (tot)]]</f>
        <v>0</v>
      </c>
      <c r="BU140" s="1">
        <f t="shared" si="57"/>
        <v>0</v>
      </c>
      <c r="BW140" s="1">
        <f t="shared" si="58"/>
        <v>0</v>
      </c>
    </row>
    <row r="141" spans="9:75" x14ac:dyDescent="0.25">
      <c r="I141" s="19" t="str">
        <f>alimentos[[#This Row],[Item]]</f>
        <v>Bolo (400g)</v>
      </c>
      <c r="J141" s="4">
        <f>IFERROR(alimentos[[#This Row],[kg/embalagem]],0)</f>
        <v>0.4</v>
      </c>
      <c r="K141" s="4">
        <f>IFERROR(alimentos[[#This Row],[Preço]],0)</f>
        <v>15.99</v>
      </c>
      <c r="L141" s="4">
        <f>SUMIFS(super1[Qtde],super1[Item],tab_alimentos[[#This Row],[Item]],super1[Bairro],mercado1)+SUMIFS(supercb[Qtde],supercb[Item],tab_alimentos[[#This Row],[Item]],supercb[Bairro],mercado1)</f>
        <v>0</v>
      </c>
      <c r="M141" s="4">
        <f>SUMIFS(super1[Qtde],super1[Item],tab_alimentos[[#This Row],[Item]],super1[Bairro],mercado2)+SUMIFS(supercb[Qtde],supercb[Item],tab_alimentos[[#This Row],[Item]],supercb[Bairro],mercado2)</f>
        <v>0</v>
      </c>
      <c r="N141" s="4">
        <f>SUMIFS(super1[Qtde],super1[Item],tab_alimentos[[#This Row],[Item]],super1[Bairro],mercado3)+SUMIFS(supercb[Qtde],supercb[Item],tab_alimentos[[#This Row],[Item]],supercb[Bairro],mercado3)</f>
        <v>0</v>
      </c>
      <c r="O141" s="4">
        <f>SUMIFS(super1[Qtde],super1[Item],tab_alimentos[[#This Row],[Item]],super1[Bairro],mercado4)+SUMIFS(supercb[Qtde],supercb[Item],tab_alimentos[[#This Row],[Item]],supercb[Bairro],mercado4)</f>
        <v>0</v>
      </c>
      <c r="P141" s="4">
        <f>SUMIFS(super1[Qtde],super1[Item],tab_alimentos[[#This Row],[Item]],super1[Bairro],mercado5)+SUMIFS(supercb[Qtde],supercb[Item],tab_alimentos[[#This Row],[Item]],supercb[Bairro],mercado5)</f>
        <v>0</v>
      </c>
      <c r="Q141" s="4">
        <f>SUMIFS(super1[Qtde],super1[Item],tab_alimentos[[#This Row],[Item]],super1[Bairro],mercado6)+SUMIFS(supercb[Qtde],supercb[Item],tab_alimentos[[#This Row],[Item]],supercb[Bairro],mercado6)</f>
        <v>0</v>
      </c>
      <c r="R141" s="4">
        <f>SUMIFS(super1[Qtde],super1[Item],tab_alimentos[[#This Row],[Item]],super1[Bairro],mercado7)+SUMIFS(supercb[Qtde],supercb[Item],tab_alimentos[[#This Row],[Item]],supercb[Bairro],mercado7)</f>
        <v>0</v>
      </c>
      <c r="S141" s="4">
        <f>SUMIFS(super1[Qtde],super1[Item],tab_alimentos[[#This Row],[Item]],super1[Bairro],mercado8)+SUMIFS(supercb[Qtde],supercb[Item],tab_alimentos[[#This Row],[Item]],supercb[Bairro],mercado8)</f>
        <v>0</v>
      </c>
      <c r="T141" s="4">
        <f>SUMIFS(super1[Qtde],super1[Item],tab_alimentos[[#This Row],[Item]],super1[Bairro],mercado9)+SUMIFS(supercb[Qtde],supercb[Item],tab_alimentos[[#This Row],[Item]],supercb[Bairro],mercado9)</f>
        <v>0</v>
      </c>
      <c r="U141" s="4">
        <f>SUMIFS(super1[Qtde],super1[Item],tab_alimentos[[#This Row],[Item]],super1[Bairro],mercado10)+SUMIFS(supercb[Qtde],supercb[Item],tab_alimentos[[#This Row],[Item]],supercb[Bairro],mercado10)</f>
        <v>0</v>
      </c>
      <c r="V141" s="4">
        <f>SUMIFS(super1[Qtde],super1[Item],tab_alimentos[[#This Row],[Item]],super1[Bairro],mercado11)+SUMIFS(supercb[Qtde],supercb[Item],tab_alimentos[[#This Row],[Item]],supercb[Bairro],mercado11)</f>
        <v>0</v>
      </c>
      <c r="W141" s="4">
        <f>SUMIFS(super1[Qtde],super1[Item],tab_alimentos[[#This Row],[Item]],super1[Bairro],mercado12)+SUMIFS(supercb[Qtde],supercb[Item],tab_alimentos[[#This Row],[Item]],supercb[Bairro],mercado12)</f>
        <v>0</v>
      </c>
      <c r="X141" s="4">
        <f>SUMIFS(super1[Qtde],super1[Item],tab_alimentos[[#This Row],[Item]],super1[Bairro],mercado13)+SUMIFS(supercb[Qtde],supercb[Item],tab_alimentos[[#This Row],[Item]],supercb[Bairro],mercado13)</f>
        <v>0</v>
      </c>
      <c r="Y141" s="4">
        <f>SUMIFS(super1[Qtde],super1[Item],tab_alimentos[[#This Row],[Item]],super1[Bairro],mercado14)+SUMIFS(supercb[Qtde],supercb[Item],tab_alimentos[[#This Row],[Item]],supercb[Bairro],mercado14)</f>
        <v>0</v>
      </c>
      <c r="Z141" s="4">
        <f>SUMIFS(super1[Qtde],super1[Item],tab_alimentos[[#This Row],[Item]],super1[Bairro],mercado15)+SUMIFS(supercb[Qtde],supercb[Item],tab_alimentos[[#This Row],[Item]],supercb[Bairro],mercado15)</f>
        <v>0</v>
      </c>
      <c r="AA141" s="4">
        <f>SUMIFS(super1[Qtde],super1[Item],tab_alimentos[[#This Row],[Item]],super1[Bairro],mercado16)+SUMIFS(supercb[Qtde],supercb[Item],tab_alimentos[[#This Row],[Item]],supercb[Bairro],mercado16)</f>
        <v>0</v>
      </c>
      <c r="AB141" s="4">
        <f>SUMIFS(super1[Qtde],super1[Item],tab_alimentos[[#This Row],[Item]],super1[Bairro],mercado17)+SUMIFS(supercb[Qtde],supercb[Item],tab_alimentos[[#This Row],[Item]],supercb[Bairro],mercado17)</f>
        <v>0</v>
      </c>
      <c r="AC141" s="4">
        <f>SUMIFS(super1[Qtde],super1[Item],tab_alimentos[[#This Row],[Item]],super1[Bairro],mercado18)+SUMIFS(supercb[Qtde],supercb[Item],tab_alimentos[[#This Row],[Item]],supercb[Bairro],mercado18)</f>
        <v>0</v>
      </c>
      <c r="AD141" s="4">
        <f>SUMIFS(super1[Qtde],super1[Item],tab_alimentos[[#This Row],[Item]],super1[Bairro],extras)+SUMIFS(supercb[Qtde],supercb[Item],tab_alimentos[[#This Row],[Item]],supercb[Bairro],extras)</f>
        <v>0</v>
      </c>
      <c r="AE141" s="4">
        <f t="shared" si="47"/>
        <v>0</v>
      </c>
      <c r="AF141" s="4">
        <f t="shared" si="48"/>
        <v>0</v>
      </c>
      <c r="AG141" s="6">
        <f t="shared" si="49"/>
        <v>0</v>
      </c>
      <c r="AH141" s="19" t="str">
        <f>higiene[[#This Row],[Item]]</f>
        <v>Kit Shampoo e Condicionador</v>
      </c>
      <c r="AI141" s="4">
        <f>IFERROR(higiene[[#This Row],[Kg equivalente]],0)</f>
        <v>0</v>
      </c>
      <c r="AJ141" s="4">
        <f>IFERROR(higiene[[#This Row],[Preço por produto]],0)</f>
        <v>18.399999999999999</v>
      </c>
      <c r="AK141" s="4">
        <f>SUMIFS(super1[Qtde],super1[Item],tab_higiene[[#This Row],[Item]],super1[Bairro],mercado1)+SUMIFS(supercb[Qtde],supercb[Item],tab_higiene[[#This Row],[Item]],supercb[Bairro],mercado1)</f>
        <v>0</v>
      </c>
      <c r="AL141" s="4">
        <f>SUMIFS(super1[Qtde],super1[Item],tab_higiene[[#This Row],[Item]],super1[Bairro],mercado2)+SUMIFS(supercb[Qtde],supercb[Item],tab_higiene[[#This Row],[Item]],supercb[Bairro],mercado2)</f>
        <v>0</v>
      </c>
      <c r="AM141" s="4">
        <f>SUMIFS(super1[Qtde],super1[Item],tab_higiene[[#This Row],[Item]],super1[Bairro],mercado3)+SUMIFS(supercb[Qtde],supercb[Item],tab_higiene[[#This Row],[Item]],supercb[Bairro],mercado3)</f>
        <v>0</v>
      </c>
      <c r="AN141" s="4">
        <f>SUMIFS(super1[Qtde],super1[Item],tab_higiene[[#This Row],[Item]],super1[Bairro],mercado4)+SUMIFS(supercb[Qtde],supercb[Item],tab_higiene[[#This Row],[Item]],supercb[Bairro],mercado4)</f>
        <v>0</v>
      </c>
      <c r="AO141" s="4">
        <f>SUMIFS(super1[Qtde],super1[Item],tab_higiene[[#This Row],[Item]],super1[Bairro],mercado5)+SUMIFS(supercb[Qtde],supercb[Item],tab_higiene[[#This Row],[Item]],supercb[Bairro],mercado5)</f>
        <v>0</v>
      </c>
      <c r="AP141" s="4">
        <f>SUMIFS(super1[Qtde],super1[Item],tab_higiene[[#This Row],[Item]],super1[Bairro],mercado6)+SUMIFS(supercb[Qtde],supercb[Item],tab_higiene[[#This Row],[Item]],supercb[Bairro],mercado6)</f>
        <v>0</v>
      </c>
      <c r="AQ141" s="4">
        <f>SUMIFS(super1[Qtde],super1[Item],tab_higiene[[#This Row],[Item]],super1[Bairro],mercado7)+SUMIFS(supercb[Qtde],supercb[Item],tab_higiene[[#This Row],[Item]],supercb[Bairro],mercado7)</f>
        <v>0</v>
      </c>
      <c r="AR141" s="4">
        <f>SUMIFS(super1[Qtde],super1[Item],tab_higiene[[#This Row],[Item]],super1[Bairro],mercado8)+SUMIFS(supercb[Qtde],supercb[Item],tab_higiene[[#This Row],[Item]],supercb[Bairro],mercado8)</f>
        <v>0</v>
      </c>
      <c r="AS141" s="4">
        <f>SUMIFS(super1[Qtde],super1[Item],tab_higiene[[#This Row],[Item]],super1[Bairro],mercado9)+SUMIFS(supercb[Qtde],supercb[Item],tab_higiene[[#This Row],[Item]],supercb[Bairro],mercado9)</f>
        <v>0</v>
      </c>
      <c r="AT141" s="4">
        <f>SUMIFS(super1[Qtde],super1[Item],tab_higiene[[#This Row],[Item]],super1[Bairro],mercado10)+SUMIFS(supercb[Qtde],supercb[Item],tab_higiene[[#This Row],[Item]],supercb[Bairro],mercado10)</f>
        <v>0</v>
      </c>
      <c r="AU141" s="4">
        <f>SUMIFS(super1[Qtde],super1[Item],tab_higiene[[#This Row],[Item]],super1[Bairro],mercado11)+SUMIFS(supercb[Qtde],supercb[Item],tab_higiene[[#This Row],[Item]],supercb[Bairro],mercado11)</f>
        <v>0</v>
      </c>
      <c r="AV141" s="4">
        <f>SUMIFS(super1[Qtde],super1[Item],tab_higiene[[#This Row],[Item]],super1[Bairro],mercado12)+SUMIFS(supercb[Qtde],supercb[Item],tab_higiene[[#This Row],[Item]],supercb[Bairro],mercado12)</f>
        <v>0</v>
      </c>
      <c r="AW141" s="4">
        <f>SUMIFS(super1[Qtde],super1[Item],tab_higiene[[#This Row],[Item]],super1[Bairro],mercado13)+SUMIFS(supercb[Qtde],supercb[Item],tab_higiene[[#This Row],[Item]],supercb[Bairro],mercado13)</f>
        <v>0</v>
      </c>
      <c r="AX141" s="4">
        <f>SUMIFS(super1[Qtde],super1[Item],tab_higiene[[#This Row],[Item]],super1[Bairro],mercado14)+SUMIFS(supercb[Qtde],supercb[Item],tab_higiene[[#This Row],[Item]],supercb[Bairro],mercado14)</f>
        <v>0</v>
      </c>
      <c r="AY141" s="4">
        <f>SUMIFS(super1[Qtde],super1[Item],tab_higiene[[#This Row],[Item]],super1[Bairro],mercado15)+SUMIFS(supercb[Qtde],supercb[Item],tab_higiene[[#This Row],[Item]],supercb[Bairro],mercado15)</f>
        <v>0</v>
      </c>
      <c r="AZ141" s="4">
        <f>SUMIFS(super1[Qtde],super1[Item],tab_higiene[[#This Row],[Item]],super1[Bairro],mercado16)+SUMIFS(supercb[Qtde],supercb[Item],tab_higiene[[#This Row],[Item]],supercb[Bairro],mercado16)</f>
        <v>0</v>
      </c>
      <c r="BA141" s="4">
        <f>SUMIFS(super1[Qtde],super1[Item],tab_higiene[[#This Row],[Item]],super1[Bairro],mercado17)+SUMIFS(supercb[Qtde],supercb[Item],tab_higiene[[#This Row],[Item]],supercb[Bairro],mercado17)</f>
        <v>0</v>
      </c>
      <c r="BB141" s="4">
        <f>SUMIFS(super1[Qtde],super1[Item],tab_higiene[[#This Row],[Item]],super1[Bairro],mercado18)+SUMIFS(supercb[Qtde],supercb[Item],tab_higiene[[#This Row],[Item]],supercb[Bairro],mercado18)</f>
        <v>0</v>
      </c>
      <c r="BC141" s="4">
        <f>SUMIFS(super1[Qtde],super1[Item],tab_higiene[[#This Row],[Item]],super1[Bairro],extras)+SUMIFS(supercb[Qtde],supercb[Item],tab_higiene[[#This Row],[Item]],supercb[Bairro],extras)</f>
        <v>0</v>
      </c>
      <c r="BD141" s="4">
        <f t="shared" si="59"/>
        <v>0</v>
      </c>
      <c r="BE141" s="4">
        <f t="shared" si="60"/>
        <v>0</v>
      </c>
      <c r="BF141" s="6">
        <f t="shared" si="61"/>
        <v>0</v>
      </c>
      <c r="BI141" s="1" t="str">
        <f>tab_alimentos[[#This Row],[Item]]</f>
        <v>Bolo (400g)</v>
      </c>
      <c r="BJ141" s="1">
        <f t="shared" si="45"/>
        <v>5</v>
      </c>
      <c r="BK141" s="1" t="str">
        <f t="shared" si="46"/>
        <v>Bolo</v>
      </c>
      <c r="BL141" s="1">
        <f>tab_alimentos[[#This Row],[kg]]</f>
        <v>0</v>
      </c>
      <c r="BN141" s="1">
        <f t="shared" si="56"/>
        <v>0</v>
      </c>
      <c r="BP141" s="1" t="str">
        <f>tab_higiene[[#This Row],[Item]]</f>
        <v>Kit Shampoo e Condicionador</v>
      </c>
      <c r="BQ141" s="1">
        <f t="shared" si="53"/>
        <v>0</v>
      </c>
      <c r="BR141" s="1" t="str">
        <f t="shared" si="54"/>
        <v>Kit Shampoo e Condicionador</v>
      </c>
      <c r="BS141" s="1">
        <f>higiene[[#This Row],[Quantidade]]</f>
        <v>1</v>
      </c>
      <c r="BT141" s="1">
        <f>tab_higiene[[#This Row],[Qtde (tot)]]</f>
        <v>0</v>
      </c>
      <c r="BU141" s="1">
        <f t="shared" si="57"/>
        <v>0</v>
      </c>
      <c r="BW141" s="1">
        <f t="shared" si="58"/>
        <v>0</v>
      </c>
    </row>
    <row r="142" spans="9:75" x14ac:dyDescent="0.25">
      <c r="I142" s="19" t="str">
        <f>alimentos[[#This Row],[Item]]</f>
        <v>Bolo (450g)</v>
      </c>
      <c r="J142" s="4">
        <f>IFERROR(alimentos[[#This Row],[kg/embalagem]],0)</f>
        <v>0.45</v>
      </c>
      <c r="K142" s="4">
        <f>IFERROR(alimentos[[#This Row],[Preço]],0)</f>
        <v>6.88</v>
      </c>
      <c r="L142" s="4">
        <f>SUMIFS(super1[Qtde],super1[Item],tab_alimentos[[#This Row],[Item]],super1[Bairro],mercado1)+SUMIFS(supercb[Qtde],supercb[Item],tab_alimentos[[#This Row],[Item]],supercb[Bairro],mercado1)</f>
        <v>0</v>
      </c>
      <c r="M142" s="4">
        <f>SUMIFS(super1[Qtde],super1[Item],tab_alimentos[[#This Row],[Item]],super1[Bairro],mercado2)+SUMIFS(supercb[Qtde],supercb[Item],tab_alimentos[[#This Row],[Item]],supercb[Bairro],mercado2)</f>
        <v>0</v>
      </c>
      <c r="N142" s="4">
        <f>SUMIFS(super1[Qtde],super1[Item],tab_alimentos[[#This Row],[Item]],super1[Bairro],mercado3)+SUMIFS(supercb[Qtde],supercb[Item],tab_alimentos[[#This Row],[Item]],supercb[Bairro],mercado3)</f>
        <v>0</v>
      </c>
      <c r="O142" s="4">
        <f>SUMIFS(super1[Qtde],super1[Item],tab_alimentos[[#This Row],[Item]],super1[Bairro],mercado4)+SUMIFS(supercb[Qtde],supercb[Item],tab_alimentos[[#This Row],[Item]],supercb[Bairro],mercado4)</f>
        <v>0</v>
      </c>
      <c r="P142" s="4">
        <f>SUMIFS(super1[Qtde],super1[Item],tab_alimentos[[#This Row],[Item]],super1[Bairro],mercado5)+SUMIFS(supercb[Qtde],supercb[Item],tab_alimentos[[#This Row],[Item]],supercb[Bairro],mercado5)</f>
        <v>0</v>
      </c>
      <c r="Q142" s="4">
        <f>SUMIFS(super1[Qtde],super1[Item],tab_alimentos[[#This Row],[Item]],super1[Bairro],mercado6)+SUMIFS(supercb[Qtde],supercb[Item],tab_alimentos[[#This Row],[Item]],supercb[Bairro],mercado6)</f>
        <v>0</v>
      </c>
      <c r="R142" s="4">
        <f>SUMIFS(super1[Qtde],super1[Item],tab_alimentos[[#This Row],[Item]],super1[Bairro],mercado7)+SUMIFS(supercb[Qtde],supercb[Item],tab_alimentos[[#This Row],[Item]],supercb[Bairro],mercado7)</f>
        <v>0</v>
      </c>
      <c r="S142" s="4">
        <f>SUMIFS(super1[Qtde],super1[Item],tab_alimentos[[#This Row],[Item]],super1[Bairro],mercado8)+SUMIFS(supercb[Qtde],supercb[Item],tab_alimentos[[#This Row],[Item]],supercb[Bairro],mercado8)</f>
        <v>0</v>
      </c>
      <c r="T142" s="4">
        <f>SUMIFS(super1[Qtde],super1[Item],tab_alimentos[[#This Row],[Item]],super1[Bairro],mercado9)+SUMIFS(supercb[Qtde],supercb[Item],tab_alimentos[[#This Row],[Item]],supercb[Bairro],mercado9)</f>
        <v>0</v>
      </c>
      <c r="U142" s="4">
        <f>SUMIFS(super1[Qtde],super1[Item],tab_alimentos[[#This Row],[Item]],super1[Bairro],mercado10)+SUMIFS(supercb[Qtde],supercb[Item],tab_alimentos[[#This Row],[Item]],supercb[Bairro],mercado10)</f>
        <v>0</v>
      </c>
      <c r="V142" s="4">
        <f>SUMIFS(super1[Qtde],super1[Item],tab_alimentos[[#This Row],[Item]],super1[Bairro],mercado11)+SUMIFS(supercb[Qtde],supercb[Item],tab_alimentos[[#This Row],[Item]],supercb[Bairro],mercado11)</f>
        <v>0</v>
      </c>
      <c r="W142" s="4">
        <f>SUMIFS(super1[Qtde],super1[Item],tab_alimentos[[#This Row],[Item]],super1[Bairro],mercado12)+SUMIFS(supercb[Qtde],supercb[Item],tab_alimentos[[#This Row],[Item]],supercb[Bairro],mercado12)</f>
        <v>0</v>
      </c>
      <c r="X142" s="4">
        <f>SUMIFS(super1[Qtde],super1[Item],tab_alimentos[[#This Row],[Item]],super1[Bairro],mercado13)+SUMIFS(supercb[Qtde],supercb[Item],tab_alimentos[[#This Row],[Item]],supercb[Bairro],mercado13)</f>
        <v>0</v>
      </c>
      <c r="Y142" s="4">
        <f>SUMIFS(super1[Qtde],super1[Item],tab_alimentos[[#This Row],[Item]],super1[Bairro],mercado14)+SUMIFS(supercb[Qtde],supercb[Item],tab_alimentos[[#This Row],[Item]],supercb[Bairro],mercado14)</f>
        <v>0</v>
      </c>
      <c r="Z142" s="4">
        <f>SUMIFS(super1[Qtde],super1[Item],tab_alimentos[[#This Row],[Item]],super1[Bairro],mercado15)+SUMIFS(supercb[Qtde],supercb[Item],tab_alimentos[[#This Row],[Item]],supercb[Bairro],mercado15)</f>
        <v>0</v>
      </c>
      <c r="AA142" s="4">
        <f>SUMIFS(super1[Qtde],super1[Item],tab_alimentos[[#This Row],[Item]],super1[Bairro],mercado16)+SUMIFS(supercb[Qtde],supercb[Item],tab_alimentos[[#This Row],[Item]],supercb[Bairro],mercado16)</f>
        <v>0</v>
      </c>
      <c r="AB142" s="4">
        <f>SUMIFS(super1[Qtde],super1[Item],tab_alimentos[[#This Row],[Item]],super1[Bairro],mercado17)+SUMIFS(supercb[Qtde],supercb[Item],tab_alimentos[[#This Row],[Item]],supercb[Bairro],mercado17)</f>
        <v>0</v>
      </c>
      <c r="AC142" s="4">
        <f>SUMIFS(super1[Qtde],super1[Item],tab_alimentos[[#This Row],[Item]],super1[Bairro],mercado18)+SUMIFS(supercb[Qtde],supercb[Item],tab_alimentos[[#This Row],[Item]],supercb[Bairro],mercado18)</f>
        <v>0</v>
      </c>
      <c r="AD142" s="4">
        <f>SUMIFS(super1[Qtde],super1[Item],tab_alimentos[[#This Row],[Item]],super1[Bairro],extras)+SUMIFS(supercb[Qtde],supercb[Item],tab_alimentos[[#This Row],[Item]],supercb[Bairro],extras)</f>
        <v>0</v>
      </c>
      <c r="AE142" s="4">
        <f t="shared" si="47"/>
        <v>0</v>
      </c>
      <c r="AF142" s="4">
        <f t="shared" si="48"/>
        <v>0</v>
      </c>
      <c r="AG142" s="6">
        <f t="shared" si="49"/>
        <v>0</v>
      </c>
      <c r="AH142" s="19" t="str">
        <f>higiene[[#This Row],[Item]]</f>
        <v>L</v>
      </c>
      <c r="AI142" s="4">
        <f>IFERROR(higiene[[#This Row],[Kg equivalente]],0)</f>
        <v>0</v>
      </c>
      <c r="AJ142" s="4">
        <f>IFERROR(higiene[[#This Row],[Preço por produto]],0)</f>
        <v>0</v>
      </c>
      <c r="AK142" s="4">
        <f>SUMIFS(super1[Qtde],super1[Item],tab_higiene[[#This Row],[Item]],super1[Bairro],mercado1)+SUMIFS(supercb[Qtde],supercb[Item],tab_higiene[[#This Row],[Item]],supercb[Bairro],mercado1)</f>
        <v>0</v>
      </c>
      <c r="AL142" s="4">
        <f>SUMIFS(super1[Qtde],super1[Item],tab_higiene[[#This Row],[Item]],super1[Bairro],mercado2)+SUMIFS(supercb[Qtde],supercb[Item],tab_higiene[[#This Row],[Item]],supercb[Bairro],mercado2)</f>
        <v>0</v>
      </c>
      <c r="AM142" s="4">
        <f>SUMIFS(super1[Qtde],super1[Item],tab_higiene[[#This Row],[Item]],super1[Bairro],mercado3)+SUMIFS(supercb[Qtde],supercb[Item],tab_higiene[[#This Row],[Item]],supercb[Bairro],mercado3)</f>
        <v>0</v>
      </c>
      <c r="AN142" s="4">
        <f>SUMIFS(super1[Qtde],super1[Item],tab_higiene[[#This Row],[Item]],super1[Bairro],mercado4)+SUMIFS(supercb[Qtde],supercb[Item],tab_higiene[[#This Row],[Item]],supercb[Bairro],mercado4)</f>
        <v>0</v>
      </c>
      <c r="AO142" s="4">
        <f>SUMIFS(super1[Qtde],super1[Item],tab_higiene[[#This Row],[Item]],super1[Bairro],mercado5)+SUMIFS(supercb[Qtde],supercb[Item],tab_higiene[[#This Row],[Item]],supercb[Bairro],mercado5)</f>
        <v>0</v>
      </c>
      <c r="AP142" s="4">
        <f>SUMIFS(super1[Qtde],super1[Item],tab_higiene[[#This Row],[Item]],super1[Bairro],mercado6)+SUMIFS(supercb[Qtde],supercb[Item],tab_higiene[[#This Row],[Item]],supercb[Bairro],mercado6)</f>
        <v>0</v>
      </c>
      <c r="AQ142" s="4">
        <f>SUMIFS(super1[Qtde],super1[Item],tab_higiene[[#This Row],[Item]],super1[Bairro],mercado7)+SUMIFS(supercb[Qtde],supercb[Item],tab_higiene[[#This Row],[Item]],supercb[Bairro],mercado7)</f>
        <v>0</v>
      </c>
      <c r="AR142" s="4">
        <f>SUMIFS(super1[Qtde],super1[Item],tab_higiene[[#This Row],[Item]],super1[Bairro],mercado8)+SUMIFS(supercb[Qtde],supercb[Item],tab_higiene[[#This Row],[Item]],supercb[Bairro],mercado8)</f>
        <v>0</v>
      </c>
      <c r="AS142" s="4">
        <f>SUMIFS(super1[Qtde],super1[Item],tab_higiene[[#This Row],[Item]],super1[Bairro],mercado9)+SUMIFS(supercb[Qtde],supercb[Item],tab_higiene[[#This Row],[Item]],supercb[Bairro],mercado9)</f>
        <v>0</v>
      </c>
      <c r="AT142" s="4">
        <f>SUMIFS(super1[Qtde],super1[Item],tab_higiene[[#This Row],[Item]],super1[Bairro],mercado10)+SUMIFS(supercb[Qtde],supercb[Item],tab_higiene[[#This Row],[Item]],supercb[Bairro],mercado10)</f>
        <v>0</v>
      </c>
      <c r="AU142" s="4">
        <f>SUMIFS(super1[Qtde],super1[Item],tab_higiene[[#This Row],[Item]],super1[Bairro],mercado11)+SUMIFS(supercb[Qtde],supercb[Item],tab_higiene[[#This Row],[Item]],supercb[Bairro],mercado11)</f>
        <v>0</v>
      </c>
      <c r="AV142" s="4">
        <f>SUMIFS(super1[Qtde],super1[Item],tab_higiene[[#This Row],[Item]],super1[Bairro],mercado12)+SUMIFS(supercb[Qtde],supercb[Item],tab_higiene[[#This Row],[Item]],supercb[Bairro],mercado12)</f>
        <v>0</v>
      </c>
      <c r="AW142" s="4">
        <f>SUMIFS(super1[Qtde],super1[Item],tab_higiene[[#This Row],[Item]],super1[Bairro],mercado13)+SUMIFS(supercb[Qtde],supercb[Item],tab_higiene[[#This Row],[Item]],supercb[Bairro],mercado13)</f>
        <v>0</v>
      </c>
      <c r="AX142" s="4">
        <f>SUMIFS(super1[Qtde],super1[Item],tab_higiene[[#This Row],[Item]],super1[Bairro],mercado14)+SUMIFS(supercb[Qtde],supercb[Item],tab_higiene[[#This Row],[Item]],supercb[Bairro],mercado14)</f>
        <v>0</v>
      </c>
      <c r="AY142" s="4">
        <f>SUMIFS(super1[Qtde],super1[Item],tab_higiene[[#This Row],[Item]],super1[Bairro],mercado15)+SUMIFS(supercb[Qtde],supercb[Item],tab_higiene[[#This Row],[Item]],supercb[Bairro],mercado15)</f>
        <v>0</v>
      </c>
      <c r="AZ142" s="4">
        <f>SUMIFS(super1[Qtde],super1[Item],tab_higiene[[#This Row],[Item]],super1[Bairro],mercado16)+SUMIFS(supercb[Qtde],supercb[Item],tab_higiene[[#This Row],[Item]],supercb[Bairro],mercado16)</f>
        <v>0</v>
      </c>
      <c r="BA142" s="4">
        <f>SUMIFS(super1[Qtde],super1[Item],tab_higiene[[#This Row],[Item]],super1[Bairro],mercado17)+SUMIFS(supercb[Qtde],supercb[Item],tab_higiene[[#This Row],[Item]],supercb[Bairro],mercado17)</f>
        <v>0</v>
      </c>
      <c r="BB142" s="4">
        <f>SUMIFS(super1[Qtde],super1[Item],tab_higiene[[#This Row],[Item]],super1[Bairro],mercado18)+SUMIFS(supercb[Qtde],supercb[Item],tab_higiene[[#This Row],[Item]],supercb[Bairro],mercado18)</f>
        <v>0</v>
      </c>
      <c r="BC142" s="4">
        <f>SUMIFS(super1[Qtde],super1[Item],tab_higiene[[#This Row],[Item]],super1[Bairro],extras)+SUMIFS(supercb[Qtde],supercb[Item],tab_higiene[[#This Row],[Item]],supercb[Bairro],extras)</f>
        <v>0</v>
      </c>
      <c r="BD142" s="4">
        <f t="shared" si="59"/>
        <v>0</v>
      </c>
      <c r="BE142" s="4">
        <f t="shared" si="60"/>
        <v>0</v>
      </c>
      <c r="BF142" s="6">
        <f t="shared" si="61"/>
        <v>0</v>
      </c>
      <c r="BI142" s="1" t="str">
        <f>tab_alimentos[[#This Row],[Item]]</f>
        <v>Bolo (450g)</v>
      </c>
      <c r="BJ142" s="1">
        <f t="shared" si="45"/>
        <v>5</v>
      </c>
      <c r="BK142" s="1" t="str">
        <f t="shared" si="46"/>
        <v>Bolo</v>
      </c>
      <c r="BL142" s="1">
        <f>tab_alimentos[[#This Row],[kg]]</f>
        <v>0</v>
      </c>
      <c r="BN142" s="1">
        <f>SUMIF($BJ$5:$BJ$158,#REF!,$BK$5:$BK$158)</f>
        <v>0</v>
      </c>
      <c r="BP142" s="1" t="str">
        <f>tab_higiene[[#This Row],[Item]]</f>
        <v>L</v>
      </c>
      <c r="BQ142" s="1">
        <f t="shared" si="53"/>
        <v>0</v>
      </c>
      <c r="BR142" s="1" t="str">
        <f t="shared" si="54"/>
        <v>L</v>
      </c>
      <c r="BS142" s="1">
        <f>higiene[[#This Row],[Quantidade]]</f>
        <v>0</v>
      </c>
      <c r="BT142" s="1">
        <f>tab_higiene[[#This Row],[Qtde (tot)]]</f>
        <v>0</v>
      </c>
      <c r="BU142" s="1">
        <f t="shared" si="57"/>
        <v>0</v>
      </c>
      <c r="BW142" s="1">
        <f t="shared" si="58"/>
        <v>0</v>
      </c>
    </row>
    <row r="143" spans="9:75" x14ac:dyDescent="0.25">
      <c r="I143" s="19" t="str">
        <f>alimentos[[#This Row],[Item]]</f>
        <v>Bolo de Caneca (70g)</v>
      </c>
      <c r="J143" s="4">
        <f>IFERROR(alimentos[[#This Row],[kg/embalagem]],0)</f>
        <v>7.0000000000000007E-2</v>
      </c>
      <c r="K143" s="4">
        <f>IFERROR(alimentos[[#This Row],[Preço]],0)</f>
        <v>4</v>
      </c>
      <c r="L143" s="4">
        <f>SUMIFS(super1[Qtde],super1[Item],tab_alimentos[[#This Row],[Item]],super1[Bairro],mercado1)+SUMIFS(supercb[Qtde],supercb[Item],tab_alimentos[[#This Row],[Item]],supercb[Bairro],mercado1)</f>
        <v>0</v>
      </c>
      <c r="M143" s="4">
        <f>SUMIFS(super1[Qtde],super1[Item],tab_alimentos[[#This Row],[Item]],super1[Bairro],mercado2)+SUMIFS(supercb[Qtde],supercb[Item],tab_alimentos[[#This Row],[Item]],supercb[Bairro],mercado2)</f>
        <v>0</v>
      </c>
      <c r="N143" s="4">
        <f>SUMIFS(super1[Qtde],super1[Item],tab_alimentos[[#This Row],[Item]],super1[Bairro],mercado3)+SUMIFS(supercb[Qtde],supercb[Item],tab_alimentos[[#This Row],[Item]],supercb[Bairro],mercado3)</f>
        <v>0</v>
      </c>
      <c r="O143" s="4">
        <f>SUMIFS(super1[Qtde],super1[Item],tab_alimentos[[#This Row],[Item]],super1[Bairro],mercado4)+SUMIFS(supercb[Qtde],supercb[Item],tab_alimentos[[#This Row],[Item]],supercb[Bairro],mercado4)</f>
        <v>0</v>
      </c>
      <c r="P143" s="4">
        <f>SUMIFS(super1[Qtde],super1[Item],tab_alimentos[[#This Row],[Item]],super1[Bairro],mercado5)+SUMIFS(supercb[Qtde],supercb[Item],tab_alimentos[[#This Row],[Item]],supercb[Bairro],mercado5)</f>
        <v>0</v>
      </c>
      <c r="Q143" s="4">
        <f>SUMIFS(super1[Qtde],super1[Item],tab_alimentos[[#This Row],[Item]],super1[Bairro],mercado6)+SUMIFS(supercb[Qtde],supercb[Item],tab_alimentos[[#This Row],[Item]],supercb[Bairro],mercado6)</f>
        <v>0</v>
      </c>
      <c r="R143" s="4">
        <f>SUMIFS(super1[Qtde],super1[Item],tab_alimentos[[#This Row],[Item]],super1[Bairro],mercado7)+SUMIFS(supercb[Qtde],supercb[Item],tab_alimentos[[#This Row],[Item]],supercb[Bairro],mercado7)</f>
        <v>0</v>
      </c>
      <c r="S143" s="4">
        <f>SUMIFS(super1[Qtde],super1[Item],tab_alimentos[[#This Row],[Item]],super1[Bairro],mercado8)+SUMIFS(supercb[Qtde],supercb[Item],tab_alimentos[[#This Row],[Item]],supercb[Bairro],mercado8)</f>
        <v>0</v>
      </c>
      <c r="T143" s="4">
        <f>SUMIFS(super1[Qtde],super1[Item],tab_alimentos[[#This Row],[Item]],super1[Bairro],mercado9)+SUMIFS(supercb[Qtde],supercb[Item],tab_alimentos[[#This Row],[Item]],supercb[Bairro],mercado9)</f>
        <v>0</v>
      </c>
      <c r="U143" s="4">
        <f>SUMIFS(super1[Qtde],super1[Item],tab_alimentos[[#This Row],[Item]],super1[Bairro],mercado10)+SUMIFS(supercb[Qtde],supercb[Item],tab_alimentos[[#This Row],[Item]],supercb[Bairro],mercado10)</f>
        <v>0</v>
      </c>
      <c r="V143" s="4">
        <f>SUMIFS(super1[Qtde],super1[Item],tab_alimentos[[#This Row],[Item]],super1[Bairro],mercado11)+SUMIFS(supercb[Qtde],supercb[Item],tab_alimentos[[#This Row],[Item]],supercb[Bairro],mercado11)</f>
        <v>0</v>
      </c>
      <c r="W143" s="4">
        <f>SUMIFS(super1[Qtde],super1[Item],tab_alimentos[[#This Row],[Item]],super1[Bairro],mercado12)+SUMIFS(supercb[Qtde],supercb[Item],tab_alimentos[[#This Row],[Item]],supercb[Bairro],mercado12)</f>
        <v>0</v>
      </c>
      <c r="X143" s="4">
        <f>SUMIFS(super1[Qtde],super1[Item],tab_alimentos[[#This Row],[Item]],super1[Bairro],mercado13)+SUMIFS(supercb[Qtde],supercb[Item],tab_alimentos[[#This Row],[Item]],supercb[Bairro],mercado13)</f>
        <v>0</v>
      </c>
      <c r="Y143" s="4">
        <f>SUMIFS(super1[Qtde],super1[Item],tab_alimentos[[#This Row],[Item]],super1[Bairro],mercado14)+SUMIFS(supercb[Qtde],supercb[Item],tab_alimentos[[#This Row],[Item]],supercb[Bairro],mercado14)</f>
        <v>0</v>
      </c>
      <c r="Z143" s="4">
        <f>SUMIFS(super1[Qtde],super1[Item],tab_alimentos[[#This Row],[Item]],super1[Bairro],mercado15)+SUMIFS(supercb[Qtde],supercb[Item],tab_alimentos[[#This Row],[Item]],supercb[Bairro],mercado15)</f>
        <v>0</v>
      </c>
      <c r="AA143" s="4">
        <f>SUMIFS(super1[Qtde],super1[Item],tab_alimentos[[#This Row],[Item]],super1[Bairro],mercado16)+SUMIFS(supercb[Qtde],supercb[Item],tab_alimentos[[#This Row],[Item]],supercb[Bairro],mercado16)</f>
        <v>0</v>
      </c>
      <c r="AB143" s="4">
        <f>SUMIFS(super1[Qtde],super1[Item],tab_alimentos[[#This Row],[Item]],super1[Bairro],mercado17)+SUMIFS(supercb[Qtde],supercb[Item],tab_alimentos[[#This Row],[Item]],supercb[Bairro],mercado17)</f>
        <v>0</v>
      </c>
      <c r="AC143" s="4">
        <f>SUMIFS(super1[Qtde],super1[Item],tab_alimentos[[#This Row],[Item]],super1[Bairro],mercado18)+SUMIFS(supercb[Qtde],supercb[Item],tab_alimentos[[#This Row],[Item]],supercb[Bairro],mercado18)</f>
        <v>0</v>
      </c>
      <c r="AD143" s="4">
        <f>SUMIFS(super1[Qtde],super1[Item],tab_alimentos[[#This Row],[Item]],super1[Bairro],extras)+SUMIFS(supercb[Qtde],supercb[Item],tab_alimentos[[#This Row],[Item]],supercb[Bairro],extras)</f>
        <v>0</v>
      </c>
      <c r="AE143" s="4">
        <f t="shared" si="47"/>
        <v>0</v>
      </c>
      <c r="AF143" s="4">
        <f t="shared" si="48"/>
        <v>0</v>
      </c>
      <c r="AG143" s="6">
        <f t="shared" si="49"/>
        <v>0</v>
      </c>
      <c r="AH143" s="19" t="str">
        <f>higiene[[#This Row],[Item]]</f>
        <v>Lâmina de Barbear (1un)</v>
      </c>
      <c r="AI143" s="4">
        <f>IFERROR(higiene[[#This Row],[Kg equivalente]],0)</f>
        <v>0</v>
      </c>
      <c r="AJ143" s="4">
        <f>IFERROR(higiene[[#This Row],[Preço por produto]],0)</f>
        <v>14.2</v>
      </c>
      <c r="AK143" s="4">
        <f>SUMIFS(super1[Qtde],super1[Item],tab_higiene[[#This Row],[Item]],super1[Bairro],mercado1)+SUMIFS(supercb[Qtde],supercb[Item],tab_higiene[[#This Row],[Item]],supercb[Bairro],mercado1)</f>
        <v>0</v>
      </c>
      <c r="AL143" s="4">
        <f>SUMIFS(super1[Qtde],super1[Item],tab_higiene[[#This Row],[Item]],super1[Bairro],mercado2)+SUMIFS(supercb[Qtde],supercb[Item],tab_higiene[[#This Row],[Item]],supercb[Bairro],mercado2)</f>
        <v>0</v>
      </c>
      <c r="AM143" s="4">
        <f>SUMIFS(super1[Qtde],super1[Item],tab_higiene[[#This Row],[Item]],super1[Bairro],mercado3)+SUMIFS(supercb[Qtde],supercb[Item],tab_higiene[[#This Row],[Item]],supercb[Bairro],mercado3)</f>
        <v>0</v>
      </c>
      <c r="AN143" s="4">
        <f>SUMIFS(super1[Qtde],super1[Item],tab_higiene[[#This Row],[Item]],super1[Bairro],mercado4)+SUMIFS(supercb[Qtde],supercb[Item],tab_higiene[[#This Row],[Item]],supercb[Bairro],mercado4)</f>
        <v>0</v>
      </c>
      <c r="AO143" s="4">
        <f>SUMIFS(super1[Qtde],super1[Item],tab_higiene[[#This Row],[Item]],super1[Bairro],mercado5)+SUMIFS(supercb[Qtde],supercb[Item],tab_higiene[[#This Row],[Item]],supercb[Bairro],mercado5)</f>
        <v>0</v>
      </c>
      <c r="AP143" s="4">
        <f>SUMIFS(super1[Qtde],super1[Item],tab_higiene[[#This Row],[Item]],super1[Bairro],mercado6)+SUMIFS(supercb[Qtde],supercb[Item],tab_higiene[[#This Row],[Item]],supercb[Bairro],mercado6)</f>
        <v>0</v>
      </c>
      <c r="AQ143" s="4">
        <f>SUMIFS(super1[Qtde],super1[Item],tab_higiene[[#This Row],[Item]],super1[Bairro],mercado7)+SUMIFS(supercb[Qtde],supercb[Item],tab_higiene[[#This Row],[Item]],supercb[Bairro],mercado7)</f>
        <v>0</v>
      </c>
      <c r="AR143" s="4">
        <f>SUMIFS(super1[Qtde],super1[Item],tab_higiene[[#This Row],[Item]],super1[Bairro],mercado8)+SUMIFS(supercb[Qtde],supercb[Item],tab_higiene[[#This Row],[Item]],supercb[Bairro],mercado8)</f>
        <v>0</v>
      </c>
      <c r="AS143" s="4">
        <f>SUMIFS(super1[Qtde],super1[Item],tab_higiene[[#This Row],[Item]],super1[Bairro],mercado9)+SUMIFS(supercb[Qtde],supercb[Item],tab_higiene[[#This Row],[Item]],supercb[Bairro],mercado9)</f>
        <v>0</v>
      </c>
      <c r="AT143" s="4">
        <f>SUMIFS(super1[Qtde],super1[Item],tab_higiene[[#This Row],[Item]],super1[Bairro],mercado10)+SUMIFS(supercb[Qtde],supercb[Item],tab_higiene[[#This Row],[Item]],supercb[Bairro],mercado10)</f>
        <v>0</v>
      </c>
      <c r="AU143" s="4">
        <f>SUMIFS(super1[Qtde],super1[Item],tab_higiene[[#This Row],[Item]],super1[Bairro],mercado11)+SUMIFS(supercb[Qtde],supercb[Item],tab_higiene[[#This Row],[Item]],supercb[Bairro],mercado11)</f>
        <v>0</v>
      </c>
      <c r="AV143" s="4">
        <f>SUMIFS(super1[Qtde],super1[Item],tab_higiene[[#This Row],[Item]],super1[Bairro],mercado12)+SUMIFS(supercb[Qtde],supercb[Item],tab_higiene[[#This Row],[Item]],supercb[Bairro],mercado12)</f>
        <v>0</v>
      </c>
      <c r="AW143" s="4">
        <f>SUMIFS(super1[Qtde],super1[Item],tab_higiene[[#This Row],[Item]],super1[Bairro],mercado13)+SUMIFS(supercb[Qtde],supercb[Item],tab_higiene[[#This Row],[Item]],supercb[Bairro],mercado13)</f>
        <v>0</v>
      </c>
      <c r="AX143" s="4">
        <f>SUMIFS(super1[Qtde],super1[Item],tab_higiene[[#This Row],[Item]],super1[Bairro],mercado14)+SUMIFS(supercb[Qtde],supercb[Item],tab_higiene[[#This Row],[Item]],supercb[Bairro],mercado14)</f>
        <v>0</v>
      </c>
      <c r="AY143" s="4">
        <f>SUMIFS(super1[Qtde],super1[Item],tab_higiene[[#This Row],[Item]],super1[Bairro],mercado15)+SUMIFS(supercb[Qtde],supercb[Item],tab_higiene[[#This Row],[Item]],supercb[Bairro],mercado15)</f>
        <v>0</v>
      </c>
      <c r="AZ143" s="4">
        <f>SUMIFS(super1[Qtde],super1[Item],tab_higiene[[#This Row],[Item]],super1[Bairro],mercado16)+SUMIFS(supercb[Qtde],supercb[Item],tab_higiene[[#This Row],[Item]],supercb[Bairro],mercado16)</f>
        <v>0</v>
      </c>
      <c r="BA143" s="4">
        <f>SUMIFS(super1[Qtde],super1[Item],tab_higiene[[#This Row],[Item]],super1[Bairro],mercado17)+SUMIFS(supercb[Qtde],supercb[Item],tab_higiene[[#This Row],[Item]],supercb[Bairro],mercado17)</f>
        <v>0</v>
      </c>
      <c r="BB143" s="4">
        <f>SUMIFS(super1[Qtde],super1[Item],tab_higiene[[#This Row],[Item]],super1[Bairro],mercado18)+SUMIFS(supercb[Qtde],supercb[Item],tab_higiene[[#This Row],[Item]],supercb[Bairro],mercado18)</f>
        <v>0</v>
      </c>
      <c r="BC143" s="4">
        <f>SUMIFS(super1[Qtde],super1[Item],tab_higiene[[#This Row],[Item]],super1[Bairro],extras)+SUMIFS(supercb[Qtde],supercb[Item],tab_higiene[[#This Row],[Item]],supercb[Bairro],extras)</f>
        <v>0</v>
      </c>
      <c r="BD143" s="4">
        <f t="shared" si="59"/>
        <v>0</v>
      </c>
      <c r="BE143" s="4">
        <f t="shared" si="60"/>
        <v>0</v>
      </c>
      <c r="BF143" s="6">
        <f t="shared" si="61"/>
        <v>0</v>
      </c>
      <c r="BI143" s="1" t="str">
        <f>tab_alimentos[[#This Row],[Item]]</f>
        <v>Bolo de Caneca (70g)</v>
      </c>
      <c r="BJ143" s="1">
        <f t="shared" ref="BJ143:BJ158" si="62">IFERROR(FIND(" (",BI143),0)</f>
        <v>15</v>
      </c>
      <c r="BK143" s="1" t="str">
        <f t="shared" ref="BK143:BK158" si="63">IF(BJ143=0,BI143,LEFT(BI143,BJ143-1))</f>
        <v>Bolo de Caneca</v>
      </c>
      <c r="BL143" s="1">
        <f>tab_alimentos[[#This Row],[kg]]</f>
        <v>0</v>
      </c>
      <c r="BN143" s="1">
        <f>SUMIF($BJ$5:$BJ$158,#REF!,$BK$5:$BK$158)</f>
        <v>0</v>
      </c>
    </row>
    <row r="144" spans="9:75" x14ac:dyDescent="0.25">
      <c r="I144" s="19" t="str">
        <f>alimentos[[#This Row],[Item]]</f>
        <v>Bolo Pronto (250g)</v>
      </c>
      <c r="J144" s="4">
        <f>IFERROR(alimentos[[#This Row],[kg/embalagem]],0)</f>
        <v>0.25</v>
      </c>
      <c r="K144" s="4">
        <f>IFERROR(alimentos[[#This Row],[Preço]],0)</f>
        <v>8.4</v>
      </c>
      <c r="L144" s="4">
        <f>SUMIFS(super1[Qtde],super1[Item],tab_alimentos[[#This Row],[Item]],super1[Bairro],mercado1)+SUMIFS(supercb[Qtde],supercb[Item],tab_alimentos[[#This Row],[Item]],supercb[Bairro],mercado1)</f>
        <v>0</v>
      </c>
      <c r="M144" s="4">
        <f>SUMIFS(super1[Qtde],super1[Item],tab_alimentos[[#This Row],[Item]],super1[Bairro],mercado2)+SUMIFS(supercb[Qtde],supercb[Item],tab_alimentos[[#This Row],[Item]],supercb[Bairro],mercado2)</f>
        <v>0</v>
      </c>
      <c r="N144" s="4">
        <f>SUMIFS(super1[Qtde],super1[Item],tab_alimentos[[#This Row],[Item]],super1[Bairro],mercado3)+SUMIFS(supercb[Qtde],supercb[Item],tab_alimentos[[#This Row],[Item]],supercb[Bairro],mercado3)</f>
        <v>0</v>
      </c>
      <c r="O144" s="4">
        <f>SUMIFS(super1[Qtde],super1[Item],tab_alimentos[[#This Row],[Item]],super1[Bairro],mercado4)+SUMIFS(supercb[Qtde],supercb[Item],tab_alimentos[[#This Row],[Item]],supercb[Bairro],mercado4)</f>
        <v>0</v>
      </c>
      <c r="P144" s="4">
        <f>SUMIFS(super1[Qtde],super1[Item],tab_alimentos[[#This Row],[Item]],super1[Bairro],mercado5)+SUMIFS(supercb[Qtde],supercb[Item],tab_alimentos[[#This Row],[Item]],supercb[Bairro],mercado5)</f>
        <v>0</v>
      </c>
      <c r="Q144" s="4">
        <f>SUMIFS(super1[Qtde],super1[Item],tab_alimentos[[#This Row],[Item]],super1[Bairro],mercado6)+SUMIFS(supercb[Qtde],supercb[Item],tab_alimentos[[#This Row],[Item]],supercb[Bairro],mercado6)</f>
        <v>0</v>
      </c>
      <c r="R144" s="4">
        <f>SUMIFS(super1[Qtde],super1[Item],tab_alimentos[[#This Row],[Item]],super1[Bairro],mercado7)+SUMIFS(supercb[Qtde],supercb[Item],tab_alimentos[[#This Row],[Item]],supercb[Bairro],mercado7)</f>
        <v>0</v>
      </c>
      <c r="S144" s="4">
        <f>SUMIFS(super1[Qtde],super1[Item],tab_alimentos[[#This Row],[Item]],super1[Bairro],mercado8)+SUMIFS(supercb[Qtde],supercb[Item],tab_alimentos[[#This Row],[Item]],supercb[Bairro],mercado8)</f>
        <v>0</v>
      </c>
      <c r="T144" s="4">
        <f>SUMIFS(super1[Qtde],super1[Item],tab_alimentos[[#This Row],[Item]],super1[Bairro],mercado9)+SUMIFS(supercb[Qtde],supercb[Item],tab_alimentos[[#This Row],[Item]],supercb[Bairro],mercado9)</f>
        <v>0</v>
      </c>
      <c r="U144" s="4">
        <f>SUMIFS(super1[Qtde],super1[Item],tab_alimentos[[#This Row],[Item]],super1[Bairro],mercado10)+SUMIFS(supercb[Qtde],supercb[Item],tab_alimentos[[#This Row],[Item]],supercb[Bairro],mercado10)</f>
        <v>0</v>
      </c>
      <c r="V144" s="4">
        <f>SUMIFS(super1[Qtde],super1[Item],tab_alimentos[[#This Row],[Item]],super1[Bairro],mercado11)+SUMIFS(supercb[Qtde],supercb[Item],tab_alimentos[[#This Row],[Item]],supercb[Bairro],mercado11)</f>
        <v>0</v>
      </c>
      <c r="W144" s="4">
        <f>SUMIFS(super1[Qtde],super1[Item],tab_alimentos[[#This Row],[Item]],super1[Bairro],mercado12)+SUMIFS(supercb[Qtde],supercb[Item],tab_alimentos[[#This Row],[Item]],supercb[Bairro],mercado12)</f>
        <v>0</v>
      </c>
      <c r="X144" s="4">
        <f>SUMIFS(super1[Qtde],super1[Item],tab_alimentos[[#This Row],[Item]],super1[Bairro],mercado13)+SUMIFS(supercb[Qtde],supercb[Item],tab_alimentos[[#This Row],[Item]],supercb[Bairro],mercado13)</f>
        <v>0</v>
      </c>
      <c r="Y144" s="4">
        <f>SUMIFS(super1[Qtde],super1[Item],tab_alimentos[[#This Row],[Item]],super1[Bairro],mercado14)+SUMIFS(supercb[Qtde],supercb[Item],tab_alimentos[[#This Row],[Item]],supercb[Bairro],mercado14)</f>
        <v>0</v>
      </c>
      <c r="Z144" s="4">
        <f>SUMIFS(super1[Qtde],super1[Item],tab_alimentos[[#This Row],[Item]],super1[Bairro],mercado15)+SUMIFS(supercb[Qtde],supercb[Item],tab_alimentos[[#This Row],[Item]],supercb[Bairro],mercado15)</f>
        <v>0</v>
      </c>
      <c r="AA144" s="4">
        <f>SUMIFS(super1[Qtde],super1[Item],tab_alimentos[[#This Row],[Item]],super1[Bairro],mercado16)+SUMIFS(supercb[Qtde],supercb[Item],tab_alimentos[[#This Row],[Item]],supercb[Bairro],mercado16)</f>
        <v>0</v>
      </c>
      <c r="AB144" s="4">
        <f>SUMIFS(super1[Qtde],super1[Item],tab_alimentos[[#This Row],[Item]],super1[Bairro],mercado17)+SUMIFS(supercb[Qtde],supercb[Item],tab_alimentos[[#This Row],[Item]],supercb[Bairro],mercado17)</f>
        <v>0</v>
      </c>
      <c r="AC144" s="4">
        <f>SUMIFS(super1[Qtde],super1[Item],tab_alimentos[[#This Row],[Item]],super1[Bairro],mercado18)+SUMIFS(supercb[Qtde],supercb[Item],tab_alimentos[[#This Row],[Item]],supercb[Bairro],mercado18)</f>
        <v>0</v>
      </c>
      <c r="AD144" s="4">
        <f>SUMIFS(super1[Qtde],super1[Item],tab_alimentos[[#This Row],[Item]],super1[Bairro],extras)+SUMIFS(supercb[Qtde],supercb[Item],tab_alimentos[[#This Row],[Item]],supercb[Bairro],extras)</f>
        <v>0</v>
      </c>
      <c r="AE144" s="4">
        <f t="shared" si="47"/>
        <v>0</v>
      </c>
      <c r="AF144" s="4">
        <f t="shared" si="48"/>
        <v>0</v>
      </c>
      <c r="AG144" s="6">
        <f t="shared" si="49"/>
        <v>0</v>
      </c>
      <c r="AH144" s="19" t="str">
        <f>higiene[[#This Row],[Item]]</f>
        <v>Lâmina de Barbear (2un)</v>
      </c>
      <c r="AI144" s="4">
        <f>IFERROR(higiene[[#This Row],[Kg equivalente]],0)</f>
        <v>0</v>
      </c>
      <c r="AJ144" s="4">
        <f>IFERROR(higiene[[#This Row],[Preço por produto]],0)</f>
        <v>1.49</v>
      </c>
      <c r="AK144" s="4">
        <f>SUMIFS(super1[Qtde],super1[Item],tab_higiene[[#This Row],[Item]],super1[Bairro],mercado1)+SUMIFS(supercb[Qtde],supercb[Item],tab_higiene[[#This Row],[Item]],supercb[Bairro],mercado1)</f>
        <v>0</v>
      </c>
      <c r="AL144" s="4">
        <f>SUMIFS(super1[Qtde],super1[Item],tab_higiene[[#This Row],[Item]],super1[Bairro],mercado2)+SUMIFS(supercb[Qtde],supercb[Item],tab_higiene[[#This Row],[Item]],supercb[Bairro],mercado2)</f>
        <v>0</v>
      </c>
      <c r="AM144" s="4">
        <f>SUMIFS(super1[Qtde],super1[Item],tab_higiene[[#This Row],[Item]],super1[Bairro],mercado3)+SUMIFS(supercb[Qtde],supercb[Item],tab_higiene[[#This Row],[Item]],supercb[Bairro],mercado3)</f>
        <v>0</v>
      </c>
      <c r="AN144" s="4">
        <f>SUMIFS(super1[Qtde],super1[Item],tab_higiene[[#This Row],[Item]],super1[Bairro],mercado4)+SUMIFS(supercb[Qtde],supercb[Item],tab_higiene[[#This Row],[Item]],supercb[Bairro],mercado4)</f>
        <v>0</v>
      </c>
      <c r="AO144" s="4">
        <f>SUMIFS(super1[Qtde],super1[Item],tab_higiene[[#This Row],[Item]],super1[Bairro],mercado5)+SUMIFS(supercb[Qtde],supercb[Item],tab_higiene[[#This Row],[Item]],supercb[Bairro],mercado5)</f>
        <v>0</v>
      </c>
      <c r="AP144" s="4">
        <f>SUMIFS(super1[Qtde],super1[Item],tab_higiene[[#This Row],[Item]],super1[Bairro],mercado6)+SUMIFS(supercb[Qtde],supercb[Item],tab_higiene[[#This Row],[Item]],supercb[Bairro],mercado6)</f>
        <v>0</v>
      </c>
      <c r="AQ144" s="4">
        <f>SUMIFS(super1[Qtde],super1[Item],tab_higiene[[#This Row],[Item]],super1[Bairro],mercado7)+SUMIFS(supercb[Qtde],supercb[Item],tab_higiene[[#This Row],[Item]],supercb[Bairro],mercado7)</f>
        <v>0</v>
      </c>
      <c r="AR144" s="4">
        <f>SUMIFS(super1[Qtde],super1[Item],tab_higiene[[#This Row],[Item]],super1[Bairro],mercado8)+SUMIFS(supercb[Qtde],supercb[Item],tab_higiene[[#This Row],[Item]],supercb[Bairro],mercado8)</f>
        <v>0</v>
      </c>
      <c r="AS144" s="4">
        <f>SUMIFS(super1[Qtde],super1[Item],tab_higiene[[#This Row],[Item]],super1[Bairro],mercado9)+SUMIFS(supercb[Qtde],supercb[Item],tab_higiene[[#This Row],[Item]],supercb[Bairro],mercado9)</f>
        <v>0</v>
      </c>
      <c r="AT144" s="4">
        <f>SUMIFS(super1[Qtde],super1[Item],tab_higiene[[#This Row],[Item]],super1[Bairro],mercado10)+SUMIFS(supercb[Qtde],supercb[Item],tab_higiene[[#This Row],[Item]],supercb[Bairro],mercado10)</f>
        <v>0</v>
      </c>
      <c r="AU144" s="4">
        <f>SUMIFS(super1[Qtde],super1[Item],tab_higiene[[#This Row],[Item]],super1[Bairro],mercado11)+SUMIFS(supercb[Qtde],supercb[Item],tab_higiene[[#This Row],[Item]],supercb[Bairro],mercado11)</f>
        <v>0</v>
      </c>
      <c r="AV144" s="4">
        <f>SUMIFS(super1[Qtde],super1[Item],tab_higiene[[#This Row],[Item]],super1[Bairro],mercado12)+SUMIFS(supercb[Qtde],supercb[Item],tab_higiene[[#This Row],[Item]],supercb[Bairro],mercado12)</f>
        <v>0</v>
      </c>
      <c r="AW144" s="4">
        <f>SUMIFS(super1[Qtde],super1[Item],tab_higiene[[#This Row],[Item]],super1[Bairro],mercado13)+SUMIFS(supercb[Qtde],supercb[Item],tab_higiene[[#This Row],[Item]],supercb[Bairro],mercado13)</f>
        <v>0</v>
      </c>
      <c r="AX144" s="4">
        <f>SUMIFS(super1[Qtde],super1[Item],tab_higiene[[#This Row],[Item]],super1[Bairro],mercado14)+SUMIFS(supercb[Qtde],supercb[Item],tab_higiene[[#This Row],[Item]],supercb[Bairro],mercado14)</f>
        <v>0</v>
      </c>
      <c r="AY144" s="4">
        <f>SUMIFS(super1[Qtde],super1[Item],tab_higiene[[#This Row],[Item]],super1[Bairro],mercado15)+SUMIFS(supercb[Qtde],supercb[Item],tab_higiene[[#This Row],[Item]],supercb[Bairro],mercado15)</f>
        <v>0</v>
      </c>
      <c r="AZ144" s="4">
        <f>SUMIFS(super1[Qtde],super1[Item],tab_higiene[[#This Row],[Item]],super1[Bairro],mercado16)+SUMIFS(supercb[Qtde],supercb[Item],tab_higiene[[#This Row],[Item]],supercb[Bairro],mercado16)</f>
        <v>0</v>
      </c>
      <c r="BA144" s="4">
        <f>SUMIFS(super1[Qtde],super1[Item],tab_higiene[[#This Row],[Item]],super1[Bairro],mercado17)+SUMIFS(supercb[Qtde],supercb[Item],tab_higiene[[#This Row],[Item]],supercb[Bairro],mercado17)</f>
        <v>0</v>
      </c>
      <c r="BB144" s="4">
        <f>SUMIFS(super1[Qtde],super1[Item],tab_higiene[[#This Row],[Item]],super1[Bairro],mercado18)+SUMIFS(supercb[Qtde],supercb[Item],tab_higiene[[#This Row],[Item]],supercb[Bairro],mercado18)</f>
        <v>0</v>
      </c>
      <c r="BC144" s="4">
        <f>SUMIFS(super1[Qtde],super1[Item],tab_higiene[[#This Row],[Item]],super1[Bairro],extras)+SUMIFS(supercb[Qtde],supercb[Item],tab_higiene[[#This Row],[Item]],supercb[Bairro],extras)</f>
        <v>0</v>
      </c>
      <c r="BD144" s="4">
        <f t="shared" si="59"/>
        <v>0</v>
      </c>
      <c r="BE144" s="4">
        <f t="shared" si="60"/>
        <v>0</v>
      </c>
      <c r="BF144" s="6">
        <f t="shared" si="61"/>
        <v>0</v>
      </c>
      <c r="BI144" s="1" t="str">
        <f>tab_alimentos[[#This Row],[Item]]</f>
        <v>Bolo Pronto (250g)</v>
      </c>
      <c r="BJ144" s="1">
        <f t="shared" si="62"/>
        <v>12</v>
      </c>
      <c r="BK144" s="1" t="str">
        <f t="shared" si="63"/>
        <v>Bolo Pronto</v>
      </c>
      <c r="BL144" s="1">
        <f>tab_alimentos[[#This Row],[kg]]</f>
        <v>0</v>
      </c>
      <c r="BN144" s="1">
        <f>SUMIF($BJ$5:$BJ$158,#REF!,$BK$5:$BK$158)</f>
        <v>0</v>
      </c>
    </row>
    <row r="145" spans="9:66" x14ac:dyDescent="0.25">
      <c r="I145" s="19" t="str">
        <f>alimentos[[#This Row],[Item]]</f>
        <v>Bombom de Cereja (94g)</v>
      </c>
      <c r="J145" s="4">
        <f>IFERROR(alimentos[[#This Row],[kg/embalagem]],0)</f>
        <v>9.4E-2</v>
      </c>
      <c r="K145" s="4">
        <f>IFERROR(alimentos[[#This Row],[Preço]],0)</f>
        <v>5.59</v>
      </c>
      <c r="L145" s="4">
        <f>SUMIFS(super1[Qtde],super1[Item],tab_alimentos[[#This Row],[Item]],super1[Bairro],mercado1)+SUMIFS(supercb[Qtde],supercb[Item],tab_alimentos[[#This Row],[Item]],supercb[Bairro],mercado1)</f>
        <v>0</v>
      </c>
      <c r="M145" s="4">
        <f>SUMIFS(super1[Qtde],super1[Item],tab_alimentos[[#This Row],[Item]],super1[Bairro],mercado2)+SUMIFS(supercb[Qtde],supercb[Item],tab_alimentos[[#This Row],[Item]],supercb[Bairro],mercado2)</f>
        <v>0</v>
      </c>
      <c r="N145" s="4">
        <f>SUMIFS(super1[Qtde],super1[Item],tab_alimentos[[#This Row],[Item]],super1[Bairro],mercado3)+SUMIFS(supercb[Qtde],supercb[Item],tab_alimentos[[#This Row],[Item]],supercb[Bairro],mercado3)</f>
        <v>0</v>
      </c>
      <c r="O145" s="4">
        <f>SUMIFS(super1[Qtde],super1[Item],tab_alimentos[[#This Row],[Item]],super1[Bairro],mercado4)+SUMIFS(supercb[Qtde],supercb[Item],tab_alimentos[[#This Row],[Item]],supercb[Bairro],mercado4)</f>
        <v>0</v>
      </c>
      <c r="P145" s="4">
        <f>SUMIFS(super1[Qtde],super1[Item],tab_alimentos[[#This Row],[Item]],super1[Bairro],mercado5)+SUMIFS(supercb[Qtde],supercb[Item],tab_alimentos[[#This Row],[Item]],supercb[Bairro],mercado5)</f>
        <v>0</v>
      </c>
      <c r="Q145" s="4">
        <f>SUMIFS(super1[Qtde],super1[Item],tab_alimentos[[#This Row],[Item]],super1[Bairro],mercado6)+SUMIFS(supercb[Qtde],supercb[Item],tab_alimentos[[#This Row],[Item]],supercb[Bairro],mercado6)</f>
        <v>0</v>
      </c>
      <c r="R145" s="4">
        <f>SUMIFS(super1[Qtde],super1[Item],tab_alimentos[[#This Row],[Item]],super1[Bairro],mercado7)+SUMIFS(supercb[Qtde],supercb[Item],tab_alimentos[[#This Row],[Item]],supercb[Bairro],mercado7)</f>
        <v>0</v>
      </c>
      <c r="S145" s="4">
        <f>SUMIFS(super1[Qtde],super1[Item],tab_alimentos[[#This Row],[Item]],super1[Bairro],mercado8)+SUMIFS(supercb[Qtde],supercb[Item],tab_alimentos[[#This Row],[Item]],supercb[Bairro],mercado8)</f>
        <v>0</v>
      </c>
      <c r="T145" s="4">
        <f>SUMIFS(super1[Qtde],super1[Item],tab_alimentos[[#This Row],[Item]],super1[Bairro],mercado9)+SUMIFS(supercb[Qtde],supercb[Item],tab_alimentos[[#This Row],[Item]],supercb[Bairro],mercado9)</f>
        <v>0</v>
      </c>
      <c r="U145" s="4">
        <f>SUMIFS(super1[Qtde],super1[Item],tab_alimentos[[#This Row],[Item]],super1[Bairro],mercado10)+SUMIFS(supercb[Qtde],supercb[Item],tab_alimentos[[#This Row],[Item]],supercb[Bairro],mercado10)</f>
        <v>0</v>
      </c>
      <c r="V145" s="4">
        <f>SUMIFS(super1[Qtde],super1[Item],tab_alimentos[[#This Row],[Item]],super1[Bairro],mercado11)+SUMIFS(supercb[Qtde],supercb[Item],tab_alimentos[[#This Row],[Item]],supercb[Bairro],mercado11)</f>
        <v>0</v>
      </c>
      <c r="W145" s="4">
        <f>SUMIFS(super1[Qtde],super1[Item],tab_alimentos[[#This Row],[Item]],super1[Bairro],mercado12)+SUMIFS(supercb[Qtde],supercb[Item],tab_alimentos[[#This Row],[Item]],supercb[Bairro],mercado12)</f>
        <v>0</v>
      </c>
      <c r="X145" s="4">
        <f>SUMIFS(super1[Qtde],super1[Item],tab_alimentos[[#This Row],[Item]],super1[Bairro],mercado13)+SUMIFS(supercb[Qtde],supercb[Item],tab_alimentos[[#This Row],[Item]],supercb[Bairro],mercado13)</f>
        <v>0</v>
      </c>
      <c r="Y145" s="4">
        <f>SUMIFS(super1[Qtde],super1[Item],tab_alimentos[[#This Row],[Item]],super1[Bairro],mercado14)+SUMIFS(supercb[Qtde],supercb[Item],tab_alimentos[[#This Row],[Item]],supercb[Bairro],mercado14)</f>
        <v>0</v>
      </c>
      <c r="Z145" s="4">
        <f>SUMIFS(super1[Qtde],super1[Item],tab_alimentos[[#This Row],[Item]],super1[Bairro],mercado15)+SUMIFS(supercb[Qtde],supercb[Item],tab_alimentos[[#This Row],[Item]],supercb[Bairro],mercado15)</f>
        <v>0</v>
      </c>
      <c r="AA145" s="4">
        <f>SUMIFS(super1[Qtde],super1[Item],tab_alimentos[[#This Row],[Item]],super1[Bairro],mercado16)+SUMIFS(supercb[Qtde],supercb[Item],tab_alimentos[[#This Row],[Item]],supercb[Bairro],mercado16)</f>
        <v>0</v>
      </c>
      <c r="AB145" s="4">
        <f>SUMIFS(super1[Qtde],super1[Item],tab_alimentos[[#This Row],[Item]],super1[Bairro],mercado17)+SUMIFS(supercb[Qtde],supercb[Item],tab_alimentos[[#This Row],[Item]],supercb[Bairro],mercado17)</f>
        <v>0</v>
      </c>
      <c r="AC145" s="4">
        <f>SUMIFS(super1[Qtde],super1[Item],tab_alimentos[[#This Row],[Item]],super1[Bairro],mercado18)+SUMIFS(supercb[Qtde],supercb[Item],tab_alimentos[[#This Row],[Item]],supercb[Bairro],mercado18)</f>
        <v>0</v>
      </c>
      <c r="AD145" s="4">
        <f>SUMIFS(super1[Qtde],super1[Item],tab_alimentos[[#This Row],[Item]],super1[Bairro],extras)+SUMIFS(supercb[Qtde],supercb[Item],tab_alimentos[[#This Row],[Item]],supercb[Bairro],extras)</f>
        <v>0</v>
      </c>
      <c r="AE145" s="4">
        <f t="shared" si="47"/>
        <v>0</v>
      </c>
      <c r="AF145" s="4">
        <f t="shared" si="48"/>
        <v>0</v>
      </c>
      <c r="AG145" s="6">
        <f t="shared" si="49"/>
        <v>0</v>
      </c>
      <c r="AH145" s="19" t="str">
        <f>higiene[[#This Row],[Item]]</f>
        <v>Lâmina de Barbear (3un)</v>
      </c>
      <c r="AI145" s="4">
        <f>IFERROR(higiene[[#This Row],[Kg equivalente]],0)</f>
        <v>0</v>
      </c>
      <c r="AJ145" s="4">
        <f>IFERROR(higiene[[#This Row],[Preço por produto]],0)</f>
        <v>3.21</v>
      </c>
      <c r="AK145" s="4">
        <f>SUMIFS(super1[Qtde],super1[Item],tab_higiene[[#This Row],[Item]],super1[Bairro],mercado1)+SUMIFS(supercb[Qtde],supercb[Item],tab_higiene[[#This Row],[Item]],supercb[Bairro],mercado1)</f>
        <v>0</v>
      </c>
      <c r="AL145" s="4">
        <f>SUMIFS(super1[Qtde],super1[Item],tab_higiene[[#This Row],[Item]],super1[Bairro],mercado2)+SUMIFS(supercb[Qtde],supercb[Item],tab_higiene[[#This Row],[Item]],supercb[Bairro],mercado2)</f>
        <v>0</v>
      </c>
      <c r="AM145" s="4">
        <f>SUMIFS(super1[Qtde],super1[Item],tab_higiene[[#This Row],[Item]],super1[Bairro],mercado3)+SUMIFS(supercb[Qtde],supercb[Item],tab_higiene[[#This Row],[Item]],supercb[Bairro],mercado3)</f>
        <v>0</v>
      </c>
      <c r="AN145" s="4">
        <f>SUMIFS(super1[Qtde],super1[Item],tab_higiene[[#This Row],[Item]],super1[Bairro],mercado4)+SUMIFS(supercb[Qtde],supercb[Item],tab_higiene[[#This Row],[Item]],supercb[Bairro],mercado4)</f>
        <v>0</v>
      </c>
      <c r="AO145" s="4">
        <f>SUMIFS(super1[Qtde],super1[Item],tab_higiene[[#This Row],[Item]],super1[Bairro],mercado5)+SUMIFS(supercb[Qtde],supercb[Item],tab_higiene[[#This Row],[Item]],supercb[Bairro],mercado5)</f>
        <v>0</v>
      </c>
      <c r="AP145" s="4">
        <f>SUMIFS(super1[Qtde],super1[Item],tab_higiene[[#This Row],[Item]],super1[Bairro],mercado6)+SUMIFS(supercb[Qtde],supercb[Item],tab_higiene[[#This Row],[Item]],supercb[Bairro],mercado6)</f>
        <v>0</v>
      </c>
      <c r="AQ145" s="4">
        <f>SUMIFS(super1[Qtde],super1[Item],tab_higiene[[#This Row],[Item]],super1[Bairro],mercado7)+SUMIFS(supercb[Qtde],supercb[Item],tab_higiene[[#This Row],[Item]],supercb[Bairro],mercado7)</f>
        <v>0</v>
      </c>
      <c r="AR145" s="4">
        <f>SUMIFS(super1[Qtde],super1[Item],tab_higiene[[#This Row],[Item]],super1[Bairro],mercado8)+SUMIFS(supercb[Qtde],supercb[Item],tab_higiene[[#This Row],[Item]],supercb[Bairro],mercado8)</f>
        <v>0</v>
      </c>
      <c r="AS145" s="4">
        <f>SUMIFS(super1[Qtde],super1[Item],tab_higiene[[#This Row],[Item]],super1[Bairro],mercado9)+SUMIFS(supercb[Qtde],supercb[Item],tab_higiene[[#This Row],[Item]],supercb[Bairro],mercado9)</f>
        <v>0</v>
      </c>
      <c r="AT145" s="4">
        <f>SUMIFS(super1[Qtde],super1[Item],tab_higiene[[#This Row],[Item]],super1[Bairro],mercado10)+SUMIFS(supercb[Qtde],supercb[Item],tab_higiene[[#This Row],[Item]],supercb[Bairro],mercado10)</f>
        <v>0</v>
      </c>
      <c r="AU145" s="4">
        <f>SUMIFS(super1[Qtde],super1[Item],tab_higiene[[#This Row],[Item]],super1[Bairro],mercado11)+SUMIFS(supercb[Qtde],supercb[Item],tab_higiene[[#This Row],[Item]],supercb[Bairro],mercado11)</f>
        <v>0</v>
      </c>
      <c r="AV145" s="4">
        <f>SUMIFS(super1[Qtde],super1[Item],tab_higiene[[#This Row],[Item]],super1[Bairro],mercado12)+SUMIFS(supercb[Qtde],supercb[Item],tab_higiene[[#This Row],[Item]],supercb[Bairro],mercado12)</f>
        <v>0</v>
      </c>
      <c r="AW145" s="4">
        <f>SUMIFS(super1[Qtde],super1[Item],tab_higiene[[#This Row],[Item]],super1[Bairro],mercado13)+SUMIFS(supercb[Qtde],supercb[Item],tab_higiene[[#This Row],[Item]],supercb[Bairro],mercado13)</f>
        <v>0</v>
      </c>
      <c r="AX145" s="4">
        <f>SUMIFS(super1[Qtde],super1[Item],tab_higiene[[#This Row],[Item]],super1[Bairro],mercado14)+SUMIFS(supercb[Qtde],supercb[Item],tab_higiene[[#This Row],[Item]],supercb[Bairro],mercado14)</f>
        <v>0</v>
      </c>
      <c r="AY145" s="4">
        <f>SUMIFS(super1[Qtde],super1[Item],tab_higiene[[#This Row],[Item]],super1[Bairro],mercado15)+SUMIFS(supercb[Qtde],supercb[Item],tab_higiene[[#This Row],[Item]],supercb[Bairro],mercado15)</f>
        <v>0</v>
      </c>
      <c r="AZ145" s="4">
        <f>SUMIFS(super1[Qtde],super1[Item],tab_higiene[[#This Row],[Item]],super1[Bairro],mercado16)+SUMIFS(supercb[Qtde],supercb[Item],tab_higiene[[#This Row],[Item]],supercb[Bairro],mercado16)</f>
        <v>0</v>
      </c>
      <c r="BA145" s="4">
        <f>SUMIFS(super1[Qtde],super1[Item],tab_higiene[[#This Row],[Item]],super1[Bairro],mercado17)+SUMIFS(supercb[Qtde],supercb[Item],tab_higiene[[#This Row],[Item]],supercb[Bairro],mercado17)</f>
        <v>0</v>
      </c>
      <c r="BB145" s="4">
        <f>SUMIFS(super1[Qtde],super1[Item],tab_higiene[[#This Row],[Item]],super1[Bairro],mercado18)+SUMIFS(supercb[Qtde],supercb[Item],tab_higiene[[#This Row],[Item]],supercb[Bairro],mercado18)</f>
        <v>0</v>
      </c>
      <c r="BC145" s="4">
        <f>SUMIFS(super1[Qtde],super1[Item],tab_higiene[[#This Row],[Item]],super1[Bairro],extras)+SUMIFS(supercb[Qtde],supercb[Item],tab_higiene[[#This Row],[Item]],supercb[Bairro],extras)</f>
        <v>0</v>
      </c>
      <c r="BD145" s="4">
        <f t="shared" si="59"/>
        <v>0</v>
      </c>
      <c r="BE145" s="4">
        <f t="shared" si="60"/>
        <v>0</v>
      </c>
      <c r="BF145" s="6">
        <f t="shared" si="61"/>
        <v>0</v>
      </c>
      <c r="BI145" s="1" t="str">
        <f>tab_alimentos[[#This Row],[Item]]</f>
        <v>Bombom de Cereja (94g)</v>
      </c>
      <c r="BJ145" s="1">
        <f t="shared" si="62"/>
        <v>17</v>
      </c>
      <c r="BK145" s="1" t="str">
        <f t="shared" si="63"/>
        <v>Bombom de Cereja</v>
      </c>
      <c r="BL145" s="1">
        <f>tab_alimentos[[#This Row],[kg]]</f>
        <v>0</v>
      </c>
      <c r="BN145" s="1">
        <f>SUMIF($BJ$5:$BJ$158,#REF!,$BK$5:$BK$158)</f>
        <v>0</v>
      </c>
    </row>
    <row r="146" spans="9:66" x14ac:dyDescent="0.25">
      <c r="I146" s="19" t="str">
        <f>alimentos[[#This Row],[Item]]</f>
        <v>Bombons sortidos (250g)</v>
      </c>
      <c r="J146" s="4">
        <f>IFERROR(alimentos[[#This Row],[kg/embalagem]],0)</f>
        <v>0.25</v>
      </c>
      <c r="K146" s="4">
        <f>IFERROR(alimentos[[#This Row],[Preço]],0)</f>
        <v>16.29</v>
      </c>
      <c r="L146" s="4">
        <f>SUMIFS(super1[Qtde],super1[Item],tab_alimentos[[#This Row],[Item]],super1[Bairro],mercado1)+SUMIFS(supercb[Qtde],supercb[Item],tab_alimentos[[#This Row],[Item]],supercb[Bairro],mercado1)</f>
        <v>0</v>
      </c>
      <c r="M146" s="4">
        <f>SUMIFS(super1[Qtde],super1[Item],tab_alimentos[[#This Row],[Item]],super1[Bairro],mercado2)+SUMIFS(supercb[Qtde],supercb[Item],tab_alimentos[[#This Row],[Item]],supercb[Bairro],mercado2)</f>
        <v>0</v>
      </c>
      <c r="N146" s="4">
        <f>SUMIFS(super1[Qtde],super1[Item],tab_alimentos[[#This Row],[Item]],super1[Bairro],mercado3)+SUMIFS(supercb[Qtde],supercb[Item],tab_alimentos[[#This Row],[Item]],supercb[Bairro],mercado3)</f>
        <v>0</v>
      </c>
      <c r="O146" s="4">
        <f>SUMIFS(super1[Qtde],super1[Item],tab_alimentos[[#This Row],[Item]],super1[Bairro],mercado4)+SUMIFS(supercb[Qtde],supercb[Item],tab_alimentos[[#This Row],[Item]],supercb[Bairro],mercado4)</f>
        <v>0</v>
      </c>
      <c r="P146" s="4">
        <f>SUMIFS(super1[Qtde],super1[Item],tab_alimentos[[#This Row],[Item]],super1[Bairro],mercado5)+SUMIFS(supercb[Qtde],supercb[Item],tab_alimentos[[#This Row],[Item]],supercb[Bairro],mercado5)</f>
        <v>0</v>
      </c>
      <c r="Q146" s="4">
        <f>SUMIFS(super1[Qtde],super1[Item],tab_alimentos[[#This Row],[Item]],super1[Bairro],mercado6)+SUMIFS(supercb[Qtde],supercb[Item],tab_alimentos[[#This Row],[Item]],supercb[Bairro],mercado6)</f>
        <v>0</v>
      </c>
      <c r="R146" s="4">
        <f>SUMIFS(super1[Qtde],super1[Item],tab_alimentos[[#This Row],[Item]],super1[Bairro],mercado7)+SUMIFS(supercb[Qtde],supercb[Item],tab_alimentos[[#This Row],[Item]],supercb[Bairro],mercado7)</f>
        <v>0</v>
      </c>
      <c r="S146" s="4">
        <f>SUMIFS(super1[Qtde],super1[Item],tab_alimentos[[#This Row],[Item]],super1[Bairro],mercado8)+SUMIFS(supercb[Qtde],supercb[Item],tab_alimentos[[#This Row],[Item]],supercb[Bairro],mercado8)</f>
        <v>0</v>
      </c>
      <c r="T146" s="4">
        <f>SUMIFS(super1[Qtde],super1[Item],tab_alimentos[[#This Row],[Item]],super1[Bairro],mercado9)+SUMIFS(supercb[Qtde],supercb[Item],tab_alimentos[[#This Row],[Item]],supercb[Bairro],mercado9)</f>
        <v>0</v>
      </c>
      <c r="U146" s="4">
        <f>SUMIFS(super1[Qtde],super1[Item],tab_alimentos[[#This Row],[Item]],super1[Bairro],mercado10)+SUMIFS(supercb[Qtde],supercb[Item],tab_alimentos[[#This Row],[Item]],supercb[Bairro],mercado10)</f>
        <v>0</v>
      </c>
      <c r="V146" s="4">
        <f>SUMIFS(super1[Qtde],super1[Item],tab_alimentos[[#This Row],[Item]],super1[Bairro],mercado11)+SUMIFS(supercb[Qtde],supercb[Item],tab_alimentos[[#This Row],[Item]],supercb[Bairro],mercado11)</f>
        <v>0</v>
      </c>
      <c r="W146" s="4">
        <f>SUMIFS(super1[Qtde],super1[Item],tab_alimentos[[#This Row],[Item]],super1[Bairro],mercado12)+SUMIFS(supercb[Qtde],supercb[Item],tab_alimentos[[#This Row],[Item]],supercb[Bairro],mercado12)</f>
        <v>0</v>
      </c>
      <c r="X146" s="4">
        <f>SUMIFS(super1[Qtde],super1[Item],tab_alimentos[[#This Row],[Item]],super1[Bairro],mercado13)+SUMIFS(supercb[Qtde],supercb[Item],tab_alimentos[[#This Row],[Item]],supercb[Bairro],mercado13)</f>
        <v>0</v>
      </c>
      <c r="Y146" s="4">
        <f>SUMIFS(super1[Qtde],super1[Item],tab_alimentos[[#This Row],[Item]],super1[Bairro],mercado14)+SUMIFS(supercb[Qtde],supercb[Item],tab_alimentos[[#This Row],[Item]],supercb[Bairro],mercado14)</f>
        <v>0</v>
      </c>
      <c r="Z146" s="4">
        <f>SUMIFS(super1[Qtde],super1[Item],tab_alimentos[[#This Row],[Item]],super1[Bairro],mercado15)+SUMIFS(supercb[Qtde],supercb[Item],tab_alimentos[[#This Row],[Item]],supercb[Bairro],mercado15)</f>
        <v>0</v>
      </c>
      <c r="AA146" s="4">
        <f>SUMIFS(super1[Qtde],super1[Item],tab_alimentos[[#This Row],[Item]],super1[Bairro],mercado16)+SUMIFS(supercb[Qtde],supercb[Item],tab_alimentos[[#This Row],[Item]],supercb[Bairro],mercado16)</f>
        <v>0</v>
      </c>
      <c r="AB146" s="4">
        <f>SUMIFS(super1[Qtde],super1[Item],tab_alimentos[[#This Row],[Item]],super1[Bairro],mercado17)+SUMIFS(supercb[Qtde],supercb[Item],tab_alimentos[[#This Row],[Item]],supercb[Bairro],mercado17)</f>
        <v>0</v>
      </c>
      <c r="AC146" s="4">
        <f>SUMIFS(super1[Qtde],super1[Item],tab_alimentos[[#This Row],[Item]],super1[Bairro],mercado18)+SUMIFS(supercb[Qtde],supercb[Item],tab_alimentos[[#This Row],[Item]],supercb[Bairro],mercado18)</f>
        <v>0</v>
      </c>
      <c r="AD146" s="4">
        <f>SUMIFS(super1[Qtde],super1[Item],tab_alimentos[[#This Row],[Item]],super1[Bairro],extras)+SUMIFS(supercb[Qtde],supercb[Item],tab_alimentos[[#This Row],[Item]],supercb[Bairro],extras)</f>
        <v>0</v>
      </c>
      <c r="AE146" s="4">
        <f t="shared" si="47"/>
        <v>0</v>
      </c>
      <c r="AF146" s="4">
        <f t="shared" si="48"/>
        <v>0</v>
      </c>
      <c r="AG146" s="6">
        <f t="shared" si="49"/>
        <v>0</v>
      </c>
      <c r="AH146" s="19" t="str">
        <f>higiene[[#This Row],[Item]]</f>
        <v>Lâmina de Barbear (4un)</v>
      </c>
      <c r="AI146" s="4">
        <f>IFERROR(higiene[[#This Row],[Kg equivalente]],0)</f>
        <v>0</v>
      </c>
      <c r="AJ146" s="4">
        <f>IFERROR(higiene[[#This Row],[Preço por produto]],0)</f>
        <v>29.99</v>
      </c>
      <c r="AK146" s="4">
        <f>SUMIFS(super1[Qtde],super1[Item],tab_higiene[[#This Row],[Item]],super1[Bairro],mercado1)+SUMIFS(supercb[Qtde],supercb[Item],tab_higiene[[#This Row],[Item]],supercb[Bairro],mercado1)</f>
        <v>0</v>
      </c>
      <c r="AL146" s="4">
        <f>SUMIFS(super1[Qtde],super1[Item],tab_higiene[[#This Row],[Item]],super1[Bairro],mercado2)+SUMIFS(supercb[Qtde],supercb[Item],tab_higiene[[#This Row],[Item]],supercb[Bairro],mercado2)</f>
        <v>0</v>
      </c>
      <c r="AM146" s="4">
        <f>SUMIFS(super1[Qtde],super1[Item],tab_higiene[[#This Row],[Item]],super1[Bairro],mercado3)+SUMIFS(supercb[Qtde],supercb[Item],tab_higiene[[#This Row],[Item]],supercb[Bairro],mercado3)</f>
        <v>0</v>
      </c>
      <c r="AN146" s="4">
        <f>SUMIFS(super1[Qtde],super1[Item],tab_higiene[[#This Row],[Item]],super1[Bairro],mercado4)+SUMIFS(supercb[Qtde],supercb[Item],tab_higiene[[#This Row],[Item]],supercb[Bairro],mercado4)</f>
        <v>0</v>
      </c>
      <c r="AO146" s="4">
        <f>SUMIFS(super1[Qtde],super1[Item],tab_higiene[[#This Row],[Item]],super1[Bairro],mercado5)+SUMIFS(supercb[Qtde],supercb[Item],tab_higiene[[#This Row],[Item]],supercb[Bairro],mercado5)</f>
        <v>0</v>
      </c>
      <c r="AP146" s="4">
        <f>SUMIFS(super1[Qtde],super1[Item],tab_higiene[[#This Row],[Item]],super1[Bairro],mercado6)+SUMIFS(supercb[Qtde],supercb[Item],tab_higiene[[#This Row],[Item]],supercb[Bairro],mercado6)</f>
        <v>0</v>
      </c>
      <c r="AQ146" s="4">
        <f>SUMIFS(super1[Qtde],super1[Item],tab_higiene[[#This Row],[Item]],super1[Bairro],mercado7)+SUMIFS(supercb[Qtde],supercb[Item],tab_higiene[[#This Row],[Item]],supercb[Bairro],mercado7)</f>
        <v>0</v>
      </c>
      <c r="AR146" s="4">
        <f>SUMIFS(super1[Qtde],super1[Item],tab_higiene[[#This Row],[Item]],super1[Bairro],mercado8)+SUMIFS(supercb[Qtde],supercb[Item],tab_higiene[[#This Row],[Item]],supercb[Bairro],mercado8)</f>
        <v>0</v>
      </c>
      <c r="AS146" s="4">
        <f>SUMIFS(super1[Qtde],super1[Item],tab_higiene[[#This Row],[Item]],super1[Bairro],mercado9)+SUMIFS(supercb[Qtde],supercb[Item],tab_higiene[[#This Row],[Item]],supercb[Bairro],mercado9)</f>
        <v>0</v>
      </c>
      <c r="AT146" s="4">
        <f>SUMIFS(super1[Qtde],super1[Item],tab_higiene[[#This Row],[Item]],super1[Bairro],mercado10)+SUMIFS(supercb[Qtde],supercb[Item],tab_higiene[[#This Row],[Item]],supercb[Bairro],mercado10)</f>
        <v>0</v>
      </c>
      <c r="AU146" s="4">
        <f>SUMIFS(super1[Qtde],super1[Item],tab_higiene[[#This Row],[Item]],super1[Bairro],mercado11)+SUMIFS(supercb[Qtde],supercb[Item],tab_higiene[[#This Row],[Item]],supercb[Bairro],mercado11)</f>
        <v>0</v>
      </c>
      <c r="AV146" s="4">
        <f>SUMIFS(super1[Qtde],super1[Item],tab_higiene[[#This Row],[Item]],super1[Bairro],mercado12)+SUMIFS(supercb[Qtde],supercb[Item],tab_higiene[[#This Row],[Item]],supercb[Bairro],mercado12)</f>
        <v>0</v>
      </c>
      <c r="AW146" s="4">
        <f>SUMIFS(super1[Qtde],super1[Item],tab_higiene[[#This Row],[Item]],super1[Bairro],mercado13)+SUMIFS(supercb[Qtde],supercb[Item],tab_higiene[[#This Row],[Item]],supercb[Bairro],mercado13)</f>
        <v>0</v>
      </c>
      <c r="AX146" s="4">
        <f>SUMIFS(super1[Qtde],super1[Item],tab_higiene[[#This Row],[Item]],super1[Bairro],mercado14)+SUMIFS(supercb[Qtde],supercb[Item],tab_higiene[[#This Row],[Item]],supercb[Bairro],mercado14)</f>
        <v>0</v>
      </c>
      <c r="AY146" s="4">
        <f>SUMIFS(super1[Qtde],super1[Item],tab_higiene[[#This Row],[Item]],super1[Bairro],mercado15)+SUMIFS(supercb[Qtde],supercb[Item],tab_higiene[[#This Row],[Item]],supercb[Bairro],mercado15)</f>
        <v>0</v>
      </c>
      <c r="AZ146" s="4">
        <f>SUMIFS(super1[Qtde],super1[Item],tab_higiene[[#This Row],[Item]],super1[Bairro],mercado16)+SUMIFS(supercb[Qtde],supercb[Item],tab_higiene[[#This Row],[Item]],supercb[Bairro],mercado16)</f>
        <v>0</v>
      </c>
      <c r="BA146" s="4">
        <f>SUMIFS(super1[Qtde],super1[Item],tab_higiene[[#This Row],[Item]],super1[Bairro],mercado17)+SUMIFS(supercb[Qtde],supercb[Item],tab_higiene[[#This Row],[Item]],supercb[Bairro],mercado17)</f>
        <v>0</v>
      </c>
      <c r="BB146" s="4">
        <f>SUMIFS(super1[Qtde],super1[Item],tab_higiene[[#This Row],[Item]],super1[Bairro],mercado18)+SUMIFS(supercb[Qtde],supercb[Item],tab_higiene[[#This Row],[Item]],supercb[Bairro],mercado18)</f>
        <v>0</v>
      </c>
      <c r="BC146" s="4">
        <f>SUMIFS(super1[Qtde],super1[Item],tab_higiene[[#This Row],[Item]],super1[Bairro],extras)+SUMIFS(supercb[Qtde],supercb[Item],tab_higiene[[#This Row],[Item]],supercb[Bairro],extras)</f>
        <v>0</v>
      </c>
      <c r="BD146" s="4">
        <f t="shared" si="59"/>
        <v>0</v>
      </c>
      <c r="BE146" s="4">
        <f t="shared" si="60"/>
        <v>0</v>
      </c>
      <c r="BF146" s="6">
        <f t="shared" si="61"/>
        <v>0</v>
      </c>
      <c r="BI146" s="1" t="str">
        <f>tab_alimentos[[#This Row],[Item]]</f>
        <v>Bombons sortidos (250g)</v>
      </c>
      <c r="BJ146" s="1">
        <f t="shared" si="62"/>
        <v>17</v>
      </c>
      <c r="BK146" s="1" t="str">
        <f t="shared" si="63"/>
        <v>Bombons sortidos</v>
      </c>
      <c r="BL146" s="1">
        <f>tab_alimentos[[#This Row],[kg]]</f>
        <v>0</v>
      </c>
      <c r="BN146" s="1">
        <f>SUMIF($BJ$5:$BJ$158,#REF!,$BK$5:$BK$158)</f>
        <v>0</v>
      </c>
    </row>
    <row r="147" spans="9:66" x14ac:dyDescent="0.25">
      <c r="I147" s="19" t="str">
        <f>alimentos[[#This Row],[Item]]</f>
        <v>C</v>
      </c>
      <c r="J147" s="4">
        <f>IFERROR(alimentos[[#This Row],[kg/embalagem]],0)</f>
        <v>0</v>
      </c>
      <c r="K147" s="4">
        <f>IFERROR(alimentos[[#This Row],[Preço]],0)</f>
        <v>0</v>
      </c>
      <c r="L147" s="4">
        <f>SUMIFS(super1[Qtde],super1[Item],tab_alimentos[[#This Row],[Item]],super1[Bairro],mercado1)+SUMIFS(supercb[Qtde],supercb[Item],tab_alimentos[[#This Row],[Item]],supercb[Bairro],mercado1)</f>
        <v>0</v>
      </c>
      <c r="M147" s="4">
        <f>SUMIFS(super1[Qtde],super1[Item],tab_alimentos[[#This Row],[Item]],super1[Bairro],mercado2)+SUMIFS(supercb[Qtde],supercb[Item],tab_alimentos[[#This Row],[Item]],supercb[Bairro],mercado2)</f>
        <v>0</v>
      </c>
      <c r="N147" s="4">
        <f>SUMIFS(super1[Qtde],super1[Item],tab_alimentos[[#This Row],[Item]],super1[Bairro],mercado3)+SUMIFS(supercb[Qtde],supercb[Item],tab_alimentos[[#This Row],[Item]],supercb[Bairro],mercado3)</f>
        <v>0</v>
      </c>
      <c r="O147" s="4">
        <f>SUMIFS(super1[Qtde],super1[Item],tab_alimentos[[#This Row],[Item]],super1[Bairro],mercado4)+SUMIFS(supercb[Qtde],supercb[Item],tab_alimentos[[#This Row],[Item]],supercb[Bairro],mercado4)</f>
        <v>0</v>
      </c>
      <c r="P147" s="4">
        <f>SUMIFS(super1[Qtde],super1[Item],tab_alimentos[[#This Row],[Item]],super1[Bairro],mercado5)+SUMIFS(supercb[Qtde],supercb[Item],tab_alimentos[[#This Row],[Item]],supercb[Bairro],mercado5)</f>
        <v>0</v>
      </c>
      <c r="Q147" s="4">
        <f>SUMIFS(super1[Qtde],super1[Item],tab_alimentos[[#This Row],[Item]],super1[Bairro],mercado6)+SUMIFS(supercb[Qtde],supercb[Item],tab_alimentos[[#This Row],[Item]],supercb[Bairro],mercado6)</f>
        <v>0</v>
      </c>
      <c r="R147" s="4">
        <f>SUMIFS(super1[Qtde],super1[Item],tab_alimentos[[#This Row],[Item]],super1[Bairro],mercado7)+SUMIFS(supercb[Qtde],supercb[Item],tab_alimentos[[#This Row],[Item]],supercb[Bairro],mercado7)</f>
        <v>0</v>
      </c>
      <c r="S147" s="4">
        <f>SUMIFS(super1[Qtde],super1[Item],tab_alimentos[[#This Row],[Item]],super1[Bairro],mercado8)+SUMIFS(supercb[Qtde],supercb[Item],tab_alimentos[[#This Row],[Item]],supercb[Bairro],mercado8)</f>
        <v>0</v>
      </c>
      <c r="T147" s="4">
        <f>SUMIFS(super1[Qtde],super1[Item],tab_alimentos[[#This Row],[Item]],super1[Bairro],mercado9)+SUMIFS(supercb[Qtde],supercb[Item],tab_alimentos[[#This Row],[Item]],supercb[Bairro],mercado9)</f>
        <v>0</v>
      </c>
      <c r="U147" s="4">
        <f>SUMIFS(super1[Qtde],super1[Item],tab_alimentos[[#This Row],[Item]],super1[Bairro],mercado10)+SUMIFS(supercb[Qtde],supercb[Item],tab_alimentos[[#This Row],[Item]],supercb[Bairro],mercado10)</f>
        <v>0</v>
      </c>
      <c r="V147" s="4">
        <f>SUMIFS(super1[Qtde],super1[Item],tab_alimentos[[#This Row],[Item]],super1[Bairro],mercado11)+SUMIFS(supercb[Qtde],supercb[Item],tab_alimentos[[#This Row],[Item]],supercb[Bairro],mercado11)</f>
        <v>0</v>
      </c>
      <c r="W147" s="4">
        <f>SUMIFS(super1[Qtde],super1[Item],tab_alimentos[[#This Row],[Item]],super1[Bairro],mercado12)+SUMIFS(supercb[Qtde],supercb[Item],tab_alimentos[[#This Row],[Item]],supercb[Bairro],mercado12)</f>
        <v>0</v>
      </c>
      <c r="X147" s="4">
        <f>SUMIFS(super1[Qtde],super1[Item],tab_alimentos[[#This Row],[Item]],super1[Bairro],mercado13)+SUMIFS(supercb[Qtde],supercb[Item],tab_alimentos[[#This Row],[Item]],supercb[Bairro],mercado13)</f>
        <v>0</v>
      </c>
      <c r="Y147" s="4">
        <f>SUMIFS(super1[Qtde],super1[Item],tab_alimentos[[#This Row],[Item]],super1[Bairro],mercado14)+SUMIFS(supercb[Qtde],supercb[Item],tab_alimentos[[#This Row],[Item]],supercb[Bairro],mercado14)</f>
        <v>0</v>
      </c>
      <c r="Z147" s="4">
        <f>SUMIFS(super1[Qtde],super1[Item],tab_alimentos[[#This Row],[Item]],super1[Bairro],mercado15)+SUMIFS(supercb[Qtde],supercb[Item],tab_alimentos[[#This Row],[Item]],supercb[Bairro],mercado15)</f>
        <v>0</v>
      </c>
      <c r="AA147" s="4">
        <f>SUMIFS(super1[Qtde],super1[Item],tab_alimentos[[#This Row],[Item]],super1[Bairro],mercado16)+SUMIFS(supercb[Qtde],supercb[Item],tab_alimentos[[#This Row],[Item]],supercb[Bairro],mercado16)</f>
        <v>0</v>
      </c>
      <c r="AB147" s="4">
        <f>SUMIFS(super1[Qtde],super1[Item],tab_alimentos[[#This Row],[Item]],super1[Bairro],mercado17)+SUMIFS(supercb[Qtde],supercb[Item],tab_alimentos[[#This Row],[Item]],supercb[Bairro],mercado17)</f>
        <v>0</v>
      </c>
      <c r="AC147" s="4">
        <f>SUMIFS(super1[Qtde],super1[Item],tab_alimentos[[#This Row],[Item]],super1[Bairro],mercado18)+SUMIFS(supercb[Qtde],supercb[Item],tab_alimentos[[#This Row],[Item]],supercb[Bairro],mercado18)</f>
        <v>0</v>
      </c>
      <c r="AD147" s="4">
        <f>SUMIFS(super1[Qtde],super1[Item],tab_alimentos[[#This Row],[Item]],super1[Bairro],extras)+SUMIFS(supercb[Qtde],supercb[Item],tab_alimentos[[#This Row],[Item]],supercb[Bairro],extras)</f>
        <v>0</v>
      </c>
      <c r="AE147" s="4">
        <f t="shared" si="47"/>
        <v>0</v>
      </c>
      <c r="AF147" s="4">
        <f t="shared" si="48"/>
        <v>0</v>
      </c>
      <c r="AG147" s="6">
        <f t="shared" si="49"/>
        <v>0</v>
      </c>
      <c r="AH147" s="19" t="str">
        <f>higiene[[#This Row],[Item]]</f>
        <v>Lâmina de Barbear (5un)</v>
      </c>
      <c r="AI147" s="4">
        <f>IFERROR(higiene[[#This Row],[Kg equivalente]],0)</f>
        <v>0</v>
      </c>
      <c r="AJ147" s="4">
        <f>IFERROR(higiene[[#This Row],[Preço por produto]],0)</f>
        <v>5.19</v>
      </c>
      <c r="AK147" s="4">
        <f>SUMIFS(super1[Qtde],super1[Item],tab_higiene[[#This Row],[Item]],super1[Bairro],mercado1)+SUMIFS(supercb[Qtde],supercb[Item],tab_higiene[[#This Row],[Item]],supercb[Bairro],mercado1)</f>
        <v>0</v>
      </c>
      <c r="AL147" s="4">
        <f>SUMIFS(super1[Qtde],super1[Item],tab_higiene[[#This Row],[Item]],super1[Bairro],mercado2)+SUMIFS(supercb[Qtde],supercb[Item],tab_higiene[[#This Row],[Item]],supercb[Bairro],mercado2)</f>
        <v>0</v>
      </c>
      <c r="AM147" s="4">
        <f>SUMIFS(super1[Qtde],super1[Item],tab_higiene[[#This Row],[Item]],super1[Bairro],mercado3)+SUMIFS(supercb[Qtde],supercb[Item],tab_higiene[[#This Row],[Item]],supercb[Bairro],mercado3)</f>
        <v>0</v>
      </c>
      <c r="AN147" s="4">
        <f>SUMIFS(super1[Qtde],super1[Item],tab_higiene[[#This Row],[Item]],super1[Bairro],mercado4)+SUMIFS(supercb[Qtde],supercb[Item],tab_higiene[[#This Row],[Item]],supercb[Bairro],mercado4)</f>
        <v>0</v>
      </c>
      <c r="AO147" s="4">
        <f>SUMIFS(super1[Qtde],super1[Item],tab_higiene[[#This Row],[Item]],super1[Bairro],mercado5)+SUMIFS(supercb[Qtde],supercb[Item],tab_higiene[[#This Row],[Item]],supercb[Bairro],mercado5)</f>
        <v>0</v>
      </c>
      <c r="AP147" s="4">
        <f>SUMIFS(super1[Qtde],super1[Item],tab_higiene[[#This Row],[Item]],super1[Bairro],mercado6)+SUMIFS(supercb[Qtde],supercb[Item],tab_higiene[[#This Row],[Item]],supercb[Bairro],mercado6)</f>
        <v>0</v>
      </c>
      <c r="AQ147" s="4">
        <f>SUMIFS(super1[Qtde],super1[Item],tab_higiene[[#This Row],[Item]],super1[Bairro],mercado7)+SUMIFS(supercb[Qtde],supercb[Item],tab_higiene[[#This Row],[Item]],supercb[Bairro],mercado7)</f>
        <v>0</v>
      </c>
      <c r="AR147" s="4">
        <f>SUMIFS(super1[Qtde],super1[Item],tab_higiene[[#This Row],[Item]],super1[Bairro],mercado8)+SUMIFS(supercb[Qtde],supercb[Item],tab_higiene[[#This Row],[Item]],supercb[Bairro],mercado8)</f>
        <v>0</v>
      </c>
      <c r="AS147" s="4">
        <f>SUMIFS(super1[Qtde],super1[Item],tab_higiene[[#This Row],[Item]],super1[Bairro],mercado9)+SUMIFS(supercb[Qtde],supercb[Item],tab_higiene[[#This Row],[Item]],supercb[Bairro],mercado9)</f>
        <v>0</v>
      </c>
      <c r="AT147" s="4">
        <f>SUMIFS(super1[Qtde],super1[Item],tab_higiene[[#This Row],[Item]],super1[Bairro],mercado10)+SUMIFS(supercb[Qtde],supercb[Item],tab_higiene[[#This Row],[Item]],supercb[Bairro],mercado10)</f>
        <v>0</v>
      </c>
      <c r="AU147" s="4">
        <f>SUMIFS(super1[Qtde],super1[Item],tab_higiene[[#This Row],[Item]],super1[Bairro],mercado11)+SUMIFS(supercb[Qtde],supercb[Item],tab_higiene[[#This Row],[Item]],supercb[Bairro],mercado11)</f>
        <v>0</v>
      </c>
      <c r="AV147" s="4">
        <f>SUMIFS(super1[Qtde],super1[Item],tab_higiene[[#This Row],[Item]],super1[Bairro],mercado12)+SUMIFS(supercb[Qtde],supercb[Item],tab_higiene[[#This Row],[Item]],supercb[Bairro],mercado12)</f>
        <v>0</v>
      </c>
      <c r="AW147" s="4">
        <f>SUMIFS(super1[Qtde],super1[Item],tab_higiene[[#This Row],[Item]],super1[Bairro],mercado13)+SUMIFS(supercb[Qtde],supercb[Item],tab_higiene[[#This Row],[Item]],supercb[Bairro],mercado13)</f>
        <v>0</v>
      </c>
      <c r="AX147" s="4">
        <f>SUMIFS(super1[Qtde],super1[Item],tab_higiene[[#This Row],[Item]],super1[Bairro],mercado14)+SUMIFS(supercb[Qtde],supercb[Item],tab_higiene[[#This Row],[Item]],supercb[Bairro],mercado14)</f>
        <v>0</v>
      </c>
      <c r="AY147" s="4">
        <f>SUMIFS(super1[Qtde],super1[Item],tab_higiene[[#This Row],[Item]],super1[Bairro],mercado15)+SUMIFS(supercb[Qtde],supercb[Item],tab_higiene[[#This Row],[Item]],supercb[Bairro],mercado15)</f>
        <v>0</v>
      </c>
      <c r="AZ147" s="4">
        <f>SUMIFS(super1[Qtde],super1[Item],tab_higiene[[#This Row],[Item]],super1[Bairro],mercado16)+SUMIFS(supercb[Qtde],supercb[Item],tab_higiene[[#This Row],[Item]],supercb[Bairro],mercado16)</f>
        <v>0</v>
      </c>
      <c r="BA147" s="4">
        <f>SUMIFS(super1[Qtde],super1[Item],tab_higiene[[#This Row],[Item]],super1[Bairro],mercado17)+SUMIFS(supercb[Qtde],supercb[Item],tab_higiene[[#This Row],[Item]],supercb[Bairro],mercado17)</f>
        <v>0</v>
      </c>
      <c r="BB147" s="4">
        <f>SUMIFS(super1[Qtde],super1[Item],tab_higiene[[#This Row],[Item]],super1[Bairro],mercado18)+SUMIFS(supercb[Qtde],supercb[Item],tab_higiene[[#This Row],[Item]],supercb[Bairro],mercado18)</f>
        <v>0</v>
      </c>
      <c r="BC147" s="4">
        <f>SUMIFS(super1[Qtde],super1[Item],tab_higiene[[#This Row],[Item]],super1[Bairro],extras)+SUMIFS(supercb[Qtde],supercb[Item],tab_higiene[[#This Row],[Item]],supercb[Bairro],extras)</f>
        <v>0</v>
      </c>
      <c r="BD147" s="4">
        <f t="shared" si="59"/>
        <v>0</v>
      </c>
      <c r="BE147" s="4">
        <f t="shared" si="60"/>
        <v>0</v>
      </c>
      <c r="BF147" s="6">
        <f t="shared" si="61"/>
        <v>0</v>
      </c>
      <c r="BI147" s="1" t="str">
        <f>tab_alimentos[[#This Row],[Item]]</f>
        <v>C</v>
      </c>
      <c r="BJ147" s="1">
        <f t="shared" si="62"/>
        <v>0</v>
      </c>
      <c r="BK147" s="1" t="str">
        <f t="shared" si="63"/>
        <v>C</v>
      </c>
      <c r="BL147" s="1">
        <f>tab_alimentos[[#This Row],[kg]]</f>
        <v>0</v>
      </c>
      <c r="BN147" s="1">
        <f>SUMIF($BJ$5:$BJ$158,#REF!,$BK$5:$BK$158)</f>
        <v>0</v>
      </c>
    </row>
    <row r="148" spans="9:66" x14ac:dyDescent="0.25">
      <c r="I148" s="19" t="str">
        <f>alimentos[[#This Row],[Item]]</f>
        <v>Café (1kg)</v>
      </c>
      <c r="J148" s="4">
        <f>IFERROR(alimentos[[#This Row],[kg/embalagem]],0)</f>
        <v>1</v>
      </c>
      <c r="K148" s="4">
        <f>IFERROR(alimentos[[#This Row],[Preço]],0)</f>
        <v>68.900000000000006</v>
      </c>
      <c r="L148" s="4">
        <f>SUMIFS(super1[Qtde],super1[Item],tab_alimentos[[#This Row],[Item]],super1[Bairro],mercado1)+SUMIFS(supercb[Qtde],supercb[Item],tab_alimentos[[#This Row],[Item]],supercb[Bairro],mercado1)</f>
        <v>0</v>
      </c>
      <c r="M148" s="4">
        <f>SUMIFS(super1[Qtde],super1[Item],tab_alimentos[[#This Row],[Item]],super1[Bairro],mercado2)+SUMIFS(supercb[Qtde],supercb[Item],tab_alimentos[[#This Row],[Item]],supercb[Bairro],mercado2)</f>
        <v>0</v>
      </c>
      <c r="N148" s="4">
        <f>SUMIFS(super1[Qtde],super1[Item],tab_alimentos[[#This Row],[Item]],super1[Bairro],mercado3)+SUMIFS(supercb[Qtde],supercb[Item],tab_alimentos[[#This Row],[Item]],supercb[Bairro],mercado3)</f>
        <v>0</v>
      </c>
      <c r="O148" s="4">
        <f>SUMIFS(super1[Qtde],super1[Item],tab_alimentos[[#This Row],[Item]],super1[Bairro],mercado4)+SUMIFS(supercb[Qtde],supercb[Item],tab_alimentos[[#This Row],[Item]],supercb[Bairro],mercado4)</f>
        <v>0</v>
      </c>
      <c r="P148" s="4">
        <f>SUMIFS(super1[Qtde],super1[Item],tab_alimentos[[#This Row],[Item]],super1[Bairro],mercado5)+SUMIFS(supercb[Qtde],supercb[Item],tab_alimentos[[#This Row],[Item]],supercb[Bairro],mercado5)</f>
        <v>0</v>
      </c>
      <c r="Q148" s="4">
        <f>SUMIFS(super1[Qtde],super1[Item],tab_alimentos[[#This Row],[Item]],super1[Bairro],mercado6)+SUMIFS(supercb[Qtde],supercb[Item],tab_alimentos[[#This Row],[Item]],supercb[Bairro],mercado6)</f>
        <v>0</v>
      </c>
      <c r="R148" s="4">
        <f>SUMIFS(super1[Qtde],super1[Item],tab_alimentos[[#This Row],[Item]],super1[Bairro],mercado7)+SUMIFS(supercb[Qtde],supercb[Item],tab_alimentos[[#This Row],[Item]],supercb[Bairro],mercado7)</f>
        <v>0</v>
      </c>
      <c r="S148" s="4">
        <f>SUMIFS(super1[Qtde],super1[Item],tab_alimentos[[#This Row],[Item]],super1[Bairro],mercado8)+SUMIFS(supercb[Qtde],supercb[Item],tab_alimentos[[#This Row],[Item]],supercb[Bairro],mercado8)</f>
        <v>0</v>
      </c>
      <c r="T148" s="4">
        <f>SUMIFS(super1[Qtde],super1[Item],tab_alimentos[[#This Row],[Item]],super1[Bairro],mercado9)+SUMIFS(supercb[Qtde],supercb[Item],tab_alimentos[[#This Row],[Item]],supercb[Bairro],mercado9)</f>
        <v>0</v>
      </c>
      <c r="U148" s="4">
        <f>SUMIFS(super1[Qtde],super1[Item],tab_alimentos[[#This Row],[Item]],super1[Bairro],mercado10)+SUMIFS(supercb[Qtde],supercb[Item],tab_alimentos[[#This Row],[Item]],supercb[Bairro],mercado10)</f>
        <v>0</v>
      </c>
      <c r="V148" s="4">
        <f>SUMIFS(super1[Qtde],super1[Item],tab_alimentos[[#This Row],[Item]],super1[Bairro],mercado11)+SUMIFS(supercb[Qtde],supercb[Item],tab_alimentos[[#This Row],[Item]],supercb[Bairro],mercado11)</f>
        <v>0</v>
      </c>
      <c r="W148" s="4">
        <f>SUMIFS(super1[Qtde],super1[Item],tab_alimentos[[#This Row],[Item]],super1[Bairro],mercado12)+SUMIFS(supercb[Qtde],supercb[Item],tab_alimentos[[#This Row],[Item]],supercb[Bairro],mercado12)</f>
        <v>0</v>
      </c>
      <c r="X148" s="4">
        <f>SUMIFS(super1[Qtde],super1[Item],tab_alimentos[[#This Row],[Item]],super1[Bairro],mercado13)+SUMIFS(supercb[Qtde],supercb[Item],tab_alimentos[[#This Row],[Item]],supercb[Bairro],mercado13)</f>
        <v>0</v>
      </c>
      <c r="Y148" s="4">
        <f>SUMIFS(super1[Qtde],super1[Item],tab_alimentos[[#This Row],[Item]],super1[Bairro],mercado14)+SUMIFS(supercb[Qtde],supercb[Item],tab_alimentos[[#This Row],[Item]],supercb[Bairro],mercado14)</f>
        <v>0</v>
      </c>
      <c r="Z148" s="4">
        <f>SUMIFS(super1[Qtde],super1[Item],tab_alimentos[[#This Row],[Item]],super1[Bairro],mercado15)+SUMIFS(supercb[Qtde],supercb[Item],tab_alimentos[[#This Row],[Item]],supercb[Bairro],mercado15)</f>
        <v>0</v>
      </c>
      <c r="AA148" s="4">
        <f>SUMIFS(super1[Qtde],super1[Item],tab_alimentos[[#This Row],[Item]],super1[Bairro],mercado16)+SUMIFS(supercb[Qtde],supercb[Item],tab_alimentos[[#This Row],[Item]],supercb[Bairro],mercado16)</f>
        <v>0</v>
      </c>
      <c r="AB148" s="4">
        <f>SUMIFS(super1[Qtde],super1[Item],tab_alimentos[[#This Row],[Item]],super1[Bairro],mercado17)+SUMIFS(supercb[Qtde],supercb[Item],tab_alimentos[[#This Row],[Item]],supercb[Bairro],mercado17)</f>
        <v>0</v>
      </c>
      <c r="AC148" s="4">
        <f>SUMIFS(super1[Qtde],super1[Item],tab_alimentos[[#This Row],[Item]],super1[Bairro],mercado18)+SUMIFS(supercb[Qtde],supercb[Item],tab_alimentos[[#This Row],[Item]],supercb[Bairro],mercado18)</f>
        <v>0</v>
      </c>
      <c r="AD148" s="4">
        <f>SUMIFS(super1[Qtde],super1[Item],tab_alimentos[[#This Row],[Item]],super1[Bairro],extras)+SUMIFS(supercb[Qtde],supercb[Item],tab_alimentos[[#This Row],[Item]],supercb[Bairro],extras)</f>
        <v>0</v>
      </c>
      <c r="AE148" s="4">
        <f t="shared" si="47"/>
        <v>0</v>
      </c>
      <c r="AF148" s="4">
        <f t="shared" si="48"/>
        <v>0</v>
      </c>
      <c r="AG148" s="6">
        <f t="shared" si="49"/>
        <v>0</v>
      </c>
      <c r="AH148" s="19" t="str">
        <f>higiene[[#This Row],[Item]]</f>
        <v>Lâmina de Barbear (7un)</v>
      </c>
      <c r="AI148" s="4">
        <f>IFERROR(higiene[[#This Row],[Kg equivalente]],0)</f>
        <v>0</v>
      </c>
      <c r="AJ148" s="4">
        <f>IFERROR(higiene[[#This Row],[Preço por produto]],0)</f>
        <v>4.83</v>
      </c>
      <c r="AK148" s="4">
        <f>SUMIFS(super1[Qtde],super1[Item],tab_higiene[[#This Row],[Item]],super1[Bairro],mercado1)+SUMIFS(supercb[Qtde],supercb[Item],tab_higiene[[#This Row],[Item]],supercb[Bairro],mercado1)</f>
        <v>0</v>
      </c>
      <c r="AL148" s="4">
        <f>SUMIFS(super1[Qtde],super1[Item],tab_higiene[[#This Row],[Item]],super1[Bairro],mercado2)+SUMIFS(supercb[Qtde],supercb[Item],tab_higiene[[#This Row],[Item]],supercb[Bairro],mercado2)</f>
        <v>0</v>
      </c>
      <c r="AM148" s="4">
        <f>SUMIFS(super1[Qtde],super1[Item],tab_higiene[[#This Row],[Item]],super1[Bairro],mercado3)+SUMIFS(supercb[Qtde],supercb[Item],tab_higiene[[#This Row],[Item]],supercb[Bairro],mercado3)</f>
        <v>0</v>
      </c>
      <c r="AN148" s="4">
        <f>SUMIFS(super1[Qtde],super1[Item],tab_higiene[[#This Row],[Item]],super1[Bairro],mercado4)+SUMIFS(supercb[Qtde],supercb[Item],tab_higiene[[#This Row],[Item]],supercb[Bairro],mercado4)</f>
        <v>0</v>
      </c>
      <c r="AO148" s="4">
        <f>SUMIFS(super1[Qtde],super1[Item],tab_higiene[[#This Row],[Item]],super1[Bairro],mercado5)+SUMIFS(supercb[Qtde],supercb[Item],tab_higiene[[#This Row],[Item]],supercb[Bairro],mercado5)</f>
        <v>0</v>
      </c>
      <c r="AP148" s="4">
        <f>SUMIFS(super1[Qtde],super1[Item],tab_higiene[[#This Row],[Item]],super1[Bairro],mercado6)+SUMIFS(supercb[Qtde],supercb[Item],tab_higiene[[#This Row],[Item]],supercb[Bairro],mercado6)</f>
        <v>0</v>
      </c>
      <c r="AQ148" s="4">
        <f>SUMIFS(super1[Qtde],super1[Item],tab_higiene[[#This Row],[Item]],super1[Bairro],mercado7)+SUMIFS(supercb[Qtde],supercb[Item],tab_higiene[[#This Row],[Item]],supercb[Bairro],mercado7)</f>
        <v>0</v>
      </c>
      <c r="AR148" s="4">
        <f>SUMIFS(super1[Qtde],super1[Item],tab_higiene[[#This Row],[Item]],super1[Bairro],mercado8)+SUMIFS(supercb[Qtde],supercb[Item],tab_higiene[[#This Row],[Item]],supercb[Bairro],mercado8)</f>
        <v>0</v>
      </c>
      <c r="AS148" s="4">
        <f>SUMIFS(super1[Qtde],super1[Item],tab_higiene[[#This Row],[Item]],super1[Bairro],mercado9)+SUMIFS(supercb[Qtde],supercb[Item],tab_higiene[[#This Row],[Item]],supercb[Bairro],mercado9)</f>
        <v>0</v>
      </c>
      <c r="AT148" s="4">
        <f>SUMIFS(super1[Qtde],super1[Item],tab_higiene[[#This Row],[Item]],super1[Bairro],mercado10)+SUMIFS(supercb[Qtde],supercb[Item],tab_higiene[[#This Row],[Item]],supercb[Bairro],mercado10)</f>
        <v>0</v>
      </c>
      <c r="AU148" s="4">
        <f>SUMIFS(super1[Qtde],super1[Item],tab_higiene[[#This Row],[Item]],super1[Bairro],mercado11)+SUMIFS(supercb[Qtde],supercb[Item],tab_higiene[[#This Row],[Item]],supercb[Bairro],mercado11)</f>
        <v>0</v>
      </c>
      <c r="AV148" s="4">
        <f>SUMIFS(super1[Qtde],super1[Item],tab_higiene[[#This Row],[Item]],super1[Bairro],mercado12)+SUMIFS(supercb[Qtde],supercb[Item],tab_higiene[[#This Row],[Item]],supercb[Bairro],mercado12)</f>
        <v>0</v>
      </c>
      <c r="AW148" s="4">
        <f>SUMIFS(super1[Qtde],super1[Item],tab_higiene[[#This Row],[Item]],super1[Bairro],mercado13)+SUMIFS(supercb[Qtde],supercb[Item],tab_higiene[[#This Row],[Item]],supercb[Bairro],mercado13)</f>
        <v>0</v>
      </c>
      <c r="AX148" s="4">
        <f>SUMIFS(super1[Qtde],super1[Item],tab_higiene[[#This Row],[Item]],super1[Bairro],mercado14)+SUMIFS(supercb[Qtde],supercb[Item],tab_higiene[[#This Row],[Item]],supercb[Bairro],mercado14)</f>
        <v>0</v>
      </c>
      <c r="AY148" s="4">
        <f>SUMIFS(super1[Qtde],super1[Item],tab_higiene[[#This Row],[Item]],super1[Bairro],mercado15)+SUMIFS(supercb[Qtde],supercb[Item],tab_higiene[[#This Row],[Item]],supercb[Bairro],mercado15)</f>
        <v>0</v>
      </c>
      <c r="AZ148" s="4">
        <f>SUMIFS(super1[Qtde],super1[Item],tab_higiene[[#This Row],[Item]],super1[Bairro],mercado16)+SUMIFS(supercb[Qtde],supercb[Item],tab_higiene[[#This Row],[Item]],supercb[Bairro],mercado16)</f>
        <v>0</v>
      </c>
      <c r="BA148" s="4">
        <f>SUMIFS(super1[Qtde],super1[Item],tab_higiene[[#This Row],[Item]],super1[Bairro],mercado17)+SUMIFS(supercb[Qtde],supercb[Item],tab_higiene[[#This Row],[Item]],supercb[Bairro],mercado17)</f>
        <v>0</v>
      </c>
      <c r="BB148" s="4">
        <f>SUMIFS(super1[Qtde],super1[Item],tab_higiene[[#This Row],[Item]],super1[Bairro],mercado18)+SUMIFS(supercb[Qtde],supercb[Item],tab_higiene[[#This Row],[Item]],supercb[Bairro],mercado18)</f>
        <v>0</v>
      </c>
      <c r="BC148" s="4">
        <f>SUMIFS(super1[Qtde],super1[Item],tab_higiene[[#This Row],[Item]],super1[Bairro],extras)+SUMIFS(supercb[Qtde],supercb[Item],tab_higiene[[#This Row],[Item]],supercb[Bairro],extras)</f>
        <v>0</v>
      </c>
      <c r="BD148" s="4">
        <f t="shared" si="59"/>
        <v>0</v>
      </c>
      <c r="BE148" s="4">
        <f t="shared" si="60"/>
        <v>0</v>
      </c>
      <c r="BF148" s="6">
        <f t="shared" si="61"/>
        <v>0</v>
      </c>
      <c r="BI148" s="1" t="str">
        <f>tab_alimentos[[#This Row],[Item]]</f>
        <v>Café (1kg)</v>
      </c>
      <c r="BJ148" s="1">
        <f t="shared" si="62"/>
        <v>5</v>
      </c>
      <c r="BK148" s="1" t="str">
        <f t="shared" si="63"/>
        <v>Café</v>
      </c>
      <c r="BL148" s="1">
        <f>tab_alimentos[[#This Row],[kg]]</f>
        <v>0</v>
      </c>
      <c r="BN148" s="1">
        <f>SUMIF($BJ$5:$BJ$158,#REF!,$BK$5:$BK$158)</f>
        <v>0</v>
      </c>
    </row>
    <row r="149" spans="9:66" x14ac:dyDescent="0.25">
      <c r="I149" s="19" t="str">
        <f>alimentos[[#This Row],[Item]]</f>
        <v>Café (250g)</v>
      </c>
      <c r="J149" s="4">
        <f>IFERROR(alimentos[[#This Row],[kg/embalagem]],0)</f>
        <v>0.25</v>
      </c>
      <c r="K149" s="4">
        <f>IFERROR(alimentos[[#This Row],[Preço]],0)</f>
        <v>9.9</v>
      </c>
      <c r="L149" s="4">
        <f>SUMIFS(super1[Qtde],super1[Item],tab_alimentos[[#This Row],[Item]],super1[Bairro],mercado1)+SUMIFS(supercb[Qtde],supercb[Item],tab_alimentos[[#This Row],[Item]],supercb[Bairro],mercado1)</f>
        <v>0</v>
      </c>
      <c r="M149" s="4">
        <f>SUMIFS(super1[Qtde],super1[Item],tab_alimentos[[#This Row],[Item]],super1[Bairro],mercado2)+SUMIFS(supercb[Qtde],supercb[Item],tab_alimentos[[#This Row],[Item]],supercb[Bairro],mercado2)</f>
        <v>0</v>
      </c>
      <c r="N149" s="4">
        <f>SUMIFS(super1[Qtde],super1[Item],tab_alimentos[[#This Row],[Item]],super1[Bairro],mercado3)+SUMIFS(supercb[Qtde],supercb[Item],tab_alimentos[[#This Row],[Item]],supercb[Bairro],mercado3)</f>
        <v>0</v>
      </c>
      <c r="O149" s="4">
        <f>SUMIFS(super1[Qtde],super1[Item],tab_alimentos[[#This Row],[Item]],super1[Bairro],mercado4)+SUMIFS(supercb[Qtde],supercb[Item],tab_alimentos[[#This Row],[Item]],supercb[Bairro],mercado4)</f>
        <v>0</v>
      </c>
      <c r="P149" s="4">
        <f>SUMIFS(super1[Qtde],super1[Item],tab_alimentos[[#This Row],[Item]],super1[Bairro],mercado5)+SUMIFS(supercb[Qtde],supercb[Item],tab_alimentos[[#This Row],[Item]],supercb[Bairro],mercado5)</f>
        <v>0</v>
      </c>
      <c r="Q149" s="4">
        <f>SUMIFS(super1[Qtde],super1[Item],tab_alimentos[[#This Row],[Item]],super1[Bairro],mercado6)+SUMIFS(supercb[Qtde],supercb[Item],tab_alimentos[[#This Row],[Item]],supercb[Bairro],mercado6)</f>
        <v>0</v>
      </c>
      <c r="R149" s="4">
        <f>SUMIFS(super1[Qtde],super1[Item],tab_alimentos[[#This Row],[Item]],super1[Bairro],mercado7)+SUMIFS(supercb[Qtde],supercb[Item],tab_alimentos[[#This Row],[Item]],supercb[Bairro],mercado7)</f>
        <v>0</v>
      </c>
      <c r="S149" s="4">
        <f>SUMIFS(super1[Qtde],super1[Item],tab_alimentos[[#This Row],[Item]],super1[Bairro],mercado8)+SUMIFS(supercb[Qtde],supercb[Item],tab_alimentos[[#This Row],[Item]],supercb[Bairro],mercado8)</f>
        <v>0</v>
      </c>
      <c r="T149" s="4">
        <f>SUMIFS(super1[Qtde],super1[Item],tab_alimentos[[#This Row],[Item]],super1[Bairro],mercado9)+SUMIFS(supercb[Qtde],supercb[Item],tab_alimentos[[#This Row],[Item]],supercb[Bairro],mercado9)</f>
        <v>0</v>
      </c>
      <c r="U149" s="4">
        <f>SUMIFS(super1[Qtde],super1[Item],tab_alimentos[[#This Row],[Item]],super1[Bairro],mercado10)+SUMIFS(supercb[Qtde],supercb[Item],tab_alimentos[[#This Row],[Item]],supercb[Bairro],mercado10)</f>
        <v>0</v>
      </c>
      <c r="V149" s="4">
        <f>SUMIFS(super1[Qtde],super1[Item],tab_alimentos[[#This Row],[Item]],super1[Bairro],mercado11)+SUMIFS(supercb[Qtde],supercb[Item],tab_alimentos[[#This Row],[Item]],supercb[Bairro],mercado11)</f>
        <v>0</v>
      </c>
      <c r="W149" s="4">
        <f>SUMIFS(super1[Qtde],super1[Item],tab_alimentos[[#This Row],[Item]],super1[Bairro],mercado12)+SUMIFS(supercb[Qtde],supercb[Item],tab_alimentos[[#This Row],[Item]],supercb[Bairro],mercado12)</f>
        <v>0</v>
      </c>
      <c r="X149" s="4">
        <f>SUMIFS(super1[Qtde],super1[Item],tab_alimentos[[#This Row],[Item]],super1[Bairro],mercado13)+SUMIFS(supercb[Qtde],supercb[Item],tab_alimentos[[#This Row],[Item]],supercb[Bairro],mercado13)</f>
        <v>0</v>
      </c>
      <c r="Y149" s="4">
        <f>SUMIFS(super1[Qtde],super1[Item],tab_alimentos[[#This Row],[Item]],super1[Bairro],mercado14)+SUMIFS(supercb[Qtde],supercb[Item],tab_alimentos[[#This Row],[Item]],supercb[Bairro],mercado14)</f>
        <v>0</v>
      </c>
      <c r="Z149" s="4">
        <f>SUMIFS(super1[Qtde],super1[Item],tab_alimentos[[#This Row],[Item]],super1[Bairro],mercado15)+SUMIFS(supercb[Qtde],supercb[Item],tab_alimentos[[#This Row],[Item]],supercb[Bairro],mercado15)</f>
        <v>0</v>
      </c>
      <c r="AA149" s="4">
        <f>SUMIFS(super1[Qtde],super1[Item],tab_alimentos[[#This Row],[Item]],super1[Bairro],mercado16)+SUMIFS(supercb[Qtde],supercb[Item],tab_alimentos[[#This Row],[Item]],supercb[Bairro],mercado16)</f>
        <v>0</v>
      </c>
      <c r="AB149" s="4">
        <f>SUMIFS(super1[Qtde],super1[Item],tab_alimentos[[#This Row],[Item]],super1[Bairro],mercado17)+SUMIFS(supercb[Qtde],supercb[Item],tab_alimentos[[#This Row],[Item]],supercb[Bairro],mercado17)</f>
        <v>0</v>
      </c>
      <c r="AC149" s="4">
        <f>SUMIFS(super1[Qtde],super1[Item],tab_alimentos[[#This Row],[Item]],super1[Bairro],mercado18)+SUMIFS(supercb[Qtde],supercb[Item],tab_alimentos[[#This Row],[Item]],supercb[Bairro],mercado18)</f>
        <v>0</v>
      </c>
      <c r="AD149" s="4">
        <f>SUMIFS(super1[Qtde],super1[Item],tab_alimentos[[#This Row],[Item]],super1[Bairro],extras)+SUMIFS(supercb[Qtde],supercb[Item],tab_alimentos[[#This Row],[Item]],supercb[Bairro],extras)</f>
        <v>0</v>
      </c>
      <c r="AE149" s="4">
        <f t="shared" si="47"/>
        <v>0</v>
      </c>
      <c r="AF149" s="4">
        <f t="shared" si="48"/>
        <v>0</v>
      </c>
      <c r="AG149" s="6">
        <f t="shared" si="49"/>
        <v>0</v>
      </c>
      <c r="AH149" s="19" t="str">
        <f>higiene[[#This Row],[Item]]</f>
        <v>Lâmina de Barbear (8un)</v>
      </c>
      <c r="AI149" s="4">
        <f>IFERROR(higiene[[#This Row],[Kg equivalente]],0)</f>
        <v>0</v>
      </c>
      <c r="AJ149" s="4">
        <f>IFERROR(higiene[[#This Row],[Preço por produto]],0)</f>
        <v>47.7</v>
      </c>
      <c r="AK149" s="4">
        <f>SUMIFS(super1[Qtde],super1[Item],tab_higiene[[#This Row],[Item]],super1[Bairro],mercado1)+SUMIFS(supercb[Qtde],supercb[Item],tab_higiene[[#This Row],[Item]],supercb[Bairro],mercado1)</f>
        <v>0</v>
      </c>
      <c r="AL149" s="4">
        <f>SUMIFS(super1[Qtde],super1[Item],tab_higiene[[#This Row],[Item]],super1[Bairro],mercado2)+SUMIFS(supercb[Qtde],supercb[Item],tab_higiene[[#This Row],[Item]],supercb[Bairro],mercado2)</f>
        <v>0</v>
      </c>
      <c r="AM149" s="4">
        <f>SUMIFS(super1[Qtde],super1[Item],tab_higiene[[#This Row],[Item]],super1[Bairro],mercado3)+SUMIFS(supercb[Qtde],supercb[Item],tab_higiene[[#This Row],[Item]],supercb[Bairro],mercado3)</f>
        <v>0</v>
      </c>
      <c r="AN149" s="4">
        <f>SUMIFS(super1[Qtde],super1[Item],tab_higiene[[#This Row],[Item]],super1[Bairro],mercado4)+SUMIFS(supercb[Qtde],supercb[Item],tab_higiene[[#This Row],[Item]],supercb[Bairro],mercado4)</f>
        <v>0</v>
      </c>
      <c r="AO149" s="4">
        <f>SUMIFS(super1[Qtde],super1[Item],tab_higiene[[#This Row],[Item]],super1[Bairro],mercado5)+SUMIFS(supercb[Qtde],supercb[Item],tab_higiene[[#This Row],[Item]],supercb[Bairro],mercado5)</f>
        <v>0</v>
      </c>
      <c r="AP149" s="4">
        <f>SUMIFS(super1[Qtde],super1[Item],tab_higiene[[#This Row],[Item]],super1[Bairro],mercado6)+SUMIFS(supercb[Qtde],supercb[Item],tab_higiene[[#This Row],[Item]],supercb[Bairro],mercado6)</f>
        <v>0</v>
      </c>
      <c r="AQ149" s="4">
        <f>SUMIFS(super1[Qtde],super1[Item],tab_higiene[[#This Row],[Item]],super1[Bairro],mercado7)+SUMIFS(supercb[Qtde],supercb[Item],tab_higiene[[#This Row],[Item]],supercb[Bairro],mercado7)</f>
        <v>0</v>
      </c>
      <c r="AR149" s="4">
        <f>SUMIFS(super1[Qtde],super1[Item],tab_higiene[[#This Row],[Item]],super1[Bairro],mercado8)+SUMIFS(supercb[Qtde],supercb[Item],tab_higiene[[#This Row],[Item]],supercb[Bairro],mercado8)</f>
        <v>0</v>
      </c>
      <c r="AS149" s="4">
        <f>SUMIFS(super1[Qtde],super1[Item],tab_higiene[[#This Row],[Item]],super1[Bairro],mercado9)+SUMIFS(supercb[Qtde],supercb[Item],tab_higiene[[#This Row],[Item]],supercb[Bairro],mercado9)</f>
        <v>0</v>
      </c>
      <c r="AT149" s="4">
        <f>SUMIFS(super1[Qtde],super1[Item],tab_higiene[[#This Row],[Item]],super1[Bairro],mercado10)+SUMIFS(supercb[Qtde],supercb[Item],tab_higiene[[#This Row],[Item]],supercb[Bairro],mercado10)</f>
        <v>0</v>
      </c>
      <c r="AU149" s="4">
        <f>SUMIFS(super1[Qtde],super1[Item],tab_higiene[[#This Row],[Item]],super1[Bairro],mercado11)+SUMIFS(supercb[Qtde],supercb[Item],tab_higiene[[#This Row],[Item]],supercb[Bairro],mercado11)</f>
        <v>0</v>
      </c>
      <c r="AV149" s="4">
        <f>SUMIFS(super1[Qtde],super1[Item],tab_higiene[[#This Row],[Item]],super1[Bairro],mercado12)+SUMIFS(supercb[Qtde],supercb[Item],tab_higiene[[#This Row],[Item]],supercb[Bairro],mercado12)</f>
        <v>0</v>
      </c>
      <c r="AW149" s="4">
        <f>SUMIFS(super1[Qtde],super1[Item],tab_higiene[[#This Row],[Item]],super1[Bairro],mercado13)+SUMIFS(supercb[Qtde],supercb[Item],tab_higiene[[#This Row],[Item]],supercb[Bairro],mercado13)</f>
        <v>0</v>
      </c>
      <c r="AX149" s="4">
        <f>SUMIFS(super1[Qtde],super1[Item],tab_higiene[[#This Row],[Item]],super1[Bairro],mercado14)+SUMIFS(supercb[Qtde],supercb[Item],tab_higiene[[#This Row],[Item]],supercb[Bairro],mercado14)</f>
        <v>0</v>
      </c>
      <c r="AY149" s="4">
        <f>SUMIFS(super1[Qtde],super1[Item],tab_higiene[[#This Row],[Item]],super1[Bairro],mercado15)+SUMIFS(supercb[Qtde],supercb[Item],tab_higiene[[#This Row],[Item]],supercb[Bairro],mercado15)</f>
        <v>0</v>
      </c>
      <c r="AZ149" s="4">
        <f>SUMIFS(super1[Qtde],super1[Item],tab_higiene[[#This Row],[Item]],super1[Bairro],mercado16)+SUMIFS(supercb[Qtde],supercb[Item],tab_higiene[[#This Row],[Item]],supercb[Bairro],mercado16)</f>
        <v>0</v>
      </c>
      <c r="BA149" s="4">
        <f>SUMIFS(super1[Qtde],super1[Item],tab_higiene[[#This Row],[Item]],super1[Bairro],mercado17)+SUMIFS(supercb[Qtde],supercb[Item],tab_higiene[[#This Row],[Item]],supercb[Bairro],mercado17)</f>
        <v>0</v>
      </c>
      <c r="BB149" s="4">
        <f>SUMIFS(super1[Qtde],super1[Item],tab_higiene[[#This Row],[Item]],super1[Bairro],mercado18)+SUMIFS(supercb[Qtde],supercb[Item],tab_higiene[[#This Row],[Item]],supercb[Bairro],mercado18)</f>
        <v>0</v>
      </c>
      <c r="BC149" s="4">
        <f>SUMIFS(super1[Qtde],super1[Item],tab_higiene[[#This Row],[Item]],super1[Bairro],extras)+SUMIFS(supercb[Qtde],supercb[Item],tab_higiene[[#This Row],[Item]],supercb[Bairro],extras)</f>
        <v>0</v>
      </c>
      <c r="BD149" s="4">
        <f t="shared" si="59"/>
        <v>0</v>
      </c>
      <c r="BE149" s="4">
        <f t="shared" si="60"/>
        <v>0</v>
      </c>
      <c r="BF149" s="6">
        <f t="shared" si="61"/>
        <v>0</v>
      </c>
      <c r="BI149" s="1" t="str">
        <f>tab_alimentos[[#This Row],[Item]]</f>
        <v>Café (250g)</v>
      </c>
      <c r="BJ149" s="1">
        <f t="shared" si="62"/>
        <v>5</v>
      </c>
      <c r="BK149" s="1" t="str">
        <f t="shared" si="63"/>
        <v>Café</v>
      </c>
      <c r="BL149" s="1">
        <f>tab_alimentos[[#This Row],[kg]]</f>
        <v>0</v>
      </c>
      <c r="BN149" s="1">
        <f>SUMIF($BJ$5:$BJ$158,#REF!,$BK$5:$BK$158)</f>
        <v>0</v>
      </c>
    </row>
    <row r="150" spans="9:66" x14ac:dyDescent="0.25">
      <c r="I150" s="19" t="str">
        <f>alimentos[[#This Row],[Item]]</f>
        <v>Café (500g)</v>
      </c>
      <c r="J150" s="4">
        <f>IFERROR(alimentos[[#This Row],[kg/embalagem]],0)</f>
        <v>0.5</v>
      </c>
      <c r="K150" s="4">
        <f>IFERROR(alimentos[[#This Row],[Preço]],0)</f>
        <v>17.489999999999998</v>
      </c>
      <c r="L150" s="4">
        <f>SUMIFS(super1[Qtde],super1[Item],tab_alimentos[[#This Row],[Item]],super1[Bairro],mercado1)+SUMIFS(supercb[Qtde],supercb[Item],tab_alimentos[[#This Row],[Item]],supercb[Bairro],mercado1)</f>
        <v>0</v>
      </c>
      <c r="M150" s="4">
        <f>SUMIFS(super1[Qtde],super1[Item],tab_alimentos[[#This Row],[Item]],super1[Bairro],mercado2)+SUMIFS(supercb[Qtde],supercb[Item],tab_alimentos[[#This Row],[Item]],supercb[Bairro],mercado2)</f>
        <v>0</v>
      </c>
      <c r="N150" s="4">
        <f>SUMIFS(super1[Qtde],super1[Item],tab_alimentos[[#This Row],[Item]],super1[Bairro],mercado3)+SUMIFS(supercb[Qtde],supercb[Item],tab_alimentos[[#This Row],[Item]],supercb[Bairro],mercado3)</f>
        <v>0</v>
      </c>
      <c r="O150" s="4">
        <f>SUMIFS(super1[Qtde],super1[Item],tab_alimentos[[#This Row],[Item]],super1[Bairro],mercado4)+SUMIFS(supercb[Qtde],supercb[Item],tab_alimentos[[#This Row],[Item]],supercb[Bairro],mercado4)</f>
        <v>0</v>
      </c>
      <c r="P150" s="4">
        <f>SUMIFS(super1[Qtde],super1[Item],tab_alimentos[[#This Row],[Item]],super1[Bairro],mercado5)+SUMIFS(supercb[Qtde],supercb[Item],tab_alimentos[[#This Row],[Item]],supercb[Bairro],mercado5)</f>
        <v>0</v>
      </c>
      <c r="Q150" s="4">
        <f>SUMIFS(super1[Qtde],super1[Item],tab_alimentos[[#This Row],[Item]],super1[Bairro],mercado6)+SUMIFS(supercb[Qtde],supercb[Item],tab_alimentos[[#This Row],[Item]],supercb[Bairro],mercado6)</f>
        <v>0</v>
      </c>
      <c r="R150" s="4">
        <f>SUMIFS(super1[Qtde],super1[Item],tab_alimentos[[#This Row],[Item]],super1[Bairro],mercado7)+SUMIFS(supercb[Qtde],supercb[Item],tab_alimentos[[#This Row],[Item]],supercb[Bairro],mercado7)</f>
        <v>0</v>
      </c>
      <c r="S150" s="4">
        <f>SUMIFS(super1[Qtde],super1[Item],tab_alimentos[[#This Row],[Item]],super1[Bairro],mercado8)+SUMIFS(supercb[Qtde],supercb[Item],tab_alimentos[[#This Row],[Item]],supercb[Bairro],mercado8)</f>
        <v>0</v>
      </c>
      <c r="T150" s="4">
        <f>SUMIFS(super1[Qtde],super1[Item],tab_alimentos[[#This Row],[Item]],super1[Bairro],mercado9)+SUMIFS(supercb[Qtde],supercb[Item],tab_alimentos[[#This Row],[Item]],supercb[Bairro],mercado9)</f>
        <v>0</v>
      </c>
      <c r="U150" s="4">
        <f>SUMIFS(super1[Qtde],super1[Item],tab_alimentos[[#This Row],[Item]],super1[Bairro],mercado10)+SUMIFS(supercb[Qtde],supercb[Item],tab_alimentos[[#This Row],[Item]],supercb[Bairro],mercado10)</f>
        <v>0</v>
      </c>
      <c r="V150" s="4">
        <f>SUMIFS(super1[Qtde],super1[Item],tab_alimentos[[#This Row],[Item]],super1[Bairro],mercado11)+SUMIFS(supercb[Qtde],supercb[Item],tab_alimentos[[#This Row],[Item]],supercb[Bairro],mercado11)</f>
        <v>0</v>
      </c>
      <c r="W150" s="4">
        <f>SUMIFS(super1[Qtde],super1[Item],tab_alimentos[[#This Row],[Item]],super1[Bairro],mercado12)+SUMIFS(supercb[Qtde],supercb[Item],tab_alimentos[[#This Row],[Item]],supercb[Bairro],mercado12)</f>
        <v>0</v>
      </c>
      <c r="X150" s="4">
        <f>SUMIFS(super1[Qtde],super1[Item],tab_alimentos[[#This Row],[Item]],super1[Bairro],mercado13)+SUMIFS(supercb[Qtde],supercb[Item],tab_alimentos[[#This Row],[Item]],supercb[Bairro],mercado13)</f>
        <v>0</v>
      </c>
      <c r="Y150" s="4">
        <f>SUMIFS(super1[Qtde],super1[Item],tab_alimentos[[#This Row],[Item]],super1[Bairro],mercado14)+SUMIFS(supercb[Qtde],supercb[Item],tab_alimentos[[#This Row],[Item]],supercb[Bairro],mercado14)</f>
        <v>0</v>
      </c>
      <c r="Z150" s="4">
        <f>SUMIFS(super1[Qtde],super1[Item],tab_alimentos[[#This Row],[Item]],super1[Bairro],mercado15)+SUMIFS(supercb[Qtde],supercb[Item],tab_alimentos[[#This Row],[Item]],supercb[Bairro],mercado15)</f>
        <v>0</v>
      </c>
      <c r="AA150" s="4">
        <f>SUMIFS(super1[Qtde],super1[Item],tab_alimentos[[#This Row],[Item]],super1[Bairro],mercado16)+SUMIFS(supercb[Qtde],supercb[Item],tab_alimentos[[#This Row],[Item]],supercb[Bairro],mercado16)</f>
        <v>0</v>
      </c>
      <c r="AB150" s="4">
        <f>SUMIFS(super1[Qtde],super1[Item],tab_alimentos[[#This Row],[Item]],super1[Bairro],mercado17)+SUMIFS(supercb[Qtde],supercb[Item],tab_alimentos[[#This Row],[Item]],supercb[Bairro],mercado17)</f>
        <v>0</v>
      </c>
      <c r="AC150" s="4">
        <f>SUMIFS(super1[Qtde],super1[Item],tab_alimentos[[#This Row],[Item]],super1[Bairro],mercado18)+SUMIFS(supercb[Qtde],supercb[Item],tab_alimentos[[#This Row],[Item]],supercb[Bairro],mercado18)</f>
        <v>0</v>
      </c>
      <c r="AD150" s="4">
        <f>SUMIFS(super1[Qtde],super1[Item],tab_alimentos[[#This Row],[Item]],super1[Bairro],extras)+SUMIFS(supercb[Qtde],supercb[Item],tab_alimentos[[#This Row],[Item]],supercb[Bairro],extras)</f>
        <v>0</v>
      </c>
      <c r="AE150" s="4">
        <f t="shared" si="47"/>
        <v>0</v>
      </c>
      <c r="AF150" s="4">
        <f t="shared" si="48"/>
        <v>0</v>
      </c>
      <c r="AG150" s="6">
        <f t="shared" si="49"/>
        <v>0</v>
      </c>
      <c r="AH150" s="19" t="str">
        <f>higiene[[#This Row],[Item]]</f>
        <v>Lâmina Refil (2un)</v>
      </c>
      <c r="AI150" s="4">
        <f>IFERROR(higiene[[#This Row],[Kg equivalente]],0)</f>
        <v>0</v>
      </c>
      <c r="AJ150" s="4">
        <f>IFERROR(higiene[[#This Row],[Preço por produto]],0)</f>
        <v>24.9</v>
      </c>
      <c r="AK150" s="4">
        <f>SUMIFS(super1[Qtde],super1[Item],tab_higiene[[#This Row],[Item]],super1[Bairro],mercado1)+SUMIFS(supercb[Qtde],supercb[Item],tab_higiene[[#This Row],[Item]],supercb[Bairro],mercado1)</f>
        <v>0</v>
      </c>
      <c r="AL150" s="4">
        <f>SUMIFS(super1[Qtde],super1[Item],tab_higiene[[#This Row],[Item]],super1[Bairro],mercado2)+SUMIFS(supercb[Qtde],supercb[Item],tab_higiene[[#This Row],[Item]],supercb[Bairro],mercado2)</f>
        <v>0</v>
      </c>
      <c r="AM150" s="4">
        <f>SUMIFS(super1[Qtde],super1[Item],tab_higiene[[#This Row],[Item]],super1[Bairro],mercado3)+SUMIFS(supercb[Qtde],supercb[Item],tab_higiene[[#This Row],[Item]],supercb[Bairro],mercado3)</f>
        <v>0</v>
      </c>
      <c r="AN150" s="4">
        <f>SUMIFS(super1[Qtde],super1[Item],tab_higiene[[#This Row],[Item]],super1[Bairro],mercado4)+SUMIFS(supercb[Qtde],supercb[Item],tab_higiene[[#This Row],[Item]],supercb[Bairro],mercado4)</f>
        <v>0</v>
      </c>
      <c r="AO150" s="4">
        <f>SUMIFS(super1[Qtde],super1[Item],tab_higiene[[#This Row],[Item]],super1[Bairro],mercado5)+SUMIFS(supercb[Qtde],supercb[Item],tab_higiene[[#This Row],[Item]],supercb[Bairro],mercado5)</f>
        <v>0</v>
      </c>
      <c r="AP150" s="4">
        <f>SUMIFS(super1[Qtde],super1[Item],tab_higiene[[#This Row],[Item]],super1[Bairro],mercado6)+SUMIFS(supercb[Qtde],supercb[Item],tab_higiene[[#This Row],[Item]],supercb[Bairro],mercado6)</f>
        <v>0</v>
      </c>
      <c r="AQ150" s="4">
        <f>SUMIFS(super1[Qtde],super1[Item],tab_higiene[[#This Row],[Item]],super1[Bairro],mercado7)+SUMIFS(supercb[Qtde],supercb[Item],tab_higiene[[#This Row],[Item]],supercb[Bairro],mercado7)</f>
        <v>0</v>
      </c>
      <c r="AR150" s="4">
        <f>SUMIFS(super1[Qtde],super1[Item],tab_higiene[[#This Row],[Item]],super1[Bairro],mercado8)+SUMIFS(supercb[Qtde],supercb[Item],tab_higiene[[#This Row],[Item]],supercb[Bairro],mercado8)</f>
        <v>0</v>
      </c>
      <c r="AS150" s="4">
        <f>SUMIFS(super1[Qtde],super1[Item],tab_higiene[[#This Row],[Item]],super1[Bairro],mercado9)+SUMIFS(supercb[Qtde],supercb[Item],tab_higiene[[#This Row],[Item]],supercb[Bairro],mercado9)</f>
        <v>0</v>
      </c>
      <c r="AT150" s="4">
        <f>SUMIFS(super1[Qtde],super1[Item],tab_higiene[[#This Row],[Item]],super1[Bairro],mercado10)+SUMIFS(supercb[Qtde],supercb[Item],tab_higiene[[#This Row],[Item]],supercb[Bairro],mercado10)</f>
        <v>0</v>
      </c>
      <c r="AU150" s="4">
        <f>SUMIFS(super1[Qtde],super1[Item],tab_higiene[[#This Row],[Item]],super1[Bairro],mercado11)+SUMIFS(supercb[Qtde],supercb[Item],tab_higiene[[#This Row],[Item]],supercb[Bairro],mercado11)</f>
        <v>0</v>
      </c>
      <c r="AV150" s="4">
        <f>SUMIFS(super1[Qtde],super1[Item],tab_higiene[[#This Row],[Item]],super1[Bairro],mercado12)+SUMIFS(supercb[Qtde],supercb[Item],tab_higiene[[#This Row],[Item]],supercb[Bairro],mercado12)</f>
        <v>0</v>
      </c>
      <c r="AW150" s="4">
        <f>SUMIFS(super1[Qtde],super1[Item],tab_higiene[[#This Row],[Item]],super1[Bairro],mercado13)+SUMIFS(supercb[Qtde],supercb[Item],tab_higiene[[#This Row],[Item]],supercb[Bairro],mercado13)</f>
        <v>0</v>
      </c>
      <c r="AX150" s="4">
        <f>SUMIFS(super1[Qtde],super1[Item],tab_higiene[[#This Row],[Item]],super1[Bairro],mercado14)+SUMIFS(supercb[Qtde],supercb[Item],tab_higiene[[#This Row],[Item]],supercb[Bairro],mercado14)</f>
        <v>0</v>
      </c>
      <c r="AY150" s="4">
        <f>SUMIFS(super1[Qtde],super1[Item],tab_higiene[[#This Row],[Item]],super1[Bairro],mercado15)+SUMIFS(supercb[Qtde],supercb[Item],tab_higiene[[#This Row],[Item]],supercb[Bairro],mercado15)</f>
        <v>0</v>
      </c>
      <c r="AZ150" s="4">
        <f>SUMIFS(super1[Qtde],super1[Item],tab_higiene[[#This Row],[Item]],super1[Bairro],mercado16)+SUMIFS(supercb[Qtde],supercb[Item],tab_higiene[[#This Row],[Item]],supercb[Bairro],mercado16)</f>
        <v>0</v>
      </c>
      <c r="BA150" s="4">
        <f>SUMIFS(super1[Qtde],super1[Item],tab_higiene[[#This Row],[Item]],super1[Bairro],mercado17)+SUMIFS(supercb[Qtde],supercb[Item],tab_higiene[[#This Row],[Item]],supercb[Bairro],mercado17)</f>
        <v>0</v>
      </c>
      <c r="BB150" s="4">
        <f>SUMIFS(super1[Qtde],super1[Item],tab_higiene[[#This Row],[Item]],super1[Bairro],mercado18)+SUMIFS(supercb[Qtde],supercb[Item],tab_higiene[[#This Row],[Item]],supercb[Bairro],mercado18)</f>
        <v>0</v>
      </c>
      <c r="BC150" s="4">
        <f>SUMIFS(super1[Qtde],super1[Item],tab_higiene[[#This Row],[Item]],super1[Bairro],extras)+SUMIFS(supercb[Qtde],supercb[Item],tab_higiene[[#This Row],[Item]],supercb[Bairro],extras)</f>
        <v>0</v>
      </c>
      <c r="BD150" s="4">
        <f t="shared" si="59"/>
        <v>0</v>
      </c>
      <c r="BE150" s="4">
        <f t="shared" si="60"/>
        <v>0</v>
      </c>
      <c r="BF150" s="6">
        <f t="shared" si="61"/>
        <v>0</v>
      </c>
      <c r="BI150" s="1" t="str">
        <f>tab_alimentos[[#This Row],[Item]]</f>
        <v>Café (500g)</v>
      </c>
      <c r="BJ150" s="1">
        <f t="shared" si="62"/>
        <v>5</v>
      </c>
      <c r="BK150" s="1" t="str">
        <f t="shared" si="63"/>
        <v>Café</v>
      </c>
      <c r="BL150" s="1">
        <f>tab_alimentos[[#This Row],[kg]]</f>
        <v>0</v>
      </c>
      <c r="BN150" s="1">
        <f>SUMIF($BJ$5:$BJ$158,#REF!,$BK$5:$BK$158)</f>
        <v>0</v>
      </c>
    </row>
    <row r="151" spans="9:66" x14ac:dyDescent="0.25">
      <c r="I151" s="19" t="str">
        <f>alimentos[[#This Row],[Item]]</f>
        <v>Café Solúvel (50g)</v>
      </c>
      <c r="J151" s="4">
        <f>IFERROR(alimentos[[#This Row],[kg/embalagem]],0)</f>
        <v>0.05</v>
      </c>
      <c r="K151" s="4">
        <f>IFERROR(alimentos[[#This Row],[Preço]],0)</f>
        <v>4.6900000000000004</v>
      </c>
      <c r="L151" s="4">
        <f>SUMIFS(super1[Qtde],super1[Item],tab_alimentos[[#This Row],[Item]],super1[Bairro],mercado1)+SUMIFS(supercb[Qtde],supercb[Item],tab_alimentos[[#This Row],[Item]],supercb[Bairro],mercado1)</f>
        <v>0</v>
      </c>
      <c r="M151" s="4">
        <f>SUMIFS(super1[Qtde],super1[Item],tab_alimentos[[#This Row],[Item]],super1[Bairro],mercado2)+SUMIFS(supercb[Qtde],supercb[Item],tab_alimentos[[#This Row],[Item]],supercb[Bairro],mercado2)</f>
        <v>0</v>
      </c>
      <c r="N151" s="4">
        <f>SUMIFS(super1[Qtde],super1[Item],tab_alimentos[[#This Row],[Item]],super1[Bairro],mercado3)+SUMIFS(supercb[Qtde],supercb[Item],tab_alimentos[[#This Row],[Item]],supercb[Bairro],mercado3)</f>
        <v>0</v>
      </c>
      <c r="O151" s="4">
        <f>SUMIFS(super1[Qtde],super1[Item],tab_alimentos[[#This Row],[Item]],super1[Bairro],mercado4)+SUMIFS(supercb[Qtde],supercb[Item],tab_alimentos[[#This Row],[Item]],supercb[Bairro],mercado4)</f>
        <v>0</v>
      </c>
      <c r="P151" s="4">
        <f>SUMIFS(super1[Qtde],super1[Item],tab_alimentos[[#This Row],[Item]],super1[Bairro],mercado5)+SUMIFS(supercb[Qtde],supercb[Item],tab_alimentos[[#This Row],[Item]],supercb[Bairro],mercado5)</f>
        <v>0</v>
      </c>
      <c r="Q151" s="4">
        <f>SUMIFS(super1[Qtde],super1[Item],tab_alimentos[[#This Row],[Item]],super1[Bairro],mercado6)+SUMIFS(supercb[Qtde],supercb[Item],tab_alimentos[[#This Row],[Item]],supercb[Bairro],mercado6)</f>
        <v>0</v>
      </c>
      <c r="R151" s="4">
        <f>SUMIFS(super1[Qtde],super1[Item],tab_alimentos[[#This Row],[Item]],super1[Bairro],mercado7)+SUMIFS(supercb[Qtde],supercb[Item],tab_alimentos[[#This Row],[Item]],supercb[Bairro],mercado7)</f>
        <v>0</v>
      </c>
      <c r="S151" s="4">
        <f>SUMIFS(super1[Qtde],super1[Item],tab_alimentos[[#This Row],[Item]],super1[Bairro],mercado8)+SUMIFS(supercb[Qtde],supercb[Item],tab_alimentos[[#This Row],[Item]],supercb[Bairro],mercado8)</f>
        <v>0</v>
      </c>
      <c r="T151" s="4">
        <f>SUMIFS(super1[Qtde],super1[Item],tab_alimentos[[#This Row],[Item]],super1[Bairro],mercado9)+SUMIFS(supercb[Qtde],supercb[Item],tab_alimentos[[#This Row],[Item]],supercb[Bairro],mercado9)</f>
        <v>0</v>
      </c>
      <c r="U151" s="4">
        <f>SUMIFS(super1[Qtde],super1[Item],tab_alimentos[[#This Row],[Item]],super1[Bairro],mercado10)+SUMIFS(supercb[Qtde],supercb[Item],tab_alimentos[[#This Row],[Item]],supercb[Bairro],mercado10)</f>
        <v>0</v>
      </c>
      <c r="V151" s="4">
        <f>SUMIFS(super1[Qtde],super1[Item],tab_alimentos[[#This Row],[Item]],super1[Bairro],mercado11)+SUMIFS(supercb[Qtde],supercb[Item],tab_alimentos[[#This Row],[Item]],supercb[Bairro],mercado11)</f>
        <v>0</v>
      </c>
      <c r="W151" s="4">
        <f>SUMIFS(super1[Qtde],super1[Item],tab_alimentos[[#This Row],[Item]],super1[Bairro],mercado12)+SUMIFS(supercb[Qtde],supercb[Item],tab_alimentos[[#This Row],[Item]],supercb[Bairro],mercado12)</f>
        <v>0</v>
      </c>
      <c r="X151" s="4">
        <f>SUMIFS(super1[Qtde],super1[Item],tab_alimentos[[#This Row],[Item]],super1[Bairro],mercado13)+SUMIFS(supercb[Qtde],supercb[Item],tab_alimentos[[#This Row],[Item]],supercb[Bairro],mercado13)</f>
        <v>0</v>
      </c>
      <c r="Y151" s="4">
        <f>SUMIFS(super1[Qtde],super1[Item],tab_alimentos[[#This Row],[Item]],super1[Bairro],mercado14)+SUMIFS(supercb[Qtde],supercb[Item],tab_alimentos[[#This Row],[Item]],supercb[Bairro],mercado14)</f>
        <v>0</v>
      </c>
      <c r="Z151" s="4">
        <f>SUMIFS(super1[Qtde],super1[Item],tab_alimentos[[#This Row],[Item]],super1[Bairro],mercado15)+SUMIFS(supercb[Qtde],supercb[Item],tab_alimentos[[#This Row],[Item]],supercb[Bairro],mercado15)</f>
        <v>0</v>
      </c>
      <c r="AA151" s="4">
        <f>SUMIFS(super1[Qtde],super1[Item],tab_alimentos[[#This Row],[Item]],super1[Bairro],mercado16)+SUMIFS(supercb[Qtde],supercb[Item],tab_alimentos[[#This Row],[Item]],supercb[Bairro],mercado16)</f>
        <v>0</v>
      </c>
      <c r="AB151" s="4">
        <f>SUMIFS(super1[Qtde],super1[Item],tab_alimentos[[#This Row],[Item]],super1[Bairro],mercado17)+SUMIFS(supercb[Qtde],supercb[Item],tab_alimentos[[#This Row],[Item]],supercb[Bairro],mercado17)</f>
        <v>0</v>
      </c>
      <c r="AC151" s="4">
        <f>SUMIFS(super1[Qtde],super1[Item],tab_alimentos[[#This Row],[Item]],super1[Bairro],mercado18)+SUMIFS(supercb[Qtde],supercb[Item],tab_alimentos[[#This Row],[Item]],supercb[Bairro],mercado18)</f>
        <v>0</v>
      </c>
      <c r="AD151" s="4">
        <f>SUMIFS(super1[Qtde],super1[Item],tab_alimentos[[#This Row],[Item]],super1[Bairro],extras)+SUMIFS(supercb[Qtde],supercb[Item],tab_alimentos[[#This Row],[Item]],supercb[Bairro],extras)</f>
        <v>0</v>
      </c>
      <c r="AE151" s="4">
        <f t="shared" si="47"/>
        <v>0</v>
      </c>
      <c r="AF151" s="4">
        <f t="shared" si="48"/>
        <v>0</v>
      </c>
      <c r="AG151" s="6">
        <f t="shared" si="49"/>
        <v>0</v>
      </c>
      <c r="AH151" s="19" t="str">
        <f>higiene[[#This Row],[Item]]</f>
        <v>Lâmina Refil (4un)</v>
      </c>
      <c r="AI151" s="4">
        <f>IFERROR(higiene[[#This Row],[Kg equivalente]],0)</f>
        <v>0</v>
      </c>
      <c r="AJ151" s="4">
        <f>IFERROR(higiene[[#This Row],[Preço por produto]],0)</f>
        <v>54.9</v>
      </c>
      <c r="AK151" s="4">
        <f>SUMIFS(super1[Qtde],super1[Item],tab_higiene[[#This Row],[Item]],super1[Bairro],mercado1)+SUMIFS(supercb[Qtde],supercb[Item],tab_higiene[[#This Row],[Item]],supercb[Bairro],mercado1)</f>
        <v>0</v>
      </c>
      <c r="AL151" s="4">
        <f>SUMIFS(super1[Qtde],super1[Item],tab_higiene[[#This Row],[Item]],super1[Bairro],mercado2)+SUMIFS(supercb[Qtde],supercb[Item],tab_higiene[[#This Row],[Item]],supercb[Bairro],mercado2)</f>
        <v>0</v>
      </c>
      <c r="AM151" s="4">
        <f>SUMIFS(super1[Qtde],super1[Item],tab_higiene[[#This Row],[Item]],super1[Bairro],mercado3)+SUMIFS(supercb[Qtde],supercb[Item],tab_higiene[[#This Row],[Item]],supercb[Bairro],mercado3)</f>
        <v>0</v>
      </c>
      <c r="AN151" s="4">
        <f>SUMIFS(super1[Qtde],super1[Item],tab_higiene[[#This Row],[Item]],super1[Bairro],mercado4)+SUMIFS(supercb[Qtde],supercb[Item],tab_higiene[[#This Row],[Item]],supercb[Bairro],mercado4)</f>
        <v>0</v>
      </c>
      <c r="AO151" s="4">
        <f>SUMIFS(super1[Qtde],super1[Item],tab_higiene[[#This Row],[Item]],super1[Bairro],mercado5)+SUMIFS(supercb[Qtde],supercb[Item],tab_higiene[[#This Row],[Item]],supercb[Bairro],mercado5)</f>
        <v>0</v>
      </c>
      <c r="AP151" s="4">
        <f>SUMIFS(super1[Qtde],super1[Item],tab_higiene[[#This Row],[Item]],super1[Bairro],mercado6)+SUMIFS(supercb[Qtde],supercb[Item],tab_higiene[[#This Row],[Item]],supercb[Bairro],mercado6)</f>
        <v>0</v>
      </c>
      <c r="AQ151" s="4">
        <f>SUMIFS(super1[Qtde],super1[Item],tab_higiene[[#This Row],[Item]],super1[Bairro],mercado7)+SUMIFS(supercb[Qtde],supercb[Item],tab_higiene[[#This Row],[Item]],supercb[Bairro],mercado7)</f>
        <v>0</v>
      </c>
      <c r="AR151" s="4">
        <f>SUMIFS(super1[Qtde],super1[Item],tab_higiene[[#This Row],[Item]],super1[Bairro],mercado8)+SUMIFS(supercb[Qtde],supercb[Item],tab_higiene[[#This Row],[Item]],supercb[Bairro],mercado8)</f>
        <v>0</v>
      </c>
      <c r="AS151" s="4">
        <f>SUMIFS(super1[Qtde],super1[Item],tab_higiene[[#This Row],[Item]],super1[Bairro],mercado9)+SUMIFS(supercb[Qtde],supercb[Item],tab_higiene[[#This Row],[Item]],supercb[Bairro],mercado9)</f>
        <v>0</v>
      </c>
      <c r="AT151" s="4">
        <f>SUMIFS(super1[Qtde],super1[Item],tab_higiene[[#This Row],[Item]],super1[Bairro],mercado10)+SUMIFS(supercb[Qtde],supercb[Item],tab_higiene[[#This Row],[Item]],supercb[Bairro],mercado10)</f>
        <v>0</v>
      </c>
      <c r="AU151" s="4">
        <f>SUMIFS(super1[Qtde],super1[Item],tab_higiene[[#This Row],[Item]],super1[Bairro],mercado11)+SUMIFS(supercb[Qtde],supercb[Item],tab_higiene[[#This Row],[Item]],supercb[Bairro],mercado11)</f>
        <v>0</v>
      </c>
      <c r="AV151" s="4">
        <f>SUMIFS(super1[Qtde],super1[Item],tab_higiene[[#This Row],[Item]],super1[Bairro],mercado12)+SUMIFS(supercb[Qtde],supercb[Item],tab_higiene[[#This Row],[Item]],supercb[Bairro],mercado12)</f>
        <v>0</v>
      </c>
      <c r="AW151" s="4">
        <f>SUMIFS(super1[Qtde],super1[Item],tab_higiene[[#This Row],[Item]],super1[Bairro],mercado13)+SUMIFS(supercb[Qtde],supercb[Item],tab_higiene[[#This Row],[Item]],supercb[Bairro],mercado13)</f>
        <v>0</v>
      </c>
      <c r="AX151" s="4">
        <f>SUMIFS(super1[Qtde],super1[Item],tab_higiene[[#This Row],[Item]],super1[Bairro],mercado14)+SUMIFS(supercb[Qtde],supercb[Item],tab_higiene[[#This Row],[Item]],supercb[Bairro],mercado14)</f>
        <v>0</v>
      </c>
      <c r="AY151" s="4">
        <f>SUMIFS(super1[Qtde],super1[Item],tab_higiene[[#This Row],[Item]],super1[Bairro],mercado15)+SUMIFS(supercb[Qtde],supercb[Item],tab_higiene[[#This Row],[Item]],supercb[Bairro],mercado15)</f>
        <v>0</v>
      </c>
      <c r="AZ151" s="4">
        <f>SUMIFS(super1[Qtde],super1[Item],tab_higiene[[#This Row],[Item]],super1[Bairro],mercado16)+SUMIFS(supercb[Qtde],supercb[Item],tab_higiene[[#This Row],[Item]],supercb[Bairro],mercado16)</f>
        <v>0</v>
      </c>
      <c r="BA151" s="4">
        <f>SUMIFS(super1[Qtde],super1[Item],tab_higiene[[#This Row],[Item]],super1[Bairro],mercado17)+SUMIFS(supercb[Qtde],supercb[Item],tab_higiene[[#This Row],[Item]],supercb[Bairro],mercado17)</f>
        <v>0</v>
      </c>
      <c r="BB151" s="4">
        <f>SUMIFS(super1[Qtde],super1[Item],tab_higiene[[#This Row],[Item]],super1[Bairro],mercado18)+SUMIFS(supercb[Qtde],supercb[Item],tab_higiene[[#This Row],[Item]],supercb[Bairro],mercado18)</f>
        <v>0</v>
      </c>
      <c r="BC151" s="4">
        <f>SUMIFS(super1[Qtde],super1[Item],tab_higiene[[#This Row],[Item]],super1[Bairro],extras)+SUMIFS(supercb[Qtde],supercb[Item],tab_higiene[[#This Row],[Item]],supercb[Bairro],extras)</f>
        <v>0</v>
      </c>
      <c r="BD151" s="4">
        <f t="shared" si="59"/>
        <v>0</v>
      </c>
      <c r="BE151" s="4">
        <f t="shared" si="60"/>
        <v>0</v>
      </c>
      <c r="BF151" s="6">
        <f t="shared" si="61"/>
        <v>0</v>
      </c>
      <c r="BI151" s="1" t="str">
        <f>tab_alimentos[[#This Row],[Item]]</f>
        <v>Café Solúvel (50g)</v>
      </c>
      <c r="BJ151" s="1">
        <f t="shared" si="62"/>
        <v>13</v>
      </c>
      <c r="BK151" s="1" t="str">
        <f t="shared" si="63"/>
        <v>Café Solúvel</v>
      </c>
      <c r="BL151" s="1">
        <f>tab_alimentos[[#This Row],[kg]]</f>
        <v>0</v>
      </c>
      <c r="BN151" s="1">
        <f>SUMIF($BJ$5:$BJ$158,#REF!,$BK$5:$BK$158)</f>
        <v>0</v>
      </c>
    </row>
    <row r="152" spans="9:66" x14ac:dyDescent="0.25">
      <c r="I152" s="19" t="str">
        <f>alimentos[[#This Row],[Item]]</f>
        <v>Caixa de Bombons (300g)</v>
      </c>
      <c r="J152" s="4">
        <f>IFERROR(alimentos[[#This Row],[kg/embalagem]],0)</f>
        <v>0.3</v>
      </c>
      <c r="K152" s="4">
        <f>IFERROR(alimentos[[#This Row],[Preço]],0)</f>
        <v>11.99</v>
      </c>
      <c r="L152" s="4">
        <f>SUMIFS(super1[Qtde],super1[Item],tab_alimentos[[#This Row],[Item]],super1[Bairro],mercado1)+SUMIFS(supercb[Qtde],supercb[Item],tab_alimentos[[#This Row],[Item]],supercb[Bairro],mercado1)</f>
        <v>0</v>
      </c>
      <c r="M152" s="4">
        <f>SUMIFS(super1[Qtde],super1[Item],tab_alimentos[[#This Row],[Item]],super1[Bairro],mercado2)+SUMIFS(supercb[Qtde],supercb[Item],tab_alimentos[[#This Row],[Item]],supercb[Bairro],mercado2)</f>
        <v>0</v>
      </c>
      <c r="N152" s="4">
        <f>SUMIFS(super1[Qtde],super1[Item],tab_alimentos[[#This Row],[Item]],super1[Bairro],mercado3)+SUMIFS(supercb[Qtde],supercb[Item],tab_alimentos[[#This Row],[Item]],supercb[Bairro],mercado3)</f>
        <v>0</v>
      </c>
      <c r="O152" s="4">
        <f>SUMIFS(super1[Qtde],super1[Item],tab_alimentos[[#This Row],[Item]],super1[Bairro],mercado4)+SUMIFS(supercb[Qtde],supercb[Item],tab_alimentos[[#This Row],[Item]],supercb[Bairro],mercado4)</f>
        <v>0</v>
      </c>
      <c r="P152" s="4">
        <f>SUMIFS(super1[Qtde],super1[Item],tab_alimentos[[#This Row],[Item]],super1[Bairro],mercado5)+SUMIFS(supercb[Qtde],supercb[Item],tab_alimentos[[#This Row],[Item]],supercb[Bairro],mercado5)</f>
        <v>0</v>
      </c>
      <c r="Q152" s="4">
        <f>SUMIFS(super1[Qtde],super1[Item],tab_alimentos[[#This Row],[Item]],super1[Bairro],mercado6)+SUMIFS(supercb[Qtde],supercb[Item],tab_alimentos[[#This Row],[Item]],supercb[Bairro],mercado6)</f>
        <v>0</v>
      </c>
      <c r="R152" s="4">
        <f>SUMIFS(super1[Qtde],super1[Item],tab_alimentos[[#This Row],[Item]],super1[Bairro],mercado7)+SUMIFS(supercb[Qtde],supercb[Item],tab_alimentos[[#This Row],[Item]],supercb[Bairro],mercado7)</f>
        <v>0</v>
      </c>
      <c r="S152" s="4">
        <f>SUMIFS(super1[Qtde],super1[Item],tab_alimentos[[#This Row],[Item]],super1[Bairro],mercado8)+SUMIFS(supercb[Qtde],supercb[Item],tab_alimentos[[#This Row],[Item]],supercb[Bairro],mercado8)</f>
        <v>0</v>
      </c>
      <c r="T152" s="4">
        <f>SUMIFS(super1[Qtde],super1[Item],tab_alimentos[[#This Row],[Item]],super1[Bairro],mercado9)+SUMIFS(supercb[Qtde],supercb[Item],tab_alimentos[[#This Row],[Item]],supercb[Bairro],mercado9)</f>
        <v>0</v>
      </c>
      <c r="U152" s="4">
        <f>SUMIFS(super1[Qtde],super1[Item],tab_alimentos[[#This Row],[Item]],super1[Bairro],mercado10)+SUMIFS(supercb[Qtde],supercb[Item],tab_alimentos[[#This Row],[Item]],supercb[Bairro],mercado10)</f>
        <v>0</v>
      </c>
      <c r="V152" s="4">
        <f>SUMIFS(super1[Qtde],super1[Item],tab_alimentos[[#This Row],[Item]],super1[Bairro],mercado11)+SUMIFS(supercb[Qtde],supercb[Item],tab_alimentos[[#This Row],[Item]],supercb[Bairro],mercado11)</f>
        <v>0</v>
      </c>
      <c r="W152" s="4">
        <f>SUMIFS(super1[Qtde],super1[Item],tab_alimentos[[#This Row],[Item]],super1[Bairro],mercado12)+SUMIFS(supercb[Qtde],supercb[Item],tab_alimentos[[#This Row],[Item]],supercb[Bairro],mercado12)</f>
        <v>0</v>
      </c>
      <c r="X152" s="4">
        <f>SUMIFS(super1[Qtde],super1[Item],tab_alimentos[[#This Row],[Item]],super1[Bairro],mercado13)+SUMIFS(supercb[Qtde],supercb[Item],tab_alimentos[[#This Row],[Item]],supercb[Bairro],mercado13)</f>
        <v>0</v>
      </c>
      <c r="Y152" s="4">
        <f>SUMIFS(super1[Qtde],super1[Item],tab_alimentos[[#This Row],[Item]],super1[Bairro],mercado14)+SUMIFS(supercb[Qtde],supercb[Item],tab_alimentos[[#This Row],[Item]],supercb[Bairro],mercado14)</f>
        <v>0</v>
      </c>
      <c r="Z152" s="4">
        <f>SUMIFS(super1[Qtde],super1[Item],tab_alimentos[[#This Row],[Item]],super1[Bairro],mercado15)+SUMIFS(supercb[Qtde],supercb[Item],tab_alimentos[[#This Row],[Item]],supercb[Bairro],mercado15)</f>
        <v>0</v>
      </c>
      <c r="AA152" s="4">
        <f>SUMIFS(super1[Qtde],super1[Item],tab_alimentos[[#This Row],[Item]],super1[Bairro],mercado16)+SUMIFS(supercb[Qtde],supercb[Item],tab_alimentos[[#This Row],[Item]],supercb[Bairro],mercado16)</f>
        <v>0</v>
      </c>
      <c r="AB152" s="4">
        <f>SUMIFS(super1[Qtde],super1[Item],tab_alimentos[[#This Row],[Item]],super1[Bairro],mercado17)+SUMIFS(supercb[Qtde],supercb[Item],tab_alimentos[[#This Row],[Item]],supercb[Bairro],mercado17)</f>
        <v>0</v>
      </c>
      <c r="AC152" s="4">
        <f>SUMIFS(super1[Qtde],super1[Item],tab_alimentos[[#This Row],[Item]],super1[Bairro],mercado18)+SUMIFS(supercb[Qtde],supercb[Item],tab_alimentos[[#This Row],[Item]],supercb[Bairro],mercado18)</f>
        <v>0</v>
      </c>
      <c r="AD152" s="4">
        <f>SUMIFS(super1[Qtde],super1[Item],tab_alimentos[[#This Row],[Item]],super1[Bairro],extras)+SUMIFS(supercb[Qtde],supercb[Item],tab_alimentos[[#This Row],[Item]],supercb[Bairro],extras)</f>
        <v>0</v>
      </c>
      <c r="AE152" s="4">
        <f t="shared" si="47"/>
        <v>0</v>
      </c>
      <c r="AF152" s="4">
        <f t="shared" si="48"/>
        <v>0</v>
      </c>
      <c r="AG152" s="6">
        <f t="shared" si="49"/>
        <v>0</v>
      </c>
      <c r="AH152" s="19" t="str">
        <f>higiene[[#This Row],[Item]]</f>
        <v>Lâmina Refil (5un)</v>
      </c>
      <c r="AI152" s="4">
        <f>IFERROR(higiene[[#This Row],[Kg equivalente]],0)</f>
        <v>0</v>
      </c>
      <c r="AJ152" s="4">
        <f>IFERROR(higiene[[#This Row],[Preço por produto]],0)</f>
        <v>5.19</v>
      </c>
      <c r="AK152" s="4">
        <f>SUMIFS(super1[Qtde],super1[Item],tab_higiene[[#This Row],[Item]],super1[Bairro],mercado1)+SUMIFS(supercb[Qtde],supercb[Item],tab_higiene[[#This Row],[Item]],supercb[Bairro],mercado1)</f>
        <v>0</v>
      </c>
      <c r="AL152" s="4">
        <f>SUMIFS(super1[Qtde],super1[Item],tab_higiene[[#This Row],[Item]],super1[Bairro],mercado2)+SUMIFS(supercb[Qtde],supercb[Item],tab_higiene[[#This Row],[Item]],supercb[Bairro],mercado2)</f>
        <v>0</v>
      </c>
      <c r="AM152" s="4">
        <f>SUMIFS(super1[Qtde],super1[Item],tab_higiene[[#This Row],[Item]],super1[Bairro],mercado3)+SUMIFS(supercb[Qtde],supercb[Item],tab_higiene[[#This Row],[Item]],supercb[Bairro],mercado3)</f>
        <v>0</v>
      </c>
      <c r="AN152" s="4">
        <f>SUMIFS(super1[Qtde],super1[Item],tab_higiene[[#This Row],[Item]],super1[Bairro],mercado4)+SUMIFS(supercb[Qtde],supercb[Item],tab_higiene[[#This Row],[Item]],supercb[Bairro],mercado4)</f>
        <v>0</v>
      </c>
      <c r="AO152" s="4">
        <f>SUMIFS(super1[Qtde],super1[Item],tab_higiene[[#This Row],[Item]],super1[Bairro],mercado5)+SUMIFS(supercb[Qtde],supercb[Item],tab_higiene[[#This Row],[Item]],supercb[Bairro],mercado5)</f>
        <v>0</v>
      </c>
      <c r="AP152" s="4">
        <f>SUMIFS(super1[Qtde],super1[Item],tab_higiene[[#This Row],[Item]],super1[Bairro],mercado6)+SUMIFS(supercb[Qtde],supercb[Item],tab_higiene[[#This Row],[Item]],supercb[Bairro],mercado6)</f>
        <v>0</v>
      </c>
      <c r="AQ152" s="4">
        <f>SUMIFS(super1[Qtde],super1[Item],tab_higiene[[#This Row],[Item]],super1[Bairro],mercado7)+SUMIFS(supercb[Qtde],supercb[Item],tab_higiene[[#This Row],[Item]],supercb[Bairro],mercado7)</f>
        <v>0</v>
      </c>
      <c r="AR152" s="4">
        <f>SUMIFS(super1[Qtde],super1[Item],tab_higiene[[#This Row],[Item]],super1[Bairro],mercado8)+SUMIFS(supercb[Qtde],supercb[Item],tab_higiene[[#This Row],[Item]],supercb[Bairro],mercado8)</f>
        <v>0</v>
      </c>
      <c r="AS152" s="4">
        <f>SUMIFS(super1[Qtde],super1[Item],tab_higiene[[#This Row],[Item]],super1[Bairro],mercado9)+SUMIFS(supercb[Qtde],supercb[Item],tab_higiene[[#This Row],[Item]],supercb[Bairro],mercado9)</f>
        <v>0</v>
      </c>
      <c r="AT152" s="4">
        <f>SUMIFS(super1[Qtde],super1[Item],tab_higiene[[#This Row],[Item]],super1[Bairro],mercado10)+SUMIFS(supercb[Qtde],supercb[Item],tab_higiene[[#This Row],[Item]],supercb[Bairro],mercado10)</f>
        <v>0</v>
      </c>
      <c r="AU152" s="4">
        <f>SUMIFS(super1[Qtde],super1[Item],tab_higiene[[#This Row],[Item]],super1[Bairro],mercado11)+SUMIFS(supercb[Qtde],supercb[Item],tab_higiene[[#This Row],[Item]],supercb[Bairro],mercado11)</f>
        <v>0</v>
      </c>
      <c r="AV152" s="4">
        <f>SUMIFS(super1[Qtde],super1[Item],tab_higiene[[#This Row],[Item]],super1[Bairro],mercado12)+SUMIFS(supercb[Qtde],supercb[Item],tab_higiene[[#This Row],[Item]],supercb[Bairro],mercado12)</f>
        <v>0</v>
      </c>
      <c r="AW152" s="4">
        <f>SUMIFS(super1[Qtde],super1[Item],tab_higiene[[#This Row],[Item]],super1[Bairro],mercado13)+SUMIFS(supercb[Qtde],supercb[Item],tab_higiene[[#This Row],[Item]],supercb[Bairro],mercado13)</f>
        <v>0</v>
      </c>
      <c r="AX152" s="4">
        <f>SUMIFS(super1[Qtde],super1[Item],tab_higiene[[#This Row],[Item]],super1[Bairro],mercado14)+SUMIFS(supercb[Qtde],supercb[Item],tab_higiene[[#This Row],[Item]],supercb[Bairro],mercado14)</f>
        <v>0</v>
      </c>
      <c r="AY152" s="4">
        <f>SUMIFS(super1[Qtde],super1[Item],tab_higiene[[#This Row],[Item]],super1[Bairro],mercado15)+SUMIFS(supercb[Qtde],supercb[Item],tab_higiene[[#This Row],[Item]],supercb[Bairro],mercado15)</f>
        <v>0</v>
      </c>
      <c r="AZ152" s="4">
        <f>SUMIFS(super1[Qtde],super1[Item],tab_higiene[[#This Row],[Item]],super1[Bairro],mercado16)+SUMIFS(supercb[Qtde],supercb[Item],tab_higiene[[#This Row],[Item]],supercb[Bairro],mercado16)</f>
        <v>0</v>
      </c>
      <c r="BA152" s="4">
        <f>SUMIFS(super1[Qtde],super1[Item],tab_higiene[[#This Row],[Item]],super1[Bairro],mercado17)+SUMIFS(supercb[Qtde],supercb[Item],tab_higiene[[#This Row],[Item]],supercb[Bairro],mercado17)</f>
        <v>0</v>
      </c>
      <c r="BB152" s="4">
        <f>SUMIFS(super1[Qtde],super1[Item],tab_higiene[[#This Row],[Item]],super1[Bairro],mercado18)+SUMIFS(supercb[Qtde],supercb[Item],tab_higiene[[#This Row],[Item]],supercb[Bairro],mercado18)</f>
        <v>0</v>
      </c>
      <c r="BC152" s="4">
        <f>SUMIFS(super1[Qtde],super1[Item],tab_higiene[[#This Row],[Item]],super1[Bairro],extras)+SUMIFS(supercb[Qtde],supercb[Item],tab_higiene[[#This Row],[Item]],supercb[Bairro],extras)</f>
        <v>0</v>
      </c>
      <c r="BD152" s="4">
        <f t="shared" si="59"/>
        <v>0</v>
      </c>
      <c r="BE152" s="4">
        <f t="shared" si="60"/>
        <v>0</v>
      </c>
      <c r="BF152" s="6">
        <f t="shared" si="61"/>
        <v>0</v>
      </c>
      <c r="BI152" s="1" t="str">
        <f>tab_alimentos[[#This Row],[Item]]</f>
        <v>Caixa de Bombons (300g)</v>
      </c>
      <c r="BJ152" s="1">
        <f t="shared" si="62"/>
        <v>17</v>
      </c>
      <c r="BK152" s="1" t="str">
        <f t="shared" si="63"/>
        <v>Caixa de Bombons</v>
      </c>
      <c r="BL152" s="1">
        <f>tab_alimentos[[#This Row],[kg]]</f>
        <v>0</v>
      </c>
      <c r="BN152" s="1">
        <f>SUMIF($BJ$5:$BJ$158,#REF!,$BK$5:$BK$158)</f>
        <v>0</v>
      </c>
    </row>
    <row r="153" spans="9:66" x14ac:dyDescent="0.25">
      <c r="I153" s="19" t="str">
        <f>alimentos[[#This Row],[Item]]</f>
        <v>Caldo de Carne (19g)</v>
      </c>
      <c r="J153" s="4">
        <f>IFERROR(alimentos[[#This Row],[kg/embalagem]],0)</f>
        <v>1.9E-2</v>
      </c>
      <c r="K153" s="4">
        <f>IFERROR(alimentos[[#This Row],[Preço]],0)</f>
        <v>1.1499999999999999</v>
      </c>
      <c r="L153" s="4">
        <f>SUMIFS(super1[Qtde],super1[Item],tab_alimentos[[#This Row],[Item]],super1[Bairro],mercado1)+SUMIFS(supercb[Qtde],supercb[Item],tab_alimentos[[#This Row],[Item]],supercb[Bairro],mercado1)</f>
        <v>0</v>
      </c>
      <c r="M153" s="4">
        <f>SUMIFS(super1[Qtde],super1[Item],tab_alimentos[[#This Row],[Item]],super1[Bairro],mercado2)+SUMIFS(supercb[Qtde],supercb[Item],tab_alimentos[[#This Row],[Item]],supercb[Bairro],mercado2)</f>
        <v>0</v>
      </c>
      <c r="N153" s="4">
        <f>SUMIFS(super1[Qtde],super1[Item],tab_alimentos[[#This Row],[Item]],super1[Bairro],mercado3)+SUMIFS(supercb[Qtde],supercb[Item],tab_alimentos[[#This Row],[Item]],supercb[Bairro],mercado3)</f>
        <v>0</v>
      </c>
      <c r="O153" s="4">
        <f>SUMIFS(super1[Qtde],super1[Item],tab_alimentos[[#This Row],[Item]],super1[Bairro],mercado4)+SUMIFS(supercb[Qtde],supercb[Item],tab_alimentos[[#This Row],[Item]],supercb[Bairro],mercado4)</f>
        <v>0</v>
      </c>
      <c r="P153" s="4">
        <f>SUMIFS(super1[Qtde],super1[Item],tab_alimentos[[#This Row],[Item]],super1[Bairro],mercado5)+SUMIFS(supercb[Qtde],supercb[Item],tab_alimentos[[#This Row],[Item]],supercb[Bairro],mercado5)</f>
        <v>0</v>
      </c>
      <c r="Q153" s="4">
        <f>SUMIFS(super1[Qtde],super1[Item],tab_alimentos[[#This Row],[Item]],super1[Bairro],mercado6)+SUMIFS(supercb[Qtde],supercb[Item],tab_alimentos[[#This Row],[Item]],supercb[Bairro],mercado6)</f>
        <v>0</v>
      </c>
      <c r="R153" s="4">
        <f>SUMIFS(super1[Qtde],super1[Item],tab_alimentos[[#This Row],[Item]],super1[Bairro],mercado7)+SUMIFS(supercb[Qtde],supercb[Item],tab_alimentos[[#This Row],[Item]],supercb[Bairro],mercado7)</f>
        <v>0</v>
      </c>
      <c r="S153" s="4">
        <f>SUMIFS(super1[Qtde],super1[Item],tab_alimentos[[#This Row],[Item]],super1[Bairro],mercado8)+SUMIFS(supercb[Qtde],supercb[Item],tab_alimentos[[#This Row],[Item]],supercb[Bairro],mercado8)</f>
        <v>0</v>
      </c>
      <c r="T153" s="4">
        <f>SUMIFS(super1[Qtde],super1[Item],tab_alimentos[[#This Row],[Item]],super1[Bairro],mercado9)+SUMIFS(supercb[Qtde],supercb[Item],tab_alimentos[[#This Row],[Item]],supercb[Bairro],mercado9)</f>
        <v>0</v>
      </c>
      <c r="U153" s="4">
        <f>SUMIFS(super1[Qtde],super1[Item],tab_alimentos[[#This Row],[Item]],super1[Bairro],mercado10)+SUMIFS(supercb[Qtde],supercb[Item],tab_alimentos[[#This Row],[Item]],supercb[Bairro],mercado10)</f>
        <v>0</v>
      </c>
      <c r="V153" s="4">
        <f>SUMIFS(super1[Qtde],super1[Item],tab_alimentos[[#This Row],[Item]],super1[Bairro],mercado11)+SUMIFS(supercb[Qtde],supercb[Item],tab_alimentos[[#This Row],[Item]],supercb[Bairro],mercado11)</f>
        <v>0</v>
      </c>
      <c r="W153" s="4">
        <f>SUMIFS(super1[Qtde],super1[Item],tab_alimentos[[#This Row],[Item]],super1[Bairro],mercado12)+SUMIFS(supercb[Qtde],supercb[Item],tab_alimentos[[#This Row],[Item]],supercb[Bairro],mercado12)</f>
        <v>0</v>
      </c>
      <c r="X153" s="4">
        <f>SUMIFS(super1[Qtde],super1[Item],tab_alimentos[[#This Row],[Item]],super1[Bairro],mercado13)+SUMIFS(supercb[Qtde],supercb[Item],tab_alimentos[[#This Row],[Item]],supercb[Bairro],mercado13)</f>
        <v>0</v>
      </c>
      <c r="Y153" s="4">
        <f>SUMIFS(super1[Qtde],super1[Item],tab_alimentos[[#This Row],[Item]],super1[Bairro],mercado14)+SUMIFS(supercb[Qtde],supercb[Item],tab_alimentos[[#This Row],[Item]],supercb[Bairro],mercado14)</f>
        <v>0</v>
      </c>
      <c r="Z153" s="4">
        <f>SUMIFS(super1[Qtde],super1[Item],tab_alimentos[[#This Row],[Item]],super1[Bairro],mercado15)+SUMIFS(supercb[Qtde],supercb[Item],tab_alimentos[[#This Row],[Item]],supercb[Bairro],mercado15)</f>
        <v>0</v>
      </c>
      <c r="AA153" s="4">
        <f>SUMIFS(super1[Qtde],super1[Item],tab_alimentos[[#This Row],[Item]],super1[Bairro],mercado16)+SUMIFS(supercb[Qtde],supercb[Item],tab_alimentos[[#This Row],[Item]],supercb[Bairro],mercado16)</f>
        <v>0</v>
      </c>
      <c r="AB153" s="4">
        <f>SUMIFS(super1[Qtde],super1[Item],tab_alimentos[[#This Row],[Item]],super1[Bairro],mercado17)+SUMIFS(supercb[Qtde],supercb[Item],tab_alimentos[[#This Row],[Item]],supercb[Bairro],mercado17)</f>
        <v>0</v>
      </c>
      <c r="AC153" s="4">
        <f>SUMIFS(super1[Qtde],super1[Item],tab_alimentos[[#This Row],[Item]],super1[Bairro],mercado18)+SUMIFS(supercb[Qtde],supercb[Item],tab_alimentos[[#This Row],[Item]],supercb[Bairro],mercado18)</f>
        <v>0</v>
      </c>
      <c r="AD153" s="4">
        <f>SUMIFS(super1[Qtde],super1[Item],tab_alimentos[[#This Row],[Item]],super1[Bairro],extras)+SUMIFS(supercb[Qtde],supercb[Item],tab_alimentos[[#This Row],[Item]],supercb[Bairro],extras)</f>
        <v>0</v>
      </c>
      <c r="AE153" s="4">
        <f t="shared" si="47"/>
        <v>0</v>
      </c>
      <c r="AF153" s="4">
        <f t="shared" si="48"/>
        <v>0</v>
      </c>
      <c r="AG153" s="6">
        <f t="shared" si="49"/>
        <v>0</v>
      </c>
      <c r="AH153" s="19" t="str">
        <f>higiene[[#This Row],[Item]]</f>
        <v>Lava Roupas em Pó (1kg)</v>
      </c>
      <c r="AI153" s="4">
        <f>IFERROR(higiene[[#This Row],[Kg equivalente]],0)</f>
        <v>0</v>
      </c>
      <c r="AJ153" s="4">
        <f>IFERROR(higiene[[#This Row],[Preço por produto]],0)</f>
        <v>4.58</v>
      </c>
      <c r="AK153" s="4">
        <f>SUMIFS(super1[Qtde],super1[Item],tab_higiene[[#This Row],[Item]],super1[Bairro],mercado1)+SUMIFS(supercb[Qtde],supercb[Item],tab_higiene[[#This Row],[Item]],supercb[Bairro],mercado1)</f>
        <v>0</v>
      </c>
      <c r="AL153" s="4">
        <f>SUMIFS(super1[Qtde],super1[Item],tab_higiene[[#This Row],[Item]],super1[Bairro],mercado2)+SUMIFS(supercb[Qtde],supercb[Item],tab_higiene[[#This Row],[Item]],supercb[Bairro],mercado2)</f>
        <v>0</v>
      </c>
      <c r="AM153" s="4">
        <f>SUMIFS(super1[Qtde],super1[Item],tab_higiene[[#This Row],[Item]],super1[Bairro],mercado3)+SUMIFS(supercb[Qtde],supercb[Item],tab_higiene[[#This Row],[Item]],supercb[Bairro],mercado3)</f>
        <v>0</v>
      </c>
      <c r="AN153" s="4">
        <f>SUMIFS(super1[Qtde],super1[Item],tab_higiene[[#This Row],[Item]],super1[Bairro],mercado4)+SUMIFS(supercb[Qtde],supercb[Item],tab_higiene[[#This Row],[Item]],supercb[Bairro],mercado4)</f>
        <v>0</v>
      </c>
      <c r="AO153" s="4">
        <f>SUMIFS(super1[Qtde],super1[Item],tab_higiene[[#This Row],[Item]],super1[Bairro],mercado5)+SUMIFS(supercb[Qtde],supercb[Item],tab_higiene[[#This Row],[Item]],supercb[Bairro],mercado5)</f>
        <v>0</v>
      </c>
      <c r="AP153" s="4">
        <f>SUMIFS(super1[Qtde],super1[Item],tab_higiene[[#This Row],[Item]],super1[Bairro],mercado6)+SUMIFS(supercb[Qtde],supercb[Item],tab_higiene[[#This Row],[Item]],supercb[Bairro],mercado6)</f>
        <v>0</v>
      </c>
      <c r="AQ153" s="4">
        <f>SUMIFS(super1[Qtde],super1[Item],tab_higiene[[#This Row],[Item]],super1[Bairro],mercado7)+SUMIFS(supercb[Qtde],supercb[Item],tab_higiene[[#This Row],[Item]],supercb[Bairro],mercado7)</f>
        <v>0</v>
      </c>
      <c r="AR153" s="4">
        <f>SUMIFS(super1[Qtde],super1[Item],tab_higiene[[#This Row],[Item]],super1[Bairro],mercado8)+SUMIFS(supercb[Qtde],supercb[Item],tab_higiene[[#This Row],[Item]],supercb[Bairro],mercado8)</f>
        <v>0</v>
      </c>
      <c r="AS153" s="4">
        <f>SUMIFS(super1[Qtde],super1[Item],tab_higiene[[#This Row],[Item]],super1[Bairro],mercado9)+SUMIFS(supercb[Qtde],supercb[Item],tab_higiene[[#This Row],[Item]],supercb[Bairro],mercado9)</f>
        <v>0</v>
      </c>
      <c r="AT153" s="4">
        <f>SUMIFS(super1[Qtde],super1[Item],tab_higiene[[#This Row],[Item]],super1[Bairro],mercado10)+SUMIFS(supercb[Qtde],supercb[Item],tab_higiene[[#This Row],[Item]],supercb[Bairro],mercado10)</f>
        <v>0</v>
      </c>
      <c r="AU153" s="4">
        <f>SUMIFS(super1[Qtde],super1[Item],tab_higiene[[#This Row],[Item]],super1[Bairro],mercado11)+SUMIFS(supercb[Qtde],supercb[Item],tab_higiene[[#This Row],[Item]],supercb[Bairro],mercado11)</f>
        <v>0</v>
      </c>
      <c r="AV153" s="4">
        <f>SUMIFS(super1[Qtde],super1[Item],tab_higiene[[#This Row],[Item]],super1[Bairro],mercado12)+SUMIFS(supercb[Qtde],supercb[Item],tab_higiene[[#This Row],[Item]],supercb[Bairro],mercado12)</f>
        <v>0</v>
      </c>
      <c r="AW153" s="4">
        <f>SUMIFS(super1[Qtde],super1[Item],tab_higiene[[#This Row],[Item]],super1[Bairro],mercado13)+SUMIFS(supercb[Qtde],supercb[Item],tab_higiene[[#This Row],[Item]],supercb[Bairro],mercado13)</f>
        <v>0</v>
      </c>
      <c r="AX153" s="4">
        <f>SUMIFS(super1[Qtde],super1[Item],tab_higiene[[#This Row],[Item]],super1[Bairro],mercado14)+SUMIFS(supercb[Qtde],supercb[Item],tab_higiene[[#This Row],[Item]],supercb[Bairro],mercado14)</f>
        <v>0</v>
      </c>
      <c r="AY153" s="4">
        <f>SUMIFS(super1[Qtde],super1[Item],tab_higiene[[#This Row],[Item]],super1[Bairro],mercado15)+SUMIFS(supercb[Qtde],supercb[Item],tab_higiene[[#This Row],[Item]],supercb[Bairro],mercado15)</f>
        <v>0</v>
      </c>
      <c r="AZ153" s="4">
        <f>SUMIFS(super1[Qtde],super1[Item],tab_higiene[[#This Row],[Item]],super1[Bairro],mercado16)+SUMIFS(supercb[Qtde],supercb[Item],tab_higiene[[#This Row],[Item]],supercb[Bairro],mercado16)</f>
        <v>0</v>
      </c>
      <c r="BA153" s="4">
        <f>SUMIFS(super1[Qtde],super1[Item],tab_higiene[[#This Row],[Item]],super1[Bairro],mercado17)+SUMIFS(supercb[Qtde],supercb[Item],tab_higiene[[#This Row],[Item]],supercb[Bairro],mercado17)</f>
        <v>0</v>
      </c>
      <c r="BB153" s="4">
        <f>SUMIFS(super1[Qtde],super1[Item],tab_higiene[[#This Row],[Item]],super1[Bairro],mercado18)+SUMIFS(supercb[Qtde],supercb[Item],tab_higiene[[#This Row],[Item]],supercb[Bairro],mercado18)</f>
        <v>0</v>
      </c>
      <c r="BC153" s="4">
        <f>SUMIFS(super1[Qtde],super1[Item],tab_higiene[[#This Row],[Item]],super1[Bairro],extras)+SUMIFS(supercb[Qtde],supercb[Item],tab_higiene[[#This Row],[Item]],supercb[Bairro],extras)</f>
        <v>0</v>
      </c>
      <c r="BD153" s="4">
        <f t="shared" si="59"/>
        <v>0</v>
      </c>
      <c r="BE153" s="4">
        <f t="shared" si="60"/>
        <v>0</v>
      </c>
      <c r="BF153" s="6">
        <f t="shared" si="61"/>
        <v>0</v>
      </c>
      <c r="BI153" s="1" t="str">
        <f>tab_alimentos[[#This Row],[Item]]</f>
        <v>Caldo de Carne (19g)</v>
      </c>
      <c r="BJ153" s="1">
        <f t="shared" si="62"/>
        <v>15</v>
      </c>
      <c r="BK153" s="1" t="str">
        <f t="shared" si="63"/>
        <v>Caldo de Carne</v>
      </c>
      <c r="BL153" s="1">
        <f>tab_alimentos[[#This Row],[kg]]</f>
        <v>0</v>
      </c>
      <c r="BN153" s="1">
        <f>SUMIF($BJ$5:$BJ$158,#REF!,$BK$5:$BK$158)</f>
        <v>0</v>
      </c>
    </row>
    <row r="154" spans="9:66" x14ac:dyDescent="0.25">
      <c r="I154" s="19" t="str">
        <f>alimentos[[#This Row],[Item]]</f>
        <v>Caldo Galinha (50g)</v>
      </c>
      <c r="J154" s="4">
        <f>IFERROR(alimentos[[#This Row],[kg/embalagem]],0)</f>
        <v>0.05</v>
      </c>
      <c r="K154" s="4">
        <f>IFERROR(alimentos[[#This Row],[Preço]],0)</f>
        <v>1.49</v>
      </c>
      <c r="L154" s="4">
        <f>SUMIFS(super1[Qtde],super1[Item],tab_alimentos[[#This Row],[Item]],super1[Bairro],mercado1)+SUMIFS(supercb[Qtde],supercb[Item],tab_alimentos[[#This Row],[Item]],supercb[Bairro],mercado1)</f>
        <v>0</v>
      </c>
      <c r="M154" s="4">
        <f>SUMIFS(super1[Qtde],super1[Item],tab_alimentos[[#This Row],[Item]],super1[Bairro],mercado2)+SUMIFS(supercb[Qtde],supercb[Item],tab_alimentos[[#This Row],[Item]],supercb[Bairro],mercado2)</f>
        <v>0</v>
      </c>
      <c r="N154" s="4">
        <f>SUMIFS(super1[Qtde],super1[Item],tab_alimentos[[#This Row],[Item]],super1[Bairro],mercado3)+SUMIFS(supercb[Qtde],supercb[Item],tab_alimentos[[#This Row],[Item]],supercb[Bairro],mercado3)</f>
        <v>0</v>
      </c>
      <c r="O154" s="4">
        <f>SUMIFS(super1[Qtde],super1[Item],tab_alimentos[[#This Row],[Item]],super1[Bairro],mercado4)+SUMIFS(supercb[Qtde],supercb[Item],tab_alimentos[[#This Row],[Item]],supercb[Bairro],mercado4)</f>
        <v>0</v>
      </c>
      <c r="P154" s="4">
        <f>SUMIFS(super1[Qtde],super1[Item],tab_alimentos[[#This Row],[Item]],super1[Bairro],mercado5)+SUMIFS(supercb[Qtde],supercb[Item],tab_alimentos[[#This Row],[Item]],supercb[Bairro],mercado5)</f>
        <v>0</v>
      </c>
      <c r="Q154" s="4">
        <f>SUMIFS(super1[Qtde],super1[Item],tab_alimentos[[#This Row],[Item]],super1[Bairro],mercado6)+SUMIFS(supercb[Qtde],supercb[Item],tab_alimentos[[#This Row],[Item]],supercb[Bairro],mercado6)</f>
        <v>0</v>
      </c>
      <c r="R154" s="4">
        <f>SUMIFS(super1[Qtde],super1[Item],tab_alimentos[[#This Row],[Item]],super1[Bairro],mercado7)+SUMIFS(supercb[Qtde],supercb[Item],tab_alimentos[[#This Row],[Item]],supercb[Bairro],mercado7)</f>
        <v>0</v>
      </c>
      <c r="S154" s="4">
        <f>SUMIFS(super1[Qtde],super1[Item],tab_alimentos[[#This Row],[Item]],super1[Bairro],mercado8)+SUMIFS(supercb[Qtde],supercb[Item],tab_alimentos[[#This Row],[Item]],supercb[Bairro],mercado8)</f>
        <v>0</v>
      </c>
      <c r="T154" s="4">
        <f>SUMIFS(super1[Qtde],super1[Item],tab_alimentos[[#This Row],[Item]],super1[Bairro],mercado9)+SUMIFS(supercb[Qtde],supercb[Item],tab_alimentos[[#This Row],[Item]],supercb[Bairro],mercado9)</f>
        <v>0</v>
      </c>
      <c r="U154" s="4">
        <f>SUMIFS(super1[Qtde],super1[Item],tab_alimentos[[#This Row],[Item]],super1[Bairro],mercado10)+SUMIFS(supercb[Qtde],supercb[Item],tab_alimentos[[#This Row],[Item]],supercb[Bairro],mercado10)</f>
        <v>0</v>
      </c>
      <c r="V154" s="4">
        <f>SUMIFS(super1[Qtde],super1[Item],tab_alimentos[[#This Row],[Item]],super1[Bairro],mercado11)+SUMIFS(supercb[Qtde],supercb[Item],tab_alimentos[[#This Row],[Item]],supercb[Bairro],mercado11)</f>
        <v>0</v>
      </c>
      <c r="W154" s="4">
        <f>SUMIFS(super1[Qtde],super1[Item],tab_alimentos[[#This Row],[Item]],super1[Bairro],mercado12)+SUMIFS(supercb[Qtde],supercb[Item],tab_alimentos[[#This Row],[Item]],supercb[Bairro],mercado12)</f>
        <v>0</v>
      </c>
      <c r="X154" s="4">
        <f>SUMIFS(super1[Qtde],super1[Item],tab_alimentos[[#This Row],[Item]],super1[Bairro],mercado13)+SUMIFS(supercb[Qtde],supercb[Item],tab_alimentos[[#This Row],[Item]],supercb[Bairro],mercado13)</f>
        <v>0</v>
      </c>
      <c r="Y154" s="4">
        <f>SUMIFS(super1[Qtde],super1[Item],tab_alimentos[[#This Row],[Item]],super1[Bairro],mercado14)+SUMIFS(supercb[Qtde],supercb[Item],tab_alimentos[[#This Row],[Item]],supercb[Bairro],mercado14)</f>
        <v>0</v>
      </c>
      <c r="Z154" s="4">
        <f>SUMIFS(super1[Qtde],super1[Item],tab_alimentos[[#This Row],[Item]],super1[Bairro],mercado15)+SUMIFS(supercb[Qtde],supercb[Item],tab_alimentos[[#This Row],[Item]],supercb[Bairro],mercado15)</f>
        <v>0</v>
      </c>
      <c r="AA154" s="4">
        <f>SUMIFS(super1[Qtde],super1[Item],tab_alimentos[[#This Row],[Item]],super1[Bairro],mercado16)+SUMIFS(supercb[Qtde],supercb[Item],tab_alimentos[[#This Row],[Item]],supercb[Bairro],mercado16)</f>
        <v>0</v>
      </c>
      <c r="AB154" s="4">
        <f>SUMIFS(super1[Qtde],super1[Item],tab_alimentos[[#This Row],[Item]],super1[Bairro],mercado17)+SUMIFS(supercb[Qtde],supercb[Item],tab_alimentos[[#This Row],[Item]],supercb[Bairro],mercado17)</f>
        <v>0</v>
      </c>
      <c r="AC154" s="4">
        <f>SUMIFS(super1[Qtde],super1[Item],tab_alimentos[[#This Row],[Item]],super1[Bairro],mercado18)+SUMIFS(supercb[Qtde],supercb[Item],tab_alimentos[[#This Row],[Item]],supercb[Bairro],mercado18)</f>
        <v>0</v>
      </c>
      <c r="AD154" s="4">
        <f>SUMIFS(super1[Qtde],super1[Item],tab_alimentos[[#This Row],[Item]],super1[Bairro],extras)+SUMIFS(supercb[Qtde],supercb[Item],tab_alimentos[[#This Row],[Item]],supercb[Bairro],extras)</f>
        <v>0</v>
      </c>
      <c r="AE154" s="4">
        <f t="shared" si="47"/>
        <v>0</v>
      </c>
      <c r="AF154" s="4">
        <f t="shared" si="48"/>
        <v>0</v>
      </c>
      <c r="AG154" s="6">
        <f t="shared" si="49"/>
        <v>0</v>
      </c>
      <c r="AH154" s="19" t="str">
        <f>higiene[[#This Row],[Item]]</f>
        <v>Lava Roupas em Pó (800g)</v>
      </c>
      <c r="AI154" s="4">
        <f>IFERROR(higiene[[#This Row],[Kg equivalente]],0)</f>
        <v>0</v>
      </c>
      <c r="AJ154" s="4">
        <f>IFERROR(higiene[[#This Row],[Preço por produto]],0)</f>
        <v>11.99</v>
      </c>
      <c r="AK154" s="4">
        <f>SUMIFS(super1[Qtde],super1[Item],tab_higiene[[#This Row],[Item]],super1[Bairro],mercado1)+SUMIFS(supercb[Qtde],supercb[Item],tab_higiene[[#This Row],[Item]],supercb[Bairro],mercado1)</f>
        <v>0</v>
      </c>
      <c r="AL154" s="4">
        <f>SUMIFS(super1[Qtde],super1[Item],tab_higiene[[#This Row],[Item]],super1[Bairro],mercado2)+SUMIFS(supercb[Qtde],supercb[Item],tab_higiene[[#This Row],[Item]],supercb[Bairro],mercado2)</f>
        <v>0</v>
      </c>
      <c r="AM154" s="4">
        <f>SUMIFS(super1[Qtde],super1[Item],tab_higiene[[#This Row],[Item]],super1[Bairro],mercado3)+SUMIFS(supercb[Qtde],supercb[Item],tab_higiene[[#This Row],[Item]],supercb[Bairro],mercado3)</f>
        <v>0</v>
      </c>
      <c r="AN154" s="4">
        <f>SUMIFS(super1[Qtde],super1[Item],tab_higiene[[#This Row],[Item]],super1[Bairro],mercado4)+SUMIFS(supercb[Qtde],supercb[Item],tab_higiene[[#This Row],[Item]],supercb[Bairro],mercado4)</f>
        <v>0</v>
      </c>
      <c r="AO154" s="4">
        <f>SUMIFS(super1[Qtde],super1[Item],tab_higiene[[#This Row],[Item]],super1[Bairro],mercado5)+SUMIFS(supercb[Qtde],supercb[Item],tab_higiene[[#This Row],[Item]],supercb[Bairro],mercado5)</f>
        <v>0</v>
      </c>
      <c r="AP154" s="4">
        <f>SUMIFS(super1[Qtde],super1[Item],tab_higiene[[#This Row],[Item]],super1[Bairro],mercado6)+SUMIFS(supercb[Qtde],supercb[Item],tab_higiene[[#This Row],[Item]],supercb[Bairro],mercado6)</f>
        <v>0</v>
      </c>
      <c r="AQ154" s="4">
        <f>SUMIFS(super1[Qtde],super1[Item],tab_higiene[[#This Row],[Item]],super1[Bairro],mercado7)+SUMIFS(supercb[Qtde],supercb[Item],tab_higiene[[#This Row],[Item]],supercb[Bairro],mercado7)</f>
        <v>0</v>
      </c>
      <c r="AR154" s="4">
        <f>SUMIFS(super1[Qtde],super1[Item],tab_higiene[[#This Row],[Item]],super1[Bairro],mercado8)+SUMIFS(supercb[Qtde],supercb[Item],tab_higiene[[#This Row],[Item]],supercb[Bairro],mercado8)</f>
        <v>0</v>
      </c>
      <c r="AS154" s="4">
        <f>SUMIFS(super1[Qtde],super1[Item],tab_higiene[[#This Row],[Item]],super1[Bairro],mercado9)+SUMIFS(supercb[Qtde],supercb[Item],tab_higiene[[#This Row],[Item]],supercb[Bairro],mercado9)</f>
        <v>0</v>
      </c>
      <c r="AT154" s="4">
        <f>SUMIFS(super1[Qtde],super1[Item],tab_higiene[[#This Row],[Item]],super1[Bairro],mercado10)+SUMIFS(supercb[Qtde],supercb[Item],tab_higiene[[#This Row],[Item]],supercb[Bairro],mercado10)</f>
        <v>0</v>
      </c>
      <c r="AU154" s="4">
        <f>SUMIFS(super1[Qtde],super1[Item],tab_higiene[[#This Row],[Item]],super1[Bairro],mercado11)+SUMIFS(supercb[Qtde],supercb[Item],tab_higiene[[#This Row],[Item]],supercb[Bairro],mercado11)</f>
        <v>0</v>
      </c>
      <c r="AV154" s="4">
        <f>SUMIFS(super1[Qtde],super1[Item],tab_higiene[[#This Row],[Item]],super1[Bairro],mercado12)+SUMIFS(supercb[Qtde],supercb[Item],tab_higiene[[#This Row],[Item]],supercb[Bairro],mercado12)</f>
        <v>0</v>
      </c>
      <c r="AW154" s="4">
        <f>SUMIFS(super1[Qtde],super1[Item],tab_higiene[[#This Row],[Item]],super1[Bairro],mercado13)+SUMIFS(supercb[Qtde],supercb[Item],tab_higiene[[#This Row],[Item]],supercb[Bairro],mercado13)</f>
        <v>0</v>
      </c>
      <c r="AX154" s="4">
        <f>SUMIFS(super1[Qtde],super1[Item],tab_higiene[[#This Row],[Item]],super1[Bairro],mercado14)+SUMIFS(supercb[Qtde],supercb[Item],tab_higiene[[#This Row],[Item]],supercb[Bairro],mercado14)</f>
        <v>0</v>
      </c>
      <c r="AY154" s="4">
        <f>SUMIFS(super1[Qtde],super1[Item],tab_higiene[[#This Row],[Item]],super1[Bairro],mercado15)+SUMIFS(supercb[Qtde],supercb[Item],tab_higiene[[#This Row],[Item]],supercb[Bairro],mercado15)</f>
        <v>0</v>
      </c>
      <c r="AZ154" s="4">
        <f>SUMIFS(super1[Qtde],super1[Item],tab_higiene[[#This Row],[Item]],super1[Bairro],mercado16)+SUMIFS(supercb[Qtde],supercb[Item],tab_higiene[[#This Row],[Item]],supercb[Bairro],mercado16)</f>
        <v>0</v>
      </c>
      <c r="BA154" s="4">
        <f>SUMIFS(super1[Qtde],super1[Item],tab_higiene[[#This Row],[Item]],super1[Bairro],mercado17)+SUMIFS(supercb[Qtde],supercb[Item],tab_higiene[[#This Row],[Item]],supercb[Bairro],mercado17)</f>
        <v>0</v>
      </c>
      <c r="BB154" s="4">
        <f>SUMIFS(super1[Qtde],super1[Item],tab_higiene[[#This Row],[Item]],super1[Bairro],mercado18)+SUMIFS(supercb[Qtde],supercb[Item],tab_higiene[[#This Row],[Item]],supercb[Bairro],mercado18)</f>
        <v>0</v>
      </c>
      <c r="BC154" s="4">
        <f>SUMIFS(super1[Qtde],super1[Item],tab_higiene[[#This Row],[Item]],super1[Bairro],extras)+SUMIFS(supercb[Qtde],supercb[Item],tab_higiene[[#This Row],[Item]],supercb[Bairro],extras)</f>
        <v>0</v>
      </c>
      <c r="BD154" s="4">
        <f t="shared" si="59"/>
        <v>0</v>
      </c>
      <c r="BE154" s="4">
        <f t="shared" si="60"/>
        <v>0</v>
      </c>
      <c r="BF154" s="6">
        <f t="shared" si="61"/>
        <v>0</v>
      </c>
      <c r="BI154" s="1" t="str">
        <f>tab_alimentos[[#This Row],[Item]]</f>
        <v>Caldo Galinha (50g)</v>
      </c>
      <c r="BJ154" s="1">
        <f t="shared" si="62"/>
        <v>14</v>
      </c>
      <c r="BK154" s="1" t="str">
        <f t="shared" si="63"/>
        <v>Caldo Galinha</v>
      </c>
      <c r="BL154" s="1">
        <f>tab_alimentos[[#This Row],[kg]]</f>
        <v>0</v>
      </c>
      <c r="BN154" s="1">
        <f>SUMIF($BJ$5:$BJ$158,#REF!,$BK$5:$BK$158)</f>
        <v>0</v>
      </c>
    </row>
    <row r="155" spans="9:66" x14ac:dyDescent="0.25">
      <c r="I155" s="19" t="str">
        <f>alimentos[[#This Row],[Item]]</f>
        <v>Caldo Knorr (114g)</v>
      </c>
      <c r="J155" s="4">
        <f>IFERROR(alimentos[[#This Row],[kg/embalagem]],0)</f>
        <v>0.114</v>
      </c>
      <c r="K155" s="4">
        <f>IFERROR(alimentos[[#This Row],[Preço]],0)</f>
        <v>4.99</v>
      </c>
      <c r="L155" s="4">
        <f>SUMIFS(super1[Qtde],super1[Item],tab_alimentos[[#This Row],[Item]],super1[Bairro],mercado1)+SUMIFS(supercb[Qtde],supercb[Item],tab_alimentos[[#This Row],[Item]],supercb[Bairro],mercado1)</f>
        <v>0</v>
      </c>
      <c r="M155" s="4">
        <f>SUMIFS(super1[Qtde],super1[Item],tab_alimentos[[#This Row],[Item]],super1[Bairro],mercado2)+SUMIFS(supercb[Qtde],supercb[Item],tab_alimentos[[#This Row],[Item]],supercb[Bairro],mercado2)</f>
        <v>0</v>
      </c>
      <c r="N155" s="4">
        <f>SUMIFS(super1[Qtde],super1[Item],tab_alimentos[[#This Row],[Item]],super1[Bairro],mercado3)+SUMIFS(supercb[Qtde],supercb[Item],tab_alimentos[[#This Row],[Item]],supercb[Bairro],mercado3)</f>
        <v>0</v>
      </c>
      <c r="O155" s="4">
        <f>SUMIFS(super1[Qtde],super1[Item],tab_alimentos[[#This Row],[Item]],super1[Bairro],mercado4)+SUMIFS(supercb[Qtde],supercb[Item],tab_alimentos[[#This Row],[Item]],supercb[Bairro],mercado4)</f>
        <v>0</v>
      </c>
      <c r="P155" s="4">
        <f>SUMIFS(super1[Qtde],super1[Item],tab_alimentos[[#This Row],[Item]],super1[Bairro],mercado5)+SUMIFS(supercb[Qtde],supercb[Item],tab_alimentos[[#This Row],[Item]],supercb[Bairro],mercado5)</f>
        <v>0</v>
      </c>
      <c r="Q155" s="4">
        <f>SUMIFS(super1[Qtde],super1[Item],tab_alimentos[[#This Row],[Item]],super1[Bairro],mercado6)+SUMIFS(supercb[Qtde],supercb[Item],tab_alimentos[[#This Row],[Item]],supercb[Bairro],mercado6)</f>
        <v>0</v>
      </c>
      <c r="R155" s="4">
        <f>SUMIFS(super1[Qtde],super1[Item],tab_alimentos[[#This Row],[Item]],super1[Bairro],mercado7)+SUMIFS(supercb[Qtde],supercb[Item],tab_alimentos[[#This Row],[Item]],supercb[Bairro],mercado7)</f>
        <v>0</v>
      </c>
      <c r="S155" s="4">
        <f>SUMIFS(super1[Qtde],super1[Item],tab_alimentos[[#This Row],[Item]],super1[Bairro],mercado8)+SUMIFS(supercb[Qtde],supercb[Item],tab_alimentos[[#This Row],[Item]],supercb[Bairro],mercado8)</f>
        <v>0</v>
      </c>
      <c r="T155" s="4">
        <f>SUMIFS(super1[Qtde],super1[Item],tab_alimentos[[#This Row],[Item]],super1[Bairro],mercado9)+SUMIFS(supercb[Qtde],supercb[Item],tab_alimentos[[#This Row],[Item]],supercb[Bairro],mercado9)</f>
        <v>0</v>
      </c>
      <c r="U155" s="4">
        <f>SUMIFS(super1[Qtde],super1[Item],tab_alimentos[[#This Row],[Item]],super1[Bairro],mercado10)+SUMIFS(supercb[Qtde],supercb[Item],tab_alimentos[[#This Row],[Item]],supercb[Bairro],mercado10)</f>
        <v>0</v>
      </c>
      <c r="V155" s="4">
        <f>SUMIFS(super1[Qtde],super1[Item],tab_alimentos[[#This Row],[Item]],super1[Bairro],mercado11)+SUMIFS(supercb[Qtde],supercb[Item],tab_alimentos[[#This Row],[Item]],supercb[Bairro],mercado11)</f>
        <v>0</v>
      </c>
      <c r="W155" s="4">
        <f>SUMIFS(super1[Qtde],super1[Item],tab_alimentos[[#This Row],[Item]],super1[Bairro],mercado12)+SUMIFS(supercb[Qtde],supercb[Item],tab_alimentos[[#This Row],[Item]],supercb[Bairro],mercado12)</f>
        <v>0</v>
      </c>
      <c r="X155" s="4">
        <f>SUMIFS(super1[Qtde],super1[Item],tab_alimentos[[#This Row],[Item]],super1[Bairro],mercado13)+SUMIFS(supercb[Qtde],supercb[Item],tab_alimentos[[#This Row],[Item]],supercb[Bairro],mercado13)</f>
        <v>0</v>
      </c>
      <c r="Y155" s="4">
        <f>SUMIFS(super1[Qtde],super1[Item],tab_alimentos[[#This Row],[Item]],super1[Bairro],mercado14)+SUMIFS(supercb[Qtde],supercb[Item],tab_alimentos[[#This Row],[Item]],supercb[Bairro],mercado14)</f>
        <v>0</v>
      </c>
      <c r="Z155" s="4">
        <f>SUMIFS(super1[Qtde],super1[Item],tab_alimentos[[#This Row],[Item]],super1[Bairro],mercado15)+SUMIFS(supercb[Qtde],supercb[Item],tab_alimentos[[#This Row],[Item]],supercb[Bairro],mercado15)</f>
        <v>0</v>
      </c>
      <c r="AA155" s="4">
        <f>SUMIFS(super1[Qtde],super1[Item],tab_alimentos[[#This Row],[Item]],super1[Bairro],mercado16)+SUMIFS(supercb[Qtde],supercb[Item],tab_alimentos[[#This Row],[Item]],supercb[Bairro],mercado16)</f>
        <v>0</v>
      </c>
      <c r="AB155" s="4">
        <f>SUMIFS(super1[Qtde],super1[Item],tab_alimentos[[#This Row],[Item]],super1[Bairro],mercado17)+SUMIFS(supercb[Qtde],supercb[Item],tab_alimentos[[#This Row],[Item]],supercb[Bairro],mercado17)</f>
        <v>0</v>
      </c>
      <c r="AC155" s="4">
        <f>SUMIFS(super1[Qtde],super1[Item],tab_alimentos[[#This Row],[Item]],super1[Bairro],mercado18)+SUMIFS(supercb[Qtde],supercb[Item],tab_alimentos[[#This Row],[Item]],supercb[Bairro],mercado18)</f>
        <v>0</v>
      </c>
      <c r="AD155" s="4">
        <f>SUMIFS(super1[Qtde],super1[Item],tab_alimentos[[#This Row],[Item]],super1[Bairro],extras)+SUMIFS(supercb[Qtde],supercb[Item],tab_alimentos[[#This Row],[Item]],supercb[Bairro],extras)</f>
        <v>0</v>
      </c>
      <c r="AE155" s="4">
        <f t="shared" si="47"/>
        <v>0</v>
      </c>
      <c r="AF155" s="4">
        <f t="shared" si="48"/>
        <v>0</v>
      </c>
      <c r="AG155" s="6">
        <f t="shared" si="49"/>
        <v>0</v>
      </c>
      <c r="AH155" s="19" t="str">
        <f>higiene[[#This Row],[Item]]</f>
        <v>Lava Roupas Líquido (900mL)</v>
      </c>
      <c r="AI155" s="4">
        <f>IFERROR(higiene[[#This Row],[Kg equivalente]],0)</f>
        <v>0</v>
      </c>
      <c r="AJ155" s="4">
        <f>IFERROR(higiene[[#This Row],[Preço por produto]],0)</f>
        <v>13.69</v>
      </c>
      <c r="AK155" s="4">
        <f>SUMIFS(super1[Qtde],super1[Item],tab_higiene[[#This Row],[Item]],super1[Bairro],mercado1)+SUMIFS(supercb[Qtde],supercb[Item],tab_higiene[[#This Row],[Item]],supercb[Bairro],mercado1)</f>
        <v>0</v>
      </c>
      <c r="AL155" s="4">
        <f>SUMIFS(super1[Qtde],super1[Item],tab_higiene[[#This Row],[Item]],super1[Bairro],mercado2)+SUMIFS(supercb[Qtde],supercb[Item],tab_higiene[[#This Row],[Item]],supercb[Bairro],mercado2)</f>
        <v>0</v>
      </c>
      <c r="AM155" s="4">
        <f>SUMIFS(super1[Qtde],super1[Item],tab_higiene[[#This Row],[Item]],super1[Bairro],mercado3)+SUMIFS(supercb[Qtde],supercb[Item],tab_higiene[[#This Row],[Item]],supercb[Bairro],mercado3)</f>
        <v>0</v>
      </c>
      <c r="AN155" s="4">
        <f>SUMIFS(super1[Qtde],super1[Item],tab_higiene[[#This Row],[Item]],super1[Bairro],mercado4)+SUMIFS(supercb[Qtde],supercb[Item],tab_higiene[[#This Row],[Item]],supercb[Bairro],mercado4)</f>
        <v>0</v>
      </c>
      <c r="AO155" s="4">
        <f>SUMIFS(super1[Qtde],super1[Item],tab_higiene[[#This Row],[Item]],super1[Bairro],mercado5)+SUMIFS(supercb[Qtde],supercb[Item],tab_higiene[[#This Row],[Item]],supercb[Bairro],mercado5)</f>
        <v>0</v>
      </c>
      <c r="AP155" s="4">
        <f>SUMIFS(super1[Qtde],super1[Item],tab_higiene[[#This Row],[Item]],super1[Bairro],mercado6)+SUMIFS(supercb[Qtde],supercb[Item],tab_higiene[[#This Row],[Item]],supercb[Bairro],mercado6)</f>
        <v>0</v>
      </c>
      <c r="AQ155" s="4">
        <f>SUMIFS(super1[Qtde],super1[Item],tab_higiene[[#This Row],[Item]],super1[Bairro],mercado7)+SUMIFS(supercb[Qtde],supercb[Item],tab_higiene[[#This Row],[Item]],supercb[Bairro],mercado7)</f>
        <v>0</v>
      </c>
      <c r="AR155" s="4">
        <f>SUMIFS(super1[Qtde],super1[Item],tab_higiene[[#This Row],[Item]],super1[Bairro],mercado8)+SUMIFS(supercb[Qtde],supercb[Item],tab_higiene[[#This Row],[Item]],supercb[Bairro],mercado8)</f>
        <v>0</v>
      </c>
      <c r="AS155" s="4">
        <f>SUMIFS(super1[Qtde],super1[Item],tab_higiene[[#This Row],[Item]],super1[Bairro],mercado9)+SUMIFS(supercb[Qtde],supercb[Item],tab_higiene[[#This Row],[Item]],supercb[Bairro],mercado9)</f>
        <v>0</v>
      </c>
      <c r="AT155" s="4">
        <f>SUMIFS(super1[Qtde],super1[Item],tab_higiene[[#This Row],[Item]],super1[Bairro],mercado10)+SUMIFS(supercb[Qtde],supercb[Item],tab_higiene[[#This Row],[Item]],supercb[Bairro],mercado10)</f>
        <v>0</v>
      </c>
      <c r="AU155" s="4">
        <f>SUMIFS(super1[Qtde],super1[Item],tab_higiene[[#This Row],[Item]],super1[Bairro],mercado11)+SUMIFS(supercb[Qtde],supercb[Item],tab_higiene[[#This Row],[Item]],supercb[Bairro],mercado11)</f>
        <v>0</v>
      </c>
      <c r="AV155" s="4">
        <f>SUMIFS(super1[Qtde],super1[Item],tab_higiene[[#This Row],[Item]],super1[Bairro],mercado12)+SUMIFS(supercb[Qtde],supercb[Item],tab_higiene[[#This Row],[Item]],supercb[Bairro],mercado12)</f>
        <v>0</v>
      </c>
      <c r="AW155" s="4">
        <f>SUMIFS(super1[Qtde],super1[Item],tab_higiene[[#This Row],[Item]],super1[Bairro],mercado13)+SUMIFS(supercb[Qtde],supercb[Item],tab_higiene[[#This Row],[Item]],supercb[Bairro],mercado13)</f>
        <v>0</v>
      </c>
      <c r="AX155" s="4">
        <f>SUMIFS(super1[Qtde],super1[Item],tab_higiene[[#This Row],[Item]],super1[Bairro],mercado14)+SUMIFS(supercb[Qtde],supercb[Item],tab_higiene[[#This Row],[Item]],supercb[Bairro],mercado14)</f>
        <v>0</v>
      </c>
      <c r="AY155" s="4">
        <f>SUMIFS(super1[Qtde],super1[Item],tab_higiene[[#This Row],[Item]],super1[Bairro],mercado15)+SUMIFS(supercb[Qtde],supercb[Item],tab_higiene[[#This Row],[Item]],supercb[Bairro],mercado15)</f>
        <v>0</v>
      </c>
      <c r="AZ155" s="4">
        <f>SUMIFS(super1[Qtde],super1[Item],tab_higiene[[#This Row],[Item]],super1[Bairro],mercado16)+SUMIFS(supercb[Qtde],supercb[Item],tab_higiene[[#This Row],[Item]],supercb[Bairro],mercado16)</f>
        <v>0</v>
      </c>
      <c r="BA155" s="4">
        <f>SUMIFS(super1[Qtde],super1[Item],tab_higiene[[#This Row],[Item]],super1[Bairro],mercado17)+SUMIFS(supercb[Qtde],supercb[Item],tab_higiene[[#This Row],[Item]],supercb[Bairro],mercado17)</f>
        <v>0</v>
      </c>
      <c r="BB155" s="4">
        <f>SUMIFS(super1[Qtde],super1[Item],tab_higiene[[#This Row],[Item]],super1[Bairro],mercado18)+SUMIFS(supercb[Qtde],supercb[Item],tab_higiene[[#This Row],[Item]],supercb[Bairro],mercado18)</f>
        <v>0</v>
      </c>
      <c r="BC155" s="4">
        <f>SUMIFS(super1[Qtde],super1[Item],tab_higiene[[#This Row],[Item]],super1[Bairro],extras)+SUMIFS(supercb[Qtde],supercb[Item],tab_higiene[[#This Row],[Item]],supercb[Bairro],extras)</f>
        <v>0</v>
      </c>
      <c r="BD155" s="4">
        <f t="shared" ref="BD155:BD170" si="64">SUM(AK155:BB155)</f>
        <v>0</v>
      </c>
      <c r="BE155" s="4">
        <f t="shared" ref="BE155:BE170" si="65">IFERROR(BD155*AJ155,0)</f>
        <v>0</v>
      </c>
      <c r="BF155" s="6">
        <f t="shared" ref="BF155:BF170" si="66">IFERROR(AI155*BD155,0)</f>
        <v>0</v>
      </c>
      <c r="BI155" s="1" t="str">
        <f>tab_alimentos[[#This Row],[Item]]</f>
        <v>Caldo Knorr (114g)</v>
      </c>
      <c r="BJ155" s="1">
        <f t="shared" si="62"/>
        <v>12</v>
      </c>
      <c r="BK155" s="1" t="str">
        <f t="shared" si="63"/>
        <v>Caldo Knorr</v>
      </c>
      <c r="BL155" s="1">
        <f>tab_alimentos[[#This Row],[kg]]</f>
        <v>0</v>
      </c>
      <c r="BN155" s="1">
        <f>SUMIF($BJ$5:$BJ$158,#REF!,$BK$5:$BK$158)</f>
        <v>0</v>
      </c>
    </row>
    <row r="156" spans="9:66" x14ac:dyDescent="0.25">
      <c r="I156" s="19" t="str">
        <f>alimentos[[#This Row],[Item]]</f>
        <v>Caldo Verde (17g)</v>
      </c>
      <c r="J156" s="4">
        <f>IFERROR(alimentos[[#This Row],[kg/embalagem]],0)</f>
        <v>1.7000000000000001E-2</v>
      </c>
      <c r="K156" s="4">
        <f>IFERROR(alimentos[[#This Row],[Preço]],0)</f>
        <v>1.99</v>
      </c>
      <c r="L156" s="4">
        <f>SUMIFS(super1[Qtde],super1[Item],tab_alimentos[[#This Row],[Item]],super1[Bairro],mercado1)+SUMIFS(supercb[Qtde],supercb[Item],tab_alimentos[[#This Row],[Item]],supercb[Bairro],mercado1)</f>
        <v>0</v>
      </c>
      <c r="M156" s="4">
        <f>SUMIFS(super1[Qtde],super1[Item],tab_alimentos[[#This Row],[Item]],super1[Bairro],mercado2)+SUMIFS(supercb[Qtde],supercb[Item],tab_alimentos[[#This Row],[Item]],supercb[Bairro],mercado2)</f>
        <v>0</v>
      </c>
      <c r="N156" s="4">
        <f>SUMIFS(super1[Qtde],super1[Item],tab_alimentos[[#This Row],[Item]],super1[Bairro],mercado3)+SUMIFS(supercb[Qtde],supercb[Item],tab_alimentos[[#This Row],[Item]],supercb[Bairro],mercado3)</f>
        <v>0</v>
      </c>
      <c r="O156" s="4">
        <f>SUMIFS(super1[Qtde],super1[Item],tab_alimentos[[#This Row],[Item]],super1[Bairro],mercado4)+SUMIFS(supercb[Qtde],supercb[Item],tab_alimentos[[#This Row],[Item]],supercb[Bairro],mercado4)</f>
        <v>0</v>
      </c>
      <c r="P156" s="4">
        <f>SUMIFS(super1[Qtde],super1[Item],tab_alimentos[[#This Row],[Item]],super1[Bairro],mercado5)+SUMIFS(supercb[Qtde],supercb[Item],tab_alimentos[[#This Row],[Item]],supercb[Bairro],mercado5)</f>
        <v>0</v>
      </c>
      <c r="Q156" s="4">
        <f>SUMIFS(super1[Qtde],super1[Item],tab_alimentos[[#This Row],[Item]],super1[Bairro],mercado6)+SUMIFS(supercb[Qtde],supercb[Item],tab_alimentos[[#This Row],[Item]],supercb[Bairro],mercado6)</f>
        <v>0</v>
      </c>
      <c r="R156" s="4">
        <f>SUMIFS(super1[Qtde],super1[Item],tab_alimentos[[#This Row],[Item]],super1[Bairro],mercado7)+SUMIFS(supercb[Qtde],supercb[Item],tab_alimentos[[#This Row],[Item]],supercb[Bairro],mercado7)</f>
        <v>0</v>
      </c>
      <c r="S156" s="4">
        <f>SUMIFS(super1[Qtde],super1[Item],tab_alimentos[[#This Row],[Item]],super1[Bairro],mercado8)+SUMIFS(supercb[Qtde],supercb[Item],tab_alimentos[[#This Row],[Item]],supercb[Bairro],mercado8)</f>
        <v>0</v>
      </c>
      <c r="T156" s="4">
        <f>SUMIFS(super1[Qtde],super1[Item],tab_alimentos[[#This Row],[Item]],super1[Bairro],mercado9)+SUMIFS(supercb[Qtde],supercb[Item],tab_alimentos[[#This Row],[Item]],supercb[Bairro],mercado9)</f>
        <v>0</v>
      </c>
      <c r="U156" s="4">
        <f>SUMIFS(super1[Qtde],super1[Item],tab_alimentos[[#This Row],[Item]],super1[Bairro],mercado10)+SUMIFS(supercb[Qtde],supercb[Item],tab_alimentos[[#This Row],[Item]],supercb[Bairro],mercado10)</f>
        <v>0</v>
      </c>
      <c r="V156" s="4">
        <f>SUMIFS(super1[Qtde],super1[Item],tab_alimentos[[#This Row],[Item]],super1[Bairro],mercado11)+SUMIFS(supercb[Qtde],supercb[Item],tab_alimentos[[#This Row],[Item]],supercb[Bairro],mercado11)</f>
        <v>0</v>
      </c>
      <c r="W156" s="4">
        <f>SUMIFS(super1[Qtde],super1[Item],tab_alimentos[[#This Row],[Item]],super1[Bairro],mercado12)+SUMIFS(supercb[Qtde],supercb[Item],tab_alimentos[[#This Row],[Item]],supercb[Bairro],mercado12)</f>
        <v>0</v>
      </c>
      <c r="X156" s="4">
        <f>SUMIFS(super1[Qtde],super1[Item],tab_alimentos[[#This Row],[Item]],super1[Bairro],mercado13)+SUMIFS(supercb[Qtde],supercb[Item],tab_alimentos[[#This Row],[Item]],supercb[Bairro],mercado13)</f>
        <v>0</v>
      </c>
      <c r="Y156" s="4">
        <f>SUMIFS(super1[Qtde],super1[Item],tab_alimentos[[#This Row],[Item]],super1[Bairro],mercado14)+SUMIFS(supercb[Qtde],supercb[Item],tab_alimentos[[#This Row],[Item]],supercb[Bairro],mercado14)</f>
        <v>0</v>
      </c>
      <c r="Z156" s="4">
        <f>SUMIFS(super1[Qtde],super1[Item],tab_alimentos[[#This Row],[Item]],super1[Bairro],mercado15)+SUMIFS(supercb[Qtde],supercb[Item],tab_alimentos[[#This Row],[Item]],supercb[Bairro],mercado15)</f>
        <v>0</v>
      </c>
      <c r="AA156" s="4">
        <f>SUMIFS(super1[Qtde],super1[Item],tab_alimentos[[#This Row],[Item]],super1[Bairro],mercado16)+SUMIFS(supercb[Qtde],supercb[Item],tab_alimentos[[#This Row],[Item]],supercb[Bairro],mercado16)</f>
        <v>0</v>
      </c>
      <c r="AB156" s="4">
        <f>SUMIFS(super1[Qtde],super1[Item],tab_alimentos[[#This Row],[Item]],super1[Bairro],mercado17)+SUMIFS(supercb[Qtde],supercb[Item],tab_alimentos[[#This Row],[Item]],supercb[Bairro],mercado17)</f>
        <v>0</v>
      </c>
      <c r="AC156" s="4">
        <f>SUMIFS(super1[Qtde],super1[Item],tab_alimentos[[#This Row],[Item]],super1[Bairro],mercado18)+SUMIFS(supercb[Qtde],supercb[Item],tab_alimentos[[#This Row],[Item]],supercb[Bairro],mercado18)</f>
        <v>0</v>
      </c>
      <c r="AD156" s="4">
        <f>SUMIFS(super1[Qtde],super1[Item],tab_alimentos[[#This Row],[Item]],super1[Bairro],extras)+SUMIFS(supercb[Qtde],supercb[Item],tab_alimentos[[#This Row],[Item]],supercb[Bairro],extras)</f>
        <v>0</v>
      </c>
      <c r="AE156" s="4">
        <f t="shared" si="47"/>
        <v>0</v>
      </c>
      <c r="AF156" s="4">
        <f t="shared" si="48"/>
        <v>0</v>
      </c>
      <c r="AG156" s="6">
        <f t="shared" si="49"/>
        <v>0</v>
      </c>
      <c r="AH156" s="19" t="str">
        <f>higiene[[#This Row],[Item]]</f>
        <v>Lenços de Papel (50un)</v>
      </c>
      <c r="AI156" s="4">
        <f>IFERROR(higiene[[#This Row],[Kg equivalente]],0)</f>
        <v>0</v>
      </c>
      <c r="AJ156" s="4">
        <f>IFERROR(higiene[[#This Row],[Preço por produto]],0)</f>
        <v>5.99</v>
      </c>
      <c r="AK156" s="4">
        <f>SUMIFS(super1[Qtde],super1[Item],tab_higiene[[#This Row],[Item]],super1[Bairro],mercado1)+SUMIFS(supercb[Qtde],supercb[Item],tab_higiene[[#This Row],[Item]],supercb[Bairro],mercado1)</f>
        <v>0</v>
      </c>
      <c r="AL156" s="4">
        <f>SUMIFS(super1[Qtde],super1[Item],tab_higiene[[#This Row],[Item]],super1[Bairro],mercado2)+SUMIFS(supercb[Qtde],supercb[Item],tab_higiene[[#This Row],[Item]],supercb[Bairro],mercado2)</f>
        <v>0</v>
      </c>
      <c r="AM156" s="4">
        <f>SUMIFS(super1[Qtde],super1[Item],tab_higiene[[#This Row],[Item]],super1[Bairro],mercado3)+SUMIFS(supercb[Qtde],supercb[Item],tab_higiene[[#This Row],[Item]],supercb[Bairro],mercado3)</f>
        <v>0</v>
      </c>
      <c r="AN156" s="4">
        <f>SUMIFS(super1[Qtde],super1[Item],tab_higiene[[#This Row],[Item]],super1[Bairro],mercado4)+SUMIFS(supercb[Qtde],supercb[Item],tab_higiene[[#This Row],[Item]],supercb[Bairro],mercado4)</f>
        <v>0</v>
      </c>
      <c r="AO156" s="4">
        <f>SUMIFS(super1[Qtde],super1[Item],tab_higiene[[#This Row],[Item]],super1[Bairro],mercado5)+SUMIFS(supercb[Qtde],supercb[Item],tab_higiene[[#This Row],[Item]],supercb[Bairro],mercado5)</f>
        <v>0</v>
      </c>
      <c r="AP156" s="4">
        <f>SUMIFS(super1[Qtde],super1[Item],tab_higiene[[#This Row],[Item]],super1[Bairro],mercado6)+SUMIFS(supercb[Qtde],supercb[Item],tab_higiene[[#This Row],[Item]],supercb[Bairro],mercado6)</f>
        <v>0</v>
      </c>
      <c r="AQ156" s="4">
        <f>SUMIFS(super1[Qtde],super1[Item],tab_higiene[[#This Row],[Item]],super1[Bairro],mercado7)+SUMIFS(supercb[Qtde],supercb[Item],tab_higiene[[#This Row],[Item]],supercb[Bairro],mercado7)</f>
        <v>0</v>
      </c>
      <c r="AR156" s="4">
        <f>SUMIFS(super1[Qtde],super1[Item],tab_higiene[[#This Row],[Item]],super1[Bairro],mercado8)+SUMIFS(supercb[Qtde],supercb[Item],tab_higiene[[#This Row],[Item]],supercb[Bairro],mercado8)</f>
        <v>0</v>
      </c>
      <c r="AS156" s="4">
        <f>SUMIFS(super1[Qtde],super1[Item],tab_higiene[[#This Row],[Item]],super1[Bairro],mercado9)+SUMIFS(supercb[Qtde],supercb[Item],tab_higiene[[#This Row],[Item]],supercb[Bairro],mercado9)</f>
        <v>0</v>
      </c>
      <c r="AT156" s="4">
        <f>SUMIFS(super1[Qtde],super1[Item],tab_higiene[[#This Row],[Item]],super1[Bairro],mercado10)+SUMIFS(supercb[Qtde],supercb[Item],tab_higiene[[#This Row],[Item]],supercb[Bairro],mercado10)</f>
        <v>0</v>
      </c>
      <c r="AU156" s="4">
        <f>SUMIFS(super1[Qtde],super1[Item],tab_higiene[[#This Row],[Item]],super1[Bairro],mercado11)+SUMIFS(supercb[Qtde],supercb[Item],tab_higiene[[#This Row],[Item]],supercb[Bairro],mercado11)</f>
        <v>0</v>
      </c>
      <c r="AV156" s="4">
        <f>SUMIFS(super1[Qtde],super1[Item],tab_higiene[[#This Row],[Item]],super1[Bairro],mercado12)+SUMIFS(supercb[Qtde],supercb[Item],tab_higiene[[#This Row],[Item]],supercb[Bairro],mercado12)</f>
        <v>0</v>
      </c>
      <c r="AW156" s="4">
        <f>SUMIFS(super1[Qtde],super1[Item],tab_higiene[[#This Row],[Item]],super1[Bairro],mercado13)+SUMIFS(supercb[Qtde],supercb[Item],tab_higiene[[#This Row],[Item]],supercb[Bairro],mercado13)</f>
        <v>0</v>
      </c>
      <c r="AX156" s="4">
        <f>SUMIFS(super1[Qtde],super1[Item],tab_higiene[[#This Row],[Item]],super1[Bairro],mercado14)+SUMIFS(supercb[Qtde],supercb[Item],tab_higiene[[#This Row],[Item]],supercb[Bairro],mercado14)</f>
        <v>0</v>
      </c>
      <c r="AY156" s="4">
        <f>SUMIFS(super1[Qtde],super1[Item],tab_higiene[[#This Row],[Item]],super1[Bairro],mercado15)+SUMIFS(supercb[Qtde],supercb[Item],tab_higiene[[#This Row],[Item]],supercb[Bairro],mercado15)</f>
        <v>0</v>
      </c>
      <c r="AZ156" s="4">
        <f>SUMIFS(super1[Qtde],super1[Item],tab_higiene[[#This Row],[Item]],super1[Bairro],mercado16)+SUMIFS(supercb[Qtde],supercb[Item],tab_higiene[[#This Row],[Item]],supercb[Bairro],mercado16)</f>
        <v>0</v>
      </c>
      <c r="BA156" s="4">
        <f>SUMIFS(super1[Qtde],super1[Item],tab_higiene[[#This Row],[Item]],super1[Bairro],mercado17)+SUMIFS(supercb[Qtde],supercb[Item],tab_higiene[[#This Row],[Item]],supercb[Bairro],mercado17)</f>
        <v>0</v>
      </c>
      <c r="BB156" s="4">
        <f>SUMIFS(super1[Qtde],super1[Item],tab_higiene[[#This Row],[Item]],super1[Bairro],mercado18)+SUMIFS(supercb[Qtde],supercb[Item],tab_higiene[[#This Row],[Item]],supercb[Bairro],mercado18)</f>
        <v>0</v>
      </c>
      <c r="BC156" s="4">
        <f>SUMIFS(super1[Qtde],super1[Item],tab_higiene[[#This Row],[Item]],super1[Bairro],extras)+SUMIFS(supercb[Qtde],supercb[Item],tab_higiene[[#This Row],[Item]],supercb[Bairro],extras)</f>
        <v>0</v>
      </c>
      <c r="BD156" s="4">
        <f t="shared" si="64"/>
        <v>0</v>
      </c>
      <c r="BE156" s="4">
        <f t="shared" si="65"/>
        <v>0</v>
      </c>
      <c r="BF156" s="6">
        <f t="shared" si="66"/>
        <v>0</v>
      </c>
      <c r="BI156" s="1" t="str">
        <f>tab_alimentos[[#This Row],[Item]]</f>
        <v>Caldo Verde (17g)</v>
      </c>
      <c r="BJ156" s="1">
        <f t="shared" si="62"/>
        <v>12</v>
      </c>
      <c r="BK156" s="1" t="str">
        <f t="shared" si="63"/>
        <v>Caldo Verde</v>
      </c>
      <c r="BL156" s="1">
        <f>tab_alimentos[[#This Row],[kg]]</f>
        <v>0</v>
      </c>
      <c r="BN156" s="1">
        <f>SUMIF($BJ$5:$BJ$158,#REF!,$BK$5:$BK$158)</f>
        <v>0</v>
      </c>
    </row>
    <row r="157" spans="9:66" x14ac:dyDescent="0.25">
      <c r="I157" s="19" t="str">
        <f>alimentos[[#This Row],[Item]]</f>
        <v>Canjica (500g)</v>
      </c>
      <c r="J157" s="4">
        <f>IFERROR(alimentos[[#This Row],[kg/embalagem]],0)</f>
        <v>0.5</v>
      </c>
      <c r="K157" s="4">
        <f>IFERROR(alimentos[[#This Row],[Preço]],0)</f>
        <v>6.39</v>
      </c>
      <c r="L157" s="4">
        <f>SUMIFS(super1[Qtde],super1[Item],tab_alimentos[[#This Row],[Item]],super1[Bairro],mercado1)+SUMIFS(supercb[Qtde],supercb[Item],tab_alimentos[[#This Row],[Item]],supercb[Bairro],mercado1)</f>
        <v>0</v>
      </c>
      <c r="M157" s="4">
        <f>SUMIFS(super1[Qtde],super1[Item],tab_alimentos[[#This Row],[Item]],super1[Bairro],mercado2)+SUMIFS(supercb[Qtde],supercb[Item],tab_alimentos[[#This Row],[Item]],supercb[Bairro],mercado2)</f>
        <v>0</v>
      </c>
      <c r="N157" s="4">
        <f>SUMIFS(super1[Qtde],super1[Item],tab_alimentos[[#This Row],[Item]],super1[Bairro],mercado3)+SUMIFS(supercb[Qtde],supercb[Item],tab_alimentos[[#This Row],[Item]],supercb[Bairro],mercado3)</f>
        <v>0</v>
      </c>
      <c r="O157" s="4">
        <f>SUMIFS(super1[Qtde],super1[Item],tab_alimentos[[#This Row],[Item]],super1[Bairro],mercado4)+SUMIFS(supercb[Qtde],supercb[Item],tab_alimentos[[#This Row],[Item]],supercb[Bairro],mercado4)</f>
        <v>0</v>
      </c>
      <c r="P157" s="4">
        <f>SUMIFS(super1[Qtde],super1[Item],tab_alimentos[[#This Row],[Item]],super1[Bairro],mercado5)+SUMIFS(supercb[Qtde],supercb[Item],tab_alimentos[[#This Row],[Item]],supercb[Bairro],mercado5)</f>
        <v>0</v>
      </c>
      <c r="Q157" s="4">
        <f>SUMIFS(super1[Qtde],super1[Item],tab_alimentos[[#This Row],[Item]],super1[Bairro],mercado6)+SUMIFS(supercb[Qtde],supercb[Item],tab_alimentos[[#This Row],[Item]],supercb[Bairro],mercado6)</f>
        <v>0</v>
      </c>
      <c r="R157" s="4">
        <f>SUMIFS(super1[Qtde],super1[Item],tab_alimentos[[#This Row],[Item]],super1[Bairro],mercado7)+SUMIFS(supercb[Qtde],supercb[Item],tab_alimentos[[#This Row],[Item]],supercb[Bairro],mercado7)</f>
        <v>0</v>
      </c>
      <c r="S157" s="4">
        <f>SUMIFS(super1[Qtde],super1[Item],tab_alimentos[[#This Row],[Item]],super1[Bairro],mercado8)+SUMIFS(supercb[Qtde],supercb[Item],tab_alimentos[[#This Row],[Item]],supercb[Bairro],mercado8)</f>
        <v>0</v>
      </c>
      <c r="T157" s="4">
        <f>SUMIFS(super1[Qtde],super1[Item],tab_alimentos[[#This Row],[Item]],super1[Bairro],mercado9)+SUMIFS(supercb[Qtde],supercb[Item],tab_alimentos[[#This Row],[Item]],supercb[Bairro],mercado9)</f>
        <v>0</v>
      </c>
      <c r="U157" s="4">
        <f>SUMIFS(super1[Qtde],super1[Item],tab_alimentos[[#This Row],[Item]],super1[Bairro],mercado10)+SUMIFS(supercb[Qtde],supercb[Item],tab_alimentos[[#This Row],[Item]],supercb[Bairro],mercado10)</f>
        <v>0</v>
      </c>
      <c r="V157" s="4">
        <f>SUMIFS(super1[Qtde],super1[Item],tab_alimentos[[#This Row],[Item]],super1[Bairro],mercado11)+SUMIFS(supercb[Qtde],supercb[Item],tab_alimentos[[#This Row],[Item]],supercb[Bairro],mercado11)</f>
        <v>0</v>
      </c>
      <c r="W157" s="4">
        <f>SUMIFS(super1[Qtde],super1[Item],tab_alimentos[[#This Row],[Item]],super1[Bairro],mercado12)+SUMIFS(supercb[Qtde],supercb[Item],tab_alimentos[[#This Row],[Item]],supercb[Bairro],mercado12)</f>
        <v>0</v>
      </c>
      <c r="X157" s="4">
        <f>SUMIFS(super1[Qtde],super1[Item],tab_alimentos[[#This Row],[Item]],super1[Bairro],mercado13)+SUMIFS(supercb[Qtde],supercb[Item],tab_alimentos[[#This Row],[Item]],supercb[Bairro],mercado13)</f>
        <v>0</v>
      </c>
      <c r="Y157" s="4">
        <f>SUMIFS(super1[Qtde],super1[Item],tab_alimentos[[#This Row],[Item]],super1[Bairro],mercado14)+SUMIFS(supercb[Qtde],supercb[Item],tab_alimentos[[#This Row],[Item]],supercb[Bairro],mercado14)</f>
        <v>0</v>
      </c>
      <c r="Z157" s="4">
        <f>SUMIFS(super1[Qtde],super1[Item],tab_alimentos[[#This Row],[Item]],super1[Bairro],mercado15)+SUMIFS(supercb[Qtde],supercb[Item],tab_alimentos[[#This Row],[Item]],supercb[Bairro],mercado15)</f>
        <v>0</v>
      </c>
      <c r="AA157" s="4">
        <f>SUMIFS(super1[Qtde],super1[Item],tab_alimentos[[#This Row],[Item]],super1[Bairro],mercado16)+SUMIFS(supercb[Qtde],supercb[Item],tab_alimentos[[#This Row],[Item]],supercb[Bairro],mercado16)</f>
        <v>0</v>
      </c>
      <c r="AB157" s="4">
        <f>SUMIFS(super1[Qtde],super1[Item],tab_alimentos[[#This Row],[Item]],super1[Bairro],mercado17)+SUMIFS(supercb[Qtde],supercb[Item],tab_alimentos[[#This Row],[Item]],supercb[Bairro],mercado17)</f>
        <v>0</v>
      </c>
      <c r="AC157" s="4">
        <f>SUMIFS(super1[Qtde],super1[Item],tab_alimentos[[#This Row],[Item]],super1[Bairro],mercado18)+SUMIFS(supercb[Qtde],supercb[Item],tab_alimentos[[#This Row],[Item]],supercb[Bairro],mercado18)</f>
        <v>0</v>
      </c>
      <c r="AD157" s="4">
        <f>SUMIFS(super1[Qtde],super1[Item],tab_alimentos[[#This Row],[Item]],super1[Bairro],extras)+SUMIFS(supercb[Qtde],supercb[Item],tab_alimentos[[#This Row],[Item]],supercb[Bairro],extras)</f>
        <v>0</v>
      </c>
      <c r="AE157" s="4">
        <f t="shared" ref="AE157:AE204" si="67">SUM(L157:AC157)</f>
        <v>0</v>
      </c>
      <c r="AF157" s="4">
        <f t="shared" ref="AF157:AF204" si="68">IFERROR(AE157*K157,0)</f>
        <v>0</v>
      </c>
      <c r="AG157" s="6">
        <f t="shared" ref="AG157:AG204" si="69">IFERROR(J157*AE157,0)</f>
        <v>0</v>
      </c>
      <c r="AH157" s="19" t="str">
        <f>higiene[[#This Row],[Item]]</f>
        <v>Lenços Papel (100un)</v>
      </c>
      <c r="AI157" s="4">
        <f>IFERROR(higiene[[#This Row],[Kg equivalente]],0)</f>
        <v>0</v>
      </c>
      <c r="AJ157" s="4">
        <f>IFERROR(higiene[[#This Row],[Preço por produto]],0)</f>
        <v>9.9</v>
      </c>
      <c r="AK157" s="4">
        <f>SUMIFS(super1[Qtde],super1[Item],tab_higiene[[#This Row],[Item]],super1[Bairro],mercado1)+SUMIFS(supercb[Qtde],supercb[Item],tab_higiene[[#This Row],[Item]],supercb[Bairro],mercado1)</f>
        <v>0</v>
      </c>
      <c r="AL157" s="4">
        <f>SUMIFS(super1[Qtde],super1[Item],tab_higiene[[#This Row],[Item]],super1[Bairro],mercado2)+SUMIFS(supercb[Qtde],supercb[Item],tab_higiene[[#This Row],[Item]],supercb[Bairro],mercado2)</f>
        <v>0</v>
      </c>
      <c r="AM157" s="4">
        <f>SUMIFS(super1[Qtde],super1[Item],tab_higiene[[#This Row],[Item]],super1[Bairro],mercado3)+SUMIFS(supercb[Qtde],supercb[Item],tab_higiene[[#This Row],[Item]],supercb[Bairro],mercado3)</f>
        <v>0</v>
      </c>
      <c r="AN157" s="4">
        <f>SUMIFS(super1[Qtde],super1[Item],tab_higiene[[#This Row],[Item]],super1[Bairro],mercado4)+SUMIFS(supercb[Qtde],supercb[Item],tab_higiene[[#This Row],[Item]],supercb[Bairro],mercado4)</f>
        <v>0</v>
      </c>
      <c r="AO157" s="4">
        <f>SUMIFS(super1[Qtde],super1[Item],tab_higiene[[#This Row],[Item]],super1[Bairro],mercado5)+SUMIFS(supercb[Qtde],supercb[Item],tab_higiene[[#This Row],[Item]],supercb[Bairro],mercado5)</f>
        <v>0</v>
      </c>
      <c r="AP157" s="4">
        <f>SUMIFS(super1[Qtde],super1[Item],tab_higiene[[#This Row],[Item]],super1[Bairro],mercado6)+SUMIFS(supercb[Qtde],supercb[Item],tab_higiene[[#This Row],[Item]],supercb[Bairro],mercado6)</f>
        <v>0</v>
      </c>
      <c r="AQ157" s="4">
        <f>SUMIFS(super1[Qtde],super1[Item],tab_higiene[[#This Row],[Item]],super1[Bairro],mercado7)+SUMIFS(supercb[Qtde],supercb[Item],tab_higiene[[#This Row],[Item]],supercb[Bairro],mercado7)</f>
        <v>0</v>
      </c>
      <c r="AR157" s="4">
        <f>SUMIFS(super1[Qtde],super1[Item],tab_higiene[[#This Row],[Item]],super1[Bairro],mercado8)+SUMIFS(supercb[Qtde],supercb[Item],tab_higiene[[#This Row],[Item]],supercb[Bairro],mercado8)</f>
        <v>0</v>
      </c>
      <c r="AS157" s="4">
        <f>SUMIFS(super1[Qtde],super1[Item],tab_higiene[[#This Row],[Item]],super1[Bairro],mercado9)+SUMIFS(supercb[Qtde],supercb[Item],tab_higiene[[#This Row],[Item]],supercb[Bairro],mercado9)</f>
        <v>0</v>
      </c>
      <c r="AT157" s="4">
        <f>SUMIFS(super1[Qtde],super1[Item],tab_higiene[[#This Row],[Item]],super1[Bairro],mercado10)+SUMIFS(supercb[Qtde],supercb[Item],tab_higiene[[#This Row],[Item]],supercb[Bairro],mercado10)</f>
        <v>0</v>
      </c>
      <c r="AU157" s="4">
        <f>SUMIFS(super1[Qtde],super1[Item],tab_higiene[[#This Row],[Item]],super1[Bairro],mercado11)+SUMIFS(supercb[Qtde],supercb[Item],tab_higiene[[#This Row],[Item]],supercb[Bairro],mercado11)</f>
        <v>0</v>
      </c>
      <c r="AV157" s="4">
        <f>SUMIFS(super1[Qtde],super1[Item],tab_higiene[[#This Row],[Item]],super1[Bairro],mercado12)+SUMIFS(supercb[Qtde],supercb[Item],tab_higiene[[#This Row],[Item]],supercb[Bairro],mercado12)</f>
        <v>0</v>
      </c>
      <c r="AW157" s="4">
        <f>SUMIFS(super1[Qtde],super1[Item],tab_higiene[[#This Row],[Item]],super1[Bairro],mercado13)+SUMIFS(supercb[Qtde],supercb[Item],tab_higiene[[#This Row],[Item]],supercb[Bairro],mercado13)</f>
        <v>0</v>
      </c>
      <c r="AX157" s="4">
        <f>SUMIFS(super1[Qtde],super1[Item],tab_higiene[[#This Row],[Item]],super1[Bairro],mercado14)+SUMIFS(supercb[Qtde],supercb[Item],tab_higiene[[#This Row],[Item]],supercb[Bairro],mercado14)</f>
        <v>0</v>
      </c>
      <c r="AY157" s="4">
        <f>SUMIFS(super1[Qtde],super1[Item],tab_higiene[[#This Row],[Item]],super1[Bairro],mercado15)+SUMIFS(supercb[Qtde],supercb[Item],tab_higiene[[#This Row],[Item]],supercb[Bairro],mercado15)</f>
        <v>0</v>
      </c>
      <c r="AZ157" s="4">
        <f>SUMIFS(super1[Qtde],super1[Item],tab_higiene[[#This Row],[Item]],super1[Bairro],mercado16)+SUMIFS(supercb[Qtde],supercb[Item],tab_higiene[[#This Row],[Item]],supercb[Bairro],mercado16)</f>
        <v>0</v>
      </c>
      <c r="BA157" s="4">
        <f>SUMIFS(super1[Qtde],super1[Item],tab_higiene[[#This Row],[Item]],super1[Bairro],mercado17)+SUMIFS(supercb[Qtde],supercb[Item],tab_higiene[[#This Row],[Item]],supercb[Bairro],mercado17)</f>
        <v>0</v>
      </c>
      <c r="BB157" s="4">
        <f>SUMIFS(super1[Qtde],super1[Item],tab_higiene[[#This Row],[Item]],super1[Bairro],mercado18)+SUMIFS(supercb[Qtde],supercb[Item],tab_higiene[[#This Row],[Item]],supercb[Bairro],mercado18)</f>
        <v>0</v>
      </c>
      <c r="BC157" s="4">
        <f>SUMIFS(super1[Qtde],super1[Item],tab_higiene[[#This Row],[Item]],super1[Bairro],extras)+SUMIFS(supercb[Qtde],supercb[Item],tab_higiene[[#This Row],[Item]],supercb[Bairro],extras)</f>
        <v>0</v>
      </c>
      <c r="BD157" s="4">
        <f t="shared" si="64"/>
        <v>0</v>
      </c>
      <c r="BE157" s="4">
        <f t="shared" si="65"/>
        <v>0</v>
      </c>
      <c r="BF157" s="6">
        <f t="shared" si="66"/>
        <v>0</v>
      </c>
      <c r="BI157" s="1" t="str">
        <f>tab_alimentos[[#This Row],[Item]]</f>
        <v>Canjica (500g)</v>
      </c>
      <c r="BJ157" s="1">
        <f t="shared" si="62"/>
        <v>8</v>
      </c>
      <c r="BK157" s="1" t="str">
        <f t="shared" si="63"/>
        <v>Canjica</v>
      </c>
      <c r="BL157" s="1">
        <f>tab_alimentos[[#This Row],[kg]]</f>
        <v>0</v>
      </c>
      <c r="BN157" s="1">
        <f>SUMIF($BJ$5:$BJ$158,#REF!,$BK$5:$BK$158)</f>
        <v>0</v>
      </c>
    </row>
    <row r="158" spans="9:66" x14ac:dyDescent="0.25">
      <c r="I158" s="19" t="str">
        <f>alimentos[[#This Row],[Item]]</f>
        <v>Cappuccino (200g)</v>
      </c>
      <c r="J158" s="4">
        <f>IFERROR(alimentos[[#This Row],[kg/embalagem]],0)</f>
        <v>0.2</v>
      </c>
      <c r="K158" s="4">
        <f>IFERROR(alimentos[[#This Row],[Preço]],0)</f>
        <v>12.3</v>
      </c>
      <c r="L158" s="4">
        <f>SUMIFS(super1[Qtde],super1[Item],tab_alimentos[[#This Row],[Item]],super1[Bairro],mercado1)+SUMIFS(supercb[Qtde],supercb[Item],tab_alimentos[[#This Row],[Item]],supercb[Bairro],mercado1)</f>
        <v>0</v>
      </c>
      <c r="M158" s="4">
        <f>SUMIFS(super1[Qtde],super1[Item],tab_alimentos[[#This Row],[Item]],super1[Bairro],mercado2)+SUMIFS(supercb[Qtde],supercb[Item],tab_alimentos[[#This Row],[Item]],supercb[Bairro],mercado2)</f>
        <v>0</v>
      </c>
      <c r="N158" s="4">
        <f>SUMIFS(super1[Qtde],super1[Item],tab_alimentos[[#This Row],[Item]],super1[Bairro],mercado3)+SUMIFS(supercb[Qtde],supercb[Item],tab_alimentos[[#This Row],[Item]],supercb[Bairro],mercado3)</f>
        <v>0</v>
      </c>
      <c r="O158" s="4">
        <f>SUMIFS(super1[Qtde],super1[Item],tab_alimentos[[#This Row],[Item]],super1[Bairro],mercado4)+SUMIFS(supercb[Qtde],supercb[Item],tab_alimentos[[#This Row],[Item]],supercb[Bairro],mercado4)</f>
        <v>0</v>
      </c>
      <c r="P158" s="4">
        <f>SUMIFS(super1[Qtde],super1[Item],tab_alimentos[[#This Row],[Item]],super1[Bairro],mercado5)+SUMIFS(supercb[Qtde],supercb[Item],tab_alimentos[[#This Row],[Item]],supercb[Bairro],mercado5)</f>
        <v>0</v>
      </c>
      <c r="Q158" s="4">
        <f>SUMIFS(super1[Qtde],super1[Item],tab_alimentos[[#This Row],[Item]],super1[Bairro],mercado6)+SUMIFS(supercb[Qtde],supercb[Item],tab_alimentos[[#This Row],[Item]],supercb[Bairro],mercado6)</f>
        <v>0</v>
      </c>
      <c r="R158" s="4">
        <f>SUMIFS(super1[Qtde],super1[Item],tab_alimentos[[#This Row],[Item]],super1[Bairro],mercado7)+SUMIFS(supercb[Qtde],supercb[Item],tab_alimentos[[#This Row],[Item]],supercb[Bairro],mercado7)</f>
        <v>0</v>
      </c>
      <c r="S158" s="4">
        <f>SUMIFS(super1[Qtde],super1[Item],tab_alimentos[[#This Row],[Item]],super1[Bairro],mercado8)+SUMIFS(supercb[Qtde],supercb[Item],tab_alimentos[[#This Row],[Item]],supercb[Bairro],mercado8)</f>
        <v>0</v>
      </c>
      <c r="T158" s="4">
        <f>SUMIFS(super1[Qtde],super1[Item],tab_alimentos[[#This Row],[Item]],super1[Bairro],mercado9)+SUMIFS(supercb[Qtde],supercb[Item],tab_alimentos[[#This Row],[Item]],supercb[Bairro],mercado9)</f>
        <v>0</v>
      </c>
      <c r="U158" s="4">
        <f>SUMIFS(super1[Qtde],super1[Item],tab_alimentos[[#This Row],[Item]],super1[Bairro],mercado10)+SUMIFS(supercb[Qtde],supercb[Item],tab_alimentos[[#This Row],[Item]],supercb[Bairro],mercado10)</f>
        <v>0</v>
      </c>
      <c r="V158" s="4">
        <f>SUMIFS(super1[Qtde],super1[Item],tab_alimentos[[#This Row],[Item]],super1[Bairro],mercado11)+SUMIFS(supercb[Qtde],supercb[Item],tab_alimentos[[#This Row],[Item]],supercb[Bairro],mercado11)</f>
        <v>0</v>
      </c>
      <c r="W158" s="4">
        <f>SUMIFS(super1[Qtde],super1[Item],tab_alimentos[[#This Row],[Item]],super1[Bairro],mercado12)+SUMIFS(supercb[Qtde],supercb[Item],tab_alimentos[[#This Row],[Item]],supercb[Bairro],mercado12)</f>
        <v>0</v>
      </c>
      <c r="X158" s="4">
        <f>SUMIFS(super1[Qtde],super1[Item],tab_alimentos[[#This Row],[Item]],super1[Bairro],mercado13)+SUMIFS(supercb[Qtde],supercb[Item],tab_alimentos[[#This Row],[Item]],supercb[Bairro],mercado13)</f>
        <v>0</v>
      </c>
      <c r="Y158" s="4">
        <f>SUMIFS(super1[Qtde],super1[Item],tab_alimentos[[#This Row],[Item]],super1[Bairro],mercado14)+SUMIFS(supercb[Qtde],supercb[Item],tab_alimentos[[#This Row],[Item]],supercb[Bairro],mercado14)</f>
        <v>0</v>
      </c>
      <c r="Z158" s="4">
        <f>SUMIFS(super1[Qtde],super1[Item],tab_alimentos[[#This Row],[Item]],super1[Bairro],mercado15)+SUMIFS(supercb[Qtde],supercb[Item],tab_alimentos[[#This Row],[Item]],supercb[Bairro],mercado15)</f>
        <v>0</v>
      </c>
      <c r="AA158" s="4">
        <f>SUMIFS(super1[Qtde],super1[Item],tab_alimentos[[#This Row],[Item]],super1[Bairro],mercado16)+SUMIFS(supercb[Qtde],supercb[Item],tab_alimentos[[#This Row],[Item]],supercb[Bairro],mercado16)</f>
        <v>0</v>
      </c>
      <c r="AB158" s="4">
        <f>SUMIFS(super1[Qtde],super1[Item],tab_alimentos[[#This Row],[Item]],super1[Bairro],mercado17)+SUMIFS(supercb[Qtde],supercb[Item],tab_alimentos[[#This Row],[Item]],supercb[Bairro],mercado17)</f>
        <v>0</v>
      </c>
      <c r="AC158" s="4">
        <f>SUMIFS(super1[Qtde],super1[Item],tab_alimentos[[#This Row],[Item]],super1[Bairro],mercado18)+SUMIFS(supercb[Qtde],supercb[Item],tab_alimentos[[#This Row],[Item]],supercb[Bairro],mercado18)</f>
        <v>0</v>
      </c>
      <c r="AD158" s="4">
        <f>SUMIFS(super1[Qtde],super1[Item],tab_alimentos[[#This Row],[Item]],super1[Bairro],extras)+SUMIFS(supercb[Qtde],supercb[Item],tab_alimentos[[#This Row],[Item]],supercb[Bairro],extras)</f>
        <v>0</v>
      </c>
      <c r="AE158" s="4">
        <f t="shared" si="67"/>
        <v>0</v>
      </c>
      <c r="AF158" s="4">
        <f t="shared" si="68"/>
        <v>0</v>
      </c>
      <c r="AG158" s="6">
        <f t="shared" si="69"/>
        <v>0</v>
      </c>
      <c r="AH158" s="19" t="str">
        <f>higiene[[#This Row],[Item]]</f>
        <v>Lenços Umedecidos (40un)</v>
      </c>
      <c r="AI158" s="4">
        <f>IFERROR(higiene[[#This Row],[Kg equivalente]],0)</f>
        <v>0</v>
      </c>
      <c r="AJ158" s="4">
        <f>IFERROR(higiene[[#This Row],[Preço por produto]],0)</f>
        <v>5.99</v>
      </c>
      <c r="AK158" s="4">
        <f>SUMIFS(super1[Qtde],super1[Item],tab_higiene[[#This Row],[Item]],super1[Bairro],mercado1)+SUMIFS(supercb[Qtde],supercb[Item],tab_higiene[[#This Row],[Item]],supercb[Bairro],mercado1)</f>
        <v>0</v>
      </c>
      <c r="AL158" s="4">
        <f>SUMIFS(super1[Qtde],super1[Item],tab_higiene[[#This Row],[Item]],super1[Bairro],mercado2)+SUMIFS(supercb[Qtde],supercb[Item],tab_higiene[[#This Row],[Item]],supercb[Bairro],mercado2)</f>
        <v>0</v>
      </c>
      <c r="AM158" s="4">
        <f>SUMIFS(super1[Qtde],super1[Item],tab_higiene[[#This Row],[Item]],super1[Bairro],mercado3)+SUMIFS(supercb[Qtde],supercb[Item],tab_higiene[[#This Row],[Item]],supercb[Bairro],mercado3)</f>
        <v>0</v>
      </c>
      <c r="AN158" s="4">
        <f>SUMIFS(super1[Qtde],super1[Item],tab_higiene[[#This Row],[Item]],super1[Bairro],mercado4)+SUMIFS(supercb[Qtde],supercb[Item],tab_higiene[[#This Row],[Item]],supercb[Bairro],mercado4)</f>
        <v>0</v>
      </c>
      <c r="AO158" s="4">
        <f>SUMIFS(super1[Qtde],super1[Item],tab_higiene[[#This Row],[Item]],super1[Bairro],mercado5)+SUMIFS(supercb[Qtde],supercb[Item],tab_higiene[[#This Row],[Item]],supercb[Bairro],mercado5)</f>
        <v>0</v>
      </c>
      <c r="AP158" s="4">
        <f>SUMIFS(super1[Qtde],super1[Item],tab_higiene[[#This Row],[Item]],super1[Bairro],mercado6)+SUMIFS(supercb[Qtde],supercb[Item],tab_higiene[[#This Row],[Item]],supercb[Bairro],mercado6)</f>
        <v>0</v>
      </c>
      <c r="AQ158" s="4">
        <f>SUMIFS(super1[Qtde],super1[Item],tab_higiene[[#This Row],[Item]],super1[Bairro],mercado7)+SUMIFS(supercb[Qtde],supercb[Item],tab_higiene[[#This Row],[Item]],supercb[Bairro],mercado7)</f>
        <v>0</v>
      </c>
      <c r="AR158" s="4">
        <f>SUMIFS(super1[Qtde],super1[Item],tab_higiene[[#This Row],[Item]],super1[Bairro],mercado8)+SUMIFS(supercb[Qtde],supercb[Item],tab_higiene[[#This Row],[Item]],supercb[Bairro],mercado8)</f>
        <v>0</v>
      </c>
      <c r="AS158" s="4">
        <f>SUMIFS(super1[Qtde],super1[Item],tab_higiene[[#This Row],[Item]],super1[Bairro],mercado9)+SUMIFS(supercb[Qtde],supercb[Item],tab_higiene[[#This Row],[Item]],supercb[Bairro],mercado9)</f>
        <v>0</v>
      </c>
      <c r="AT158" s="4">
        <f>SUMIFS(super1[Qtde],super1[Item],tab_higiene[[#This Row],[Item]],super1[Bairro],mercado10)+SUMIFS(supercb[Qtde],supercb[Item],tab_higiene[[#This Row],[Item]],supercb[Bairro],mercado10)</f>
        <v>0</v>
      </c>
      <c r="AU158" s="4">
        <f>SUMIFS(super1[Qtde],super1[Item],tab_higiene[[#This Row],[Item]],super1[Bairro],mercado11)+SUMIFS(supercb[Qtde],supercb[Item],tab_higiene[[#This Row],[Item]],supercb[Bairro],mercado11)</f>
        <v>0</v>
      </c>
      <c r="AV158" s="4">
        <f>SUMIFS(super1[Qtde],super1[Item],tab_higiene[[#This Row],[Item]],super1[Bairro],mercado12)+SUMIFS(supercb[Qtde],supercb[Item],tab_higiene[[#This Row],[Item]],supercb[Bairro],mercado12)</f>
        <v>0</v>
      </c>
      <c r="AW158" s="4">
        <f>SUMIFS(super1[Qtde],super1[Item],tab_higiene[[#This Row],[Item]],super1[Bairro],mercado13)+SUMIFS(supercb[Qtde],supercb[Item],tab_higiene[[#This Row],[Item]],supercb[Bairro],mercado13)</f>
        <v>0</v>
      </c>
      <c r="AX158" s="4">
        <f>SUMIFS(super1[Qtde],super1[Item],tab_higiene[[#This Row],[Item]],super1[Bairro],mercado14)+SUMIFS(supercb[Qtde],supercb[Item],tab_higiene[[#This Row],[Item]],supercb[Bairro],mercado14)</f>
        <v>0</v>
      </c>
      <c r="AY158" s="4">
        <f>SUMIFS(super1[Qtde],super1[Item],tab_higiene[[#This Row],[Item]],super1[Bairro],mercado15)+SUMIFS(supercb[Qtde],supercb[Item],tab_higiene[[#This Row],[Item]],supercb[Bairro],mercado15)</f>
        <v>0</v>
      </c>
      <c r="AZ158" s="4">
        <f>SUMIFS(super1[Qtde],super1[Item],tab_higiene[[#This Row],[Item]],super1[Bairro],mercado16)+SUMIFS(supercb[Qtde],supercb[Item],tab_higiene[[#This Row],[Item]],supercb[Bairro],mercado16)</f>
        <v>0</v>
      </c>
      <c r="BA158" s="4">
        <f>SUMIFS(super1[Qtde],super1[Item],tab_higiene[[#This Row],[Item]],super1[Bairro],mercado17)+SUMIFS(supercb[Qtde],supercb[Item],tab_higiene[[#This Row],[Item]],supercb[Bairro],mercado17)</f>
        <v>0</v>
      </c>
      <c r="BB158" s="4">
        <f>SUMIFS(super1[Qtde],super1[Item],tab_higiene[[#This Row],[Item]],super1[Bairro],mercado18)+SUMIFS(supercb[Qtde],supercb[Item],tab_higiene[[#This Row],[Item]],supercb[Bairro],mercado18)</f>
        <v>0</v>
      </c>
      <c r="BC158" s="4">
        <f>SUMIFS(super1[Qtde],super1[Item],tab_higiene[[#This Row],[Item]],super1[Bairro],extras)+SUMIFS(supercb[Qtde],supercb[Item],tab_higiene[[#This Row],[Item]],supercb[Bairro],extras)</f>
        <v>0</v>
      </c>
      <c r="BD158" s="4">
        <f t="shared" si="64"/>
        <v>0</v>
      </c>
      <c r="BE158" s="4">
        <f t="shared" si="65"/>
        <v>0</v>
      </c>
      <c r="BF158" s="6">
        <f t="shared" si="66"/>
        <v>0</v>
      </c>
      <c r="BI158" s="1" t="str">
        <f>tab_alimentos[[#This Row],[Item]]</f>
        <v>Cappuccino (200g)</v>
      </c>
      <c r="BJ158" s="1">
        <f t="shared" si="62"/>
        <v>11</v>
      </c>
      <c r="BK158" s="1" t="str">
        <f t="shared" si="63"/>
        <v>Cappuccino</v>
      </c>
      <c r="BL158" s="1">
        <f>tab_alimentos[[#This Row],[kg]]</f>
        <v>0</v>
      </c>
      <c r="BN158" s="1">
        <f>SUMIF($BJ$5:$BJ$158,#REF!,$BK$5:$BK$158)</f>
        <v>0</v>
      </c>
    </row>
    <row r="159" spans="9:66" x14ac:dyDescent="0.25">
      <c r="I159" s="19" t="str">
        <f>alimentos[[#This Row],[Item]]</f>
        <v>Cappuccino (20g)</v>
      </c>
      <c r="J159" s="4">
        <f>IFERROR(alimentos[[#This Row],[kg/embalagem]],0)</f>
        <v>0.02</v>
      </c>
      <c r="K159" s="4">
        <f>IFERROR(alimentos[[#This Row],[Preço]],0)</f>
        <v>2.4900000000000002</v>
      </c>
      <c r="L159" s="4">
        <f>SUMIFS(super1[Qtde],super1[Item],tab_alimentos[[#This Row],[Item]],super1[Bairro],mercado1)+SUMIFS(supercb[Qtde],supercb[Item],tab_alimentos[[#This Row],[Item]],supercb[Bairro],mercado1)</f>
        <v>0</v>
      </c>
      <c r="M159" s="4">
        <f>SUMIFS(super1[Qtde],super1[Item],tab_alimentos[[#This Row],[Item]],super1[Bairro],mercado2)+SUMIFS(supercb[Qtde],supercb[Item],tab_alimentos[[#This Row],[Item]],supercb[Bairro],mercado2)</f>
        <v>0</v>
      </c>
      <c r="N159" s="4">
        <f>SUMIFS(super1[Qtde],super1[Item],tab_alimentos[[#This Row],[Item]],super1[Bairro],mercado3)+SUMIFS(supercb[Qtde],supercb[Item],tab_alimentos[[#This Row],[Item]],supercb[Bairro],mercado3)</f>
        <v>0</v>
      </c>
      <c r="O159" s="4">
        <f>SUMIFS(super1[Qtde],super1[Item],tab_alimentos[[#This Row],[Item]],super1[Bairro],mercado4)+SUMIFS(supercb[Qtde],supercb[Item],tab_alimentos[[#This Row],[Item]],supercb[Bairro],mercado4)</f>
        <v>0</v>
      </c>
      <c r="P159" s="4">
        <f>SUMIFS(super1[Qtde],super1[Item],tab_alimentos[[#This Row],[Item]],super1[Bairro],mercado5)+SUMIFS(supercb[Qtde],supercb[Item],tab_alimentos[[#This Row],[Item]],supercb[Bairro],mercado5)</f>
        <v>0</v>
      </c>
      <c r="Q159" s="4">
        <f>SUMIFS(super1[Qtde],super1[Item],tab_alimentos[[#This Row],[Item]],super1[Bairro],mercado6)+SUMIFS(supercb[Qtde],supercb[Item],tab_alimentos[[#This Row],[Item]],supercb[Bairro],mercado6)</f>
        <v>0</v>
      </c>
      <c r="R159" s="4">
        <f>SUMIFS(super1[Qtde],super1[Item],tab_alimentos[[#This Row],[Item]],super1[Bairro],mercado7)+SUMIFS(supercb[Qtde],supercb[Item],tab_alimentos[[#This Row],[Item]],supercb[Bairro],mercado7)</f>
        <v>0</v>
      </c>
      <c r="S159" s="4">
        <f>SUMIFS(super1[Qtde],super1[Item],tab_alimentos[[#This Row],[Item]],super1[Bairro],mercado8)+SUMIFS(supercb[Qtde],supercb[Item],tab_alimentos[[#This Row],[Item]],supercb[Bairro],mercado8)</f>
        <v>0</v>
      </c>
      <c r="T159" s="4">
        <f>SUMIFS(super1[Qtde],super1[Item],tab_alimentos[[#This Row],[Item]],super1[Bairro],mercado9)+SUMIFS(supercb[Qtde],supercb[Item],tab_alimentos[[#This Row],[Item]],supercb[Bairro],mercado9)</f>
        <v>0</v>
      </c>
      <c r="U159" s="4">
        <f>SUMIFS(super1[Qtde],super1[Item],tab_alimentos[[#This Row],[Item]],super1[Bairro],mercado10)+SUMIFS(supercb[Qtde],supercb[Item],tab_alimentos[[#This Row],[Item]],supercb[Bairro],mercado10)</f>
        <v>0</v>
      </c>
      <c r="V159" s="4">
        <f>SUMIFS(super1[Qtde],super1[Item],tab_alimentos[[#This Row],[Item]],super1[Bairro],mercado11)+SUMIFS(supercb[Qtde],supercb[Item],tab_alimentos[[#This Row],[Item]],supercb[Bairro],mercado11)</f>
        <v>0</v>
      </c>
      <c r="W159" s="4">
        <f>SUMIFS(super1[Qtde],super1[Item],tab_alimentos[[#This Row],[Item]],super1[Bairro],mercado12)+SUMIFS(supercb[Qtde],supercb[Item],tab_alimentos[[#This Row],[Item]],supercb[Bairro],mercado12)</f>
        <v>0</v>
      </c>
      <c r="X159" s="4">
        <f>SUMIFS(super1[Qtde],super1[Item],tab_alimentos[[#This Row],[Item]],super1[Bairro],mercado13)+SUMIFS(supercb[Qtde],supercb[Item],tab_alimentos[[#This Row],[Item]],supercb[Bairro],mercado13)</f>
        <v>0</v>
      </c>
      <c r="Y159" s="4">
        <f>SUMIFS(super1[Qtde],super1[Item],tab_alimentos[[#This Row],[Item]],super1[Bairro],mercado14)+SUMIFS(supercb[Qtde],supercb[Item],tab_alimentos[[#This Row],[Item]],supercb[Bairro],mercado14)</f>
        <v>0</v>
      </c>
      <c r="Z159" s="4">
        <f>SUMIFS(super1[Qtde],super1[Item],tab_alimentos[[#This Row],[Item]],super1[Bairro],mercado15)+SUMIFS(supercb[Qtde],supercb[Item],tab_alimentos[[#This Row],[Item]],supercb[Bairro],mercado15)</f>
        <v>0</v>
      </c>
      <c r="AA159" s="4">
        <f>SUMIFS(super1[Qtde],super1[Item],tab_alimentos[[#This Row],[Item]],super1[Bairro],mercado16)+SUMIFS(supercb[Qtde],supercb[Item],tab_alimentos[[#This Row],[Item]],supercb[Bairro],mercado16)</f>
        <v>0</v>
      </c>
      <c r="AB159" s="4">
        <f>SUMIFS(super1[Qtde],super1[Item],tab_alimentos[[#This Row],[Item]],super1[Bairro],mercado17)+SUMIFS(supercb[Qtde],supercb[Item],tab_alimentos[[#This Row],[Item]],supercb[Bairro],mercado17)</f>
        <v>0</v>
      </c>
      <c r="AC159" s="4">
        <f>SUMIFS(super1[Qtde],super1[Item],tab_alimentos[[#This Row],[Item]],super1[Bairro],mercado18)+SUMIFS(supercb[Qtde],supercb[Item],tab_alimentos[[#This Row],[Item]],supercb[Bairro],mercado18)</f>
        <v>0</v>
      </c>
      <c r="AD159" s="4">
        <f>SUMIFS(super1[Qtde],super1[Item],tab_alimentos[[#This Row],[Item]],super1[Bairro],extras)+SUMIFS(supercb[Qtde],supercb[Item],tab_alimentos[[#This Row],[Item]],supercb[Bairro],extras)</f>
        <v>0</v>
      </c>
      <c r="AE159" s="4">
        <f t="shared" si="67"/>
        <v>0</v>
      </c>
      <c r="AF159" s="4">
        <f t="shared" si="68"/>
        <v>0</v>
      </c>
      <c r="AG159" s="6">
        <f t="shared" si="69"/>
        <v>0</v>
      </c>
      <c r="AH159" s="19" t="str">
        <f>higiene[[#This Row],[Item]]</f>
        <v>Lenços Umedecidos (48 un)</v>
      </c>
      <c r="AI159" s="4">
        <f>IFERROR(higiene[[#This Row],[Kg equivalente]],0)</f>
        <v>0</v>
      </c>
      <c r="AJ159" s="4">
        <f>IFERROR(higiene[[#This Row],[Preço por produto]],0)</f>
        <v>26.9</v>
      </c>
      <c r="AK159" s="4">
        <f>SUMIFS(super1[Qtde],super1[Item],tab_higiene[[#This Row],[Item]],super1[Bairro],mercado1)+SUMIFS(supercb[Qtde],supercb[Item],tab_higiene[[#This Row],[Item]],supercb[Bairro],mercado1)</f>
        <v>0</v>
      </c>
      <c r="AL159" s="4">
        <f>SUMIFS(super1[Qtde],super1[Item],tab_higiene[[#This Row],[Item]],super1[Bairro],mercado2)+SUMIFS(supercb[Qtde],supercb[Item],tab_higiene[[#This Row],[Item]],supercb[Bairro],mercado2)</f>
        <v>0</v>
      </c>
      <c r="AM159" s="4">
        <f>SUMIFS(super1[Qtde],super1[Item],tab_higiene[[#This Row],[Item]],super1[Bairro],mercado3)+SUMIFS(supercb[Qtde],supercb[Item],tab_higiene[[#This Row],[Item]],supercb[Bairro],mercado3)</f>
        <v>0</v>
      </c>
      <c r="AN159" s="4">
        <f>SUMIFS(super1[Qtde],super1[Item],tab_higiene[[#This Row],[Item]],super1[Bairro],mercado4)+SUMIFS(supercb[Qtde],supercb[Item],tab_higiene[[#This Row],[Item]],supercb[Bairro],mercado4)</f>
        <v>0</v>
      </c>
      <c r="AO159" s="4">
        <f>SUMIFS(super1[Qtde],super1[Item],tab_higiene[[#This Row],[Item]],super1[Bairro],mercado5)+SUMIFS(supercb[Qtde],supercb[Item],tab_higiene[[#This Row],[Item]],supercb[Bairro],mercado5)</f>
        <v>0</v>
      </c>
      <c r="AP159" s="4">
        <f>SUMIFS(super1[Qtde],super1[Item],tab_higiene[[#This Row],[Item]],super1[Bairro],mercado6)+SUMIFS(supercb[Qtde],supercb[Item],tab_higiene[[#This Row],[Item]],supercb[Bairro],mercado6)</f>
        <v>0</v>
      </c>
      <c r="AQ159" s="4">
        <f>SUMIFS(super1[Qtde],super1[Item],tab_higiene[[#This Row],[Item]],super1[Bairro],mercado7)+SUMIFS(supercb[Qtde],supercb[Item],tab_higiene[[#This Row],[Item]],supercb[Bairro],mercado7)</f>
        <v>0</v>
      </c>
      <c r="AR159" s="4">
        <f>SUMIFS(super1[Qtde],super1[Item],tab_higiene[[#This Row],[Item]],super1[Bairro],mercado8)+SUMIFS(supercb[Qtde],supercb[Item],tab_higiene[[#This Row],[Item]],supercb[Bairro],mercado8)</f>
        <v>0</v>
      </c>
      <c r="AS159" s="4">
        <f>SUMIFS(super1[Qtde],super1[Item],tab_higiene[[#This Row],[Item]],super1[Bairro],mercado9)+SUMIFS(supercb[Qtde],supercb[Item],tab_higiene[[#This Row],[Item]],supercb[Bairro],mercado9)</f>
        <v>0</v>
      </c>
      <c r="AT159" s="4">
        <f>SUMIFS(super1[Qtde],super1[Item],tab_higiene[[#This Row],[Item]],super1[Bairro],mercado10)+SUMIFS(supercb[Qtde],supercb[Item],tab_higiene[[#This Row],[Item]],supercb[Bairro],mercado10)</f>
        <v>0</v>
      </c>
      <c r="AU159" s="4">
        <f>SUMIFS(super1[Qtde],super1[Item],tab_higiene[[#This Row],[Item]],super1[Bairro],mercado11)+SUMIFS(supercb[Qtde],supercb[Item],tab_higiene[[#This Row],[Item]],supercb[Bairro],mercado11)</f>
        <v>0</v>
      </c>
      <c r="AV159" s="4">
        <f>SUMIFS(super1[Qtde],super1[Item],tab_higiene[[#This Row],[Item]],super1[Bairro],mercado12)+SUMIFS(supercb[Qtde],supercb[Item],tab_higiene[[#This Row],[Item]],supercb[Bairro],mercado12)</f>
        <v>0</v>
      </c>
      <c r="AW159" s="4">
        <f>SUMIFS(super1[Qtde],super1[Item],tab_higiene[[#This Row],[Item]],super1[Bairro],mercado13)+SUMIFS(supercb[Qtde],supercb[Item],tab_higiene[[#This Row],[Item]],supercb[Bairro],mercado13)</f>
        <v>0</v>
      </c>
      <c r="AX159" s="4">
        <f>SUMIFS(super1[Qtde],super1[Item],tab_higiene[[#This Row],[Item]],super1[Bairro],mercado14)+SUMIFS(supercb[Qtde],supercb[Item],tab_higiene[[#This Row],[Item]],supercb[Bairro],mercado14)</f>
        <v>0</v>
      </c>
      <c r="AY159" s="4">
        <f>SUMIFS(super1[Qtde],super1[Item],tab_higiene[[#This Row],[Item]],super1[Bairro],mercado15)+SUMIFS(supercb[Qtde],supercb[Item],tab_higiene[[#This Row],[Item]],supercb[Bairro],mercado15)</f>
        <v>0</v>
      </c>
      <c r="AZ159" s="4">
        <f>SUMIFS(super1[Qtde],super1[Item],tab_higiene[[#This Row],[Item]],super1[Bairro],mercado16)+SUMIFS(supercb[Qtde],supercb[Item],tab_higiene[[#This Row],[Item]],supercb[Bairro],mercado16)</f>
        <v>0</v>
      </c>
      <c r="BA159" s="4">
        <f>SUMIFS(super1[Qtde],super1[Item],tab_higiene[[#This Row],[Item]],super1[Bairro],mercado17)+SUMIFS(supercb[Qtde],supercb[Item],tab_higiene[[#This Row],[Item]],supercb[Bairro],mercado17)</f>
        <v>0</v>
      </c>
      <c r="BB159" s="4">
        <f>SUMIFS(super1[Qtde],super1[Item],tab_higiene[[#This Row],[Item]],super1[Bairro],mercado18)+SUMIFS(supercb[Qtde],supercb[Item],tab_higiene[[#This Row],[Item]],supercb[Bairro],mercado18)</f>
        <v>0</v>
      </c>
      <c r="BC159" s="4">
        <f>SUMIFS(super1[Qtde],super1[Item],tab_higiene[[#This Row],[Item]],super1[Bairro],extras)+SUMIFS(supercb[Qtde],supercb[Item],tab_higiene[[#This Row],[Item]],supercb[Bairro],extras)</f>
        <v>0</v>
      </c>
      <c r="BD159" s="4">
        <f t="shared" si="64"/>
        <v>0</v>
      </c>
      <c r="BE159" s="4">
        <f t="shared" si="65"/>
        <v>0</v>
      </c>
      <c r="BF159" s="6">
        <f t="shared" si="66"/>
        <v>0</v>
      </c>
    </row>
    <row r="160" spans="9:66" x14ac:dyDescent="0.25">
      <c r="I160" s="19" t="str">
        <f>alimentos[[#This Row],[Item]]</f>
        <v>Cereal (120g)</v>
      </c>
      <c r="J160" s="4">
        <f>IFERROR(alimentos[[#This Row],[kg/embalagem]],0)</f>
        <v>0.12</v>
      </c>
      <c r="K160" s="4">
        <f>IFERROR(alimentos[[#This Row],[Preço]],0)</f>
        <v>6.1</v>
      </c>
      <c r="L160" s="4">
        <f>SUMIFS(super1[Qtde],super1[Item],tab_alimentos[[#This Row],[Item]],super1[Bairro],mercado1)+SUMIFS(supercb[Qtde],supercb[Item],tab_alimentos[[#This Row],[Item]],supercb[Bairro],mercado1)</f>
        <v>0</v>
      </c>
      <c r="M160" s="4">
        <f>SUMIFS(super1[Qtde],super1[Item],tab_alimentos[[#This Row],[Item]],super1[Bairro],mercado2)+SUMIFS(supercb[Qtde],supercb[Item],tab_alimentos[[#This Row],[Item]],supercb[Bairro],mercado2)</f>
        <v>0</v>
      </c>
      <c r="N160" s="4">
        <f>SUMIFS(super1[Qtde],super1[Item],tab_alimentos[[#This Row],[Item]],super1[Bairro],mercado3)+SUMIFS(supercb[Qtde],supercb[Item],tab_alimentos[[#This Row],[Item]],supercb[Bairro],mercado3)</f>
        <v>0</v>
      </c>
      <c r="O160" s="4">
        <f>SUMIFS(super1[Qtde],super1[Item],tab_alimentos[[#This Row],[Item]],super1[Bairro],mercado4)+SUMIFS(supercb[Qtde],supercb[Item],tab_alimentos[[#This Row],[Item]],supercb[Bairro],mercado4)</f>
        <v>0</v>
      </c>
      <c r="P160" s="4">
        <f>SUMIFS(super1[Qtde],super1[Item],tab_alimentos[[#This Row],[Item]],super1[Bairro],mercado5)+SUMIFS(supercb[Qtde],supercb[Item],tab_alimentos[[#This Row],[Item]],supercb[Bairro],mercado5)</f>
        <v>0</v>
      </c>
      <c r="Q160" s="4">
        <f>SUMIFS(super1[Qtde],super1[Item],tab_alimentos[[#This Row],[Item]],super1[Bairro],mercado6)+SUMIFS(supercb[Qtde],supercb[Item],tab_alimentos[[#This Row],[Item]],supercb[Bairro],mercado6)</f>
        <v>0</v>
      </c>
      <c r="R160" s="4">
        <f>SUMIFS(super1[Qtde],super1[Item],tab_alimentos[[#This Row],[Item]],super1[Bairro],mercado7)+SUMIFS(supercb[Qtde],supercb[Item],tab_alimentos[[#This Row],[Item]],supercb[Bairro],mercado7)</f>
        <v>0</v>
      </c>
      <c r="S160" s="4">
        <f>SUMIFS(super1[Qtde],super1[Item],tab_alimentos[[#This Row],[Item]],super1[Bairro],mercado8)+SUMIFS(supercb[Qtde],supercb[Item],tab_alimentos[[#This Row],[Item]],supercb[Bairro],mercado8)</f>
        <v>0</v>
      </c>
      <c r="T160" s="4">
        <f>SUMIFS(super1[Qtde],super1[Item],tab_alimentos[[#This Row],[Item]],super1[Bairro],mercado9)+SUMIFS(supercb[Qtde],supercb[Item],tab_alimentos[[#This Row],[Item]],supercb[Bairro],mercado9)</f>
        <v>0</v>
      </c>
      <c r="U160" s="4">
        <f>SUMIFS(super1[Qtde],super1[Item],tab_alimentos[[#This Row],[Item]],super1[Bairro],mercado10)+SUMIFS(supercb[Qtde],supercb[Item],tab_alimentos[[#This Row],[Item]],supercb[Bairro],mercado10)</f>
        <v>0</v>
      </c>
      <c r="V160" s="4">
        <f>SUMIFS(super1[Qtde],super1[Item],tab_alimentos[[#This Row],[Item]],super1[Bairro],mercado11)+SUMIFS(supercb[Qtde],supercb[Item],tab_alimentos[[#This Row],[Item]],supercb[Bairro],mercado11)</f>
        <v>0</v>
      </c>
      <c r="W160" s="4">
        <f>SUMIFS(super1[Qtde],super1[Item],tab_alimentos[[#This Row],[Item]],super1[Bairro],mercado12)+SUMIFS(supercb[Qtde],supercb[Item],tab_alimentos[[#This Row],[Item]],supercb[Bairro],mercado12)</f>
        <v>0</v>
      </c>
      <c r="X160" s="4">
        <f>SUMIFS(super1[Qtde],super1[Item],tab_alimentos[[#This Row],[Item]],super1[Bairro],mercado13)+SUMIFS(supercb[Qtde],supercb[Item],tab_alimentos[[#This Row],[Item]],supercb[Bairro],mercado13)</f>
        <v>0</v>
      </c>
      <c r="Y160" s="4">
        <f>SUMIFS(super1[Qtde],super1[Item],tab_alimentos[[#This Row],[Item]],super1[Bairro],mercado14)+SUMIFS(supercb[Qtde],supercb[Item],tab_alimentos[[#This Row],[Item]],supercb[Bairro],mercado14)</f>
        <v>0</v>
      </c>
      <c r="Z160" s="4">
        <f>SUMIFS(super1[Qtde],super1[Item],tab_alimentos[[#This Row],[Item]],super1[Bairro],mercado15)+SUMIFS(supercb[Qtde],supercb[Item],tab_alimentos[[#This Row],[Item]],supercb[Bairro],mercado15)</f>
        <v>0</v>
      </c>
      <c r="AA160" s="4">
        <f>SUMIFS(super1[Qtde],super1[Item],tab_alimentos[[#This Row],[Item]],super1[Bairro],mercado16)+SUMIFS(supercb[Qtde],supercb[Item],tab_alimentos[[#This Row],[Item]],supercb[Bairro],mercado16)</f>
        <v>0</v>
      </c>
      <c r="AB160" s="4">
        <f>SUMIFS(super1[Qtde],super1[Item],tab_alimentos[[#This Row],[Item]],super1[Bairro],mercado17)+SUMIFS(supercb[Qtde],supercb[Item],tab_alimentos[[#This Row],[Item]],supercb[Bairro],mercado17)</f>
        <v>0</v>
      </c>
      <c r="AC160" s="4">
        <f>SUMIFS(super1[Qtde],super1[Item],tab_alimentos[[#This Row],[Item]],super1[Bairro],mercado18)+SUMIFS(supercb[Qtde],supercb[Item],tab_alimentos[[#This Row],[Item]],supercb[Bairro],mercado18)</f>
        <v>0</v>
      </c>
      <c r="AD160" s="4">
        <f>SUMIFS(super1[Qtde],super1[Item],tab_alimentos[[#This Row],[Item]],super1[Bairro],extras)+SUMIFS(supercb[Qtde],supercb[Item],tab_alimentos[[#This Row],[Item]],supercb[Bairro],extras)</f>
        <v>0</v>
      </c>
      <c r="AE160" s="4">
        <f t="shared" si="67"/>
        <v>0</v>
      </c>
      <c r="AF160" s="4">
        <f t="shared" si="68"/>
        <v>0</v>
      </c>
      <c r="AG160" s="6">
        <f t="shared" si="69"/>
        <v>0</v>
      </c>
      <c r="AH160" s="19" t="str">
        <f>higiene[[#This Row],[Item]]</f>
        <v>Lenços Umedecidos (75un)</v>
      </c>
      <c r="AI160" s="4">
        <f>IFERROR(higiene[[#This Row],[Kg equivalente]],0)</f>
        <v>0</v>
      </c>
      <c r="AJ160" s="4">
        <f>IFERROR(higiene[[#This Row],[Preço por produto]],0)</f>
        <v>11.69</v>
      </c>
      <c r="AK160" s="4">
        <f>SUMIFS(super1[Qtde],super1[Item],tab_higiene[[#This Row],[Item]],super1[Bairro],mercado1)+SUMIFS(supercb[Qtde],supercb[Item],tab_higiene[[#This Row],[Item]],supercb[Bairro],mercado1)</f>
        <v>0</v>
      </c>
      <c r="AL160" s="4">
        <f>SUMIFS(super1[Qtde],super1[Item],tab_higiene[[#This Row],[Item]],super1[Bairro],mercado2)+SUMIFS(supercb[Qtde],supercb[Item],tab_higiene[[#This Row],[Item]],supercb[Bairro],mercado2)</f>
        <v>0</v>
      </c>
      <c r="AM160" s="4">
        <f>SUMIFS(super1[Qtde],super1[Item],tab_higiene[[#This Row],[Item]],super1[Bairro],mercado3)+SUMIFS(supercb[Qtde],supercb[Item],tab_higiene[[#This Row],[Item]],supercb[Bairro],mercado3)</f>
        <v>0</v>
      </c>
      <c r="AN160" s="4">
        <f>SUMIFS(super1[Qtde],super1[Item],tab_higiene[[#This Row],[Item]],super1[Bairro],mercado4)+SUMIFS(supercb[Qtde],supercb[Item],tab_higiene[[#This Row],[Item]],supercb[Bairro],mercado4)</f>
        <v>0</v>
      </c>
      <c r="AO160" s="4">
        <f>SUMIFS(super1[Qtde],super1[Item],tab_higiene[[#This Row],[Item]],super1[Bairro],mercado5)+SUMIFS(supercb[Qtde],supercb[Item],tab_higiene[[#This Row],[Item]],supercb[Bairro],mercado5)</f>
        <v>0</v>
      </c>
      <c r="AP160" s="4">
        <f>SUMIFS(super1[Qtde],super1[Item],tab_higiene[[#This Row],[Item]],super1[Bairro],mercado6)+SUMIFS(supercb[Qtde],supercb[Item],tab_higiene[[#This Row],[Item]],supercb[Bairro],mercado6)</f>
        <v>0</v>
      </c>
      <c r="AQ160" s="4">
        <f>SUMIFS(super1[Qtde],super1[Item],tab_higiene[[#This Row],[Item]],super1[Bairro],mercado7)+SUMIFS(supercb[Qtde],supercb[Item],tab_higiene[[#This Row],[Item]],supercb[Bairro],mercado7)</f>
        <v>0</v>
      </c>
      <c r="AR160" s="4">
        <f>SUMIFS(super1[Qtde],super1[Item],tab_higiene[[#This Row],[Item]],super1[Bairro],mercado8)+SUMIFS(supercb[Qtde],supercb[Item],tab_higiene[[#This Row],[Item]],supercb[Bairro],mercado8)</f>
        <v>0</v>
      </c>
      <c r="AS160" s="4">
        <f>SUMIFS(super1[Qtde],super1[Item],tab_higiene[[#This Row],[Item]],super1[Bairro],mercado9)+SUMIFS(supercb[Qtde],supercb[Item],tab_higiene[[#This Row],[Item]],supercb[Bairro],mercado9)</f>
        <v>0</v>
      </c>
      <c r="AT160" s="4">
        <f>SUMIFS(super1[Qtde],super1[Item],tab_higiene[[#This Row],[Item]],super1[Bairro],mercado10)+SUMIFS(supercb[Qtde],supercb[Item],tab_higiene[[#This Row],[Item]],supercb[Bairro],mercado10)</f>
        <v>0</v>
      </c>
      <c r="AU160" s="4">
        <f>SUMIFS(super1[Qtde],super1[Item],tab_higiene[[#This Row],[Item]],super1[Bairro],mercado11)+SUMIFS(supercb[Qtde],supercb[Item],tab_higiene[[#This Row],[Item]],supercb[Bairro],mercado11)</f>
        <v>0</v>
      </c>
      <c r="AV160" s="4">
        <f>SUMIFS(super1[Qtde],super1[Item],tab_higiene[[#This Row],[Item]],super1[Bairro],mercado12)+SUMIFS(supercb[Qtde],supercb[Item],tab_higiene[[#This Row],[Item]],supercb[Bairro],mercado12)</f>
        <v>0</v>
      </c>
      <c r="AW160" s="4">
        <f>SUMIFS(super1[Qtde],super1[Item],tab_higiene[[#This Row],[Item]],super1[Bairro],mercado13)+SUMIFS(supercb[Qtde],supercb[Item],tab_higiene[[#This Row],[Item]],supercb[Bairro],mercado13)</f>
        <v>0</v>
      </c>
      <c r="AX160" s="4">
        <f>SUMIFS(super1[Qtde],super1[Item],tab_higiene[[#This Row],[Item]],super1[Bairro],mercado14)+SUMIFS(supercb[Qtde],supercb[Item],tab_higiene[[#This Row],[Item]],supercb[Bairro],mercado14)</f>
        <v>0</v>
      </c>
      <c r="AY160" s="4">
        <f>SUMIFS(super1[Qtde],super1[Item],tab_higiene[[#This Row],[Item]],super1[Bairro],mercado15)+SUMIFS(supercb[Qtde],supercb[Item],tab_higiene[[#This Row],[Item]],supercb[Bairro],mercado15)</f>
        <v>0</v>
      </c>
      <c r="AZ160" s="4">
        <f>SUMIFS(super1[Qtde],super1[Item],tab_higiene[[#This Row],[Item]],super1[Bairro],mercado16)+SUMIFS(supercb[Qtde],supercb[Item],tab_higiene[[#This Row],[Item]],supercb[Bairro],mercado16)</f>
        <v>0</v>
      </c>
      <c r="BA160" s="4">
        <f>SUMIFS(super1[Qtde],super1[Item],tab_higiene[[#This Row],[Item]],super1[Bairro],mercado17)+SUMIFS(supercb[Qtde],supercb[Item],tab_higiene[[#This Row],[Item]],supercb[Bairro],mercado17)</f>
        <v>0</v>
      </c>
      <c r="BB160" s="4">
        <f>SUMIFS(super1[Qtde],super1[Item],tab_higiene[[#This Row],[Item]],super1[Bairro],mercado18)+SUMIFS(supercb[Qtde],supercb[Item],tab_higiene[[#This Row],[Item]],supercb[Bairro],mercado18)</f>
        <v>0</v>
      </c>
      <c r="BC160" s="4">
        <f>SUMIFS(super1[Qtde],super1[Item],tab_higiene[[#This Row],[Item]],super1[Bairro],extras)+SUMIFS(supercb[Qtde],supercb[Item],tab_higiene[[#This Row],[Item]],supercb[Bairro],extras)</f>
        <v>0</v>
      </c>
      <c r="BD160" s="4">
        <f t="shared" si="64"/>
        <v>0</v>
      </c>
      <c r="BE160" s="4">
        <f t="shared" si="65"/>
        <v>0</v>
      </c>
      <c r="BF160" s="6">
        <f t="shared" si="66"/>
        <v>0</v>
      </c>
    </row>
    <row r="161" spans="9:58" x14ac:dyDescent="0.25">
      <c r="I161" s="19" t="str">
        <f>alimentos[[#This Row],[Item]]</f>
        <v>Cereal Infantil (230g)</v>
      </c>
      <c r="J161" s="4">
        <f>IFERROR(alimentos[[#This Row],[kg/embalagem]],0)</f>
        <v>0.23</v>
      </c>
      <c r="K161" s="4">
        <f>IFERROR(alimentos[[#This Row],[Preço]],0)</f>
        <v>5.49</v>
      </c>
      <c r="L161" s="4">
        <f>SUMIFS(super1[Qtde],super1[Item],tab_alimentos[[#This Row],[Item]],super1[Bairro],mercado1)+SUMIFS(supercb[Qtde],supercb[Item],tab_alimentos[[#This Row],[Item]],supercb[Bairro],mercado1)</f>
        <v>0</v>
      </c>
      <c r="M161" s="4">
        <f>SUMIFS(super1[Qtde],super1[Item],tab_alimentos[[#This Row],[Item]],super1[Bairro],mercado2)+SUMIFS(supercb[Qtde],supercb[Item],tab_alimentos[[#This Row],[Item]],supercb[Bairro],mercado2)</f>
        <v>0</v>
      </c>
      <c r="N161" s="4">
        <f>SUMIFS(super1[Qtde],super1[Item],tab_alimentos[[#This Row],[Item]],super1[Bairro],mercado3)+SUMIFS(supercb[Qtde],supercb[Item],tab_alimentos[[#This Row],[Item]],supercb[Bairro],mercado3)</f>
        <v>0</v>
      </c>
      <c r="O161" s="4">
        <f>SUMIFS(super1[Qtde],super1[Item],tab_alimentos[[#This Row],[Item]],super1[Bairro],mercado4)+SUMIFS(supercb[Qtde],supercb[Item],tab_alimentos[[#This Row],[Item]],supercb[Bairro],mercado4)</f>
        <v>0</v>
      </c>
      <c r="P161" s="4">
        <f>SUMIFS(super1[Qtde],super1[Item],tab_alimentos[[#This Row],[Item]],super1[Bairro],mercado5)+SUMIFS(supercb[Qtde],supercb[Item],tab_alimentos[[#This Row],[Item]],supercb[Bairro],mercado5)</f>
        <v>0</v>
      </c>
      <c r="Q161" s="4">
        <f>SUMIFS(super1[Qtde],super1[Item],tab_alimentos[[#This Row],[Item]],super1[Bairro],mercado6)+SUMIFS(supercb[Qtde],supercb[Item],tab_alimentos[[#This Row],[Item]],supercb[Bairro],mercado6)</f>
        <v>0</v>
      </c>
      <c r="R161" s="4">
        <f>SUMIFS(super1[Qtde],super1[Item],tab_alimentos[[#This Row],[Item]],super1[Bairro],mercado7)+SUMIFS(supercb[Qtde],supercb[Item],tab_alimentos[[#This Row],[Item]],supercb[Bairro],mercado7)</f>
        <v>0</v>
      </c>
      <c r="S161" s="4">
        <f>SUMIFS(super1[Qtde],super1[Item],tab_alimentos[[#This Row],[Item]],super1[Bairro],mercado8)+SUMIFS(supercb[Qtde],supercb[Item],tab_alimentos[[#This Row],[Item]],supercb[Bairro],mercado8)</f>
        <v>0</v>
      </c>
      <c r="T161" s="4">
        <f>SUMIFS(super1[Qtde],super1[Item],tab_alimentos[[#This Row],[Item]],super1[Bairro],mercado9)+SUMIFS(supercb[Qtde],supercb[Item],tab_alimentos[[#This Row],[Item]],supercb[Bairro],mercado9)</f>
        <v>0</v>
      </c>
      <c r="U161" s="4">
        <f>SUMIFS(super1[Qtde],super1[Item],tab_alimentos[[#This Row],[Item]],super1[Bairro],mercado10)+SUMIFS(supercb[Qtde],supercb[Item],tab_alimentos[[#This Row],[Item]],supercb[Bairro],mercado10)</f>
        <v>0</v>
      </c>
      <c r="V161" s="4">
        <f>SUMIFS(super1[Qtde],super1[Item],tab_alimentos[[#This Row],[Item]],super1[Bairro],mercado11)+SUMIFS(supercb[Qtde],supercb[Item],tab_alimentos[[#This Row],[Item]],supercb[Bairro],mercado11)</f>
        <v>0</v>
      </c>
      <c r="W161" s="4">
        <f>SUMIFS(super1[Qtde],super1[Item],tab_alimentos[[#This Row],[Item]],super1[Bairro],mercado12)+SUMIFS(supercb[Qtde],supercb[Item],tab_alimentos[[#This Row],[Item]],supercb[Bairro],mercado12)</f>
        <v>0</v>
      </c>
      <c r="X161" s="4">
        <f>SUMIFS(super1[Qtde],super1[Item],tab_alimentos[[#This Row],[Item]],super1[Bairro],mercado13)+SUMIFS(supercb[Qtde],supercb[Item],tab_alimentos[[#This Row],[Item]],supercb[Bairro],mercado13)</f>
        <v>0</v>
      </c>
      <c r="Y161" s="4">
        <f>SUMIFS(super1[Qtde],super1[Item],tab_alimentos[[#This Row],[Item]],super1[Bairro],mercado14)+SUMIFS(supercb[Qtde],supercb[Item],tab_alimentos[[#This Row],[Item]],supercb[Bairro],mercado14)</f>
        <v>0</v>
      </c>
      <c r="Z161" s="4">
        <f>SUMIFS(super1[Qtde],super1[Item],tab_alimentos[[#This Row],[Item]],super1[Bairro],mercado15)+SUMIFS(supercb[Qtde],supercb[Item],tab_alimentos[[#This Row],[Item]],supercb[Bairro],mercado15)</f>
        <v>0</v>
      </c>
      <c r="AA161" s="4">
        <f>SUMIFS(super1[Qtde],super1[Item],tab_alimentos[[#This Row],[Item]],super1[Bairro],mercado16)+SUMIFS(supercb[Qtde],supercb[Item],tab_alimentos[[#This Row],[Item]],supercb[Bairro],mercado16)</f>
        <v>0</v>
      </c>
      <c r="AB161" s="4">
        <f>SUMIFS(super1[Qtde],super1[Item],tab_alimentos[[#This Row],[Item]],super1[Bairro],mercado17)+SUMIFS(supercb[Qtde],supercb[Item],tab_alimentos[[#This Row],[Item]],supercb[Bairro],mercado17)</f>
        <v>0</v>
      </c>
      <c r="AC161" s="4">
        <f>SUMIFS(super1[Qtde],super1[Item],tab_alimentos[[#This Row],[Item]],super1[Bairro],mercado18)+SUMIFS(supercb[Qtde],supercb[Item],tab_alimentos[[#This Row],[Item]],supercb[Bairro],mercado18)</f>
        <v>0</v>
      </c>
      <c r="AD161" s="4">
        <f>SUMIFS(super1[Qtde],super1[Item],tab_alimentos[[#This Row],[Item]],super1[Bairro],extras)+SUMIFS(supercb[Qtde],supercb[Item],tab_alimentos[[#This Row],[Item]],supercb[Bairro],extras)</f>
        <v>0</v>
      </c>
      <c r="AE161" s="4">
        <f t="shared" si="67"/>
        <v>0</v>
      </c>
      <c r="AF161" s="4">
        <f t="shared" si="68"/>
        <v>0</v>
      </c>
      <c r="AG161" s="6">
        <f t="shared" si="69"/>
        <v>0</v>
      </c>
      <c r="AH161" s="19" t="str">
        <f>higiene[[#This Row],[Item]]</f>
        <v>Limpa Vidros</v>
      </c>
      <c r="AI161" s="4">
        <f>IFERROR(higiene[[#This Row],[Kg equivalente]],0)</f>
        <v>0</v>
      </c>
      <c r="AJ161" s="4">
        <f>IFERROR(higiene[[#This Row],[Preço por produto]],0)</f>
        <v>0</v>
      </c>
      <c r="AK161" s="4">
        <f>SUMIFS(super1[Qtde],super1[Item],tab_higiene[[#This Row],[Item]],super1[Bairro],mercado1)+SUMIFS(supercb[Qtde],supercb[Item],tab_higiene[[#This Row],[Item]],supercb[Bairro],mercado1)</f>
        <v>0</v>
      </c>
      <c r="AL161" s="4">
        <f>SUMIFS(super1[Qtde],super1[Item],tab_higiene[[#This Row],[Item]],super1[Bairro],mercado2)+SUMIFS(supercb[Qtde],supercb[Item],tab_higiene[[#This Row],[Item]],supercb[Bairro],mercado2)</f>
        <v>0</v>
      </c>
      <c r="AM161" s="4">
        <f>SUMIFS(super1[Qtde],super1[Item],tab_higiene[[#This Row],[Item]],super1[Bairro],mercado3)+SUMIFS(supercb[Qtde],supercb[Item],tab_higiene[[#This Row],[Item]],supercb[Bairro],mercado3)</f>
        <v>0</v>
      </c>
      <c r="AN161" s="4">
        <f>SUMIFS(super1[Qtde],super1[Item],tab_higiene[[#This Row],[Item]],super1[Bairro],mercado4)+SUMIFS(supercb[Qtde],supercb[Item],tab_higiene[[#This Row],[Item]],supercb[Bairro],mercado4)</f>
        <v>0</v>
      </c>
      <c r="AO161" s="4">
        <f>SUMIFS(super1[Qtde],super1[Item],tab_higiene[[#This Row],[Item]],super1[Bairro],mercado5)+SUMIFS(supercb[Qtde],supercb[Item],tab_higiene[[#This Row],[Item]],supercb[Bairro],mercado5)</f>
        <v>0</v>
      </c>
      <c r="AP161" s="4">
        <f>SUMIFS(super1[Qtde],super1[Item],tab_higiene[[#This Row],[Item]],super1[Bairro],mercado6)+SUMIFS(supercb[Qtde],supercb[Item],tab_higiene[[#This Row],[Item]],supercb[Bairro],mercado6)</f>
        <v>0</v>
      </c>
      <c r="AQ161" s="4">
        <f>SUMIFS(super1[Qtde],super1[Item],tab_higiene[[#This Row],[Item]],super1[Bairro],mercado7)+SUMIFS(supercb[Qtde],supercb[Item],tab_higiene[[#This Row],[Item]],supercb[Bairro],mercado7)</f>
        <v>0</v>
      </c>
      <c r="AR161" s="4">
        <f>SUMIFS(super1[Qtde],super1[Item],tab_higiene[[#This Row],[Item]],super1[Bairro],mercado8)+SUMIFS(supercb[Qtde],supercb[Item],tab_higiene[[#This Row],[Item]],supercb[Bairro],mercado8)</f>
        <v>0</v>
      </c>
      <c r="AS161" s="4">
        <f>SUMIFS(super1[Qtde],super1[Item],tab_higiene[[#This Row],[Item]],super1[Bairro],mercado9)+SUMIFS(supercb[Qtde],supercb[Item],tab_higiene[[#This Row],[Item]],supercb[Bairro],mercado9)</f>
        <v>0</v>
      </c>
      <c r="AT161" s="4">
        <f>SUMIFS(super1[Qtde],super1[Item],tab_higiene[[#This Row],[Item]],super1[Bairro],mercado10)+SUMIFS(supercb[Qtde],supercb[Item],tab_higiene[[#This Row],[Item]],supercb[Bairro],mercado10)</f>
        <v>0</v>
      </c>
      <c r="AU161" s="4">
        <f>SUMIFS(super1[Qtde],super1[Item],tab_higiene[[#This Row],[Item]],super1[Bairro],mercado11)+SUMIFS(supercb[Qtde],supercb[Item],tab_higiene[[#This Row],[Item]],supercb[Bairro],mercado11)</f>
        <v>0</v>
      </c>
      <c r="AV161" s="4">
        <f>SUMIFS(super1[Qtde],super1[Item],tab_higiene[[#This Row],[Item]],super1[Bairro],mercado12)+SUMIFS(supercb[Qtde],supercb[Item],tab_higiene[[#This Row],[Item]],supercb[Bairro],mercado12)</f>
        <v>0</v>
      </c>
      <c r="AW161" s="4">
        <f>SUMIFS(super1[Qtde],super1[Item],tab_higiene[[#This Row],[Item]],super1[Bairro],mercado13)+SUMIFS(supercb[Qtde],supercb[Item],tab_higiene[[#This Row],[Item]],supercb[Bairro],mercado13)</f>
        <v>0</v>
      </c>
      <c r="AX161" s="4">
        <f>SUMIFS(super1[Qtde],super1[Item],tab_higiene[[#This Row],[Item]],super1[Bairro],mercado14)+SUMIFS(supercb[Qtde],supercb[Item],tab_higiene[[#This Row],[Item]],supercb[Bairro],mercado14)</f>
        <v>0</v>
      </c>
      <c r="AY161" s="4">
        <f>SUMIFS(super1[Qtde],super1[Item],tab_higiene[[#This Row],[Item]],super1[Bairro],mercado15)+SUMIFS(supercb[Qtde],supercb[Item],tab_higiene[[#This Row],[Item]],supercb[Bairro],mercado15)</f>
        <v>0</v>
      </c>
      <c r="AZ161" s="4">
        <f>SUMIFS(super1[Qtde],super1[Item],tab_higiene[[#This Row],[Item]],super1[Bairro],mercado16)+SUMIFS(supercb[Qtde],supercb[Item],tab_higiene[[#This Row],[Item]],supercb[Bairro],mercado16)</f>
        <v>0</v>
      </c>
      <c r="BA161" s="4">
        <f>SUMIFS(super1[Qtde],super1[Item],tab_higiene[[#This Row],[Item]],super1[Bairro],mercado17)+SUMIFS(supercb[Qtde],supercb[Item],tab_higiene[[#This Row],[Item]],supercb[Bairro],mercado17)</f>
        <v>0</v>
      </c>
      <c r="BB161" s="4">
        <f>SUMIFS(super1[Qtde],super1[Item],tab_higiene[[#This Row],[Item]],super1[Bairro],mercado18)+SUMIFS(supercb[Qtde],supercb[Item],tab_higiene[[#This Row],[Item]],supercb[Bairro],mercado18)</f>
        <v>0</v>
      </c>
      <c r="BC161" s="4">
        <f>SUMIFS(super1[Qtde],super1[Item],tab_higiene[[#This Row],[Item]],super1[Bairro],extras)+SUMIFS(supercb[Qtde],supercb[Item],tab_higiene[[#This Row],[Item]],supercb[Bairro],extras)</f>
        <v>0</v>
      </c>
      <c r="BD161" s="4">
        <f t="shared" si="64"/>
        <v>0</v>
      </c>
      <c r="BE161" s="4">
        <f t="shared" si="65"/>
        <v>0</v>
      </c>
      <c r="BF161" s="6">
        <f t="shared" si="66"/>
        <v>0</v>
      </c>
    </row>
    <row r="162" spans="9:58" x14ac:dyDescent="0.25">
      <c r="I162" s="19" t="str">
        <f>alimentos[[#This Row],[Item]]</f>
        <v>Cevada (500g)</v>
      </c>
      <c r="J162" s="4">
        <f>IFERROR(alimentos[[#This Row],[kg/embalagem]],0)</f>
        <v>0.5</v>
      </c>
      <c r="K162" s="4">
        <f>IFERROR(alimentos[[#This Row],[Preço]],0)</f>
        <v>9.5</v>
      </c>
      <c r="L162" s="4">
        <f>SUMIFS(super1[Qtde],super1[Item],tab_alimentos[[#This Row],[Item]],super1[Bairro],mercado1)+SUMIFS(supercb[Qtde],supercb[Item],tab_alimentos[[#This Row],[Item]],supercb[Bairro],mercado1)</f>
        <v>0</v>
      </c>
      <c r="M162" s="4">
        <f>SUMIFS(super1[Qtde],super1[Item],tab_alimentos[[#This Row],[Item]],super1[Bairro],mercado2)+SUMIFS(supercb[Qtde],supercb[Item],tab_alimentos[[#This Row],[Item]],supercb[Bairro],mercado2)</f>
        <v>0</v>
      </c>
      <c r="N162" s="4">
        <f>SUMIFS(super1[Qtde],super1[Item],tab_alimentos[[#This Row],[Item]],super1[Bairro],mercado3)+SUMIFS(supercb[Qtde],supercb[Item],tab_alimentos[[#This Row],[Item]],supercb[Bairro],mercado3)</f>
        <v>0</v>
      </c>
      <c r="O162" s="4">
        <f>SUMIFS(super1[Qtde],super1[Item],tab_alimentos[[#This Row],[Item]],super1[Bairro],mercado4)+SUMIFS(supercb[Qtde],supercb[Item],tab_alimentos[[#This Row],[Item]],supercb[Bairro],mercado4)</f>
        <v>0</v>
      </c>
      <c r="P162" s="4">
        <f>SUMIFS(super1[Qtde],super1[Item],tab_alimentos[[#This Row],[Item]],super1[Bairro],mercado5)+SUMIFS(supercb[Qtde],supercb[Item],tab_alimentos[[#This Row],[Item]],supercb[Bairro],mercado5)</f>
        <v>0</v>
      </c>
      <c r="Q162" s="4">
        <f>SUMIFS(super1[Qtde],super1[Item],tab_alimentos[[#This Row],[Item]],super1[Bairro],mercado6)+SUMIFS(supercb[Qtde],supercb[Item],tab_alimentos[[#This Row],[Item]],supercb[Bairro],mercado6)</f>
        <v>0</v>
      </c>
      <c r="R162" s="4">
        <f>SUMIFS(super1[Qtde],super1[Item],tab_alimentos[[#This Row],[Item]],super1[Bairro],mercado7)+SUMIFS(supercb[Qtde],supercb[Item],tab_alimentos[[#This Row],[Item]],supercb[Bairro],mercado7)</f>
        <v>0</v>
      </c>
      <c r="S162" s="4">
        <f>SUMIFS(super1[Qtde],super1[Item],tab_alimentos[[#This Row],[Item]],super1[Bairro],mercado8)+SUMIFS(supercb[Qtde],supercb[Item],tab_alimentos[[#This Row],[Item]],supercb[Bairro],mercado8)</f>
        <v>0</v>
      </c>
      <c r="T162" s="4">
        <f>SUMIFS(super1[Qtde],super1[Item],tab_alimentos[[#This Row],[Item]],super1[Bairro],mercado9)+SUMIFS(supercb[Qtde],supercb[Item],tab_alimentos[[#This Row],[Item]],supercb[Bairro],mercado9)</f>
        <v>0</v>
      </c>
      <c r="U162" s="4">
        <f>SUMIFS(super1[Qtde],super1[Item],tab_alimentos[[#This Row],[Item]],super1[Bairro],mercado10)+SUMIFS(supercb[Qtde],supercb[Item],tab_alimentos[[#This Row],[Item]],supercb[Bairro],mercado10)</f>
        <v>0</v>
      </c>
      <c r="V162" s="4">
        <f>SUMIFS(super1[Qtde],super1[Item],tab_alimentos[[#This Row],[Item]],super1[Bairro],mercado11)+SUMIFS(supercb[Qtde],supercb[Item],tab_alimentos[[#This Row],[Item]],supercb[Bairro],mercado11)</f>
        <v>0</v>
      </c>
      <c r="W162" s="4">
        <f>SUMIFS(super1[Qtde],super1[Item],tab_alimentos[[#This Row],[Item]],super1[Bairro],mercado12)+SUMIFS(supercb[Qtde],supercb[Item],tab_alimentos[[#This Row],[Item]],supercb[Bairro],mercado12)</f>
        <v>0</v>
      </c>
      <c r="X162" s="4">
        <f>SUMIFS(super1[Qtde],super1[Item],tab_alimentos[[#This Row],[Item]],super1[Bairro],mercado13)+SUMIFS(supercb[Qtde],supercb[Item],tab_alimentos[[#This Row],[Item]],supercb[Bairro],mercado13)</f>
        <v>0</v>
      </c>
      <c r="Y162" s="4">
        <f>SUMIFS(super1[Qtde],super1[Item],tab_alimentos[[#This Row],[Item]],super1[Bairro],mercado14)+SUMIFS(supercb[Qtde],supercb[Item],tab_alimentos[[#This Row],[Item]],supercb[Bairro],mercado14)</f>
        <v>0</v>
      </c>
      <c r="Z162" s="4">
        <f>SUMIFS(super1[Qtde],super1[Item],tab_alimentos[[#This Row],[Item]],super1[Bairro],mercado15)+SUMIFS(supercb[Qtde],supercb[Item],tab_alimentos[[#This Row],[Item]],supercb[Bairro],mercado15)</f>
        <v>0</v>
      </c>
      <c r="AA162" s="4">
        <f>SUMIFS(super1[Qtde],super1[Item],tab_alimentos[[#This Row],[Item]],super1[Bairro],mercado16)+SUMIFS(supercb[Qtde],supercb[Item],tab_alimentos[[#This Row],[Item]],supercb[Bairro],mercado16)</f>
        <v>0</v>
      </c>
      <c r="AB162" s="4">
        <f>SUMIFS(super1[Qtde],super1[Item],tab_alimentos[[#This Row],[Item]],super1[Bairro],mercado17)+SUMIFS(supercb[Qtde],supercb[Item],tab_alimentos[[#This Row],[Item]],supercb[Bairro],mercado17)</f>
        <v>0</v>
      </c>
      <c r="AC162" s="4">
        <f>SUMIFS(super1[Qtde],super1[Item],tab_alimentos[[#This Row],[Item]],super1[Bairro],mercado18)+SUMIFS(supercb[Qtde],supercb[Item],tab_alimentos[[#This Row],[Item]],supercb[Bairro],mercado18)</f>
        <v>0</v>
      </c>
      <c r="AD162" s="4">
        <f>SUMIFS(super1[Qtde],super1[Item],tab_alimentos[[#This Row],[Item]],super1[Bairro],extras)+SUMIFS(supercb[Qtde],supercb[Item],tab_alimentos[[#This Row],[Item]],supercb[Bairro],extras)</f>
        <v>0</v>
      </c>
      <c r="AE162" s="4">
        <f t="shared" si="67"/>
        <v>0</v>
      </c>
      <c r="AF162" s="4">
        <f t="shared" si="68"/>
        <v>0</v>
      </c>
      <c r="AG162" s="6">
        <f t="shared" si="69"/>
        <v>0</v>
      </c>
      <c r="AH162" s="19" t="str">
        <f>higiene[[#This Row],[Item]]</f>
        <v>Limpador (1L)</v>
      </c>
      <c r="AI162" s="4">
        <f>IFERROR(higiene[[#This Row],[Kg equivalente]],0)</f>
        <v>0</v>
      </c>
      <c r="AJ162" s="4">
        <f>IFERROR(higiene[[#This Row],[Preço por produto]],0)</f>
        <v>9.49</v>
      </c>
      <c r="AK162" s="4">
        <f>SUMIFS(super1[Qtde],super1[Item],tab_higiene[[#This Row],[Item]],super1[Bairro],mercado1)+SUMIFS(supercb[Qtde],supercb[Item],tab_higiene[[#This Row],[Item]],supercb[Bairro],mercado1)</f>
        <v>0</v>
      </c>
      <c r="AL162" s="4">
        <f>SUMIFS(super1[Qtde],super1[Item],tab_higiene[[#This Row],[Item]],super1[Bairro],mercado2)+SUMIFS(supercb[Qtde],supercb[Item],tab_higiene[[#This Row],[Item]],supercb[Bairro],mercado2)</f>
        <v>0</v>
      </c>
      <c r="AM162" s="4">
        <f>SUMIFS(super1[Qtde],super1[Item],tab_higiene[[#This Row],[Item]],super1[Bairro],mercado3)+SUMIFS(supercb[Qtde],supercb[Item],tab_higiene[[#This Row],[Item]],supercb[Bairro],mercado3)</f>
        <v>0</v>
      </c>
      <c r="AN162" s="4">
        <f>SUMIFS(super1[Qtde],super1[Item],tab_higiene[[#This Row],[Item]],super1[Bairro],mercado4)+SUMIFS(supercb[Qtde],supercb[Item],tab_higiene[[#This Row],[Item]],supercb[Bairro],mercado4)</f>
        <v>0</v>
      </c>
      <c r="AO162" s="4">
        <f>SUMIFS(super1[Qtde],super1[Item],tab_higiene[[#This Row],[Item]],super1[Bairro],mercado5)+SUMIFS(supercb[Qtde],supercb[Item],tab_higiene[[#This Row],[Item]],supercb[Bairro],mercado5)</f>
        <v>0</v>
      </c>
      <c r="AP162" s="4">
        <f>SUMIFS(super1[Qtde],super1[Item],tab_higiene[[#This Row],[Item]],super1[Bairro],mercado6)+SUMIFS(supercb[Qtde],supercb[Item],tab_higiene[[#This Row],[Item]],supercb[Bairro],mercado6)</f>
        <v>0</v>
      </c>
      <c r="AQ162" s="4">
        <f>SUMIFS(super1[Qtde],super1[Item],tab_higiene[[#This Row],[Item]],super1[Bairro],mercado7)+SUMIFS(supercb[Qtde],supercb[Item],tab_higiene[[#This Row],[Item]],supercb[Bairro],mercado7)</f>
        <v>0</v>
      </c>
      <c r="AR162" s="4">
        <f>SUMIFS(super1[Qtde],super1[Item],tab_higiene[[#This Row],[Item]],super1[Bairro],mercado8)+SUMIFS(supercb[Qtde],supercb[Item],tab_higiene[[#This Row],[Item]],supercb[Bairro],mercado8)</f>
        <v>0</v>
      </c>
      <c r="AS162" s="4">
        <f>SUMIFS(super1[Qtde],super1[Item],tab_higiene[[#This Row],[Item]],super1[Bairro],mercado9)+SUMIFS(supercb[Qtde],supercb[Item],tab_higiene[[#This Row],[Item]],supercb[Bairro],mercado9)</f>
        <v>0</v>
      </c>
      <c r="AT162" s="4">
        <f>SUMIFS(super1[Qtde],super1[Item],tab_higiene[[#This Row],[Item]],super1[Bairro],mercado10)+SUMIFS(supercb[Qtde],supercb[Item],tab_higiene[[#This Row],[Item]],supercb[Bairro],mercado10)</f>
        <v>0</v>
      </c>
      <c r="AU162" s="4">
        <f>SUMIFS(super1[Qtde],super1[Item],tab_higiene[[#This Row],[Item]],super1[Bairro],mercado11)+SUMIFS(supercb[Qtde],supercb[Item],tab_higiene[[#This Row],[Item]],supercb[Bairro],mercado11)</f>
        <v>0</v>
      </c>
      <c r="AV162" s="4">
        <f>SUMIFS(super1[Qtde],super1[Item],tab_higiene[[#This Row],[Item]],super1[Bairro],mercado12)+SUMIFS(supercb[Qtde],supercb[Item],tab_higiene[[#This Row],[Item]],supercb[Bairro],mercado12)</f>
        <v>0</v>
      </c>
      <c r="AW162" s="4">
        <f>SUMIFS(super1[Qtde],super1[Item],tab_higiene[[#This Row],[Item]],super1[Bairro],mercado13)+SUMIFS(supercb[Qtde],supercb[Item],tab_higiene[[#This Row],[Item]],supercb[Bairro],mercado13)</f>
        <v>0</v>
      </c>
      <c r="AX162" s="4">
        <f>SUMIFS(super1[Qtde],super1[Item],tab_higiene[[#This Row],[Item]],super1[Bairro],mercado14)+SUMIFS(supercb[Qtde],supercb[Item],tab_higiene[[#This Row],[Item]],supercb[Bairro],mercado14)</f>
        <v>0</v>
      </c>
      <c r="AY162" s="4">
        <f>SUMIFS(super1[Qtde],super1[Item],tab_higiene[[#This Row],[Item]],super1[Bairro],mercado15)+SUMIFS(supercb[Qtde],supercb[Item],tab_higiene[[#This Row],[Item]],supercb[Bairro],mercado15)</f>
        <v>0</v>
      </c>
      <c r="AZ162" s="4">
        <f>SUMIFS(super1[Qtde],super1[Item],tab_higiene[[#This Row],[Item]],super1[Bairro],mercado16)+SUMIFS(supercb[Qtde],supercb[Item],tab_higiene[[#This Row],[Item]],supercb[Bairro],mercado16)</f>
        <v>0</v>
      </c>
      <c r="BA162" s="4">
        <f>SUMIFS(super1[Qtde],super1[Item],tab_higiene[[#This Row],[Item]],super1[Bairro],mercado17)+SUMIFS(supercb[Qtde],supercb[Item],tab_higiene[[#This Row],[Item]],supercb[Bairro],mercado17)</f>
        <v>0</v>
      </c>
      <c r="BB162" s="4">
        <f>SUMIFS(super1[Qtde],super1[Item],tab_higiene[[#This Row],[Item]],super1[Bairro],mercado18)+SUMIFS(supercb[Qtde],supercb[Item],tab_higiene[[#This Row],[Item]],supercb[Bairro],mercado18)</f>
        <v>0</v>
      </c>
      <c r="BC162" s="4">
        <f>SUMIFS(super1[Qtde],super1[Item],tab_higiene[[#This Row],[Item]],super1[Bairro],extras)+SUMIFS(supercb[Qtde],supercb[Item],tab_higiene[[#This Row],[Item]],supercb[Bairro],extras)</f>
        <v>0</v>
      </c>
      <c r="BD162" s="4">
        <f t="shared" si="64"/>
        <v>0</v>
      </c>
      <c r="BE162" s="4">
        <f t="shared" si="65"/>
        <v>0</v>
      </c>
      <c r="BF162" s="6">
        <f t="shared" si="66"/>
        <v>0</v>
      </c>
    </row>
    <row r="163" spans="9:58" x14ac:dyDescent="0.25">
      <c r="I163" s="19" t="str">
        <f>alimentos[[#This Row],[Item]]</f>
        <v xml:space="preserve">Chá </v>
      </c>
      <c r="J163" s="4">
        <f>IFERROR(alimentos[[#This Row],[kg/embalagem]],0)</f>
        <v>0.25</v>
      </c>
      <c r="K163" s="4">
        <f>IFERROR(alimentos[[#This Row],[Preço]],0)</f>
        <v>6.7</v>
      </c>
      <c r="L163" s="4">
        <f>SUMIFS(super1[Qtde],super1[Item],tab_alimentos[[#This Row],[Item]],super1[Bairro],mercado1)+SUMIFS(supercb[Qtde],supercb[Item],tab_alimentos[[#This Row],[Item]],supercb[Bairro],mercado1)</f>
        <v>0</v>
      </c>
      <c r="M163" s="4">
        <f>SUMIFS(super1[Qtde],super1[Item],tab_alimentos[[#This Row],[Item]],super1[Bairro],mercado2)+SUMIFS(supercb[Qtde],supercb[Item],tab_alimentos[[#This Row],[Item]],supercb[Bairro],mercado2)</f>
        <v>0</v>
      </c>
      <c r="N163" s="4">
        <f>SUMIFS(super1[Qtde],super1[Item],tab_alimentos[[#This Row],[Item]],super1[Bairro],mercado3)+SUMIFS(supercb[Qtde],supercb[Item],tab_alimentos[[#This Row],[Item]],supercb[Bairro],mercado3)</f>
        <v>0</v>
      </c>
      <c r="O163" s="4">
        <f>SUMIFS(super1[Qtde],super1[Item],tab_alimentos[[#This Row],[Item]],super1[Bairro],mercado4)+SUMIFS(supercb[Qtde],supercb[Item],tab_alimentos[[#This Row],[Item]],supercb[Bairro],mercado4)</f>
        <v>0</v>
      </c>
      <c r="P163" s="4">
        <f>SUMIFS(super1[Qtde],super1[Item],tab_alimentos[[#This Row],[Item]],super1[Bairro],mercado5)+SUMIFS(supercb[Qtde],supercb[Item],tab_alimentos[[#This Row],[Item]],supercb[Bairro],mercado5)</f>
        <v>0</v>
      </c>
      <c r="Q163" s="4">
        <f>SUMIFS(super1[Qtde],super1[Item],tab_alimentos[[#This Row],[Item]],super1[Bairro],mercado6)+SUMIFS(supercb[Qtde],supercb[Item],tab_alimentos[[#This Row],[Item]],supercb[Bairro],mercado6)</f>
        <v>0</v>
      </c>
      <c r="R163" s="4">
        <f>SUMIFS(super1[Qtde],super1[Item],tab_alimentos[[#This Row],[Item]],super1[Bairro],mercado7)+SUMIFS(supercb[Qtde],supercb[Item],tab_alimentos[[#This Row],[Item]],supercb[Bairro],mercado7)</f>
        <v>0</v>
      </c>
      <c r="S163" s="4">
        <f>SUMIFS(super1[Qtde],super1[Item],tab_alimentos[[#This Row],[Item]],super1[Bairro],mercado8)+SUMIFS(supercb[Qtde],supercb[Item],tab_alimentos[[#This Row],[Item]],supercb[Bairro],mercado8)</f>
        <v>0</v>
      </c>
      <c r="T163" s="4">
        <f>SUMIFS(super1[Qtde],super1[Item],tab_alimentos[[#This Row],[Item]],super1[Bairro],mercado9)+SUMIFS(supercb[Qtde],supercb[Item],tab_alimentos[[#This Row],[Item]],supercb[Bairro],mercado9)</f>
        <v>0</v>
      </c>
      <c r="U163" s="4">
        <f>SUMIFS(super1[Qtde],super1[Item],tab_alimentos[[#This Row],[Item]],super1[Bairro],mercado10)+SUMIFS(supercb[Qtde],supercb[Item],tab_alimentos[[#This Row],[Item]],supercb[Bairro],mercado10)</f>
        <v>0</v>
      </c>
      <c r="V163" s="4">
        <f>SUMIFS(super1[Qtde],super1[Item],tab_alimentos[[#This Row],[Item]],super1[Bairro],mercado11)+SUMIFS(supercb[Qtde],supercb[Item],tab_alimentos[[#This Row],[Item]],supercb[Bairro],mercado11)</f>
        <v>0</v>
      </c>
      <c r="W163" s="4">
        <f>SUMIFS(super1[Qtde],super1[Item],tab_alimentos[[#This Row],[Item]],super1[Bairro],mercado12)+SUMIFS(supercb[Qtde],supercb[Item],tab_alimentos[[#This Row],[Item]],supercb[Bairro],mercado12)</f>
        <v>0</v>
      </c>
      <c r="X163" s="4">
        <f>SUMIFS(super1[Qtde],super1[Item],tab_alimentos[[#This Row],[Item]],super1[Bairro],mercado13)+SUMIFS(supercb[Qtde],supercb[Item],tab_alimentos[[#This Row],[Item]],supercb[Bairro],mercado13)</f>
        <v>0</v>
      </c>
      <c r="Y163" s="4">
        <f>SUMIFS(super1[Qtde],super1[Item],tab_alimentos[[#This Row],[Item]],super1[Bairro],mercado14)+SUMIFS(supercb[Qtde],supercb[Item],tab_alimentos[[#This Row],[Item]],supercb[Bairro],mercado14)</f>
        <v>0</v>
      </c>
      <c r="Z163" s="4">
        <f>SUMIFS(super1[Qtde],super1[Item],tab_alimentos[[#This Row],[Item]],super1[Bairro],mercado15)+SUMIFS(supercb[Qtde],supercb[Item],tab_alimentos[[#This Row],[Item]],supercb[Bairro],mercado15)</f>
        <v>0</v>
      </c>
      <c r="AA163" s="4">
        <f>SUMIFS(super1[Qtde],super1[Item],tab_alimentos[[#This Row],[Item]],super1[Bairro],mercado16)+SUMIFS(supercb[Qtde],supercb[Item],tab_alimentos[[#This Row],[Item]],supercb[Bairro],mercado16)</f>
        <v>0</v>
      </c>
      <c r="AB163" s="4">
        <f>SUMIFS(super1[Qtde],super1[Item],tab_alimentos[[#This Row],[Item]],super1[Bairro],mercado17)+SUMIFS(supercb[Qtde],supercb[Item],tab_alimentos[[#This Row],[Item]],supercb[Bairro],mercado17)</f>
        <v>0</v>
      </c>
      <c r="AC163" s="4">
        <f>SUMIFS(super1[Qtde],super1[Item],tab_alimentos[[#This Row],[Item]],super1[Bairro],mercado18)+SUMIFS(supercb[Qtde],supercb[Item],tab_alimentos[[#This Row],[Item]],supercb[Bairro],mercado18)</f>
        <v>0</v>
      </c>
      <c r="AD163" s="4">
        <f>SUMIFS(super1[Qtde],super1[Item],tab_alimentos[[#This Row],[Item]],super1[Bairro],extras)+SUMIFS(supercb[Qtde],supercb[Item],tab_alimentos[[#This Row],[Item]],supercb[Bairro],extras)</f>
        <v>0</v>
      </c>
      <c r="AE163" s="4">
        <f t="shared" si="67"/>
        <v>0</v>
      </c>
      <c r="AF163" s="4">
        <f t="shared" si="68"/>
        <v>0</v>
      </c>
      <c r="AG163" s="6">
        <f t="shared" si="69"/>
        <v>0</v>
      </c>
      <c r="AH163" s="19" t="str">
        <f>higiene[[#This Row],[Item]]</f>
        <v>Limpador (2L)</v>
      </c>
      <c r="AI163" s="4">
        <f>IFERROR(higiene[[#This Row],[Kg equivalente]],0)</f>
        <v>0</v>
      </c>
      <c r="AJ163" s="4">
        <f>IFERROR(higiene[[#This Row],[Preço por produto]],0)</f>
        <v>19.899999999999999</v>
      </c>
      <c r="AK163" s="4">
        <f>SUMIFS(super1[Qtde],super1[Item],tab_higiene[[#This Row],[Item]],super1[Bairro],mercado1)+SUMIFS(supercb[Qtde],supercb[Item],tab_higiene[[#This Row],[Item]],supercb[Bairro],mercado1)</f>
        <v>0</v>
      </c>
      <c r="AL163" s="4">
        <f>SUMIFS(super1[Qtde],super1[Item],tab_higiene[[#This Row],[Item]],super1[Bairro],mercado2)+SUMIFS(supercb[Qtde],supercb[Item],tab_higiene[[#This Row],[Item]],supercb[Bairro],mercado2)</f>
        <v>0</v>
      </c>
      <c r="AM163" s="4">
        <f>SUMIFS(super1[Qtde],super1[Item],tab_higiene[[#This Row],[Item]],super1[Bairro],mercado3)+SUMIFS(supercb[Qtde],supercb[Item],tab_higiene[[#This Row],[Item]],supercb[Bairro],mercado3)</f>
        <v>0</v>
      </c>
      <c r="AN163" s="4">
        <f>SUMIFS(super1[Qtde],super1[Item],tab_higiene[[#This Row],[Item]],super1[Bairro],mercado4)+SUMIFS(supercb[Qtde],supercb[Item],tab_higiene[[#This Row],[Item]],supercb[Bairro],mercado4)</f>
        <v>0</v>
      </c>
      <c r="AO163" s="4">
        <f>SUMIFS(super1[Qtde],super1[Item],tab_higiene[[#This Row],[Item]],super1[Bairro],mercado5)+SUMIFS(supercb[Qtde],supercb[Item],tab_higiene[[#This Row],[Item]],supercb[Bairro],mercado5)</f>
        <v>0</v>
      </c>
      <c r="AP163" s="4">
        <f>SUMIFS(super1[Qtde],super1[Item],tab_higiene[[#This Row],[Item]],super1[Bairro],mercado6)+SUMIFS(supercb[Qtde],supercb[Item],tab_higiene[[#This Row],[Item]],supercb[Bairro],mercado6)</f>
        <v>0</v>
      </c>
      <c r="AQ163" s="4">
        <f>SUMIFS(super1[Qtde],super1[Item],tab_higiene[[#This Row],[Item]],super1[Bairro],mercado7)+SUMIFS(supercb[Qtde],supercb[Item],tab_higiene[[#This Row],[Item]],supercb[Bairro],mercado7)</f>
        <v>0</v>
      </c>
      <c r="AR163" s="4">
        <f>SUMIFS(super1[Qtde],super1[Item],tab_higiene[[#This Row],[Item]],super1[Bairro],mercado8)+SUMIFS(supercb[Qtde],supercb[Item],tab_higiene[[#This Row],[Item]],supercb[Bairro],mercado8)</f>
        <v>0</v>
      </c>
      <c r="AS163" s="4">
        <f>SUMIFS(super1[Qtde],super1[Item],tab_higiene[[#This Row],[Item]],super1[Bairro],mercado9)+SUMIFS(supercb[Qtde],supercb[Item],tab_higiene[[#This Row],[Item]],supercb[Bairro],mercado9)</f>
        <v>0</v>
      </c>
      <c r="AT163" s="4">
        <f>SUMIFS(super1[Qtde],super1[Item],tab_higiene[[#This Row],[Item]],super1[Bairro],mercado10)+SUMIFS(supercb[Qtde],supercb[Item],tab_higiene[[#This Row],[Item]],supercb[Bairro],mercado10)</f>
        <v>0</v>
      </c>
      <c r="AU163" s="4">
        <f>SUMIFS(super1[Qtde],super1[Item],tab_higiene[[#This Row],[Item]],super1[Bairro],mercado11)+SUMIFS(supercb[Qtde],supercb[Item],tab_higiene[[#This Row],[Item]],supercb[Bairro],mercado11)</f>
        <v>0</v>
      </c>
      <c r="AV163" s="4">
        <f>SUMIFS(super1[Qtde],super1[Item],tab_higiene[[#This Row],[Item]],super1[Bairro],mercado12)+SUMIFS(supercb[Qtde],supercb[Item],tab_higiene[[#This Row],[Item]],supercb[Bairro],mercado12)</f>
        <v>0</v>
      </c>
      <c r="AW163" s="4">
        <f>SUMIFS(super1[Qtde],super1[Item],tab_higiene[[#This Row],[Item]],super1[Bairro],mercado13)+SUMIFS(supercb[Qtde],supercb[Item],tab_higiene[[#This Row],[Item]],supercb[Bairro],mercado13)</f>
        <v>0</v>
      </c>
      <c r="AX163" s="4">
        <f>SUMIFS(super1[Qtde],super1[Item],tab_higiene[[#This Row],[Item]],super1[Bairro],mercado14)+SUMIFS(supercb[Qtde],supercb[Item],tab_higiene[[#This Row],[Item]],supercb[Bairro],mercado14)</f>
        <v>0</v>
      </c>
      <c r="AY163" s="4">
        <f>SUMIFS(super1[Qtde],super1[Item],tab_higiene[[#This Row],[Item]],super1[Bairro],mercado15)+SUMIFS(supercb[Qtde],supercb[Item],tab_higiene[[#This Row],[Item]],supercb[Bairro],mercado15)</f>
        <v>0</v>
      </c>
      <c r="AZ163" s="4">
        <f>SUMIFS(super1[Qtde],super1[Item],tab_higiene[[#This Row],[Item]],super1[Bairro],mercado16)+SUMIFS(supercb[Qtde],supercb[Item],tab_higiene[[#This Row],[Item]],supercb[Bairro],mercado16)</f>
        <v>0</v>
      </c>
      <c r="BA163" s="4">
        <f>SUMIFS(super1[Qtde],super1[Item],tab_higiene[[#This Row],[Item]],super1[Bairro],mercado17)+SUMIFS(supercb[Qtde],supercb[Item],tab_higiene[[#This Row],[Item]],supercb[Bairro],mercado17)</f>
        <v>0</v>
      </c>
      <c r="BB163" s="4">
        <f>SUMIFS(super1[Qtde],super1[Item],tab_higiene[[#This Row],[Item]],super1[Bairro],mercado18)+SUMIFS(supercb[Qtde],supercb[Item],tab_higiene[[#This Row],[Item]],supercb[Bairro],mercado18)</f>
        <v>0</v>
      </c>
      <c r="BC163" s="4">
        <f>SUMIFS(super1[Qtde],super1[Item],tab_higiene[[#This Row],[Item]],super1[Bairro],extras)+SUMIFS(supercb[Qtde],supercb[Item],tab_higiene[[#This Row],[Item]],supercb[Bairro],extras)</f>
        <v>0</v>
      </c>
      <c r="BD163" s="4">
        <f t="shared" si="64"/>
        <v>0</v>
      </c>
      <c r="BE163" s="4">
        <f t="shared" si="65"/>
        <v>0</v>
      </c>
      <c r="BF163" s="6">
        <f t="shared" si="66"/>
        <v>0</v>
      </c>
    </row>
    <row r="164" spans="9:58" x14ac:dyDescent="0.25">
      <c r="I164" s="19" t="str">
        <f>alimentos[[#This Row],[Item]]</f>
        <v>Chá (100g)</v>
      </c>
      <c r="J164" s="4">
        <f>IFERROR(alimentos[[#This Row],[kg/embalagem]],0)</f>
        <v>0.1</v>
      </c>
      <c r="K164" s="4">
        <f>IFERROR(alimentos[[#This Row],[Preço]],0)</f>
        <v>3.75</v>
      </c>
      <c r="L164" s="4">
        <f>SUMIFS(super1[Qtde],super1[Item],tab_alimentos[[#This Row],[Item]],super1[Bairro],mercado1)+SUMIFS(supercb[Qtde],supercb[Item],tab_alimentos[[#This Row],[Item]],supercb[Bairro],mercado1)</f>
        <v>0</v>
      </c>
      <c r="M164" s="4">
        <f>SUMIFS(super1[Qtde],super1[Item],tab_alimentos[[#This Row],[Item]],super1[Bairro],mercado2)+SUMIFS(supercb[Qtde],supercb[Item],tab_alimentos[[#This Row],[Item]],supercb[Bairro],mercado2)</f>
        <v>0</v>
      </c>
      <c r="N164" s="4">
        <f>SUMIFS(super1[Qtde],super1[Item],tab_alimentos[[#This Row],[Item]],super1[Bairro],mercado3)+SUMIFS(supercb[Qtde],supercb[Item],tab_alimentos[[#This Row],[Item]],supercb[Bairro],mercado3)</f>
        <v>0</v>
      </c>
      <c r="O164" s="4">
        <f>SUMIFS(super1[Qtde],super1[Item],tab_alimentos[[#This Row],[Item]],super1[Bairro],mercado4)+SUMIFS(supercb[Qtde],supercb[Item],tab_alimentos[[#This Row],[Item]],supercb[Bairro],mercado4)</f>
        <v>0</v>
      </c>
      <c r="P164" s="4">
        <f>SUMIFS(super1[Qtde],super1[Item],tab_alimentos[[#This Row],[Item]],super1[Bairro],mercado5)+SUMIFS(supercb[Qtde],supercb[Item],tab_alimentos[[#This Row],[Item]],supercb[Bairro],mercado5)</f>
        <v>0</v>
      </c>
      <c r="Q164" s="4">
        <f>SUMIFS(super1[Qtde],super1[Item],tab_alimentos[[#This Row],[Item]],super1[Bairro],mercado6)+SUMIFS(supercb[Qtde],supercb[Item],tab_alimentos[[#This Row],[Item]],supercb[Bairro],mercado6)</f>
        <v>0</v>
      </c>
      <c r="R164" s="4">
        <f>SUMIFS(super1[Qtde],super1[Item],tab_alimentos[[#This Row],[Item]],super1[Bairro],mercado7)+SUMIFS(supercb[Qtde],supercb[Item],tab_alimentos[[#This Row],[Item]],supercb[Bairro],mercado7)</f>
        <v>0</v>
      </c>
      <c r="S164" s="4">
        <f>SUMIFS(super1[Qtde],super1[Item],tab_alimentos[[#This Row],[Item]],super1[Bairro],mercado8)+SUMIFS(supercb[Qtde],supercb[Item],tab_alimentos[[#This Row],[Item]],supercb[Bairro],mercado8)</f>
        <v>0</v>
      </c>
      <c r="T164" s="4">
        <f>SUMIFS(super1[Qtde],super1[Item],tab_alimentos[[#This Row],[Item]],super1[Bairro],mercado9)+SUMIFS(supercb[Qtde],supercb[Item],tab_alimentos[[#This Row],[Item]],supercb[Bairro],mercado9)</f>
        <v>0</v>
      </c>
      <c r="U164" s="4">
        <f>SUMIFS(super1[Qtde],super1[Item],tab_alimentos[[#This Row],[Item]],super1[Bairro],mercado10)+SUMIFS(supercb[Qtde],supercb[Item],tab_alimentos[[#This Row],[Item]],supercb[Bairro],mercado10)</f>
        <v>0</v>
      </c>
      <c r="V164" s="4">
        <f>SUMIFS(super1[Qtde],super1[Item],tab_alimentos[[#This Row],[Item]],super1[Bairro],mercado11)+SUMIFS(supercb[Qtde],supercb[Item],tab_alimentos[[#This Row],[Item]],supercb[Bairro],mercado11)</f>
        <v>0</v>
      </c>
      <c r="W164" s="4">
        <f>SUMIFS(super1[Qtde],super1[Item],tab_alimentos[[#This Row],[Item]],super1[Bairro],mercado12)+SUMIFS(supercb[Qtde],supercb[Item],tab_alimentos[[#This Row],[Item]],supercb[Bairro],mercado12)</f>
        <v>0</v>
      </c>
      <c r="X164" s="4">
        <f>SUMIFS(super1[Qtde],super1[Item],tab_alimentos[[#This Row],[Item]],super1[Bairro],mercado13)+SUMIFS(supercb[Qtde],supercb[Item],tab_alimentos[[#This Row],[Item]],supercb[Bairro],mercado13)</f>
        <v>0</v>
      </c>
      <c r="Y164" s="4">
        <f>SUMIFS(super1[Qtde],super1[Item],tab_alimentos[[#This Row],[Item]],super1[Bairro],mercado14)+SUMIFS(supercb[Qtde],supercb[Item],tab_alimentos[[#This Row],[Item]],supercb[Bairro],mercado14)</f>
        <v>0</v>
      </c>
      <c r="Z164" s="4">
        <f>SUMIFS(super1[Qtde],super1[Item],tab_alimentos[[#This Row],[Item]],super1[Bairro],mercado15)+SUMIFS(supercb[Qtde],supercb[Item],tab_alimentos[[#This Row],[Item]],supercb[Bairro],mercado15)</f>
        <v>0</v>
      </c>
      <c r="AA164" s="4">
        <f>SUMIFS(super1[Qtde],super1[Item],tab_alimentos[[#This Row],[Item]],super1[Bairro],mercado16)+SUMIFS(supercb[Qtde],supercb[Item],tab_alimentos[[#This Row],[Item]],supercb[Bairro],mercado16)</f>
        <v>0</v>
      </c>
      <c r="AB164" s="4">
        <f>SUMIFS(super1[Qtde],super1[Item],tab_alimentos[[#This Row],[Item]],super1[Bairro],mercado17)+SUMIFS(supercb[Qtde],supercb[Item],tab_alimentos[[#This Row],[Item]],supercb[Bairro],mercado17)</f>
        <v>0</v>
      </c>
      <c r="AC164" s="4">
        <f>SUMIFS(super1[Qtde],super1[Item],tab_alimentos[[#This Row],[Item]],super1[Bairro],mercado18)+SUMIFS(supercb[Qtde],supercb[Item],tab_alimentos[[#This Row],[Item]],supercb[Bairro],mercado18)</f>
        <v>0</v>
      </c>
      <c r="AD164" s="4">
        <f>SUMIFS(super1[Qtde],super1[Item],tab_alimentos[[#This Row],[Item]],super1[Bairro],extras)+SUMIFS(supercb[Qtde],supercb[Item],tab_alimentos[[#This Row],[Item]],supercb[Bairro],extras)</f>
        <v>0</v>
      </c>
      <c r="AE164" s="4">
        <f t="shared" si="67"/>
        <v>0</v>
      </c>
      <c r="AF164" s="4">
        <f t="shared" si="68"/>
        <v>0</v>
      </c>
      <c r="AG164" s="6">
        <f t="shared" si="69"/>
        <v>0</v>
      </c>
      <c r="AH164" s="19" t="str">
        <f>higiene[[#This Row],[Item]]</f>
        <v>Limpador (500mL)</v>
      </c>
      <c r="AI164" s="4">
        <f>IFERROR(higiene[[#This Row],[Kg equivalente]],0)</f>
        <v>0</v>
      </c>
      <c r="AJ164" s="4">
        <f>IFERROR(higiene[[#This Row],[Preço por produto]],0)</f>
        <v>4.79</v>
      </c>
      <c r="AK164" s="4">
        <f>SUMIFS(super1[Qtde],super1[Item],tab_higiene[[#This Row],[Item]],super1[Bairro],mercado1)+SUMIFS(supercb[Qtde],supercb[Item],tab_higiene[[#This Row],[Item]],supercb[Bairro],mercado1)</f>
        <v>0</v>
      </c>
      <c r="AL164" s="4">
        <f>SUMIFS(super1[Qtde],super1[Item],tab_higiene[[#This Row],[Item]],super1[Bairro],mercado2)+SUMIFS(supercb[Qtde],supercb[Item],tab_higiene[[#This Row],[Item]],supercb[Bairro],mercado2)</f>
        <v>0</v>
      </c>
      <c r="AM164" s="4">
        <f>SUMIFS(super1[Qtde],super1[Item],tab_higiene[[#This Row],[Item]],super1[Bairro],mercado3)+SUMIFS(supercb[Qtde],supercb[Item],tab_higiene[[#This Row],[Item]],supercb[Bairro],mercado3)</f>
        <v>0</v>
      </c>
      <c r="AN164" s="4">
        <f>SUMIFS(super1[Qtde],super1[Item],tab_higiene[[#This Row],[Item]],super1[Bairro],mercado4)+SUMIFS(supercb[Qtde],supercb[Item],tab_higiene[[#This Row],[Item]],supercb[Bairro],mercado4)</f>
        <v>0</v>
      </c>
      <c r="AO164" s="4">
        <f>SUMIFS(super1[Qtde],super1[Item],tab_higiene[[#This Row],[Item]],super1[Bairro],mercado5)+SUMIFS(supercb[Qtde],supercb[Item],tab_higiene[[#This Row],[Item]],supercb[Bairro],mercado5)</f>
        <v>0</v>
      </c>
      <c r="AP164" s="4">
        <f>SUMIFS(super1[Qtde],super1[Item],tab_higiene[[#This Row],[Item]],super1[Bairro],mercado6)+SUMIFS(supercb[Qtde],supercb[Item],tab_higiene[[#This Row],[Item]],supercb[Bairro],mercado6)</f>
        <v>0</v>
      </c>
      <c r="AQ164" s="4">
        <f>SUMIFS(super1[Qtde],super1[Item],tab_higiene[[#This Row],[Item]],super1[Bairro],mercado7)+SUMIFS(supercb[Qtde],supercb[Item],tab_higiene[[#This Row],[Item]],supercb[Bairro],mercado7)</f>
        <v>0</v>
      </c>
      <c r="AR164" s="4">
        <f>SUMIFS(super1[Qtde],super1[Item],tab_higiene[[#This Row],[Item]],super1[Bairro],mercado8)+SUMIFS(supercb[Qtde],supercb[Item],tab_higiene[[#This Row],[Item]],supercb[Bairro],mercado8)</f>
        <v>0</v>
      </c>
      <c r="AS164" s="4">
        <f>SUMIFS(super1[Qtde],super1[Item],tab_higiene[[#This Row],[Item]],super1[Bairro],mercado9)+SUMIFS(supercb[Qtde],supercb[Item],tab_higiene[[#This Row],[Item]],supercb[Bairro],mercado9)</f>
        <v>0</v>
      </c>
      <c r="AT164" s="4">
        <f>SUMIFS(super1[Qtde],super1[Item],tab_higiene[[#This Row],[Item]],super1[Bairro],mercado10)+SUMIFS(supercb[Qtde],supercb[Item],tab_higiene[[#This Row],[Item]],supercb[Bairro],mercado10)</f>
        <v>0</v>
      </c>
      <c r="AU164" s="4">
        <f>SUMIFS(super1[Qtde],super1[Item],tab_higiene[[#This Row],[Item]],super1[Bairro],mercado11)+SUMIFS(supercb[Qtde],supercb[Item],tab_higiene[[#This Row],[Item]],supercb[Bairro],mercado11)</f>
        <v>0</v>
      </c>
      <c r="AV164" s="4">
        <f>SUMIFS(super1[Qtde],super1[Item],tab_higiene[[#This Row],[Item]],super1[Bairro],mercado12)+SUMIFS(supercb[Qtde],supercb[Item],tab_higiene[[#This Row],[Item]],supercb[Bairro],mercado12)</f>
        <v>0</v>
      </c>
      <c r="AW164" s="4">
        <f>SUMIFS(super1[Qtde],super1[Item],tab_higiene[[#This Row],[Item]],super1[Bairro],mercado13)+SUMIFS(supercb[Qtde],supercb[Item],tab_higiene[[#This Row],[Item]],supercb[Bairro],mercado13)</f>
        <v>0</v>
      </c>
      <c r="AX164" s="4">
        <f>SUMIFS(super1[Qtde],super1[Item],tab_higiene[[#This Row],[Item]],super1[Bairro],mercado14)+SUMIFS(supercb[Qtde],supercb[Item],tab_higiene[[#This Row],[Item]],supercb[Bairro],mercado14)</f>
        <v>0</v>
      </c>
      <c r="AY164" s="4">
        <f>SUMIFS(super1[Qtde],super1[Item],tab_higiene[[#This Row],[Item]],super1[Bairro],mercado15)+SUMIFS(supercb[Qtde],supercb[Item],tab_higiene[[#This Row],[Item]],supercb[Bairro],mercado15)</f>
        <v>0</v>
      </c>
      <c r="AZ164" s="4">
        <f>SUMIFS(super1[Qtde],super1[Item],tab_higiene[[#This Row],[Item]],super1[Bairro],mercado16)+SUMIFS(supercb[Qtde],supercb[Item],tab_higiene[[#This Row],[Item]],supercb[Bairro],mercado16)</f>
        <v>0</v>
      </c>
      <c r="BA164" s="4">
        <f>SUMIFS(super1[Qtde],super1[Item],tab_higiene[[#This Row],[Item]],super1[Bairro],mercado17)+SUMIFS(supercb[Qtde],supercb[Item],tab_higiene[[#This Row],[Item]],supercb[Bairro],mercado17)</f>
        <v>0</v>
      </c>
      <c r="BB164" s="4">
        <f>SUMIFS(super1[Qtde],super1[Item],tab_higiene[[#This Row],[Item]],super1[Bairro],mercado18)+SUMIFS(supercb[Qtde],supercb[Item],tab_higiene[[#This Row],[Item]],supercb[Bairro],mercado18)</f>
        <v>0</v>
      </c>
      <c r="BC164" s="4">
        <f>SUMIFS(super1[Qtde],super1[Item],tab_higiene[[#This Row],[Item]],super1[Bairro],extras)+SUMIFS(supercb[Qtde],supercb[Item],tab_higiene[[#This Row],[Item]],supercb[Bairro],extras)</f>
        <v>0</v>
      </c>
      <c r="BD164" s="4">
        <f t="shared" si="64"/>
        <v>0</v>
      </c>
      <c r="BE164" s="4">
        <f t="shared" si="65"/>
        <v>0</v>
      </c>
      <c r="BF164" s="6">
        <f t="shared" si="66"/>
        <v>0</v>
      </c>
    </row>
    <row r="165" spans="9:58" x14ac:dyDescent="0.25">
      <c r="I165" s="19" t="str">
        <f>alimentos[[#This Row],[Item]]</f>
        <v>Chá (10un)</v>
      </c>
      <c r="J165" s="4">
        <f>IFERROR(alimentos[[#This Row],[kg/embalagem]],0)</f>
        <v>1.4999999999999999E-2</v>
      </c>
      <c r="K165" s="4">
        <f>IFERROR(alimentos[[#This Row],[Preço]],0)</f>
        <v>3.85</v>
      </c>
      <c r="L165" s="4">
        <f>SUMIFS(super1[Qtde],super1[Item],tab_alimentos[[#This Row],[Item]],super1[Bairro],mercado1)+SUMIFS(supercb[Qtde],supercb[Item],tab_alimentos[[#This Row],[Item]],supercb[Bairro],mercado1)</f>
        <v>0</v>
      </c>
      <c r="M165" s="4">
        <f>SUMIFS(super1[Qtde],super1[Item],tab_alimentos[[#This Row],[Item]],super1[Bairro],mercado2)+SUMIFS(supercb[Qtde],supercb[Item],tab_alimentos[[#This Row],[Item]],supercb[Bairro],mercado2)</f>
        <v>0</v>
      </c>
      <c r="N165" s="4">
        <f>SUMIFS(super1[Qtde],super1[Item],tab_alimentos[[#This Row],[Item]],super1[Bairro],mercado3)+SUMIFS(supercb[Qtde],supercb[Item],tab_alimentos[[#This Row],[Item]],supercb[Bairro],mercado3)</f>
        <v>0</v>
      </c>
      <c r="O165" s="4">
        <f>SUMIFS(super1[Qtde],super1[Item],tab_alimentos[[#This Row],[Item]],super1[Bairro],mercado4)+SUMIFS(supercb[Qtde],supercb[Item],tab_alimentos[[#This Row],[Item]],supercb[Bairro],mercado4)</f>
        <v>0</v>
      </c>
      <c r="P165" s="4">
        <f>SUMIFS(super1[Qtde],super1[Item],tab_alimentos[[#This Row],[Item]],super1[Bairro],mercado5)+SUMIFS(supercb[Qtde],supercb[Item],tab_alimentos[[#This Row],[Item]],supercb[Bairro],mercado5)</f>
        <v>0</v>
      </c>
      <c r="Q165" s="4">
        <f>SUMIFS(super1[Qtde],super1[Item],tab_alimentos[[#This Row],[Item]],super1[Bairro],mercado6)+SUMIFS(supercb[Qtde],supercb[Item],tab_alimentos[[#This Row],[Item]],supercb[Bairro],mercado6)</f>
        <v>0</v>
      </c>
      <c r="R165" s="4">
        <f>SUMIFS(super1[Qtde],super1[Item],tab_alimentos[[#This Row],[Item]],super1[Bairro],mercado7)+SUMIFS(supercb[Qtde],supercb[Item],tab_alimentos[[#This Row],[Item]],supercb[Bairro],mercado7)</f>
        <v>0</v>
      </c>
      <c r="S165" s="4">
        <f>SUMIFS(super1[Qtde],super1[Item],tab_alimentos[[#This Row],[Item]],super1[Bairro],mercado8)+SUMIFS(supercb[Qtde],supercb[Item],tab_alimentos[[#This Row],[Item]],supercb[Bairro],mercado8)</f>
        <v>0</v>
      </c>
      <c r="T165" s="4">
        <f>SUMIFS(super1[Qtde],super1[Item],tab_alimentos[[#This Row],[Item]],super1[Bairro],mercado9)+SUMIFS(supercb[Qtde],supercb[Item],tab_alimentos[[#This Row],[Item]],supercb[Bairro],mercado9)</f>
        <v>0</v>
      </c>
      <c r="U165" s="4">
        <f>SUMIFS(super1[Qtde],super1[Item],tab_alimentos[[#This Row],[Item]],super1[Bairro],mercado10)+SUMIFS(supercb[Qtde],supercb[Item],tab_alimentos[[#This Row],[Item]],supercb[Bairro],mercado10)</f>
        <v>0</v>
      </c>
      <c r="V165" s="4">
        <f>SUMIFS(super1[Qtde],super1[Item],tab_alimentos[[#This Row],[Item]],super1[Bairro],mercado11)+SUMIFS(supercb[Qtde],supercb[Item],tab_alimentos[[#This Row],[Item]],supercb[Bairro],mercado11)</f>
        <v>0</v>
      </c>
      <c r="W165" s="4">
        <f>SUMIFS(super1[Qtde],super1[Item],tab_alimentos[[#This Row],[Item]],super1[Bairro],mercado12)+SUMIFS(supercb[Qtde],supercb[Item],tab_alimentos[[#This Row],[Item]],supercb[Bairro],mercado12)</f>
        <v>0</v>
      </c>
      <c r="X165" s="4">
        <f>SUMIFS(super1[Qtde],super1[Item],tab_alimentos[[#This Row],[Item]],super1[Bairro],mercado13)+SUMIFS(supercb[Qtde],supercb[Item],tab_alimentos[[#This Row],[Item]],supercb[Bairro],mercado13)</f>
        <v>0</v>
      </c>
      <c r="Y165" s="4">
        <f>SUMIFS(super1[Qtde],super1[Item],tab_alimentos[[#This Row],[Item]],super1[Bairro],mercado14)+SUMIFS(supercb[Qtde],supercb[Item],tab_alimentos[[#This Row],[Item]],supercb[Bairro],mercado14)</f>
        <v>0</v>
      </c>
      <c r="Z165" s="4">
        <f>SUMIFS(super1[Qtde],super1[Item],tab_alimentos[[#This Row],[Item]],super1[Bairro],mercado15)+SUMIFS(supercb[Qtde],supercb[Item],tab_alimentos[[#This Row],[Item]],supercb[Bairro],mercado15)</f>
        <v>0</v>
      </c>
      <c r="AA165" s="4">
        <f>SUMIFS(super1[Qtde],super1[Item],tab_alimentos[[#This Row],[Item]],super1[Bairro],mercado16)+SUMIFS(supercb[Qtde],supercb[Item],tab_alimentos[[#This Row],[Item]],supercb[Bairro],mercado16)</f>
        <v>0</v>
      </c>
      <c r="AB165" s="4">
        <f>SUMIFS(super1[Qtde],super1[Item],tab_alimentos[[#This Row],[Item]],super1[Bairro],mercado17)+SUMIFS(supercb[Qtde],supercb[Item],tab_alimentos[[#This Row],[Item]],supercb[Bairro],mercado17)</f>
        <v>0</v>
      </c>
      <c r="AC165" s="4">
        <f>SUMIFS(super1[Qtde],super1[Item],tab_alimentos[[#This Row],[Item]],super1[Bairro],mercado18)+SUMIFS(supercb[Qtde],supercb[Item],tab_alimentos[[#This Row],[Item]],supercb[Bairro],mercado18)</f>
        <v>0</v>
      </c>
      <c r="AD165" s="4">
        <f>SUMIFS(super1[Qtde],super1[Item],tab_alimentos[[#This Row],[Item]],super1[Bairro],extras)+SUMIFS(supercb[Qtde],supercb[Item],tab_alimentos[[#This Row],[Item]],supercb[Bairro],extras)</f>
        <v>0</v>
      </c>
      <c r="AE165" s="4">
        <f t="shared" si="67"/>
        <v>0</v>
      </c>
      <c r="AF165" s="4">
        <f t="shared" si="68"/>
        <v>0</v>
      </c>
      <c r="AG165" s="6">
        <f t="shared" si="69"/>
        <v>0</v>
      </c>
      <c r="AH165" s="19" t="str">
        <f>higiene[[#This Row],[Item]]</f>
        <v>Loção Pós-Barba</v>
      </c>
      <c r="AI165" s="4">
        <f>IFERROR(higiene[[#This Row],[Kg equivalente]],0)</f>
        <v>0</v>
      </c>
      <c r="AJ165" s="4">
        <f>IFERROR(higiene[[#This Row],[Preço por produto]],0)</f>
        <v>39.99</v>
      </c>
      <c r="AK165" s="4">
        <f>SUMIFS(super1[Qtde],super1[Item],tab_higiene[[#This Row],[Item]],super1[Bairro],mercado1)+SUMIFS(supercb[Qtde],supercb[Item],tab_higiene[[#This Row],[Item]],supercb[Bairro],mercado1)</f>
        <v>0</v>
      </c>
      <c r="AL165" s="4">
        <f>SUMIFS(super1[Qtde],super1[Item],tab_higiene[[#This Row],[Item]],super1[Bairro],mercado2)+SUMIFS(supercb[Qtde],supercb[Item],tab_higiene[[#This Row],[Item]],supercb[Bairro],mercado2)</f>
        <v>0</v>
      </c>
      <c r="AM165" s="4">
        <f>SUMIFS(super1[Qtde],super1[Item],tab_higiene[[#This Row],[Item]],super1[Bairro],mercado3)+SUMIFS(supercb[Qtde],supercb[Item],tab_higiene[[#This Row],[Item]],supercb[Bairro],mercado3)</f>
        <v>0</v>
      </c>
      <c r="AN165" s="4">
        <f>SUMIFS(super1[Qtde],super1[Item],tab_higiene[[#This Row],[Item]],super1[Bairro],mercado4)+SUMIFS(supercb[Qtde],supercb[Item],tab_higiene[[#This Row],[Item]],supercb[Bairro],mercado4)</f>
        <v>0</v>
      </c>
      <c r="AO165" s="4">
        <f>SUMIFS(super1[Qtde],super1[Item],tab_higiene[[#This Row],[Item]],super1[Bairro],mercado5)+SUMIFS(supercb[Qtde],supercb[Item],tab_higiene[[#This Row],[Item]],supercb[Bairro],mercado5)</f>
        <v>0</v>
      </c>
      <c r="AP165" s="4">
        <f>SUMIFS(super1[Qtde],super1[Item],tab_higiene[[#This Row],[Item]],super1[Bairro],mercado6)+SUMIFS(supercb[Qtde],supercb[Item],tab_higiene[[#This Row],[Item]],supercb[Bairro],mercado6)</f>
        <v>0</v>
      </c>
      <c r="AQ165" s="4">
        <f>SUMIFS(super1[Qtde],super1[Item],tab_higiene[[#This Row],[Item]],super1[Bairro],mercado7)+SUMIFS(supercb[Qtde],supercb[Item],tab_higiene[[#This Row],[Item]],supercb[Bairro],mercado7)</f>
        <v>0</v>
      </c>
      <c r="AR165" s="4">
        <f>SUMIFS(super1[Qtde],super1[Item],tab_higiene[[#This Row],[Item]],super1[Bairro],mercado8)+SUMIFS(supercb[Qtde],supercb[Item],tab_higiene[[#This Row],[Item]],supercb[Bairro],mercado8)</f>
        <v>0</v>
      </c>
      <c r="AS165" s="4">
        <f>SUMIFS(super1[Qtde],super1[Item],tab_higiene[[#This Row],[Item]],super1[Bairro],mercado9)+SUMIFS(supercb[Qtde],supercb[Item],tab_higiene[[#This Row],[Item]],supercb[Bairro],mercado9)</f>
        <v>0</v>
      </c>
      <c r="AT165" s="4">
        <f>SUMIFS(super1[Qtde],super1[Item],tab_higiene[[#This Row],[Item]],super1[Bairro],mercado10)+SUMIFS(supercb[Qtde],supercb[Item],tab_higiene[[#This Row],[Item]],supercb[Bairro],mercado10)</f>
        <v>0</v>
      </c>
      <c r="AU165" s="4">
        <f>SUMIFS(super1[Qtde],super1[Item],tab_higiene[[#This Row],[Item]],super1[Bairro],mercado11)+SUMIFS(supercb[Qtde],supercb[Item],tab_higiene[[#This Row],[Item]],supercb[Bairro],mercado11)</f>
        <v>0</v>
      </c>
      <c r="AV165" s="4">
        <f>SUMIFS(super1[Qtde],super1[Item],tab_higiene[[#This Row],[Item]],super1[Bairro],mercado12)+SUMIFS(supercb[Qtde],supercb[Item],tab_higiene[[#This Row],[Item]],supercb[Bairro],mercado12)</f>
        <v>0</v>
      </c>
      <c r="AW165" s="4">
        <f>SUMIFS(super1[Qtde],super1[Item],tab_higiene[[#This Row],[Item]],super1[Bairro],mercado13)+SUMIFS(supercb[Qtde],supercb[Item],tab_higiene[[#This Row],[Item]],supercb[Bairro],mercado13)</f>
        <v>0</v>
      </c>
      <c r="AX165" s="4">
        <f>SUMIFS(super1[Qtde],super1[Item],tab_higiene[[#This Row],[Item]],super1[Bairro],mercado14)+SUMIFS(supercb[Qtde],supercb[Item],tab_higiene[[#This Row],[Item]],supercb[Bairro],mercado14)</f>
        <v>0</v>
      </c>
      <c r="AY165" s="4">
        <f>SUMIFS(super1[Qtde],super1[Item],tab_higiene[[#This Row],[Item]],super1[Bairro],mercado15)+SUMIFS(supercb[Qtde],supercb[Item],tab_higiene[[#This Row],[Item]],supercb[Bairro],mercado15)</f>
        <v>0</v>
      </c>
      <c r="AZ165" s="4">
        <f>SUMIFS(super1[Qtde],super1[Item],tab_higiene[[#This Row],[Item]],super1[Bairro],mercado16)+SUMIFS(supercb[Qtde],supercb[Item],tab_higiene[[#This Row],[Item]],supercb[Bairro],mercado16)</f>
        <v>0</v>
      </c>
      <c r="BA165" s="4">
        <f>SUMIFS(super1[Qtde],super1[Item],tab_higiene[[#This Row],[Item]],super1[Bairro],mercado17)+SUMIFS(supercb[Qtde],supercb[Item],tab_higiene[[#This Row],[Item]],supercb[Bairro],mercado17)</f>
        <v>0</v>
      </c>
      <c r="BB165" s="4">
        <f>SUMIFS(super1[Qtde],super1[Item],tab_higiene[[#This Row],[Item]],super1[Bairro],mercado18)+SUMIFS(supercb[Qtde],supercb[Item],tab_higiene[[#This Row],[Item]],supercb[Bairro],mercado18)</f>
        <v>0</v>
      </c>
      <c r="BC165" s="4">
        <f>SUMIFS(super1[Qtde],super1[Item],tab_higiene[[#This Row],[Item]],super1[Bairro],extras)+SUMIFS(supercb[Qtde],supercb[Item],tab_higiene[[#This Row],[Item]],supercb[Bairro],extras)</f>
        <v>0</v>
      </c>
      <c r="BD165" s="4">
        <f t="shared" si="64"/>
        <v>0</v>
      </c>
      <c r="BE165" s="4">
        <f t="shared" si="65"/>
        <v>0</v>
      </c>
      <c r="BF165" s="6">
        <f t="shared" si="66"/>
        <v>0</v>
      </c>
    </row>
    <row r="166" spans="9:58" x14ac:dyDescent="0.25">
      <c r="I166" s="19" t="str">
        <f>alimentos[[#This Row],[Item]]</f>
        <v>Chá (12g)</v>
      </c>
      <c r="J166" s="4">
        <f>IFERROR(alimentos[[#This Row],[kg/embalagem]],0)</f>
        <v>1.2E-2</v>
      </c>
      <c r="K166" s="4">
        <f>IFERROR(alimentos[[#This Row],[Preço]],0)</f>
        <v>2.29</v>
      </c>
      <c r="L166" s="4">
        <f>SUMIFS(super1[Qtde],super1[Item],tab_alimentos[[#This Row],[Item]],super1[Bairro],mercado1)+SUMIFS(supercb[Qtde],supercb[Item],tab_alimentos[[#This Row],[Item]],supercb[Bairro],mercado1)</f>
        <v>0</v>
      </c>
      <c r="M166" s="4">
        <f>SUMIFS(super1[Qtde],super1[Item],tab_alimentos[[#This Row],[Item]],super1[Bairro],mercado2)+SUMIFS(supercb[Qtde],supercb[Item],tab_alimentos[[#This Row],[Item]],supercb[Bairro],mercado2)</f>
        <v>0</v>
      </c>
      <c r="N166" s="4">
        <f>SUMIFS(super1[Qtde],super1[Item],tab_alimentos[[#This Row],[Item]],super1[Bairro],mercado3)+SUMIFS(supercb[Qtde],supercb[Item],tab_alimentos[[#This Row],[Item]],supercb[Bairro],mercado3)</f>
        <v>0</v>
      </c>
      <c r="O166" s="4">
        <f>SUMIFS(super1[Qtde],super1[Item],tab_alimentos[[#This Row],[Item]],super1[Bairro],mercado4)+SUMIFS(supercb[Qtde],supercb[Item],tab_alimentos[[#This Row],[Item]],supercb[Bairro],mercado4)</f>
        <v>0</v>
      </c>
      <c r="P166" s="4">
        <f>SUMIFS(super1[Qtde],super1[Item],tab_alimentos[[#This Row],[Item]],super1[Bairro],mercado5)+SUMIFS(supercb[Qtde],supercb[Item],tab_alimentos[[#This Row],[Item]],supercb[Bairro],mercado5)</f>
        <v>0</v>
      </c>
      <c r="Q166" s="4">
        <f>SUMIFS(super1[Qtde],super1[Item],tab_alimentos[[#This Row],[Item]],super1[Bairro],mercado6)+SUMIFS(supercb[Qtde],supercb[Item],tab_alimentos[[#This Row],[Item]],supercb[Bairro],mercado6)</f>
        <v>0</v>
      </c>
      <c r="R166" s="4">
        <f>SUMIFS(super1[Qtde],super1[Item],tab_alimentos[[#This Row],[Item]],super1[Bairro],mercado7)+SUMIFS(supercb[Qtde],supercb[Item],tab_alimentos[[#This Row],[Item]],supercb[Bairro],mercado7)</f>
        <v>0</v>
      </c>
      <c r="S166" s="4">
        <f>SUMIFS(super1[Qtde],super1[Item],tab_alimentos[[#This Row],[Item]],super1[Bairro],mercado8)+SUMIFS(supercb[Qtde],supercb[Item],tab_alimentos[[#This Row],[Item]],supercb[Bairro],mercado8)</f>
        <v>0</v>
      </c>
      <c r="T166" s="4">
        <f>SUMIFS(super1[Qtde],super1[Item],tab_alimentos[[#This Row],[Item]],super1[Bairro],mercado9)+SUMIFS(supercb[Qtde],supercb[Item],tab_alimentos[[#This Row],[Item]],supercb[Bairro],mercado9)</f>
        <v>0</v>
      </c>
      <c r="U166" s="4">
        <f>SUMIFS(super1[Qtde],super1[Item],tab_alimentos[[#This Row],[Item]],super1[Bairro],mercado10)+SUMIFS(supercb[Qtde],supercb[Item],tab_alimentos[[#This Row],[Item]],supercb[Bairro],mercado10)</f>
        <v>0</v>
      </c>
      <c r="V166" s="4">
        <f>SUMIFS(super1[Qtde],super1[Item],tab_alimentos[[#This Row],[Item]],super1[Bairro],mercado11)+SUMIFS(supercb[Qtde],supercb[Item],tab_alimentos[[#This Row],[Item]],supercb[Bairro],mercado11)</f>
        <v>0</v>
      </c>
      <c r="W166" s="4">
        <f>SUMIFS(super1[Qtde],super1[Item],tab_alimentos[[#This Row],[Item]],super1[Bairro],mercado12)+SUMIFS(supercb[Qtde],supercb[Item],tab_alimentos[[#This Row],[Item]],supercb[Bairro],mercado12)</f>
        <v>0</v>
      </c>
      <c r="X166" s="4">
        <f>SUMIFS(super1[Qtde],super1[Item],tab_alimentos[[#This Row],[Item]],super1[Bairro],mercado13)+SUMIFS(supercb[Qtde],supercb[Item],tab_alimentos[[#This Row],[Item]],supercb[Bairro],mercado13)</f>
        <v>0</v>
      </c>
      <c r="Y166" s="4">
        <f>SUMIFS(super1[Qtde],super1[Item],tab_alimentos[[#This Row],[Item]],super1[Bairro],mercado14)+SUMIFS(supercb[Qtde],supercb[Item],tab_alimentos[[#This Row],[Item]],supercb[Bairro],mercado14)</f>
        <v>0</v>
      </c>
      <c r="Z166" s="4">
        <f>SUMIFS(super1[Qtde],super1[Item],tab_alimentos[[#This Row],[Item]],super1[Bairro],mercado15)+SUMIFS(supercb[Qtde],supercb[Item],tab_alimentos[[#This Row],[Item]],supercb[Bairro],mercado15)</f>
        <v>0</v>
      </c>
      <c r="AA166" s="4">
        <f>SUMIFS(super1[Qtde],super1[Item],tab_alimentos[[#This Row],[Item]],super1[Bairro],mercado16)+SUMIFS(supercb[Qtde],supercb[Item],tab_alimentos[[#This Row],[Item]],supercb[Bairro],mercado16)</f>
        <v>0</v>
      </c>
      <c r="AB166" s="4">
        <f>SUMIFS(super1[Qtde],super1[Item],tab_alimentos[[#This Row],[Item]],super1[Bairro],mercado17)+SUMIFS(supercb[Qtde],supercb[Item],tab_alimentos[[#This Row],[Item]],supercb[Bairro],mercado17)</f>
        <v>0</v>
      </c>
      <c r="AC166" s="4">
        <f>SUMIFS(super1[Qtde],super1[Item],tab_alimentos[[#This Row],[Item]],super1[Bairro],mercado18)+SUMIFS(supercb[Qtde],supercb[Item],tab_alimentos[[#This Row],[Item]],supercb[Bairro],mercado18)</f>
        <v>0</v>
      </c>
      <c r="AD166" s="4">
        <f>SUMIFS(super1[Qtde],super1[Item],tab_alimentos[[#This Row],[Item]],super1[Bairro],extras)+SUMIFS(supercb[Qtde],supercb[Item],tab_alimentos[[#This Row],[Item]],supercb[Bairro],extras)</f>
        <v>0</v>
      </c>
      <c r="AE166" s="4">
        <f t="shared" si="67"/>
        <v>0</v>
      </c>
      <c r="AF166" s="4">
        <f t="shared" si="68"/>
        <v>0</v>
      </c>
      <c r="AG166" s="6">
        <f t="shared" si="69"/>
        <v>0</v>
      </c>
      <c r="AH166" s="19" t="str">
        <f>higiene[[#This Row],[Item]]</f>
        <v>Lustra Móveis (200mL)</v>
      </c>
      <c r="AI166" s="4">
        <f>IFERROR(higiene[[#This Row],[Kg equivalente]],0)</f>
        <v>0</v>
      </c>
      <c r="AJ166" s="4">
        <f>IFERROR(higiene[[#This Row],[Preço por produto]],0)</f>
        <v>2.2000000000000002</v>
      </c>
      <c r="AK166" s="4">
        <f>SUMIFS(super1[Qtde],super1[Item],tab_higiene[[#This Row],[Item]],super1[Bairro],mercado1)+SUMIFS(supercb[Qtde],supercb[Item],tab_higiene[[#This Row],[Item]],supercb[Bairro],mercado1)</f>
        <v>0</v>
      </c>
      <c r="AL166" s="4">
        <f>SUMIFS(super1[Qtde],super1[Item],tab_higiene[[#This Row],[Item]],super1[Bairro],mercado2)+SUMIFS(supercb[Qtde],supercb[Item],tab_higiene[[#This Row],[Item]],supercb[Bairro],mercado2)</f>
        <v>0</v>
      </c>
      <c r="AM166" s="4">
        <f>SUMIFS(super1[Qtde],super1[Item],tab_higiene[[#This Row],[Item]],super1[Bairro],mercado3)+SUMIFS(supercb[Qtde],supercb[Item],tab_higiene[[#This Row],[Item]],supercb[Bairro],mercado3)</f>
        <v>0</v>
      </c>
      <c r="AN166" s="4">
        <f>SUMIFS(super1[Qtde],super1[Item],tab_higiene[[#This Row],[Item]],super1[Bairro],mercado4)+SUMIFS(supercb[Qtde],supercb[Item],tab_higiene[[#This Row],[Item]],supercb[Bairro],mercado4)</f>
        <v>0</v>
      </c>
      <c r="AO166" s="4">
        <f>SUMIFS(super1[Qtde],super1[Item],tab_higiene[[#This Row],[Item]],super1[Bairro],mercado5)+SUMIFS(supercb[Qtde],supercb[Item],tab_higiene[[#This Row],[Item]],supercb[Bairro],mercado5)</f>
        <v>0</v>
      </c>
      <c r="AP166" s="4">
        <f>SUMIFS(super1[Qtde],super1[Item],tab_higiene[[#This Row],[Item]],super1[Bairro],mercado6)+SUMIFS(supercb[Qtde],supercb[Item],tab_higiene[[#This Row],[Item]],supercb[Bairro],mercado6)</f>
        <v>0</v>
      </c>
      <c r="AQ166" s="4">
        <f>SUMIFS(super1[Qtde],super1[Item],tab_higiene[[#This Row],[Item]],super1[Bairro],mercado7)+SUMIFS(supercb[Qtde],supercb[Item],tab_higiene[[#This Row],[Item]],supercb[Bairro],mercado7)</f>
        <v>0</v>
      </c>
      <c r="AR166" s="4">
        <f>SUMIFS(super1[Qtde],super1[Item],tab_higiene[[#This Row],[Item]],super1[Bairro],mercado8)+SUMIFS(supercb[Qtde],supercb[Item],tab_higiene[[#This Row],[Item]],supercb[Bairro],mercado8)</f>
        <v>0</v>
      </c>
      <c r="AS166" s="4">
        <f>SUMIFS(super1[Qtde],super1[Item],tab_higiene[[#This Row],[Item]],super1[Bairro],mercado9)+SUMIFS(supercb[Qtde],supercb[Item],tab_higiene[[#This Row],[Item]],supercb[Bairro],mercado9)</f>
        <v>0</v>
      </c>
      <c r="AT166" s="4">
        <f>SUMIFS(super1[Qtde],super1[Item],tab_higiene[[#This Row],[Item]],super1[Bairro],mercado10)+SUMIFS(supercb[Qtde],supercb[Item],tab_higiene[[#This Row],[Item]],supercb[Bairro],mercado10)</f>
        <v>0</v>
      </c>
      <c r="AU166" s="4">
        <f>SUMIFS(super1[Qtde],super1[Item],tab_higiene[[#This Row],[Item]],super1[Bairro],mercado11)+SUMIFS(supercb[Qtde],supercb[Item],tab_higiene[[#This Row],[Item]],supercb[Bairro],mercado11)</f>
        <v>0</v>
      </c>
      <c r="AV166" s="4">
        <f>SUMIFS(super1[Qtde],super1[Item],tab_higiene[[#This Row],[Item]],super1[Bairro],mercado12)+SUMIFS(supercb[Qtde],supercb[Item],tab_higiene[[#This Row],[Item]],supercb[Bairro],mercado12)</f>
        <v>0</v>
      </c>
      <c r="AW166" s="4">
        <f>SUMIFS(super1[Qtde],super1[Item],tab_higiene[[#This Row],[Item]],super1[Bairro],mercado13)+SUMIFS(supercb[Qtde],supercb[Item],tab_higiene[[#This Row],[Item]],supercb[Bairro],mercado13)</f>
        <v>0</v>
      </c>
      <c r="AX166" s="4">
        <f>SUMIFS(super1[Qtde],super1[Item],tab_higiene[[#This Row],[Item]],super1[Bairro],mercado14)+SUMIFS(supercb[Qtde],supercb[Item],tab_higiene[[#This Row],[Item]],supercb[Bairro],mercado14)</f>
        <v>0</v>
      </c>
      <c r="AY166" s="4">
        <f>SUMIFS(super1[Qtde],super1[Item],tab_higiene[[#This Row],[Item]],super1[Bairro],mercado15)+SUMIFS(supercb[Qtde],supercb[Item],tab_higiene[[#This Row],[Item]],supercb[Bairro],mercado15)</f>
        <v>0</v>
      </c>
      <c r="AZ166" s="4">
        <f>SUMIFS(super1[Qtde],super1[Item],tab_higiene[[#This Row],[Item]],super1[Bairro],mercado16)+SUMIFS(supercb[Qtde],supercb[Item],tab_higiene[[#This Row],[Item]],supercb[Bairro],mercado16)</f>
        <v>0</v>
      </c>
      <c r="BA166" s="4">
        <f>SUMIFS(super1[Qtde],super1[Item],tab_higiene[[#This Row],[Item]],super1[Bairro],mercado17)+SUMIFS(supercb[Qtde],supercb[Item],tab_higiene[[#This Row],[Item]],supercb[Bairro],mercado17)</f>
        <v>0</v>
      </c>
      <c r="BB166" s="4">
        <f>SUMIFS(super1[Qtde],super1[Item],tab_higiene[[#This Row],[Item]],super1[Bairro],mercado18)+SUMIFS(supercb[Qtde],supercb[Item],tab_higiene[[#This Row],[Item]],supercb[Bairro],mercado18)</f>
        <v>0</v>
      </c>
      <c r="BC166" s="4">
        <f>SUMIFS(super1[Qtde],super1[Item],tab_higiene[[#This Row],[Item]],super1[Bairro],extras)+SUMIFS(supercb[Qtde],supercb[Item],tab_higiene[[#This Row],[Item]],supercb[Bairro],extras)</f>
        <v>0</v>
      </c>
      <c r="BD166" s="4">
        <f t="shared" si="64"/>
        <v>0</v>
      </c>
      <c r="BE166" s="4">
        <f t="shared" si="65"/>
        <v>0</v>
      </c>
      <c r="BF166" s="6">
        <f t="shared" si="66"/>
        <v>0</v>
      </c>
    </row>
    <row r="167" spans="9:58" x14ac:dyDescent="0.25">
      <c r="I167" s="19" t="str">
        <f>alimentos[[#This Row],[Item]]</f>
        <v>Chá (15un)</v>
      </c>
      <c r="J167" s="4">
        <f>IFERROR(alimentos[[#This Row],[kg/embalagem]],0)</f>
        <v>0.03</v>
      </c>
      <c r="K167" s="4">
        <f>IFERROR(alimentos[[#This Row],[Preço]],0)</f>
        <v>13.4</v>
      </c>
      <c r="L167" s="4">
        <f>SUMIFS(super1[Qtde],super1[Item],tab_alimentos[[#This Row],[Item]],super1[Bairro],mercado1)+SUMIFS(supercb[Qtde],supercb[Item],tab_alimentos[[#This Row],[Item]],supercb[Bairro],mercado1)</f>
        <v>0</v>
      </c>
      <c r="M167" s="4">
        <f>SUMIFS(super1[Qtde],super1[Item],tab_alimentos[[#This Row],[Item]],super1[Bairro],mercado2)+SUMIFS(supercb[Qtde],supercb[Item],tab_alimentos[[#This Row],[Item]],supercb[Bairro],mercado2)</f>
        <v>0</v>
      </c>
      <c r="N167" s="4">
        <f>SUMIFS(super1[Qtde],super1[Item],tab_alimentos[[#This Row],[Item]],super1[Bairro],mercado3)+SUMIFS(supercb[Qtde],supercb[Item],tab_alimentos[[#This Row],[Item]],supercb[Bairro],mercado3)</f>
        <v>0</v>
      </c>
      <c r="O167" s="4">
        <f>SUMIFS(super1[Qtde],super1[Item],tab_alimentos[[#This Row],[Item]],super1[Bairro],mercado4)+SUMIFS(supercb[Qtde],supercb[Item],tab_alimentos[[#This Row],[Item]],supercb[Bairro],mercado4)</f>
        <v>0</v>
      </c>
      <c r="P167" s="4">
        <f>SUMIFS(super1[Qtde],super1[Item],tab_alimentos[[#This Row],[Item]],super1[Bairro],mercado5)+SUMIFS(supercb[Qtde],supercb[Item],tab_alimentos[[#This Row],[Item]],supercb[Bairro],mercado5)</f>
        <v>0</v>
      </c>
      <c r="Q167" s="4">
        <f>SUMIFS(super1[Qtde],super1[Item],tab_alimentos[[#This Row],[Item]],super1[Bairro],mercado6)+SUMIFS(supercb[Qtde],supercb[Item],tab_alimentos[[#This Row],[Item]],supercb[Bairro],mercado6)</f>
        <v>0</v>
      </c>
      <c r="R167" s="4">
        <f>SUMIFS(super1[Qtde],super1[Item],tab_alimentos[[#This Row],[Item]],super1[Bairro],mercado7)+SUMIFS(supercb[Qtde],supercb[Item],tab_alimentos[[#This Row],[Item]],supercb[Bairro],mercado7)</f>
        <v>0</v>
      </c>
      <c r="S167" s="4">
        <f>SUMIFS(super1[Qtde],super1[Item],tab_alimentos[[#This Row],[Item]],super1[Bairro],mercado8)+SUMIFS(supercb[Qtde],supercb[Item],tab_alimentos[[#This Row],[Item]],supercb[Bairro],mercado8)</f>
        <v>0</v>
      </c>
      <c r="T167" s="4">
        <f>SUMIFS(super1[Qtde],super1[Item],tab_alimentos[[#This Row],[Item]],super1[Bairro],mercado9)+SUMIFS(supercb[Qtde],supercb[Item],tab_alimentos[[#This Row],[Item]],supercb[Bairro],mercado9)</f>
        <v>0</v>
      </c>
      <c r="U167" s="4">
        <f>SUMIFS(super1[Qtde],super1[Item],tab_alimentos[[#This Row],[Item]],super1[Bairro],mercado10)+SUMIFS(supercb[Qtde],supercb[Item],tab_alimentos[[#This Row],[Item]],supercb[Bairro],mercado10)</f>
        <v>0</v>
      </c>
      <c r="V167" s="4">
        <f>SUMIFS(super1[Qtde],super1[Item],tab_alimentos[[#This Row],[Item]],super1[Bairro],mercado11)+SUMIFS(supercb[Qtde],supercb[Item],tab_alimentos[[#This Row],[Item]],supercb[Bairro],mercado11)</f>
        <v>0</v>
      </c>
      <c r="W167" s="4">
        <f>SUMIFS(super1[Qtde],super1[Item],tab_alimentos[[#This Row],[Item]],super1[Bairro],mercado12)+SUMIFS(supercb[Qtde],supercb[Item],tab_alimentos[[#This Row],[Item]],supercb[Bairro],mercado12)</f>
        <v>0</v>
      </c>
      <c r="X167" s="4">
        <f>SUMIFS(super1[Qtde],super1[Item],tab_alimentos[[#This Row],[Item]],super1[Bairro],mercado13)+SUMIFS(supercb[Qtde],supercb[Item],tab_alimentos[[#This Row],[Item]],supercb[Bairro],mercado13)</f>
        <v>0</v>
      </c>
      <c r="Y167" s="4">
        <f>SUMIFS(super1[Qtde],super1[Item],tab_alimentos[[#This Row],[Item]],super1[Bairro],mercado14)+SUMIFS(supercb[Qtde],supercb[Item],tab_alimentos[[#This Row],[Item]],supercb[Bairro],mercado14)</f>
        <v>0</v>
      </c>
      <c r="Z167" s="4">
        <f>SUMIFS(super1[Qtde],super1[Item],tab_alimentos[[#This Row],[Item]],super1[Bairro],mercado15)+SUMIFS(supercb[Qtde],supercb[Item],tab_alimentos[[#This Row],[Item]],supercb[Bairro],mercado15)</f>
        <v>0</v>
      </c>
      <c r="AA167" s="4">
        <f>SUMIFS(super1[Qtde],super1[Item],tab_alimentos[[#This Row],[Item]],super1[Bairro],mercado16)+SUMIFS(supercb[Qtde],supercb[Item],tab_alimentos[[#This Row],[Item]],supercb[Bairro],mercado16)</f>
        <v>0</v>
      </c>
      <c r="AB167" s="4">
        <f>SUMIFS(super1[Qtde],super1[Item],tab_alimentos[[#This Row],[Item]],super1[Bairro],mercado17)+SUMIFS(supercb[Qtde],supercb[Item],tab_alimentos[[#This Row],[Item]],supercb[Bairro],mercado17)</f>
        <v>0</v>
      </c>
      <c r="AC167" s="4">
        <f>SUMIFS(super1[Qtde],super1[Item],tab_alimentos[[#This Row],[Item]],super1[Bairro],mercado18)+SUMIFS(supercb[Qtde],supercb[Item],tab_alimentos[[#This Row],[Item]],supercb[Bairro],mercado18)</f>
        <v>0</v>
      </c>
      <c r="AD167" s="4">
        <f>SUMIFS(super1[Qtde],super1[Item],tab_alimentos[[#This Row],[Item]],super1[Bairro],extras)+SUMIFS(supercb[Qtde],supercb[Item],tab_alimentos[[#This Row],[Item]],supercb[Bairro],extras)</f>
        <v>0</v>
      </c>
      <c r="AE167" s="4">
        <f t="shared" si="67"/>
        <v>0</v>
      </c>
      <c r="AF167" s="4">
        <f t="shared" si="68"/>
        <v>0</v>
      </c>
      <c r="AG167" s="6">
        <f t="shared" si="69"/>
        <v>0</v>
      </c>
      <c r="AH167" s="19" t="str">
        <f>higiene[[#This Row],[Item]]</f>
        <v>M</v>
      </c>
      <c r="AI167" s="4">
        <f>IFERROR(higiene[[#This Row],[Kg equivalente]],0)</f>
        <v>0</v>
      </c>
      <c r="AJ167" s="4">
        <f>IFERROR(higiene[[#This Row],[Preço por produto]],0)</f>
        <v>0</v>
      </c>
      <c r="AK167" s="4">
        <f>SUMIFS(super1[Qtde],super1[Item],tab_higiene[[#This Row],[Item]],super1[Bairro],mercado1)+SUMIFS(supercb[Qtde],supercb[Item],tab_higiene[[#This Row],[Item]],supercb[Bairro],mercado1)</f>
        <v>0</v>
      </c>
      <c r="AL167" s="4">
        <f>SUMIFS(super1[Qtde],super1[Item],tab_higiene[[#This Row],[Item]],super1[Bairro],mercado2)+SUMIFS(supercb[Qtde],supercb[Item],tab_higiene[[#This Row],[Item]],supercb[Bairro],mercado2)</f>
        <v>0</v>
      </c>
      <c r="AM167" s="4">
        <f>SUMIFS(super1[Qtde],super1[Item],tab_higiene[[#This Row],[Item]],super1[Bairro],mercado3)+SUMIFS(supercb[Qtde],supercb[Item],tab_higiene[[#This Row],[Item]],supercb[Bairro],mercado3)</f>
        <v>0</v>
      </c>
      <c r="AN167" s="4">
        <f>SUMIFS(super1[Qtde],super1[Item],tab_higiene[[#This Row],[Item]],super1[Bairro],mercado4)+SUMIFS(supercb[Qtde],supercb[Item],tab_higiene[[#This Row],[Item]],supercb[Bairro],mercado4)</f>
        <v>0</v>
      </c>
      <c r="AO167" s="4">
        <f>SUMIFS(super1[Qtde],super1[Item],tab_higiene[[#This Row],[Item]],super1[Bairro],mercado5)+SUMIFS(supercb[Qtde],supercb[Item],tab_higiene[[#This Row],[Item]],supercb[Bairro],mercado5)</f>
        <v>0</v>
      </c>
      <c r="AP167" s="4">
        <f>SUMIFS(super1[Qtde],super1[Item],tab_higiene[[#This Row],[Item]],super1[Bairro],mercado6)+SUMIFS(supercb[Qtde],supercb[Item],tab_higiene[[#This Row],[Item]],supercb[Bairro],mercado6)</f>
        <v>0</v>
      </c>
      <c r="AQ167" s="4">
        <f>SUMIFS(super1[Qtde],super1[Item],tab_higiene[[#This Row],[Item]],super1[Bairro],mercado7)+SUMIFS(supercb[Qtde],supercb[Item],tab_higiene[[#This Row],[Item]],supercb[Bairro],mercado7)</f>
        <v>0</v>
      </c>
      <c r="AR167" s="4">
        <f>SUMIFS(super1[Qtde],super1[Item],tab_higiene[[#This Row],[Item]],super1[Bairro],mercado8)+SUMIFS(supercb[Qtde],supercb[Item],tab_higiene[[#This Row],[Item]],supercb[Bairro],mercado8)</f>
        <v>0</v>
      </c>
      <c r="AS167" s="4">
        <f>SUMIFS(super1[Qtde],super1[Item],tab_higiene[[#This Row],[Item]],super1[Bairro],mercado9)+SUMIFS(supercb[Qtde],supercb[Item],tab_higiene[[#This Row],[Item]],supercb[Bairro],mercado9)</f>
        <v>0</v>
      </c>
      <c r="AT167" s="4">
        <f>SUMIFS(super1[Qtde],super1[Item],tab_higiene[[#This Row],[Item]],super1[Bairro],mercado10)+SUMIFS(supercb[Qtde],supercb[Item],tab_higiene[[#This Row],[Item]],supercb[Bairro],mercado10)</f>
        <v>0</v>
      </c>
      <c r="AU167" s="4">
        <f>SUMIFS(super1[Qtde],super1[Item],tab_higiene[[#This Row],[Item]],super1[Bairro],mercado11)+SUMIFS(supercb[Qtde],supercb[Item],tab_higiene[[#This Row],[Item]],supercb[Bairro],mercado11)</f>
        <v>0</v>
      </c>
      <c r="AV167" s="4">
        <f>SUMIFS(super1[Qtde],super1[Item],tab_higiene[[#This Row],[Item]],super1[Bairro],mercado12)+SUMIFS(supercb[Qtde],supercb[Item],tab_higiene[[#This Row],[Item]],supercb[Bairro],mercado12)</f>
        <v>0</v>
      </c>
      <c r="AW167" s="4">
        <f>SUMIFS(super1[Qtde],super1[Item],tab_higiene[[#This Row],[Item]],super1[Bairro],mercado13)+SUMIFS(supercb[Qtde],supercb[Item],tab_higiene[[#This Row],[Item]],supercb[Bairro],mercado13)</f>
        <v>0</v>
      </c>
      <c r="AX167" s="4">
        <f>SUMIFS(super1[Qtde],super1[Item],tab_higiene[[#This Row],[Item]],super1[Bairro],mercado14)+SUMIFS(supercb[Qtde],supercb[Item],tab_higiene[[#This Row],[Item]],supercb[Bairro],mercado14)</f>
        <v>0</v>
      </c>
      <c r="AY167" s="4">
        <f>SUMIFS(super1[Qtde],super1[Item],tab_higiene[[#This Row],[Item]],super1[Bairro],mercado15)+SUMIFS(supercb[Qtde],supercb[Item],tab_higiene[[#This Row],[Item]],supercb[Bairro],mercado15)</f>
        <v>0</v>
      </c>
      <c r="AZ167" s="4">
        <f>SUMIFS(super1[Qtde],super1[Item],tab_higiene[[#This Row],[Item]],super1[Bairro],mercado16)+SUMIFS(supercb[Qtde],supercb[Item],tab_higiene[[#This Row],[Item]],supercb[Bairro],mercado16)</f>
        <v>0</v>
      </c>
      <c r="BA167" s="4">
        <f>SUMIFS(super1[Qtde],super1[Item],tab_higiene[[#This Row],[Item]],super1[Bairro],mercado17)+SUMIFS(supercb[Qtde],supercb[Item],tab_higiene[[#This Row],[Item]],supercb[Bairro],mercado17)</f>
        <v>0</v>
      </c>
      <c r="BB167" s="4">
        <f>SUMIFS(super1[Qtde],super1[Item],tab_higiene[[#This Row],[Item]],super1[Bairro],mercado18)+SUMIFS(supercb[Qtde],supercb[Item],tab_higiene[[#This Row],[Item]],supercb[Bairro],mercado18)</f>
        <v>0</v>
      </c>
      <c r="BC167" s="4">
        <f>SUMIFS(super1[Qtde],super1[Item],tab_higiene[[#This Row],[Item]],super1[Bairro],extras)+SUMIFS(supercb[Qtde],supercb[Item],tab_higiene[[#This Row],[Item]],supercb[Bairro],extras)</f>
        <v>0</v>
      </c>
      <c r="BD167" s="4">
        <f t="shared" si="64"/>
        <v>0</v>
      </c>
      <c r="BE167" s="4">
        <f t="shared" si="65"/>
        <v>0</v>
      </c>
      <c r="BF167" s="6">
        <f t="shared" si="66"/>
        <v>0</v>
      </c>
    </row>
    <row r="168" spans="9:58" x14ac:dyDescent="0.25">
      <c r="I168" s="19" t="str">
        <f>alimentos[[#This Row],[Item]]</f>
        <v>Chá (22,5g)</v>
      </c>
      <c r="J168" s="4">
        <f>IFERROR(alimentos[[#This Row],[kg/embalagem]],0)</f>
        <v>2.2499999999999999E-2</v>
      </c>
      <c r="K168" s="4">
        <f>IFERROR(alimentos[[#This Row],[Preço]],0)</f>
        <v>11</v>
      </c>
      <c r="L168" s="4">
        <f>SUMIFS(super1[Qtde],super1[Item],tab_alimentos[[#This Row],[Item]],super1[Bairro],mercado1)+SUMIFS(supercb[Qtde],supercb[Item],tab_alimentos[[#This Row],[Item]],supercb[Bairro],mercado1)</f>
        <v>0</v>
      </c>
      <c r="M168" s="4">
        <f>SUMIFS(super1[Qtde],super1[Item],tab_alimentos[[#This Row],[Item]],super1[Bairro],mercado2)+SUMIFS(supercb[Qtde],supercb[Item],tab_alimentos[[#This Row],[Item]],supercb[Bairro],mercado2)</f>
        <v>0</v>
      </c>
      <c r="N168" s="4">
        <f>SUMIFS(super1[Qtde],super1[Item],tab_alimentos[[#This Row],[Item]],super1[Bairro],mercado3)+SUMIFS(supercb[Qtde],supercb[Item],tab_alimentos[[#This Row],[Item]],supercb[Bairro],mercado3)</f>
        <v>0</v>
      </c>
      <c r="O168" s="4">
        <f>SUMIFS(super1[Qtde],super1[Item],tab_alimentos[[#This Row],[Item]],super1[Bairro],mercado4)+SUMIFS(supercb[Qtde],supercb[Item],tab_alimentos[[#This Row],[Item]],supercb[Bairro],mercado4)</f>
        <v>0</v>
      </c>
      <c r="P168" s="4">
        <f>SUMIFS(super1[Qtde],super1[Item],tab_alimentos[[#This Row],[Item]],super1[Bairro],mercado5)+SUMIFS(supercb[Qtde],supercb[Item],tab_alimentos[[#This Row],[Item]],supercb[Bairro],mercado5)</f>
        <v>0</v>
      </c>
      <c r="Q168" s="4">
        <f>SUMIFS(super1[Qtde],super1[Item],tab_alimentos[[#This Row],[Item]],super1[Bairro],mercado6)+SUMIFS(supercb[Qtde],supercb[Item],tab_alimentos[[#This Row],[Item]],supercb[Bairro],mercado6)</f>
        <v>0</v>
      </c>
      <c r="R168" s="4">
        <f>SUMIFS(super1[Qtde],super1[Item],tab_alimentos[[#This Row],[Item]],super1[Bairro],mercado7)+SUMIFS(supercb[Qtde],supercb[Item],tab_alimentos[[#This Row],[Item]],supercb[Bairro],mercado7)</f>
        <v>0</v>
      </c>
      <c r="S168" s="4">
        <f>SUMIFS(super1[Qtde],super1[Item],tab_alimentos[[#This Row],[Item]],super1[Bairro],mercado8)+SUMIFS(supercb[Qtde],supercb[Item],tab_alimentos[[#This Row],[Item]],supercb[Bairro],mercado8)</f>
        <v>0</v>
      </c>
      <c r="T168" s="4">
        <f>SUMIFS(super1[Qtde],super1[Item],tab_alimentos[[#This Row],[Item]],super1[Bairro],mercado9)+SUMIFS(supercb[Qtde],supercb[Item],tab_alimentos[[#This Row],[Item]],supercb[Bairro],mercado9)</f>
        <v>0</v>
      </c>
      <c r="U168" s="4">
        <f>SUMIFS(super1[Qtde],super1[Item],tab_alimentos[[#This Row],[Item]],super1[Bairro],mercado10)+SUMIFS(supercb[Qtde],supercb[Item],tab_alimentos[[#This Row],[Item]],supercb[Bairro],mercado10)</f>
        <v>0</v>
      </c>
      <c r="V168" s="4">
        <f>SUMIFS(super1[Qtde],super1[Item],tab_alimentos[[#This Row],[Item]],super1[Bairro],mercado11)+SUMIFS(supercb[Qtde],supercb[Item],tab_alimentos[[#This Row],[Item]],supercb[Bairro],mercado11)</f>
        <v>0</v>
      </c>
      <c r="W168" s="4">
        <f>SUMIFS(super1[Qtde],super1[Item],tab_alimentos[[#This Row],[Item]],super1[Bairro],mercado12)+SUMIFS(supercb[Qtde],supercb[Item],tab_alimentos[[#This Row],[Item]],supercb[Bairro],mercado12)</f>
        <v>0</v>
      </c>
      <c r="X168" s="4">
        <f>SUMIFS(super1[Qtde],super1[Item],tab_alimentos[[#This Row],[Item]],super1[Bairro],mercado13)+SUMIFS(supercb[Qtde],supercb[Item],tab_alimentos[[#This Row],[Item]],supercb[Bairro],mercado13)</f>
        <v>0</v>
      </c>
      <c r="Y168" s="4">
        <f>SUMIFS(super1[Qtde],super1[Item],tab_alimentos[[#This Row],[Item]],super1[Bairro],mercado14)+SUMIFS(supercb[Qtde],supercb[Item],tab_alimentos[[#This Row],[Item]],supercb[Bairro],mercado14)</f>
        <v>0</v>
      </c>
      <c r="Z168" s="4">
        <f>SUMIFS(super1[Qtde],super1[Item],tab_alimentos[[#This Row],[Item]],super1[Bairro],mercado15)+SUMIFS(supercb[Qtde],supercb[Item],tab_alimentos[[#This Row],[Item]],supercb[Bairro],mercado15)</f>
        <v>0</v>
      </c>
      <c r="AA168" s="4">
        <f>SUMIFS(super1[Qtde],super1[Item],tab_alimentos[[#This Row],[Item]],super1[Bairro],mercado16)+SUMIFS(supercb[Qtde],supercb[Item],tab_alimentos[[#This Row],[Item]],supercb[Bairro],mercado16)</f>
        <v>0</v>
      </c>
      <c r="AB168" s="4">
        <f>SUMIFS(super1[Qtde],super1[Item],tab_alimentos[[#This Row],[Item]],super1[Bairro],mercado17)+SUMIFS(supercb[Qtde],supercb[Item],tab_alimentos[[#This Row],[Item]],supercb[Bairro],mercado17)</f>
        <v>0</v>
      </c>
      <c r="AC168" s="4">
        <f>SUMIFS(super1[Qtde],super1[Item],tab_alimentos[[#This Row],[Item]],super1[Bairro],mercado18)+SUMIFS(supercb[Qtde],supercb[Item],tab_alimentos[[#This Row],[Item]],supercb[Bairro],mercado18)</f>
        <v>0</v>
      </c>
      <c r="AD168" s="4">
        <f>SUMIFS(super1[Qtde],super1[Item],tab_alimentos[[#This Row],[Item]],super1[Bairro],extras)+SUMIFS(supercb[Qtde],supercb[Item],tab_alimentos[[#This Row],[Item]],supercb[Bairro],extras)</f>
        <v>0</v>
      </c>
      <c r="AE168" s="4">
        <f t="shared" si="67"/>
        <v>0</v>
      </c>
      <c r="AF168" s="4">
        <f t="shared" si="68"/>
        <v>0</v>
      </c>
      <c r="AG168" s="6">
        <f t="shared" si="69"/>
        <v>0</v>
      </c>
      <c r="AH168" s="19" t="str">
        <f>higiene[[#This Row],[Item]]</f>
        <v>Multiuso (1L)</v>
      </c>
      <c r="AI168" s="4">
        <f>IFERROR(higiene[[#This Row],[Kg equivalente]],0)</f>
        <v>0</v>
      </c>
      <c r="AJ168" s="4">
        <f>IFERROR(higiene[[#This Row],[Preço por produto]],0)</f>
        <v>11.2</v>
      </c>
      <c r="AK168" s="4">
        <f>SUMIFS(super1[Qtde],super1[Item],tab_higiene[[#This Row],[Item]],super1[Bairro],mercado1)+SUMIFS(supercb[Qtde],supercb[Item],tab_higiene[[#This Row],[Item]],supercb[Bairro],mercado1)</f>
        <v>0</v>
      </c>
      <c r="AL168" s="4">
        <f>SUMIFS(super1[Qtde],super1[Item],tab_higiene[[#This Row],[Item]],super1[Bairro],mercado2)+SUMIFS(supercb[Qtde],supercb[Item],tab_higiene[[#This Row],[Item]],supercb[Bairro],mercado2)</f>
        <v>0</v>
      </c>
      <c r="AM168" s="4">
        <f>SUMIFS(super1[Qtde],super1[Item],tab_higiene[[#This Row],[Item]],super1[Bairro],mercado3)+SUMIFS(supercb[Qtde],supercb[Item],tab_higiene[[#This Row],[Item]],supercb[Bairro],mercado3)</f>
        <v>0</v>
      </c>
      <c r="AN168" s="4">
        <f>SUMIFS(super1[Qtde],super1[Item],tab_higiene[[#This Row],[Item]],super1[Bairro],mercado4)+SUMIFS(supercb[Qtde],supercb[Item],tab_higiene[[#This Row],[Item]],supercb[Bairro],mercado4)</f>
        <v>0</v>
      </c>
      <c r="AO168" s="4">
        <f>SUMIFS(super1[Qtde],super1[Item],tab_higiene[[#This Row],[Item]],super1[Bairro],mercado5)+SUMIFS(supercb[Qtde],supercb[Item],tab_higiene[[#This Row],[Item]],supercb[Bairro],mercado5)</f>
        <v>0</v>
      </c>
      <c r="AP168" s="4">
        <f>SUMIFS(super1[Qtde],super1[Item],tab_higiene[[#This Row],[Item]],super1[Bairro],mercado6)+SUMIFS(supercb[Qtde],supercb[Item],tab_higiene[[#This Row],[Item]],supercb[Bairro],mercado6)</f>
        <v>0</v>
      </c>
      <c r="AQ168" s="4">
        <f>SUMIFS(super1[Qtde],super1[Item],tab_higiene[[#This Row],[Item]],super1[Bairro],mercado7)+SUMIFS(supercb[Qtde],supercb[Item],tab_higiene[[#This Row],[Item]],supercb[Bairro],mercado7)</f>
        <v>0</v>
      </c>
      <c r="AR168" s="4">
        <f>SUMIFS(super1[Qtde],super1[Item],tab_higiene[[#This Row],[Item]],super1[Bairro],mercado8)+SUMIFS(supercb[Qtde],supercb[Item],tab_higiene[[#This Row],[Item]],supercb[Bairro],mercado8)</f>
        <v>0</v>
      </c>
      <c r="AS168" s="4">
        <f>SUMIFS(super1[Qtde],super1[Item],tab_higiene[[#This Row],[Item]],super1[Bairro],mercado9)+SUMIFS(supercb[Qtde],supercb[Item],tab_higiene[[#This Row],[Item]],supercb[Bairro],mercado9)</f>
        <v>0</v>
      </c>
      <c r="AT168" s="4">
        <f>SUMIFS(super1[Qtde],super1[Item],tab_higiene[[#This Row],[Item]],super1[Bairro],mercado10)+SUMIFS(supercb[Qtde],supercb[Item],tab_higiene[[#This Row],[Item]],supercb[Bairro],mercado10)</f>
        <v>0</v>
      </c>
      <c r="AU168" s="4">
        <f>SUMIFS(super1[Qtde],super1[Item],tab_higiene[[#This Row],[Item]],super1[Bairro],mercado11)+SUMIFS(supercb[Qtde],supercb[Item],tab_higiene[[#This Row],[Item]],supercb[Bairro],mercado11)</f>
        <v>0</v>
      </c>
      <c r="AV168" s="4">
        <f>SUMIFS(super1[Qtde],super1[Item],tab_higiene[[#This Row],[Item]],super1[Bairro],mercado12)+SUMIFS(supercb[Qtde],supercb[Item],tab_higiene[[#This Row],[Item]],supercb[Bairro],mercado12)</f>
        <v>0</v>
      </c>
      <c r="AW168" s="4">
        <f>SUMIFS(super1[Qtde],super1[Item],tab_higiene[[#This Row],[Item]],super1[Bairro],mercado13)+SUMIFS(supercb[Qtde],supercb[Item],tab_higiene[[#This Row],[Item]],supercb[Bairro],mercado13)</f>
        <v>0</v>
      </c>
      <c r="AX168" s="4">
        <f>SUMIFS(super1[Qtde],super1[Item],tab_higiene[[#This Row],[Item]],super1[Bairro],mercado14)+SUMIFS(supercb[Qtde],supercb[Item],tab_higiene[[#This Row],[Item]],supercb[Bairro],mercado14)</f>
        <v>0</v>
      </c>
      <c r="AY168" s="4">
        <f>SUMIFS(super1[Qtde],super1[Item],tab_higiene[[#This Row],[Item]],super1[Bairro],mercado15)+SUMIFS(supercb[Qtde],supercb[Item],tab_higiene[[#This Row],[Item]],supercb[Bairro],mercado15)</f>
        <v>0</v>
      </c>
      <c r="AZ168" s="4">
        <f>SUMIFS(super1[Qtde],super1[Item],tab_higiene[[#This Row],[Item]],super1[Bairro],mercado16)+SUMIFS(supercb[Qtde],supercb[Item],tab_higiene[[#This Row],[Item]],supercb[Bairro],mercado16)</f>
        <v>0</v>
      </c>
      <c r="BA168" s="4">
        <f>SUMIFS(super1[Qtde],super1[Item],tab_higiene[[#This Row],[Item]],super1[Bairro],mercado17)+SUMIFS(supercb[Qtde],supercb[Item],tab_higiene[[#This Row],[Item]],supercb[Bairro],mercado17)</f>
        <v>0</v>
      </c>
      <c r="BB168" s="4">
        <f>SUMIFS(super1[Qtde],super1[Item],tab_higiene[[#This Row],[Item]],super1[Bairro],mercado18)+SUMIFS(supercb[Qtde],supercb[Item],tab_higiene[[#This Row],[Item]],supercb[Bairro],mercado18)</f>
        <v>0</v>
      </c>
      <c r="BC168" s="4">
        <f>SUMIFS(super1[Qtde],super1[Item],tab_higiene[[#This Row],[Item]],super1[Bairro],extras)+SUMIFS(supercb[Qtde],supercb[Item],tab_higiene[[#This Row],[Item]],supercb[Bairro],extras)</f>
        <v>0</v>
      </c>
      <c r="BD168" s="4">
        <f t="shared" si="64"/>
        <v>0</v>
      </c>
      <c r="BE168" s="4">
        <f t="shared" si="65"/>
        <v>0</v>
      </c>
      <c r="BF168" s="6">
        <f t="shared" si="66"/>
        <v>0</v>
      </c>
    </row>
    <row r="169" spans="9:58" x14ac:dyDescent="0.25">
      <c r="I169" s="19" t="str">
        <f>alimentos[[#This Row],[Item]]</f>
        <v>Chá (250g)</v>
      </c>
      <c r="J169" s="4">
        <f>IFERROR(alimentos[[#This Row],[kg/embalagem]],0)</f>
        <v>0.25</v>
      </c>
      <c r="K169" s="4">
        <f>IFERROR(alimentos[[#This Row],[Preço]],0)</f>
        <v>8.35</v>
      </c>
      <c r="L169" s="4">
        <f>SUMIFS(super1[Qtde],super1[Item],tab_alimentos[[#This Row],[Item]],super1[Bairro],mercado1)+SUMIFS(supercb[Qtde],supercb[Item],tab_alimentos[[#This Row],[Item]],supercb[Bairro],mercado1)</f>
        <v>0</v>
      </c>
      <c r="M169" s="4">
        <f>SUMIFS(super1[Qtde],super1[Item],tab_alimentos[[#This Row],[Item]],super1[Bairro],mercado2)+SUMIFS(supercb[Qtde],supercb[Item],tab_alimentos[[#This Row],[Item]],supercb[Bairro],mercado2)</f>
        <v>0</v>
      </c>
      <c r="N169" s="4">
        <f>SUMIFS(super1[Qtde],super1[Item],tab_alimentos[[#This Row],[Item]],super1[Bairro],mercado3)+SUMIFS(supercb[Qtde],supercb[Item],tab_alimentos[[#This Row],[Item]],supercb[Bairro],mercado3)</f>
        <v>0</v>
      </c>
      <c r="O169" s="4">
        <f>SUMIFS(super1[Qtde],super1[Item],tab_alimentos[[#This Row],[Item]],super1[Bairro],mercado4)+SUMIFS(supercb[Qtde],supercb[Item],tab_alimentos[[#This Row],[Item]],supercb[Bairro],mercado4)</f>
        <v>0</v>
      </c>
      <c r="P169" s="4">
        <f>SUMIFS(super1[Qtde],super1[Item],tab_alimentos[[#This Row],[Item]],super1[Bairro],mercado5)+SUMIFS(supercb[Qtde],supercb[Item],tab_alimentos[[#This Row],[Item]],supercb[Bairro],mercado5)</f>
        <v>0</v>
      </c>
      <c r="Q169" s="4">
        <f>SUMIFS(super1[Qtde],super1[Item],tab_alimentos[[#This Row],[Item]],super1[Bairro],mercado6)+SUMIFS(supercb[Qtde],supercb[Item],tab_alimentos[[#This Row],[Item]],supercb[Bairro],mercado6)</f>
        <v>0</v>
      </c>
      <c r="R169" s="4">
        <f>SUMIFS(super1[Qtde],super1[Item],tab_alimentos[[#This Row],[Item]],super1[Bairro],mercado7)+SUMIFS(supercb[Qtde],supercb[Item],tab_alimentos[[#This Row],[Item]],supercb[Bairro],mercado7)</f>
        <v>0</v>
      </c>
      <c r="S169" s="4">
        <f>SUMIFS(super1[Qtde],super1[Item],tab_alimentos[[#This Row],[Item]],super1[Bairro],mercado8)+SUMIFS(supercb[Qtde],supercb[Item],tab_alimentos[[#This Row],[Item]],supercb[Bairro],mercado8)</f>
        <v>0</v>
      </c>
      <c r="T169" s="4">
        <f>SUMIFS(super1[Qtde],super1[Item],tab_alimentos[[#This Row],[Item]],super1[Bairro],mercado9)+SUMIFS(supercb[Qtde],supercb[Item],tab_alimentos[[#This Row],[Item]],supercb[Bairro],mercado9)</f>
        <v>0</v>
      </c>
      <c r="U169" s="4">
        <f>SUMIFS(super1[Qtde],super1[Item],tab_alimentos[[#This Row],[Item]],super1[Bairro],mercado10)+SUMIFS(supercb[Qtde],supercb[Item],tab_alimentos[[#This Row],[Item]],supercb[Bairro],mercado10)</f>
        <v>0</v>
      </c>
      <c r="V169" s="4">
        <f>SUMIFS(super1[Qtde],super1[Item],tab_alimentos[[#This Row],[Item]],super1[Bairro],mercado11)+SUMIFS(supercb[Qtde],supercb[Item],tab_alimentos[[#This Row],[Item]],supercb[Bairro],mercado11)</f>
        <v>0</v>
      </c>
      <c r="W169" s="4">
        <f>SUMIFS(super1[Qtde],super1[Item],tab_alimentos[[#This Row],[Item]],super1[Bairro],mercado12)+SUMIFS(supercb[Qtde],supercb[Item],tab_alimentos[[#This Row],[Item]],supercb[Bairro],mercado12)</f>
        <v>0</v>
      </c>
      <c r="X169" s="4">
        <f>SUMIFS(super1[Qtde],super1[Item],tab_alimentos[[#This Row],[Item]],super1[Bairro],mercado13)+SUMIFS(supercb[Qtde],supercb[Item],tab_alimentos[[#This Row],[Item]],supercb[Bairro],mercado13)</f>
        <v>0</v>
      </c>
      <c r="Y169" s="4">
        <f>SUMIFS(super1[Qtde],super1[Item],tab_alimentos[[#This Row],[Item]],super1[Bairro],mercado14)+SUMIFS(supercb[Qtde],supercb[Item],tab_alimentos[[#This Row],[Item]],supercb[Bairro],mercado14)</f>
        <v>0</v>
      </c>
      <c r="Z169" s="4">
        <f>SUMIFS(super1[Qtde],super1[Item],tab_alimentos[[#This Row],[Item]],super1[Bairro],mercado15)+SUMIFS(supercb[Qtde],supercb[Item],tab_alimentos[[#This Row],[Item]],supercb[Bairro],mercado15)</f>
        <v>0</v>
      </c>
      <c r="AA169" s="4">
        <f>SUMIFS(super1[Qtde],super1[Item],tab_alimentos[[#This Row],[Item]],super1[Bairro],mercado16)+SUMIFS(supercb[Qtde],supercb[Item],tab_alimentos[[#This Row],[Item]],supercb[Bairro],mercado16)</f>
        <v>0</v>
      </c>
      <c r="AB169" s="4">
        <f>SUMIFS(super1[Qtde],super1[Item],tab_alimentos[[#This Row],[Item]],super1[Bairro],mercado17)+SUMIFS(supercb[Qtde],supercb[Item],tab_alimentos[[#This Row],[Item]],supercb[Bairro],mercado17)</f>
        <v>0</v>
      </c>
      <c r="AC169" s="4">
        <f>SUMIFS(super1[Qtde],super1[Item],tab_alimentos[[#This Row],[Item]],super1[Bairro],mercado18)+SUMIFS(supercb[Qtde],supercb[Item],tab_alimentos[[#This Row],[Item]],supercb[Bairro],mercado18)</f>
        <v>0</v>
      </c>
      <c r="AD169" s="4">
        <f>SUMIFS(super1[Qtde],super1[Item],tab_alimentos[[#This Row],[Item]],super1[Bairro],extras)+SUMIFS(supercb[Qtde],supercb[Item],tab_alimentos[[#This Row],[Item]],supercb[Bairro],extras)</f>
        <v>0</v>
      </c>
      <c r="AE169" s="4">
        <f t="shared" si="67"/>
        <v>0</v>
      </c>
      <c r="AF169" s="4">
        <f t="shared" si="68"/>
        <v>0</v>
      </c>
      <c r="AG169" s="6">
        <f t="shared" si="69"/>
        <v>0</v>
      </c>
      <c r="AH169" s="19" t="str">
        <f>higiene[[#This Row],[Item]]</f>
        <v>Multiuso (200ml)</v>
      </c>
      <c r="AI169" s="4">
        <f>IFERROR(higiene[[#This Row],[Kg equivalente]],0)</f>
        <v>0</v>
      </c>
      <c r="AJ169" s="4">
        <f>IFERROR(higiene[[#This Row],[Preço por produto]],0)</f>
        <v>10.48</v>
      </c>
      <c r="AK169" s="4">
        <f>SUMIFS(super1[Qtde],super1[Item],tab_higiene[[#This Row],[Item]],super1[Bairro],mercado1)+SUMIFS(supercb[Qtde],supercb[Item],tab_higiene[[#This Row],[Item]],supercb[Bairro],mercado1)</f>
        <v>0</v>
      </c>
      <c r="AL169" s="4">
        <f>SUMIFS(super1[Qtde],super1[Item],tab_higiene[[#This Row],[Item]],super1[Bairro],mercado2)+SUMIFS(supercb[Qtde],supercb[Item],tab_higiene[[#This Row],[Item]],supercb[Bairro],mercado2)</f>
        <v>0</v>
      </c>
      <c r="AM169" s="4">
        <f>SUMIFS(super1[Qtde],super1[Item],tab_higiene[[#This Row],[Item]],super1[Bairro],mercado3)+SUMIFS(supercb[Qtde],supercb[Item],tab_higiene[[#This Row],[Item]],supercb[Bairro],mercado3)</f>
        <v>0</v>
      </c>
      <c r="AN169" s="4">
        <f>SUMIFS(super1[Qtde],super1[Item],tab_higiene[[#This Row],[Item]],super1[Bairro],mercado4)+SUMIFS(supercb[Qtde],supercb[Item],tab_higiene[[#This Row],[Item]],supercb[Bairro],mercado4)</f>
        <v>0</v>
      </c>
      <c r="AO169" s="4">
        <f>SUMIFS(super1[Qtde],super1[Item],tab_higiene[[#This Row],[Item]],super1[Bairro],mercado5)+SUMIFS(supercb[Qtde],supercb[Item],tab_higiene[[#This Row],[Item]],supercb[Bairro],mercado5)</f>
        <v>0</v>
      </c>
      <c r="AP169" s="4">
        <f>SUMIFS(super1[Qtde],super1[Item],tab_higiene[[#This Row],[Item]],super1[Bairro],mercado6)+SUMIFS(supercb[Qtde],supercb[Item],tab_higiene[[#This Row],[Item]],supercb[Bairro],mercado6)</f>
        <v>0</v>
      </c>
      <c r="AQ169" s="4">
        <f>SUMIFS(super1[Qtde],super1[Item],tab_higiene[[#This Row],[Item]],super1[Bairro],mercado7)+SUMIFS(supercb[Qtde],supercb[Item],tab_higiene[[#This Row],[Item]],supercb[Bairro],mercado7)</f>
        <v>0</v>
      </c>
      <c r="AR169" s="4">
        <f>SUMIFS(super1[Qtde],super1[Item],tab_higiene[[#This Row],[Item]],super1[Bairro],mercado8)+SUMIFS(supercb[Qtde],supercb[Item],tab_higiene[[#This Row],[Item]],supercb[Bairro],mercado8)</f>
        <v>0</v>
      </c>
      <c r="AS169" s="4">
        <f>SUMIFS(super1[Qtde],super1[Item],tab_higiene[[#This Row],[Item]],super1[Bairro],mercado9)+SUMIFS(supercb[Qtde],supercb[Item],tab_higiene[[#This Row],[Item]],supercb[Bairro],mercado9)</f>
        <v>0</v>
      </c>
      <c r="AT169" s="4">
        <f>SUMIFS(super1[Qtde],super1[Item],tab_higiene[[#This Row],[Item]],super1[Bairro],mercado10)+SUMIFS(supercb[Qtde],supercb[Item],tab_higiene[[#This Row],[Item]],supercb[Bairro],mercado10)</f>
        <v>0</v>
      </c>
      <c r="AU169" s="4">
        <f>SUMIFS(super1[Qtde],super1[Item],tab_higiene[[#This Row],[Item]],super1[Bairro],mercado11)+SUMIFS(supercb[Qtde],supercb[Item],tab_higiene[[#This Row],[Item]],supercb[Bairro],mercado11)</f>
        <v>0</v>
      </c>
      <c r="AV169" s="4">
        <f>SUMIFS(super1[Qtde],super1[Item],tab_higiene[[#This Row],[Item]],super1[Bairro],mercado12)+SUMIFS(supercb[Qtde],supercb[Item],tab_higiene[[#This Row],[Item]],supercb[Bairro],mercado12)</f>
        <v>0</v>
      </c>
      <c r="AW169" s="4">
        <f>SUMIFS(super1[Qtde],super1[Item],tab_higiene[[#This Row],[Item]],super1[Bairro],mercado13)+SUMIFS(supercb[Qtde],supercb[Item],tab_higiene[[#This Row],[Item]],supercb[Bairro],mercado13)</f>
        <v>0</v>
      </c>
      <c r="AX169" s="4">
        <f>SUMIFS(super1[Qtde],super1[Item],tab_higiene[[#This Row],[Item]],super1[Bairro],mercado14)+SUMIFS(supercb[Qtde],supercb[Item],tab_higiene[[#This Row],[Item]],supercb[Bairro],mercado14)</f>
        <v>0</v>
      </c>
      <c r="AY169" s="4">
        <f>SUMIFS(super1[Qtde],super1[Item],tab_higiene[[#This Row],[Item]],super1[Bairro],mercado15)+SUMIFS(supercb[Qtde],supercb[Item],tab_higiene[[#This Row],[Item]],supercb[Bairro],mercado15)</f>
        <v>0</v>
      </c>
      <c r="AZ169" s="4">
        <f>SUMIFS(super1[Qtde],super1[Item],tab_higiene[[#This Row],[Item]],super1[Bairro],mercado16)+SUMIFS(supercb[Qtde],supercb[Item],tab_higiene[[#This Row],[Item]],supercb[Bairro],mercado16)</f>
        <v>0</v>
      </c>
      <c r="BA169" s="4">
        <f>SUMIFS(super1[Qtde],super1[Item],tab_higiene[[#This Row],[Item]],super1[Bairro],mercado17)+SUMIFS(supercb[Qtde],supercb[Item],tab_higiene[[#This Row],[Item]],supercb[Bairro],mercado17)</f>
        <v>0</v>
      </c>
      <c r="BB169" s="4">
        <f>SUMIFS(super1[Qtde],super1[Item],tab_higiene[[#This Row],[Item]],super1[Bairro],mercado18)+SUMIFS(supercb[Qtde],supercb[Item],tab_higiene[[#This Row],[Item]],supercb[Bairro],mercado18)</f>
        <v>0</v>
      </c>
      <c r="BC169" s="4">
        <f>SUMIFS(super1[Qtde],super1[Item],tab_higiene[[#This Row],[Item]],super1[Bairro],extras)+SUMIFS(supercb[Qtde],supercb[Item],tab_higiene[[#This Row],[Item]],supercb[Bairro],extras)</f>
        <v>0</v>
      </c>
      <c r="BD169" s="4">
        <f t="shared" si="64"/>
        <v>0</v>
      </c>
      <c r="BE169" s="4">
        <f t="shared" si="65"/>
        <v>0</v>
      </c>
      <c r="BF169" s="6">
        <f t="shared" si="66"/>
        <v>0</v>
      </c>
    </row>
    <row r="170" spans="9:58" x14ac:dyDescent="0.25">
      <c r="I170" s="19" t="str">
        <f>alimentos[[#This Row],[Item]]</f>
        <v>Chá (32g)</v>
      </c>
      <c r="J170" s="4">
        <f>IFERROR(alimentos[[#This Row],[kg/embalagem]],0)</f>
        <v>3.2000000000000001E-2</v>
      </c>
      <c r="K170" s="4">
        <f>IFERROR(alimentos[[#This Row],[Preço]],0)</f>
        <v>4.29</v>
      </c>
      <c r="L170" s="4">
        <f>SUMIFS(super1[Qtde],super1[Item],tab_alimentos[[#This Row],[Item]],super1[Bairro],mercado1)+SUMIFS(supercb[Qtde],supercb[Item],tab_alimentos[[#This Row],[Item]],supercb[Bairro],mercado1)</f>
        <v>0</v>
      </c>
      <c r="M170" s="4">
        <f>SUMIFS(super1[Qtde],super1[Item],tab_alimentos[[#This Row],[Item]],super1[Bairro],mercado2)+SUMIFS(supercb[Qtde],supercb[Item],tab_alimentos[[#This Row],[Item]],supercb[Bairro],mercado2)</f>
        <v>0</v>
      </c>
      <c r="N170" s="4">
        <f>SUMIFS(super1[Qtde],super1[Item],tab_alimentos[[#This Row],[Item]],super1[Bairro],mercado3)+SUMIFS(supercb[Qtde],supercb[Item],tab_alimentos[[#This Row],[Item]],supercb[Bairro],mercado3)</f>
        <v>0</v>
      </c>
      <c r="O170" s="4">
        <f>SUMIFS(super1[Qtde],super1[Item],tab_alimentos[[#This Row],[Item]],super1[Bairro],mercado4)+SUMIFS(supercb[Qtde],supercb[Item],tab_alimentos[[#This Row],[Item]],supercb[Bairro],mercado4)</f>
        <v>0</v>
      </c>
      <c r="P170" s="4">
        <f>SUMIFS(super1[Qtde],super1[Item],tab_alimentos[[#This Row],[Item]],super1[Bairro],mercado5)+SUMIFS(supercb[Qtde],supercb[Item],tab_alimentos[[#This Row],[Item]],supercb[Bairro],mercado5)</f>
        <v>0</v>
      </c>
      <c r="Q170" s="4">
        <f>SUMIFS(super1[Qtde],super1[Item],tab_alimentos[[#This Row],[Item]],super1[Bairro],mercado6)+SUMIFS(supercb[Qtde],supercb[Item],tab_alimentos[[#This Row],[Item]],supercb[Bairro],mercado6)</f>
        <v>0</v>
      </c>
      <c r="R170" s="4">
        <f>SUMIFS(super1[Qtde],super1[Item],tab_alimentos[[#This Row],[Item]],super1[Bairro],mercado7)+SUMIFS(supercb[Qtde],supercb[Item],tab_alimentos[[#This Row],[Item]],supercb[Bairro],mercado7)</f>
        <v>0</v>
      </c>
      <c r="S170" s="4">
        <f>SUMIFS(super1[Qtde],super1[Item],tab_alimentos[[#This Row],[Item]],super1[Bairro],mercado8)+SUMIFS(supercb[Qtde],supercb[Item],tab_alimentos[[#This Row],[Item]],supercb[Bairro],mercado8)</f>
        <v>0</v>
      </c>
      <c r="T170" s="4">
        <f>SUMIFS(super1[Qtde],super1[Item],tab_alimentos[[#This Row],[Item]],super1[Bairro],mercado9)+SUMIFS(supercb[Qtde],supercb[Item],tab_alimentos[[#This Row],[Item]],supercb[Bairro],mercado9)</f>
        <v>0</v>
      </c>
      <c r="U170" s="4">
        <f>SUMIFS(super1[Qtde],super1[Item],tab_alimentos[[#This Row],[Item]],super1[Bairro],mercado10)+SUMIFS(supercb[Qtde],supercb[Item],tab_alimentos[[#This Row],[Item]],supercb[Bairro],mercado10)</f>
        <v>0</v>
      </c>
      <c r="V170" s="4">
        <f>SUMIFS(super1[Qtde],super1[Item],tab_alimentos[[#This Row],[Item]],super1[Bairro],mercado11)+SUMIFS(supercb[Qtde],supercb[Item],tab_alimentos[[#This Row],[Item]],supercb[Bairro],mercado11)</f>
        <v>0</v>
      </c>
      <c r="W170" s="4">
        <f>SUMIFS(super1[Qtde],super1[Item],tab_alimentos[[#This Row],[Item]],super1[Bairro],mercado12)+SUMIFS(supercb[Qtde],supercb[Item],tab_alimentos[[#This Row],[Item]],supercb[Bairro],mercado12)</f>
        <v>0</v>
      </c>
      <c r="X170" s="4">
        <f>SUMIFS(super1[Qtde],super1[Item],tab_alimentos[[#This Row],[Item]],super1[Bairro],mercado13)+SUMIFS(supercb[Qtde],supercb[Item],tab_alimentos[[#This Row],[Item]],supercb[Bairro],mercado13)</f>
        <v>0</v>
      </c>
      <c r="Y170" s="4">
        <f>SUMIFS(super1[Qtde],super1[Item],tab_alimentos[[#This Row],[Item]],super1[Bairro],mercado14)+SUMIFS(supercb[Qtde],supercb[Item],tab_alimentos[[#This Row],[Item]],supercb[Bairro],mercado14)</f>
        <v>0</v>
      </c>
      <c r="Z170" s="4">
        <f>SUMIFS(super1[Qtde],super1[Item],tab_alimentos[[#This Row],[Item]],super1[Bairro],mercado15)+SUMIFS(supercb[Qtde],supercb[Item],tab_alimentos[[#This Row],[Item]],supercb[Bairro],mercado15)</f>
        <v>0</v>
      </c>
      <c r="AA170" s="4">
        <f>SUMIFS(super1[Qtde],super1[Item],tab_alimentos[[#This Row],[Item]],super1[Bairro],mercado16)+SUMIFS(supercb[Qtde],supercb[Item],tab_alimentos[[#This Row],[Item]],supercb[Bairro],mercado16)</f>
        <v>0</v>
      </c>
      <c r="AB170" s="4">
        <f>SUMIFS(super1[Qtde],super1[Item],tab_alimentos[[#This Row],[Item]],super1[Bairro],mercado17)+SUMIFS(supercb[Qtde],supercb[Item],tab_alimentos[[#This Row],[Item]],supercb[Bairro],mercado17)</f>
        <v>0</v>
      </c>
      <c r="AC170" s="4">
        <f>SUMIFS(super1[Qtde],super1[Item],tab_alimentos[[#This Row],[Item]],super1[Bairro],mercado18)+SUMIFS(supercb[Qtde],supercb[Item],tab_alimentos[[#This Row],[Item]],supercb[Bairro],mercado18)</f>
        <v>0</v>
      </c>
      <c r="AD170" s="4">
        <f>SUMIFS(super1[Qtde],super1[Item],tab_alimentos[[#This Row],[Item]],super1[Bairro],extras)+SUMIFS(supercb[Qtde],supercb[Item],tab_alimentos[[#This Row],[Item]],supercb[Bairro],extras)</f>
        <v>0</v>
      </c>
      <c r="AE170" s="4">
        <f t="shared" si="67"/>
        <v>0</v>
      </c>
      <c r="AF170" s="4">
        <f t="shared" si="68"/>
        <v>0</v>
      </c>
      <c r="AG170" s="6">
        <f t="shared" si="69"/>
        <v>0</v>
      </c>
      <c r="AH170" s="19" t="str">
        <f>higiene[[#This Row],[Item]]</f>
        <v>Multiuso (450mL)</v>
      </c>
      <c r="AI170" s="4">
        <f>IFERROR(higiene[[#This Row],[Kg equivalente]],0)</f>
        <v>0</v>
      </c>
      <c r="AJ170" s="4">
        <f>IFERROR(higiene[[#This Row],[Preço por produto]],0)</f>
        <v>13.99</v>
      </c>
      <c r="AK170" s="4">
        <f>SUMIFS(super1[Qtde],super1[Item],tab_higiene[[#This Row],[Item]],super1[Bairro],mercado1)+SUMIFS(supercb[Qtde],supercb[Item],tab_higiene[[#This Row],[Item]],supercb[Bairro],mercado1)</f>
        <v>0</v>
      </c>
      <c r="AL170" s="4">
        <f>SUMIFS(super1[Qtde],super1[Item],tab_higiene[[#This Row],[Item]],super1[Bairro],mercado2)+SUMIFS(supercb[Qtde],supercb[Item],tab_higiene[[#This Row],[Item]],supercb[Bairro],mercado2)</f>
        <v>0</v>
      </c>
      <c r="AM170" s="4">
        <f>SUMIFS(super1[Qtde],super1[Item],tab_higiene[[#This Row],[Item]],super1[Bairro],mercado3)+SUMIFS(supercb[Qtde],supercb[Item],tab_higiene[[#This Row],[Item]],supercb[Bairro],mercado3)</f>
        <v>0</v>
      </c>
      <c r="AN170" s="4">
        <f>SUMIFS(super1[Qtde],super1[Item],tab_higiene[[#This Row],[Item]],super1[Bairro],mercado4)+SUMIFS(supercb[Qtde],supercb[Item],tab_higiene[[#This Row],[Item]],supercb[Bairro],mercado4)</f>
        <v>0</v>
      </c>
      <c r="AO170" s="4">
        <f>SUMIFS(super1[Qtde],super1[Item],tab_higiene[[#This Row],[Item]],super1[Bairro],mercado5)+SUMIFS(supercb[Qtde],supercb[Item],tab_higiene[[#This Row],[Item]],supercb[Bairro],mercado5)</f>
        <v>0</v>
      </c>
      <c r="AP170" s="4">
        <f>SUMIFS(super1[Qtde],super1[Item],tab_higiene[[#This Row],[Item]],super1[Bairro],mercado6)+SUMIFS(supercb[Qtde],supercb[Item],tab_higiene[[#This Row],[Item]],supercb[Bairro],mercado6)</f>
        <v>0</v>
      </c>
      <c r="AQ170" s="4">
        <f>SUMIFS(super1[Qtde],super1[Item],tab_higiene[[#This Row],[Item]],super1[Bairro],mercado7)+SUMIFS(supercb[Qtde],supercb[Item],tab_higiene[[#This Row],[Item]],supercb[Bairro],mercado7)</f>
        <v>0</v>
      </c>
      <c r="AR170" s="4">
        <f>SUMIFS(super1[Qtde],super1[Item],tab_higiene[[#This Row],[Item]],super1[Bairro],mercado8)+SUMIFS(supercb[Qtde],supercb[Item],tab_higiene[[#This Row],[Item]],supercb[Bairro],mercado8)</f>
        <v>0</v>
      </c>
      <c r="AS170" s="4">
        <f>SUMIFS(super1[Qtde],super1[Item],tab_higiene[[#This Row],[Item]],super1[Bairro],mercado9)+SUMIFS(supercb[Qtde],supercb[Item],tab_higiene[[#This Row],[Item]],supercb[Bairro],mercado9)</f>
        <v>0</v>
      </c>
      <c r="AT170" s="4">
        <f>SUMIFS(super1[Qtde],super1[Item],tab_higiene[[#This Row],[Item]],super1[Bairro],mercado10)+SUMIFS(supercb[Qtde],supercb[Item],tab_higiene[[#This Row],[Item]],supercb[Bairro],mercado10)</f>
        <v>0</v>
      </c>
      <c r="AU170" s="4">
        <f>SUMIFS(super1[Qtde],super1[Item],tab_higiene[[#This Row],[Item]],super1[Bairro],mercado11)+SUMIFS(supercb[Qtde],supercb[Item],tab_higiene[[#This Row],[Item]],supercb[Bairro],mercado11)</f>
        <v>0</v>
      </c>
      <c r="AV170" s="4">
        <f>SUMIFS(super1[Qtde],super1[Item],tab_higiene[[#This Row],[Item]],super1[Bairro],mercado12)+SUMIFS(supercb[Qtde],supercb[Item],tab_higiene[[#This Row],[Item]],supercb[Bairro],mercado12)</f>
        <v>0</v>
      </c>
      <c r="AW170" s="4">
        <f>SUMIFS(super1[Qtde],super1[Item],tab_higiene[[#This Row],[Item]],super1[Bairro],mercado13)+SUMIFS(supercb[Qtde],supercb[Item],tab_higiene[[#This Row],[Item]],supercb[Bairro],mercado13)</f>
        <v>0</v>
      </c>
      <c r="AX170" s="4">
        <f>SUMIFS(super1[Qtde],super1[Item],tab_higiene[[#This Row],[Item]],super1[Bairro],mercado14)+SUMIFS(supercb[Qtde],supercb[Item],tab_higiene[[#This Row],[Item]],supercb[Bairro],mercado14)</f>
        <v>0</v>
      </c>
      <c r="AY170" s="4">
        <f>SUMIFS(super1[Qtde],super1[Item],tab_higiene[[#This Row],[Item]],super1[Bairro],mercado15)+SUMIFS(supercb[Qtde],supercb[Item],tab_higiene[[#This Row],[Item]],supercb[Bairro],mercado15)</f>
        <v>0</v>
      </c>
      <c r="AZ170" s="4">
        <f>SUMIFS(super1[Qtde],super1[Item],tab_higiene[[#This Row],[Item]],super1[Bairro],mercado16)+SUMIFS(supercb[Qtde],supercb[Item],tab_higiene[[#This Row],[Item]],supercb[Bairro],mercado16)</f>
        <v>0</v>
      </c>
      <c r="BA170" s="4">
        <f>SUMIFS(super1[Qtde],super1[Item],tab_higiene[[#This Row],[Item]],super1[Bairro],mercado17)+SUMIFS(supercb[Qtde],supercb[Item],tab_higiene[[#This Row],[Item]],supercb[Bairro],mercado17)</f>
        <v>0</v>
      </c>
      <c r="BB170" s="4">
        <f>SUMIFS(super1[Qtde],super1[Item],tab_higiene[[#This Row],[Item]],super1[Bairro],mercado18)+SUMIFS(supercb[Qtde],supercb[Item],tab_higiene[[#This Row],[Item]],supercb[Bairro],mercado18)</f>
        <v>0</v>
      </c>
      <c r="BC170" s="4">
        <f>SUMIFS(super1[Qtde],super1[Item],tab_higiene[[#This Row],[Item]],super1[Bairro],extras)+SUMIFS(supercb[Qtde],supercb[Item],tab_higiene[[#This Row],[Item]],supercb[Bairro],extras)</f>
        <v>0</v>
      </c>
      <c r="BD170" s="4">
        <f t="shared" si="64"/>
        <v>0</v>
      </c>
      <c r="BE170" s="4">
        <f t="shared" si="65"/>
        <v>0</v>
      </c>
      <c r="BF170" s="6">
        <f t="shared" si="66"/>
        <v>0</v>
      </c>
    </row>
    <row r="171" spans="9:58" x14ac:dyDescent="0.25">
      <c r="I171" s="19" t="str">
        <f>alimentos[[#This Row],[Item]]</f>
        <v>Chá (40g)</v>
      </c>
      <c r="J171" s="4">
        <f>IFERROR(alimentos[[#This Row],[kg/embalagem]],0)</f>
        <v>0.04</v>
      </c>
      <c r="K171" s="4">
        <f>IFERROR(alimentos[[#This Row],[Preço]],0)</f>
        <v>5.65</v>
      </c>
      <c r="L171" s="4">
        <f>SUMIFS(super1[Qtde],super1[Item],tab_alimentos[[#This Row],[Item]],super1[Bairro],mercado1)+SUMIFS(supercb[Qtde],supercb[Item],tab_alimentos[[#This Row],[Item]],supercb[Bairro],mercado1)</f>
        <v>0</v>
      </c>
      <c r="M171" s="4">
        <f>SUMIFS(super1[Qtde],super1[Item],tab_alimentos[[#This Row],[Item]],super1[Bairro],mercado2)+SUMIFS(supercb[Qtde],supercb[Item],tab_alimentos[[#This Row],[Item]],supercb[Bairro],mercado2)</f>
        <v>0</v>
      </c>
      <c r="N171" s="4">
        <f>SUMIFS(super1[Qtde],super1[Item],tab_alimentos[[#This Row],[Item]],super1[Bairro],mercado3)+SUMIFS(supercb[Qtde],supercb[Item],tab_alimentos[[#This Row],[Item]],supercb[Bairro],mercado3)</f>
        <v>0</v>
      </c>
      <c r="O171" s="4">
        <f>SUMIFS(super1[Qtde],super1[Item],tab_alimentos[[#This Row],[Item]],super1[Bairro],mercado4)+SUMIFS(supercb[Qtde],supercb[Item],tab_alimentos[[#This Row],[Item]],supercb[Bairro],mercado4)</f>
        <v>0</v>
      </c>
      <c r="P171" s="4">
        <f>SUMIFS(super1[Qtde],super1[Item],tab_alimentos[[#This Row],[Item]],super1[Bairro],mercado5)+SUMIFS(supercb[Qtde],supercb[Item],tab_alimentos[[#This Row],[Item]],supercb[Bairro],mercado5)</f>
        <v>0</v>
      </c>
      <c r="Q171" s="4">
        <f>SUMIFS(super1[Qtde],super1[Item],tab_alimentos[[#This Row],[Item]],super1[Bairro],mercado6)+SUMIFS(supercb[Qtde],supercb[Item],tab_alimentos[[#This Row],[Item]],supercb[Bairro],mercado6)</f>
        <v>0</v>
      </c>
      <c r="R171" s="4">
        <f>SUMIFS(super1[Qtde],super1[Item],tab_alimentos[[#This Row],[Item]],super1[Bairro],mercado7)+SUMIFS(supercb[Qtde],supercb[Item],tab_alimentos[[#This Row],[Item]],supercb[Bairro],mercado7)</f>
        <v>0</v>
      </c>
      <c r="S171" s="4">
        <f>SUMIFS(super1[Qtde],super1[Item],tab_alimentos[[#This Row],[Item]],super1[Bairro],mercado8)+SUMIFS(supercb[Qtde],supercb[Item],tab_alimentos[[#This Row],[Item]],supercb[Bairro],mercado8)</f>
        <v>0</v>
      </c>
      <c r="T171" s="4">
        <f>SUMIFS(super1[Qtde],super1[Item],tab_alimentos[[#This Row],[Item]],super1[Bairro],mercado9)+SUMIFS(supercb[Qtde],supercb[Item],tab_alimentos[[#This Row],[Item]],supercb[Bairro],mercado9)</f>
        <v>0</v>
      </c>
      <c r="U171" s="4">
        <f>SUMIFS(super1[Qtde],super1[Item],tab_alimentos[[#This Row],[Item]],super1[Bairro],mercado10)+SUMIFS(supercb[Qtde],supercb[Item],tab_alimentos[[#This Row],[Item]],supercb[Bairro],mercado10)</f>
        <v>0</v>
      </c>
      <c r="V171" s="4">
        <f>SUMIFS(super1[Qtde],super1[Item],tab_alimentos[[#This Row],[Item]],super1[Bairro],mercado11)+SUMIFS(supercb[Qtde],supercb[Item],tab_alimentos[[#This Row],[Item]],supercb[Bairro],mercado11)</f>
        <v>0</v>
      </c>
      <c r="W171" s="4">
        <f>SUMIFS(super1[Qtde],super1[Item],tab_alimentos[[#This Row],[Item]],super1[Bairro],mercado12)+SUMIFS(supercb[Qtde],supercb[Item],tab_alimentos[[#This Row],[Item]],supercb[Bairro],mercado12)</f>
        <v>0</v>
      </c>
      <c r="X171" s="4">
        <f>SUMIFS(super1[Qtde],super1[Item],tab_alimentos[[#This Row],[Item]],super1[Bairro],mercado13)+SUMIFS(supercb[Qtde],supercb[Item],tab_alimentos[[#This Row],[Item]],supercb[Bairro],mercado13)</f>
        <v>0</v>
      </c>
      <c r="Y171" s="4">
        <f>SUMIFS(super1[Qtde],super1[Item],tab_alimentos[[#This Row],[Item]],super1[Bairro],mercado14)+SUMIFS(supercb[Qtde],supercb[Item],tab_alimentos[[#This Row],[Item]],supercb[Bairro],mercado14)</f>
        <v>0</v>
      </c>
      <c r="Z171" s="4">
        <f>SUMIFS(super1[Qtde],super1[Item],tab_alimentos[[#This Row],[Item]],super1[Bairro],mercado15)+SUMIFS(supercb[Qtde],supercb[Item],tab_alimentos[[#This Row],[Item]],supercb[Bairro],mercado15)</f>
        <v>0</v>
      </c>
      <c r="AA171" s="4">
        <f>SUMIFS(super1[Qtde],super1[Item],tab_alimentos[[#This Row],[Item]],super1[Bairro],mercado16)+SUMIFS(supercb[Qtde],supercb[Item],tab_alimentos[[#This Row],[Item]],supercb[Bairro],mercado16)</f>
        <v>0</v>
      </c>
      <c r="AB171" s="4">
        <f>SUMIFS(super1[Qtde],super1[Item],tab_alimentos[[#This Row],[Item]],super1[Bairro],mercado17)+SUMIFS(supercb[Qtde],supercb[Item],tab_alimentos[[#This Row],[Item]],supercb[Bairro],mercado17)</f>
        <v>0</v>
      </c>
      <c r="AC171" s="4">
        <f>SUMIFS(super1[Qtde],super1[Item],tab_alimentos[[#This Row],[Item]],super1[Bairro],mercado18)+SUMIFS(supercb[Qtde],supercb[Item],tab_alimentos[[#This Row],[Item]],supercb[Bairro],mercado18)</f>
        <v>0</v>
      </c>
      <c r="AD171" s="4">
        <f>SUMIFS(super1[Qtde],super1[Item],tab_alimentos[[#This Row],[Item]],super1[Bairro],extras)+SUMIFS(supercb[Qtde],supercb[Item],tab_alimentos[[#This Row],[Item]],supercb[Bairro],extras)</f>
        <v>0</v>
      </c>
      <c r="AE171" s="4">
        <f t="shared" si="67"/>
        <v>0</v>
      </c>
      <c r="AF171" s="4">
        <f t="shared" si="68"/>
        <v>0</v>
      </c>
      <c r="AG171" s="6">
        <f t="shared" si="69"/>
        <v>0</v>
      </c>
      <c r="AH171" s="19" t="str">
        <f>higiene[[#This Row],[Item]]</f>
        <v>Multiuso (500mL)</v>
      </c>
      <c r="AI171" s="4">
        <f>IFERROR(higiene[[#This Row],[Kg equivalente]],0)</f>
        <v>0</v>
      </c>
      <c r="AJ171" s="4">
        <f>IFERROR(higiene[[#This Row],[Preço por produto]],0)</f>
        <v>4.5</v>
      </c>
      <c r="AK171" s="4">
        <f>SUMIFS(super1[Qtde],super1[Item],tab_higiene[[#This Row],[Item]],super1[Bairro],mercado1)+SUMIFS(supercb[Qtde],supercb[Item],tab_higiene[[#This Row],[Item]],supercb[Bairro],mercado1)</f>
        <v>0</v>
      </c>
      <c r="AL171" s="4">
        <f>SUMIFS(super1[Qtde],super1[Item],tab_higiene[[#This Row],[Item]],super1[Bairro],mercado2)+SUMIFS(supercb[Qtde],supercb[Item],tab_higiene[[#This Row],[Item]],supercb[Bairro],mercado2)</f>
        <v>0</v>
      </c>
      <c r="AM171" s="4">
        <f>SUMIFS(super1[Qtde],super1[Item],tab_higiene[[#This Row],[Item]],super1[Bairro],mercado3)+SUMIFS(supercb[Qtde],supercb[Item],tab_higiene[[#This Row],[Item]],supercb[Bairro],mercado3)</f>
        <v>0</v>
      </c>
      <c r="AN171" s="4">
        <f>SUMIFS(super1[Qtde],super1[Item],tab_higiene[[#This Row],[Item]],super1[Bairro],mercado4)+SUMIFS(supercb[Qtde],supercb[Item],tab_higiene[[#This Row],[Item]],supercb[Bairro],mercado4)</f>
        <v>0</v>
      </c>
      <c r="AO171" s="4">
        <f>SUMIFS(super1[Qtde],super1[Item],tab_higiene[[#This Row],[Item]],super1[Bairro],mercado5)+SUMIFS(supercb[Qtde],supercb[Item],tab_higiene[[#This Row],[Item]],supercb[Bairro],mercado5)</f>
        <v>0</v>
      </c>
      <c r="AP171" s="4">
        <f>SUMIFS(super1[Qtde],super1[Item],tab_higiene[[#This Row],[Item]],super1[Bairro],mercado6)+SUMIFS(supercb[Qtde],supercb[Item],tab_higiene[[#This Row],[Item]],supercb[Bairro],mercado6)</f>
        <v>0</v>
      </c>
      <c r="AQ171" s="4">
        <f>SUMIFS(super1[Qtde],super1[Item],tab_higiene[[#This Row],[Item]],super1[Bairro],mercado7)+SUMIFS(supercb[Qtde],supercb[Item],tab_higiene[[#This Row],[Item]],supercb[Bairro],mercado7)</f>
        <v>0</v>
      </c>
      <c r="AR171" s="4">
        <f>SUMIFS(super1[Qtde],super1[Item],tab_higiene[[#This Row],[Item]],super1[Bairro],mercado8)+SUMIFS(supercb[Qtde],supercb[Item],tab_higiene[[#This Row],[Item]],supercb[Bairro],mercado8)</f>
        <v>0</v>
      </c>
      <c r="AS171" s="4">
        <f>SUMIFS(super1[Qtde],super1[Item],tab_higiene[[#This Row],[Item]],super1[Bairro],mercado9)+SUMIFS(supercb[Qtde],supercb[Item],tab_higiene[[#This Row],[Item]],supercb[Bairro],mercado9)</f>
        <v>0</v>
      </c>
      <c r="AT171" s="4">
        <f>SUMIFS(super1[Qtde],super1[Item],tab_higiene[[#This Row],[Item]],super1[Bairro],mercado10)+SUMIFS(supercb[Qtde],supercb[Item],tab_higiene[[#This Row],[Item]],supercb[Bairro],mercado10)</f>
        <v>0</v>
      </c>
      <c r="AU171" s="4">
        <f>SUMIFS(super1[Qtde],super1[Item],tab_higiene[[#This Row],[Item]],super1[Bairro],mercado11)+SUMIFS(supercb[Qtde],supercb[Item],tab_higiene[[#This Row],[Item]],supercb[Bairro],mercado11)</f>
        <v>0</v>
      </c>
      <c r="AV171" s="4">
        <f>SUMIFS(super1[Qtde],super1[Item],tab_higiene[[#This Row],[Item]],super1[Bairro],mercado12)+SUMIFS(supercb[Qtde],supercb[Item],tab_higiene[[#This Row],[Item]],supercb[Bairro],mercado12)</f>
        <v>0</v>
      </c>
      <c r="AW171" s="4">
        <f>SUMIFS(super1[Qtde],super1[Item],tab_higiene[[#This Row],[Item]],super1[Bairro],mercado13)+SUMIFS(supercb[Qtde],supercb[Item],tab_higiene[[#This Row],[Item]],supercb[Bairro],mercado13)</f>
        <v>0</v>
      </c>
      <c r="AX171" s="4">
        <f>SUMIFS(super1[Qtde],super1[Item],tab_higiene[[#This Row],[Item]],super1[Bairro],mercado14)+SUMIFS(supercb[Qtde],supercb[Item],tab_higiene[[#This Row],[Item]],supercb[Bairro],mercado14)</f>
        <v>0</v>
      </c>
      <c r="AY171" s="4">
        <f>SUMIFS(super1[Qtde],super1[Item],tab_higiene[[#This Row],[Item]],super1[Bairro],mercado15)+SUMIFS(supercb[Qtde],supercb[Item],tab_higiene[[#This Row],[Item]],supercb[Bairro],mercado15)</f>
        <v>0</v>
      </c>
      <c r="AZ171" s="4">
        <f>SUMIFS(super1[Qtde],super1[Item],tab_higiene[[#This Row],[Item]],super1[Bairro],mercado16)+SUMIFS(supercb[Qtde],supercb[Item],tab_higiene[[#This Row],[Item]],supercb[Bairro],mercado16)</f>
        <v>0</v>
      </c>
      <c r="BA171" s="4">
        <f>SUMIFS(super1[Qtde],super1[Item],tab_higiene[[#This Row],[Item]],super1[Bairro],mercado17)+SUMIFS(supercb[Qtde],supercb[Item],tab_higiene[[#This Row],[Item]],supercb[Bairro],mercado17)</f>
        <v>0</v>
      </c>
      <c r="BB171" s="4">
        <f>SUMIFS(super1[Qtde],super1[Item],tab_higiene[[#This Row],[Item]],super1[Bairro],mercado18)+SUMIFS(supercb[Qtde],supercb[Item],tab_higiene[[#This Row],[Item]],supercb[Bairro],mercado18)</f>
        <v>0</v>
      </c>
      <c r="BC171" s="4">
        <f>SUMIFS(super1[Qtde],super1[Item],tab_higiene[[#This Row],[Item]],super1[Bairro],extras)+SUMIFS(supercb[Qtde],supercb[Item],tab_higiene[[#This Row],[Item]],supercb[Bairro],extras)</f>
        <v>0</v>
      </c>
      <c r="BD171" s="4">
        <f t="shared" ref="BD171:BD178" si="70">SUM(AK171:BB171)</f>
        <v>0</v>
      </c>
      <c r="BE171" s="4">
        <f t="shared" ref="BE171:BE178" si="71">IFERROR(BD171*AJ171,0)</f>
        <v>0</v>
      </c>
      <c r="BF171" s="6">
        <f t="shared" ref="BF171:BF178" si="72">IFERROR(AI171*BD171,0)</f>
        <v>0</v>
      </c>
    </row>
    <row r="172" spans="9:58" x14ac:dyDescent="0.25">
      <c r="I172" s="19" t="str">
        <f>alimentos[[#This Row],[Item]]</f>
        <v>Chimarrão (500g)</v>
      </c>
      <c r="J172" s="4">
        <f>IFERROR(alimentos[[#This Row],[kg/embalagem]],0)</f>
        <v>0.5</v>
      </c>
      <c r="K172" s="4">
        <f>IFERROR(alimentos[[#This Row],[Preço]],0)</f>
        <v>9.27</v>
      </c>
      <c r="L172" s="4">
        <f>SUMIFS(super1[Qtde],super1[Item],tab_alimentos[[#This Row],[Item]],super1[Bairro],mercado1)+SUMIFS(supercb[Qtde],supercb[Item],tab_alimentos[[#This Row],[Item]],supercb[Bairro],mercado1)</f>
        <v>0</v>
      </c>
      <c r="M172" s="4">
        <f>SUMIFS(super1[Qtde],super1[Item],tab_alimentos[[#This Row],[Item]],super1[Bairro],mercado2)+SUMIFS(supercb[Qtde],supercb[Item],tab_alimentos[[#This Row],[Item]],supercb[Bairro],mercado2)</f>
        <v>0</v>
      </c>
      <c r="N172" s="4">
        <f>SUMIFS(super1[Qtde],super1[Item],tab_alimentos[[#This Row],[Item]],super1[Bairro],mercado3)+SUMIFS(supercb[Qtde],supercb[Item],tab_alimentos[[#This Row],[Item]],supercb[Bairro],mercado3)</f>
        <v>0</v>
      </c>
      <c r="O172" s="4">
        <f>SUMIFS(super1[Qtde],super1[Item],tab_alimentos[[#This Row],[Item]],super1[Bairro],mercado4)+SUMIFS(supercb[Qtde],supercb[Item],tab_alimentos[[#This Row],[Item]],supercb[Bairro],mercado4)</f>
        <v>0</v>
      </c>
      <c r="P172" s="4">
        <f>SUMIFS(super1[Qtde],super1[Item],tab_alimentos[[#This Row],[Item]],super1[Bairro],mercado5)+SUMIFS(supercb[Qtde],supercb[Item],tab_alimentos[[#This Row],[Item]],supercb[Bairro],mercado5)</f>
        <v>0</v>
      </c>
      <c r="Q172" s="4">
        <f>SUMIFS(super1[Qtde],super1[Item],tab_alimentos[[#This Row],[Item]],super1[Bairro],mercado6)+SUMIFS(supercb[Qtde],supercb[Item],tab_alimentos[[#This Row],[Item]],supercb[Bairro],mercado6)</f>
        <v>0</v>
      </c>
      <c r="R172" s="4">
        <f>SUMIFS(super1[Qtde],super1[Item],tab_alimentos[[#This Row],[Item]],super1[Bairro],mercado7)+SUMIFS(supercb[Qtde],supercb[Item],tab_alimentos[[#This Row],[Item]],supercb[Bairro],mercado7)</f>
        <v>0</v>
      </c>
      <c r="S172" s="4">
        <f>SUMIFS(super1[Qtde],super1[Item],tab_alimentos[[#This Row],[Item]],super1[Bairro],mercado8)+SUMIFS(supercb[Qtde],supercb[Item],tab_alimentos[[#This Row],[Item]],supercb[Bairro],mercado8)</f>
        <v>0</v>
      </c>
      <c r="T172" s="4">
        <f>SUMIFS(super1[Qtde],super1[Item],tab_alimentos[[#This Row],[Item]],super1[Bairro],mercado9)+SUMIFS(supercb[Qtde],supercb[Item],tab_alimentos[[#This Row],[Item]],supercb[Bairro],mercado9)</f>
        <v>0</v>
      </c>
      <c r="U172" s="4">
        <f>SUMIFS(super1[Qtde],super1[Item],tab_alimentos[[#This Row],[Item]],super1[Bairro],mercado10)+SUMIFS(supercb[Qtde],supercb[Item],tab_alimentos[[#This Row],[Item]],supercb[Bairro],mercado10)</f>
        <v>0</v>
      </c>
      <c r="V172" s="4">
        <f>SUMIFS(super1[Qtde],super1[Item],tab_alimentos[[#This Row],[Item]],super1[Bairro],mercado11)+SUMIFS(supercb[Qtde],supercb[Item],tab_alimentos[[#This Row],[Item]],supercb[Bairro],mercado11)</f>
        <v>0</v>
      </c>
      <c r="W172" s="4">
        <f>SUMIFS(super1[Qtde],super1[Item],tab_alimentos[[#This Row],[Item]],super1[Bairro],mercado12)+SUMIFS(supercb[Qtde],supercb[Item],tab_alimentos[[#This Row],[Item]],supercb[Bairro],mercado12)</f>
        <v>0</v>
      </c>
      <c r="X172" s="4">
        <f>SUMIFS(super1[Qtde],super1[Item],tab_alimentos[[#This Row],[Item]],super1[Bairro],mercado13)+SUMIFS(supercb[Qtde],supercb[Item],tab_alimentos[[#This Row],[Item]],supercb[Bairro],mercado13)</f>
        <v>0</v>
      </c>
      <c r="Y172" s="4">
        <f>SUMIFS(super1[Qtde],super1[Item],tab_alimentos[[#This Row],[Item]],super1[Bairro],mercado14)+SUMIFS(supercb[Qtde],supercb[Item],tab_alimentos[[#This Row],[Item]],supercb[Bairro],mercado14)</f>
        <v>0</v>
      </c>
      <c r="Z172" s="4">
        <f>SUMIFS(super1[Qtde],super1[Item],tab_alimentos[[#This Row],[Item]],super1[Bairro],mercado15)+SUMIFS(supercb[Qtde],supercb[Item],tab_alimentos[[#This Row],[Item]],supercb[Bairro],mercado15)</f>
        <v>0</v>
      </c>
      <c r="AA172" s="4">
        <f>SUMIFS(super1[Qtde],super1[Item],tab_alimentos[[#This Row],[Item]],super1[Bairro],mercado16)+SUMIFS(supercb[Qtde],supercb[Item],tab_alimentos[[#This Row],[Item]],supercb[Bairro],mercado16)</f>
        <v>0</v>
      </c>
      <c r="AB172" s="4">
        <f>SUMIFS(super1[Qtde],super1[Item],tab_alimentos[[#This Row],[Item]],super1[Bairro],mercado17)+SUMIFS(supercb[Qtde],supercb[Item],tab_alimentos[[#This Row],[Item]],supercb[Bairro],mercado17)</f>
        <v>0</v>
      </c>
      <c r="AC172" s="4">
        <f>SUMIFS(super1[Qtde],super1[Item],tab_alimentos[[#This Row],[Item]],super1[Bairro],mercado18)+SUMIFS(supercb[Qtde],supercb[Item],tab_alimentos[[#This Row],[Item]],supercb[Bairro],mercado18)</f>
        <v>0</v>
      </c>
      <c r="AD172" s="4">
        <f>SUMIFS(super1[Qtde],super1[Item],tab_alimentos[[#This Row],[Item]],super1[Bairro],extras)+SUMIFS(supercb[Qtde],supercb[Item],tab_alimentos[[#This Row],[Item]],supercb[Bairro],extras)</f>
        <v>0</v>
      </c>
      <c r="AE172" s="4">
        <f t="shared" si="67"/>
        <v>0</v>
      </c>
      <c r="AF172" s="4">
        <f t="shared" si="68"/>
        <v>0</v>
      </c>
      <c r="AG172" s="6">
        <f t="shared" si="69"/>
        <v>0</v>
      </c>
      <c r="AH172" s="19" t="str">
        <f>higiene[[#This Row],[Item]]</f>
        <v>Multiuso (750mL)</v>
      </c>
      <c r="AI172" s="4">
        <f>IFERROR(higiene[[#This Row],[Kg equivalente]],0)</f>
        <v>0</v>
      </c>
      <c r="AJ172" s="4">
        <f>IFERROR(higiene[[#This Row],[Preço por produto]],0)</f>
        <v>6.78</v>
      </c>
      <c r="AK172" s="4">
        <f>SUMIFS(super1[Qtde],super1[Item],tab_higiene[[#This Row],[Item]],super1[Bairro],mercado1)+SUMIFS(supercb[Qtde],supercb[Item],tab_higiene[[#This Row],[Item]],supercb[Bairro],mercado1)</f>
        <v>0</v>
      </c>
      <c r="AL172" s="4">
        <f>SUMIFS(super1[Qtde],super1[Item],tab_higiene[[#This Row],[Item]],super1[Bairro],mercado2)+SUMIFS(supercb[Qtde],supercb[Item],tab_higiene[[#This Row],[Item]],supercb[Bairro],mercado2)</f>
        <v>0</v>
      </c>
      <c r="AM172" s="4">
        <f>SUMIFS(super1[Qtde],super1[Item],tab_higiene[[#This Row],[Item]],super1[Bairro],mercado3)+SUMIFS(supercb[Qtde],supercb[Item],tab_higiene[[#This Row],[Item]],supercb[Bairro],mercado3)</f>
        <v>0</v>
      </c>
      <c r="AN172" s="4">
        <f>SUMIFS(super1[Qtde],super1[Item],tab_higiene[[#This Row],[Item]],super1[Bairro],mercado4)+SUMIFS(supercb[Qtde],supercb[Item],tab_higiene[[#This Row],[Item]],supercb[Bairro],mercado4)</f>
        <v>0</v>
      </c>
      <c r="AO172" s="4">
        <f>SUMIFS(super1[Qtde],super1[Item],tab_higiene[[#This Row],[Item]],super1[Bairro],mercado5)+SUMIFS(supercb[Qtde],supercb[Item],tab_higiene[[#This Row],[Item]],supercb[Bairro],mercado5)</f>
        <v>0</v>
      </c>
      <c r="AP172" s="4">
        <f>SUMIFS(super1[Qtde],super1[Item],tab_higiene[[#This Row],[Item]],super1[Bairro],mercado6)+SUMIFS(supercb[Qtde],supercb[Item],tab_higiene[[#This Row],[Item]],supercb[Bairro],mercado6)</f>
        <v>0</v>
      </c>
      <c r="AQ172" s="4">
        <f>SUMIFS(super1[Qtde],super1[Item],tab_higiene[[#This Row],[Item]],super1[Bairro],mercado7)+SUMIFS(supercb[Qtde],supercb[Item],tab_higiene[[#This Row],[Item]],supercb[Bairro],mercado7)</f>
        <v>0</v>
      </c>
      <c r="AR172" s="4">
        <f>SUMIFS(super1[Qtde],super1[Item],tab_higiene[[#This Row],[Item]],super1[Bairro],mercado8)+SUMIFS(supercb[Qtde],supercb[Item],tab_higiene[[#This Row],[Item]],supercb[Bairro],mercado8)</f>
        <v>0</v>
      </c>
      <c r="AS172" s="4">
        <f>SUMIFS(super1[Qtde],super1[Item],tab_higiene[[#This Row],[Item]],super1[Bairro],mercado9)+SUMIFS(supercb[Qtde],supercb[Item],tab_higiene[[#This Row],[Item]],supercb[Bairro],mercado9)</f>
        <v>0</v>
      </c>
      <c r="AT172" s="4">
        <f>SUMIFS(super1[Qtde],super1[Item],tab_higiene[[#This Row],[Item]],super1[Bairro],mercado10)+SUMIFS(supercb[Qtde],supercb[Item],tab_higiene[[#This Row],[Item]],supercb[Bairro],mercado10)</f>
        <v>0</v>
      </c>
      <c r="AU172" s="4">
        <f>SUMIFS(super1[Qtde],super1[Item],tab_higiene[[#This Row],[Item]],super1[Bairro],mercado11)+SUMIFS(supercb[Qtde],supercb[Item],tab_higiene[[#This Row],[Item]],supercb[Bairro],mercado11)</f>
        <v>0</v>
      </c>
      <c r="AV172" s="4">
        <f>SUMIFS(super1[Qtde],super1[Item],tab_higiene[[#This Row],[Item]],super1[Bairro],mercado12)+SUMIFS(supercb[Qtde],supercb[Item],tab_higiene[[#This Row],[Item]],supercb[Bairro],mercado12)</f>
        <v>0</v>
      </c>
      <c r="AW172" s="4">
        <f>SUMIFS(super1[Qtde],super1[Item],tab_higiene[[#This Row],[Item]],super1[Bairro],mercado13)+SUMIFS(supercb[Qtde],supercb[Item],tab_higiene[[#This Row],[Item]],supercb[Bairro],mercado13)</f>
        <v>0</v>
      </c>
      <c r="AX172" s="4">
        <f>SUMIFS(super1[Qtde],super1[Item],tab_higiene[[#This Row],[Item]],super1[Bairro],mercado14)+SUMIFS(supercb[Qtde],supercb[Item],tab_higiene[[#This Row],[Item]],supercb[Bairro],mercado14)</f>
        <v>0</v>
      </c>
      <c r="AY172" s="4">
        <f>SUMIFS(super1[Qtde],super1[Item],tab_higiene[[#This Row],[Item]],super1[Bairro],mercado15)+SUMIFS(supercb[Qtde],supercb[Item],tab_higiene[[#This Row],[Item]],supercb[Bairro],mercado15)</f>
        <v>0</v>
      </c>
      <c r="AZ172" s="4">
        <f>SUMIFS(super1[Qtde],super1[Item],tab_higiene[[#This Row],[Item]],super1[Bairro],mercado16)+SUMIFS(supercb[Qtde],supercb[Item],tab_higiene[[#This Row],[Item]],supercb[Bairro],mercado16)</f>
        <v>0</v>
      </c>
      <c r="BA172" s="4">
        <f>SUMIFS(super1[Qtde],super1[Item],tab_higiene[[#This Row],[Item]],super1[Bairro],mercado17)+SUMIFS(supercb[Qtde],supercb[Item],tab_higiene[[#This Row],[Item]],supercb[Bairro],mercado17)</f>
        <v>0</v>
      </c>
      <c r="BB172" s="4">
        <f>SUMIFS(super1[Qtde],super1[Item],tab_higiene[[#This Row],[Item]],super1[Bairro],mercado18)+SUMIFS(supercb[Qtde],supercb[Item],tab_higiene[[#This Row],[Item]],supercb[Bairro],mercado18)</f>
        <v>0</v>
      </c>
      <c r="BC172" s="4">
        <f>SUMIFS(super1[Qtde],super1[Item],tab_higiene[[#This Row],[Item]],super1[Bairro],extras)+SUMIFS(supercb[Qtde],supercb[Item],tab_higiene[[#This Row],[Item]],supercb[Bairro],extras)</f>
        <v>0</v>
      </c>
      <c r="BD172" s="4">
        <f t="shared" si="70"/>
        <v>0</v>
      </c>
      <c r="BE172" s="4">
        <f t="shared" si="71"/>
        <v>0</v>
      </c>
      <c r="BF172" s="6">
        <f t="shared" si="72"/>
        <v>0</v>
      </c>
    </row>
    <row r="173" spans="9:58" x14ac:dyDescent="0.25">
      <c r="I173" s="19" t="str">
        <f>alimentos[[#This Row],[Item]]</f>
        <v>Chocolate (126g)</v>
      </c>
      <c r="J173" s="4">
        <f>IFERROR(alimentos[[#This Row],[kg/embalagem]],0)</f>
        <v>0.126</v>
      </c>
      <c r="K173" s="4">
        <f>IFERROR(alimentos[[#This Row],[Preço]],0)</f>
        <v>3.99</v>
      </c>
      <c r="L173" s="4">
        <f>SUMIFS(super1[Qtde],super1[Item],tab_alimentos[[#This Row],[Item]],super1[Bairro],mercado1)+SUMIFS(supercb[Qtde],supercb[Item],tab_alimentos[[#This Row],[Item]],supercb[Bairro],mercado1)</f>
        <v>0</v>
      </c>
      <c r="M173" s="4">
        <f>SUMIFS(super1[Qtde],super1[Item],tab_alimentos[[#This Row],[Item]],super1[Bairro],mercado2)+SUMIFS(supercb[Qtde],supercb[Item],tab_alimentos[[#This Row],[Item]],supercb[Bairro],mercado2)</f>
        <v>0</v>
      </c>
      <c r="N173" s="4">
        <f>SUMIFS(super1[Qtde],super1[Item],tab_alimentos[[#This Row],[Item]],super1[Bairro],mercado3)+SUMIFS(supercb[Qtde],supercb[Item],tab_alimentos[[#This Row],[Item]],supercb[Bairro],mercado3)</f>
        <v>0</v>
      </c>
      <c r="O173" s="4">
        <f>SUMIFS(super1[Qtde],super1[Item],tab_alimentos[[#This Row],[Item]],super1[Bairro],mercado4)+SUMIFS(supercb[Qtde],supercb[Item],tab_alimentos[[#This Row],[Item]],supercb[Bairro],mercado4)</f>
        <v>0</v>
      </c>
      <c r="P173" s="4">
        <f>SUMIFS(super1[Qtde],super1[Item],tab_alimentos[[#This Row],[Item]],super1[Bairro],mercado5)+SUMIFS(supercb[Qtde],supercb[Item],tab_alimentos[[#This Row],[Item]],supercb[Bairro],mercado5)</f>
        <v>0</v>
      </c>
      <c r="Q173" s="4">
        <f>SUMIFS(super1[Qtde],super1[Item],tab_alimentos[[#This Row],[Item]],super1[Bairro],mercado6)+SUMIFS(supercb[Qtde],supercb[Item],tab_alimentos[[#This Row],[Item]],supercb[Bairro],mercado6)</f>
        <v>0</v>
      </c>
      <c r="R173" s="4">
        <f>SUMIFS(super1[Qtde],super1[Item],tab_alimentos[[#This Row],[Item]],super1[Bairro],mercado7)+SUMIFS(supercb[Qtde],supercb[Item],tab_alimentos[[#This Row],[Item]],supercb[Bairro],mercado7)</f>
        <v>0</v>
      </c>
      <c r="S173" s="4">
        <f>SUMIFS(super1[Qtde],super1[Item],tab_alimentos[[#This Row],[Item]],super1[Bairro],mercado8)+SUMIFS(supercb[Qtde],supercb[Item],tab_alimentos[[#This Row],[Item]],supercb[Bairro],mercado8)</f>
        <v>0</v>
      </c>
      <c r="T173" s="4">
        <f>SUMIFS(super1[Qtde],super1[Item],tab_alimentos[[#This Row],[Item]],super1[Bairro],mercado9)+SUMIFS(supercb[Qtde],supercb[Item],tab_alimentos[[#This Row],[Item]],supercb[Bairro],mercado9)</f>
        <v>0</v>
      </c>
      <c r="U173" s="4">
        <f>SUMIFS(super1[Qtde],super1[Item],tab_alimentos[[#This Row],[Item]],super1[Bairro],mercado10)+SUMIFS(supercb[Qtde],supercb[Item],tab_alimentos[[#This Row],[Item]],supercb[Bairro],mercado10)</f>
        <v>0</v>
      </c>
      <c r="V173" s="4">
        <f>SUMIFS(super1[Qtde],super1[Item],tab_alimentos[[#This Row],[Item]],super1[Bairro],mercado11)+SUMIFS(supercb[Qtde],supercb[Item],tab_alimentos[[#This Row],[Item]],supercb[Bairro],mercado11)</f>
        <v>0</v>
      </c>
      <c r="W173" s="4">
        <f>SUMIFS(super1[Qtde],super1[Item],tab_alimentos[[#This Row],[Item]],super1[Bairro],mercado12)+SUMIFS(supercb[Qtde],supercb[Item],tab_alimentos[[#This Row],[Item]],supercb[Bairro],mercado12)</f>
        <v>0</v>
      </c>
      <c r="X173" s="4">
        <f>SUMIFS(super1[Qtde],super1[Item],tab_alimentos[[#This Row],[Item]],super1[Bairro],mercado13)+SUMIFS(supercb[Qtde],supercb[Item],tab_alimentos[[#This Row],[Item]],supercb[Bairro],mercado13)</f>
        <v>0</v>
      </c>
      <c r="Y173" s="4">
        <f>SUMIFS(super1[Qtde],super1[Item],tab_alimentos[[#This Row],[Item]],super1[Bairro],mercado14)+SUMIFS(supercb[Qtde],supercb[Item],tab_alimentos[[#This Row],[Item]],supercb[Bairro],mercado14)</f>
        <v>0</v>
      </c>
      <c r="Z173" s="4">
        <f>SUMIFS(super1[Qtde],super1[Item],tab_alimentos[[#This Row],[Item]],super1[Bairro],mercado15)+SUMIFS(supercb[Qtde],supercb[Item],tab_alimentos[[#This Row],[Item]],supercb[Bairro],mercado15)</f>
        <v>0</v>
      </c>
      <c r="AA173" s="4">
        <f>SUMIFS(super1[Qtde],super1[Item],tab_alimentos[[#This Row],[Item]],super1[Bairro],mercado16)+SUMIFS(supercb[Qtde],supercb[Item],tab_alimentos[[#This Row],[Item]],supercb[Bairro],mercado16)</f>
        <v>0</v>
      </c>
      <c r="AB173" s="4">
        <f>SUMIFS(super1[Qtde],super1[Item],tab_alimentos[[#This Row],[Item]],super1[Bairro],mercado17)+SUMIFS(supercb[Qtde],supercb[Item],tab_alimentos[[#This Row],[Item]],supercb[Bairro],mercado17)</f>
        <v>0</v>
      </c>
      <c r="AC173" s="4">
        <f>SUMIFS(super1[Qtde],super1[Item],tab_alimentos[[#This Row],[Item]],super1[Bairro],mercado18)+SUMIFS(supercb[Qtde],supercb[Item],tab_alimentos[[#This Row],[Item]],supercb[Bairro],mercado18)</f>
        <v>0</v>
      </c>
      <c r="AD173" s="4">
        <f>SUMIFS(super1[Qtde],super1[Item],tab_alimentos[[#This Row],[Item]],super1[Bairro],extras)+SUMIFS(supercb[Qtde],supercb[Item],tab_alimentos[[#This Row],[Item]],supercb[Bairro],extras)</f>
        <v>0</v>
      </c>
      <c r="AE173" s="4">
        <f t="shared" si="67"/>
        <v>0</v>
      </c>
      <c r="AF173" s="4">
        <f t="shared" si="68"/>
        <v>0</v>
      </c>
      <c r="AG173" s="6">
        <f t="shared" si="69"/>
        <v>0</v>
      </c>
      <c r="AH173" s="19" t="str">
        <f>higiene[[#This Row],[Item]]</f>
        <v>Multiuso Pacote 3 Unidades (500mL)</v>
      </c>
      <c r="AI173" s="4">
        <f>IFERROR(higiene[[#This Row],[Kg equivalente]],0)</f>
        <v>0</v>
      </c>
      <c r="AJ173" s="4">
        <f>IFERROR(higiene[[#This Row],[Preço por produto]],0)</f>
        <v>11.9</v>
      </c>
      <c r="AK173" s="4">
        <f>SUMIFS(super1[Qtde],super1[Item],tab_higiene[[#This Row],[Item]],super1[Bairro],mercado1)+SUMIFS(supercb[Qtde],supercb[Item],tab_higiene[[#This Row],[Item]],supercb[Bairro],mercado1)</f>
        <v>0</v>
      </c>
      <c r="AL173" s="4">
        <f>SUMIFS(super1[Qtde],super1[Item],tab_higiene[[#This Row],[Item]],super1[Bairro],mercado2)+SUMIFS(supercb[Qtde],supercb[Item],tab_higiene[[#This Row],[Item]],supercb[Bairro],mercado2)</f>
        <v>0</v>
      </c>
      <c r="AM173" s="4">
        <f>SUMIFS(super1[Qtde],super1[Item],tab_higiene[[#This Row],[Item]],super1[Bairro],mercado3)+SUMIFS(supercb[Qtde],supercb[Item],tab_higiene[[#This Row],[Item]],supercb[Bairro],mercado3)</f>
        <v>0</v>
      </c>
      <c r="AN173" s="4">
        <f>SUMIFS(super1[Qtde],super1[Item],tab_higiene[[#This Row],[Item]],super1[Bairro],mercado4)+SUMIFS(supercb[Qtde],supercb[Item],tab_higiene[[#This Row],[Item]],supercb[Bairro],mercado4)</f>
        <v>0</v>
      </c>
      <c r="AO173" s="4">
        <f>SUMIFS(super1[Qtde],super1[Item],tab_higiene[[#This Row],[Item]],super1[Bairro],mercado5)+SUMIFS(supercb[Qtde],supercb[Item],tab_higiene[[#This Row],[Item]],supercb[Bairro],mercado5)</f>
        <v>0</v>
      </c>
      <c r="AP173" s="4">
        <f>SUMIFS(super1[Qtde],super1[Item],tab_higiene[[#This Row],[Item]],super1[Bairro],mercado6)+SUMIFS(supercb[Qtde],supercb[Item],tab_higiene[[#This Row],[Item]],supercb[Bairro],mercado6)</f>
        <v>0</v>
      </c>
      <c r="AQ173" s="4">
        <f>SUMIFS(super1[Qtde],super1[Item],tab_higiene[[#This Row],[Item]],super1[Bairro],mercado7)+SUMIFS(supercb[Qtde],supercb[Item],tab_higiene[[#This Row],[Item]],supercb[Bairro],mercado7)</f>
        <v>0</v>
      </c>
      <c r="AR173" s="4">
        <f>SUMIFS(super1[Qtde],super1[Item],tab_higiene[[#This Row],[Item]],super1[Bairro],mercado8)+SUMIFS(supercb[Qtde],supercb[Item],tab_higiene[[#This Row],[Item]],supercb[Bairro],mercado8)</f>
        <v>0</v>
      </c>
      <c r="AS173" s="4">
        <f>SUMIFS(super1[Qtde],super1[Item],tab_higiene[[#This Row],[Item]],super1[Bairro],mercado9)+SUMIFS(supercb[Qtde],supercb[Item],tab_higiene[[#This Row],[Item]],supercb[Bairro],mercado9)</f>
        <v>0</v>
      </c>
      <c r="AT173" s="4">
        <f>SUMIFS(super1[Qtde],super1[Item],tab_higiene[[#This Row],[Item]],super1[Bairro],mercado10)+SUMIFS(supercb[Qtde],supercb[Item],tab_higiene[[#This Row],[Item]],supercb[Bairro],mercado10)</f>
        <v>0</v>
      </c>
      <c r="AU173" s="4">
        <f>SUMIFS(super1[Qtde],super1[Item],tab_higiene[[#This Row],[Item]],super1[Bairro],mercado11)+SUMIFS(supercb[Qtde],supercb[Item],tab_higiene[[#This Row],[Item]],supercb[Bairro],mercado11)</f>
        <v>0</v>
      </c>
      <c r="AV173" s="4">
        <f>SUMIFS(super1[Qtde],super1[Item],tab_higiene[[#This Row],[Item]],super1[Bairro],mercado12)+SUMIFS(supercb[Qtde],supercb[Item],tab_higiene[[#This Row],[Item]],supercb[Bairro],mercado12)</f>
        <v>0</v>
      </c>
      <c r="AW173" s="4">
        <f>SUMIFS(super1[Qtde],super1[Item],tab_higiene[[#This Row],[Item]],super1[Bairro],mercado13)+SUMIFS(supercb[Qtde],supercb[Item],tab_higiene[[#This Row],[Item]],supercb[Bairro],mercado13)</f>
        <v>0</v>
      </c>
      <c r="AX173" s="4">
        <f>SUMIFS(super1[Qtde],super1[Item],tab_higiene[[#This Row],[Item]],super1[Bairro],mercado14)+SUMIFS(supercb[Qtde],supercb[Item],tab_higiene[[#This Row],[Item]],supercb[Bairro],mercado14)</f>
        <v>0</v>
      </c>
      <c r="AY173" s="4">
        <f>SUMIFS(super1[Qtde],super1[Item],tab_higiene[[#This Row],[Item]],super1[Bairro],mercado15)+SUMIFS(supercb[Qtde],supercb[Item],tab_higiene[[#This Row],[Item]],supercb[Bairro],mercado15)</f>
        <v>0</v>
      </c>
      <c r="AZ173" s="4">
        <f>SUMIFS(super1[Qtde],super1[Item],tab_higiene[[#This Row],[Item]],super1[Bairro],mercado16)+SUMIFS(supercb[Qtde],supercb[Item],tab_higiene[[#This Row],[Item]],supercb[Bairro],mercado16)</f>
        <v>0</v>
      </c>
      <c r="BA173" s="4">
        <f>SUMIFS(super1[Qtde],super1[Item],tab_higiene[[#This Row],[Item]],super1[Bairro],mercado17)+SUMIFS(supercb[Qtde],supercb[Item],tab_higiene[[#This Row],[Item]],supercb[Bairro],mercado17)</f>
        <v>0</v>
      </c>
      <c r="BB173" s="4">
        <f>SUMIFS(super1[Qtde],super1[Item],tab_higiene[[#This Row],[Item]],super1[Bairro],mercado18)+SUMIFS(supercb[Qtde],supercb[Item],tab_higiene[[#This Row],[Item]],supercb[Bairro],mercado18)</f>
        <v>0</v>
      </c>
      <c r="BC173" s="4">
        <f>SUMIFS(super1[Qtde],super1[Item],tab_higiene[[#This Row],[Item]],super1[Bairro],extras)+SUMIFS(supercb[Qtde],supercb[Item],tab_higiene[[#This Row],[Item]],supercb[Bairro],extras)</f>
        <v>0</v>
      </c>
      <c r="BD173" s="4">
        <f t="shared" si="70"/>
        <v>0</v>
      </c>
      <c r="BE173" s="4">
        <f t="shared" si="71"/>
        <v>0</v>
      </c>
      <c r="BF173" s="6">
        <f t="shared" si="72"/>
        <v>0</v>
      </c>
    </row>
    <row r="174" spans="9:58" x14ac:dyDescent="0.25">
      <c r="I174" s="19" t="str">
        <f>alimentos[[#This Row],[Item]]</f>
        <v>Chocolate Barra (100g)</v>
      </c>
      <c r="J174" s="4">
        <f>IFERROR(alimentos[[#This Row],[kg/embalagem]],0)</f>
        <v>0.1</v>
      </c>
      <c r="K174" s="4">
        <f>IFERROR(alimentos[[#This Row],[Preço]],0)</f>
        <v>14.8</v>
      </c>
      <c r="L174" s="4">
        <f>SUMIFS(super1[Qtde],super1[Item],tab_alimentos[[#This Row],[Item]],super1[Bairro],mercado1)+SUMIFS(supercb[Qtde],supercb[Item],tab_alimentos[[#This Row],[Item]],supercb[Bairro],mercado1)</f>
        <v>0</v>
      </c>
      <c r="M174" s="4">
        <f>SUMIFS(super1[Qtde],super1[Item],tab_alimentos[[#This Row],[Item]],super1[Bairro],mercado2)+SUMIFS(supercb[Qtde],supercb[Item],tab_alimentos[[#This Row],[Item]],supercb[Bairro],mercado2)</f>
        <v>0</v>
      </c>
      <c r="N174" s="4">
        <f>SUMIFS(super1[Qtde],super1[Item],tab_alimentos[[#This Row],[Item]],super1[Bairro],mercado3)+SUMIFS(supercb[Qtde],supercb[Item],tab_alimentos[[#This Row],[Item]],supercb[Bairro],mercado3)</f>
        <v>0</v>
      </c>
      <c r="O174" s="4">
        <f>SUMIFS(super1[Qtde],super1[Item],tab_alimentos[[#This Row],[Item]],super1[Bairro],mercado4)+SUMIFS(supercb[Qtde],supercb[Item],tab_alimentos[[#This Row],[Item]],supercb[Bairro],mercado4)</f>
        <v>0</v>
      </c>
      <c r="P174" s="4">
        <f>SUMIFS(super1[Qtde],super1[Item],tab_alimentos[[#This Row],[Item]],super1[Bairro],mercado5)+SUMIFS(supercb[Qtde],supercb[Item],tab_alimentos[[#This Row],[Item]],supercb[Bairro],mercado5)</f>
        <v>0</v>
      </c>
      <c r="Q174" s="4">
        <f>SUMIFS(super1[Qtde],super1[Item],tab_alimentos[[#This Row],[Item]],super1[Bairro],mercado6)+SUMIFS(supercb[Qtde],supercb[Item],tab_alimentos[[#This Row],[Item]],supercb[Bairro],mercado6)</f>
        <v>0</v>
      </c>
      <c r="R174" s="4">
        <f>SUMIFS(super1[Qtde],super1[Item],tab_alimentos[[#This Row],[Item]],super1[Bairro],mercado7)+SUMIFS(supercb[Qtde],supercb[Item],tab_alimentos[[#This Row],[Item]],supercb[Bairro],mercado7)</f>
        <v>0</v>
      </c>
      <c r="S174" s="4">
        <f>SUMIFS(super1[Qtde],super1[Item],tab_alimentos[[#This Row],[Item]],super1[Bairro],mercado8)+SUMIFS(supercb[Qtde],supercb[Item],tab_alimentos[[#This Row],[Item]],supercb[Bairro],mercado8)</f>
        <v>0</v>
      </c>
      <c r="T174" s="4">
        <f>SUMIFS(super1[Qtde],super1[Item],tab_alimentos[[#This Row],[Item]],super1[Bairro],mercado9)+SUMIFS(supercb[Qtde],supercb[Item],tab_alimentos[[#This Row],[Item]],supercb[Bairro],mercado9)</f>
        <v>0</v>
      </c>
      <c r="U174" s="4">
        <f>SUMIFS(super1[Qtde],super1[Item],tab_alimentos[[#This Row],[Item]],super1[Bairro],mercado10)+SUMIFS(supercb[Qtde],supercb[Item],tab_alimentos[[#This Row],[Item]],supercb[Bairro],mercado10)</f>
        <v>0</v>
      </c>
      <c r="V174" s="4">
        <f>SUMIFS(super1[Qtde],super1[Item],tab_alimentos[[#This Row],[Item]],super1[Bairro],mercado11)+SUMIFS(supercb[Qtde],supercb[Item],tab_alimentos[[#This Row],[Item]],supercb[Bairro],mercado11)</f>
        <v>0</v>
      </c>
      <c r="W174" s="4">
        <f>SUMIFS(super1[Qtde],super1[Item],tab_alimentos[[#This Row],[Item]],super1[Bairro],mercado12)+SUMIFS(supercb[Qtde],supercb[Item],tab_alimentos[[#This Row],[Item]],supercb[Bairro],mercado12)</f>
        <v>0</v>
      </c>
      <c r="X174" s="4">
        <f>SUMIFS(super1[Qtde],super1[Item],tab_alimentos[[#This Row],[Item]],super1[Bairro],mercado13)+SUMIFS(supercb[Qtde],supercb[Item],tab_alimentos[[#This Row],[Item]],supercb[Bairro],mercado13)</f>
        <v>0</v>
      </c>
      <c r="Y174" s="4">
        <f>SUMIFS(super1[Qtde],super1[Item],tab_alimentos[[#This Row],[Item]],super1[Bairro],mercado14)+SUMIFS(supercb[Qtde],supercb[Item],tab_alimentos[[#This Row],[Item]],supercb[Bairro],mercado14)</f>
        <v>0</v>
      </c>
      <c r="Z174" s="4">
        <f>SUMIFS(super1[Qtde],super1[Item],tab_alimentos[[#This Row],[Item]],super1[Bairro],mercado15)+SUMIFS(supercb[Qtde],supercb[Item],tab_alimentos[[#This Row],[Item]],supercb[Bairro],mercado15)</f>
        <v>0</v>
      </c>
      <c r="AA174" s="4">
        <f>SUMIFS(super1[Qtde],super1[Item],tab_alimentos[[#This Row],[Item]],super1[Bairro],mercado16)+SUMIFS(supercb[Qtde],supercb[Item],tab_alimentos[[#This Row],[Item]],supercb[Bairro],mercado16)</f>
        <v>0</v>
      </c>
      <c r="AB174" s="4">
        <f>SUMIFS(super1[Qtde],super1[Item],tab_alimentos[[#This Row],[Item]],super1[Bairro],mercado17)+SUMIFS(supercb[Qtde],supercb[Item],tab_alimentos[[#This Row],[Item]],supercb[Bairro],mercado17)</f>
        <v>0</v>
      </c>
      <c r="AC174" s="4">
        <f>SUMIFS(super1[Qtde],super1[Item],tab_alimentos[[#This Row],[Item]],super1[Bairro],mercado18)+SUMIFS(supercb[Qtde],supercb[Item],tab_alimentos[[#This Row],[Item]],supercb[Bairro],mercado18)</f>
        <v>0</v>
      </c>
      <c r="AD174" s="4">
        <f>SUMIFS(super1[Qtde],super1[Item],tab_alimentos[[#This Row],[Item]],super1[Bairro],extras)+SUMIFS(supercb[Qtde],supercb[Item],tab_alimentos[[#This Row],[Item]],supercb[Bairro],extras)</f>
        <v>0</v>
      </c>
      <c r="AE174" s="4">
        <f t="shared" si="67"/>
        <v>0</v>
      </c>
      <c r="AF174" s="4">
        <f t="shared" si="68"/>
        <v>0</v>
      </c>
      <c r="AG174" s="6">
        <f t="shared" si="69"/>
        <v>0</v>
      </c>
      <c r="AH174" s="19" t="str">
        <f>higiene[[#This Row],[Item]]</f>
        <v>N</v>
      </c>
      <c r="AI174" s="4">
        <f>IFERROR(higiene[[#This Row],[Kg equivalente]],0)</f>
        <v>0</v>
      </c>
      <c r="AJ174" s="4">
        <f>IFERROR(higiene[[#This Row],[Preço por produto]],0)</f>
        <v>0</v>
      </c>
      <c r="AK174" s="4">
        <f>SUMIFS(super1[Qtde],super1[Item],tab_higiene[[#This Row],[Item]],super1[Bairro],mercado1)+SUMIFS(supercb[Qtde],supercb[Item],tab_higiene[[#This Row],[Item]],supercb[Bairro],mercado1)</f>
        <v>0</v>
      </c>
      <c r="AL174" s="4">
        <f>SUMIFS(super1[Qtde],super1[Item],tab_higiene[[#This Row],[Item]],super1[Bairro],mercado2)+SUMIFS(supercb[Qtde],supercb[Item],tab_higiene[[#This Row],[Item]],supercb[Bairro],mercado2)</f>
        <v>0</v>
      </c>
      <c r="AM174" s="4">
        <f>SUMIFS(super1[Qtde],super1[Item],tab_higiene[[#This Row],[Item]],super1[Bairro],mercado3)+SUMIFS(supercb[Qtde],supercb[Item],tab_higiene[[#This Row],[Item]],supercb[Bairro],mercado3)</f>
        <v>0</v>
      </c>
      <c r="AN174" s="4">
        <f>SUMIFS(super1[Qtde],super1[Item],tab_higiene[[#This Row],[Item]],super1[Bairro],mercado4)+SUMIFS(supercb[Qtde],supercb[Item],tab_higiene[[#This Row],[Item]],supercb[Bairro],mercado4)</f>
        <v>0</v>
      </c>
      <c r="AO174" s="4">
        <f>SUMIFS(super1[Qtde],super1[Item],tab_higiene[[#This Row],[Item]],super1[Bairro],mercado5)+SUMIFS(supercb[Qtde],supercb[Item],tab_higiene[[#This Row],[Item]],supercb[Bairro],mercado5)</f>
        <v>0</v>
      </c>
      <c r="AP174" s="4">
        <f>SUMIFS(super1[Qtde],super1[Item],tab_higiene[[#This Row],[Item]],super1[Bairro],mercado6)+SUMIFS(supercb[Qtde],supercb[Item],tab_higiene[[#This Row],[Item]],supercb[Bairro],mercado6)</f>
        <v>0</v>
      </c>
      <c r="AQ174" s="4">
        <f>SUMIFS(super1[Qtde],super1[Item],tab_higiene[[#This Row],[Item]],super1[Bairro],mercado7)+SUMIFS(supercb[Qtde],supercb[Item],tab_higiene[[#This Row],[Item]],supercb[Bairro],mercado7)</f>
        <v>0</v>
      </c>
      <c r="AR174" s="4">
        <f>SUMIFS(super1[Qtde],super1[Item],tab_higiene[[#This Row],[Item]],super1[Bairro],mercado8)+SUMIFS(supercb[Qtde],supercb[Item],tab_higiene[[#This Row],[Item]],supercb[Bairro],mercado8)</f>
        <v>0</v>
      </c>
      <c r="AS174" s="4">
        <f>SUMIFS(super1[Qtde],super1[Item],tab_higiene[[#This Row],[Item]],super1[Bairro],mercado9)+SUMIFS(supercb[Qtde],supercb[Item],tab_higiene[[#This Row],[Item]],supercb[Bairro],mercado9)</f>
        <v>0</v>
      </c>
      <c r="AT174" s="4">
        <f>SUMIFS(super1[Qtde],super1[Item],tab_higiene[[#This Row],[Item]],super1[Bairro],mercado10)+SUMIFS(supercb[Qtde],supercb[Item],tab_higiene[[#This Row],[Item]],supercb[Bairro],mercado10)</f>
        <v>0</v>
      </c>
      <c r="AU174" s="4">
        <f>SUMIFS(super1[Qtde],super1[Item],tab_higiene[[#This Row],[Item]],super1[Bairro],mercado11)+SUMIFS(supercb[Qtde],supercb[Item],tab_higiene[[#This Row],[Item]],supercb[Bairro],mercado11)</f>
        <v>0</v>
      </c>
      <c r="AV174" s="4">
        <f>SUMIFS(super1[Qtde],super1[Item],tab_higiene[[#This Row],[Item]],super1[Bairro],mercado12)+SUMIFS(supercb[Qtde],supercb[Item],tab_higiene[[#This Row],[Item]],supercb[Bairro],mercado12)</f>
        <v>0</v>
      </c>
      <c r="AW174" s="4">
        <f>SUMIFS(super1[Qtde],super1[Item],tab_higiene[[#This Row],[Item]],super1[Bairro],mercado13)+SUMIFS(supercb[Qtde],supercb[Item],tab_higiene[[#This Row],[Item]],supercb[Bairro],mercado13)</f>
        <v>0</v>
      </c>
      <c r="AX174" s="4">
        <f>SUMIFS(super1[Qtde],super1[Item],tab_higiene[[#This Row],[Item]],super1[Bairro],mercado14)+SUMIFS(supercb[Qtde],supercb[Item],tab_higiene[[#This Row],[Item]],supercb[Bairro],mercado14)</f>
        <v>0</v>
      </c>
      <c r="AY174" s="4">
        <f>SUMIFS(super1[Qtde],super1[Item],tab_higiene[[#This Row],[Item]],super1[Bairro],mercado15)+SUMIFS(supercb[Qtde],supercb[Item],tab_higiene[[#This Row],[Item]],supercb[Bairro],mercado15)</f>
        <v>0</v>
      </c>
      <c r="AZ174" s="4">
        <f>SUMIFS(super1[Qtde],super1[Item],tab_higiene[[#This Row],[Item]],super1[Bairro],mercado16)+SUMIFS(supercb[Qtde],supercb[Item],tab_higiene[[#This Row],[Item]],supercb[Bairro],mercado16)</f>
        <v>0</v>
      </c>
      <c r="BA174" s="4">
        <f>SUMIFS(super1[Qtde],super1[Item],tab_higiene[[#This Row],[Item]],super1[Bairro],mercado17)+SUMIFS(supercb[Qtde],supercb[Item],tab_higiene[[#This Row],[Item]],supercb[Bairro],mercado17)</f>
        <v>0</v>
      </c>
      <c r="BB174" s="4">
        <f>SUMIFS(super1[Qtde],super1[Item],tab_higiene[[#This Row],[Item]],super1[Bairro],mercado18)+SUMIFS(supercb[Qtde],supercb[Item],tab_higiene[[#This Row],[Item]],supercb[Bairro],mercado18)</f>
        <v>0</v>
      </c>
      <c r="BC174" s="4">
        <f>SUMIFS(super1[Qtde],super1[Item],tab_higiene[[#This Row],[Item]],super1[Bairro],extras)+SUMIFS(supercb[Qtde],supercb[Item],tab_higiene[[#This Row],[Item]],supercb[Bairro],extras)</f>
        <v>0</v>
      </c>
      <c r="BD174" s="4">
        <f t="shared" si="70"/>
        <v>0</v>
      </c>
      <c r="BE174" s="4">
        <f t="shared" si="71"/>
        <v>0</v>
      </c>
      <c r="BF174" s="6">
        <f t="shared" si="72"/>
        <v>0</v>
      </c>
    </row>
    <row r="175" spans="9:58" x14ac:dyDescent="0.25">
      <c r="I175" s="19" t="str">
        <f>alimentos[[#This Row],[Item]]</f>
        <v>Chocolate Barra (41,5g)</v>
      </c>
      <c r="J175" s="4">
        <f>IFERROR(alimentos[[#This Row],[kg/embalagem]],0)</f>
        <v>4.1500000000000002E-2</v>
      </c>
      <c r="K175" s="4">
        <f>IFERROR(alimentos[[#This Row],[Preço]],0)</f>
        <v>5.9</v>
      </c>
      <c r="L175" s="4">
        <f>SUMIFS(super1[Qtde],super1[Item],tab_alimentos[[#This Row],[Item]],super1[Bairro],mercado1)+SUMIFS(supercb[Qtde],supercb[Item],tab_alimentos[[#This Row],[Item]],supercb[Bairro],mercado1)</f>
        <v>0</v>
      </c>
      <c r="M175" s="4">
        <f>SUMIFS(super1[Qtde],super1[Item],tab_alimentos[[#This Row],[Item]],super1[Bairro],mercado2)+SUMIFS(supercb[Qtde],supercb[Item],tab_alimentos[[#This Row],[Item]],supercb[Bairro],mercado2)</f>
        <v>0</v>
      </c>
      <c r="N175" s="4">
        <f>SUMIFS(super1[Qtde],super1[Item],tab_alimentos[[#This Row],[Item]],super1[Bairro],mercado3)+SUMIFS(supercb[Qtde],supercb[Item],tab_alimentos[[#This Row],[Item]],supercb[Bairro],mercado3)</f>
        <v>0</v>
      </c>
      <c r="O175" s="4">
        <f>SUMIFS(super1[Qtde],super1[Item],tab_alimentos[[#This Row],[Item]],super1[Bairro],mercado4)+SUMIFS(supercb[Qtde],supercb[Item],tab_alimentos[[#This Row],[Item]],supercb[Bairro],mercado4)</f>
        <v>0</v>
      </c>
      <c r="P175" s="4">
        <f>SUMIFS(super1[Qtde],super1[Item],tab_alimentos[[#This Row],[Item]],super1[Bairro],mercado5)+SUMIFS(supercb[Qtde],supercb[Item],tab_alimentos[[#This Row],[Item]],supercb[Bairro],mercado5)</f>
        <v>0</v>
      </c>
      <c r="Q175" s="4">
        <f>SUMIFS(super1[Qtde],super1[Item],tab_alimentos[[#This Row],[Item]],super1[Bairro],mercado6)+SUMIFS(supercb[Qtde],supercb[Item],tab_alimentos[[#This Row],[Item]],supercb[Bairro],mercado6)</f>
        <v>0</v>
      </c>
      <c r="R175" s="4">
        <f>SUMIFS(super1[Qtde],super1[Item],tab_alimentos[[#This Row],[Item]],super1[Bairro],mercado7)+SUMIFS(supercb[Qtde],supercb[Item],tab_alimentos[[#This Row],[Item]],supercb[Bairro],mercado7)</f>
        <v>0</v>
      </c>
      <c r="S175" s="4">
        <f>SUMIFS(super1[Qtde],super1[Item],tab_alimentos[[#This Row],[Item]],super1[Bairro],mercado8)+SUMIFS(supercb[Qtde],supercb[Item],tab_alimentos[[#This Row],[Item]],supercb[Bairro],mercado8)</f>
        <v>0</v>
      </c>
      <c r="T175" s="4">
        <f>SUMIFS(super1[Qtde],super1[Item],tab_alimentos[[#This Row],[Item]],super1[Bairro],mercado9)+SUMIFS(supercb[Qtde],supercb[Item],tab_alimentos[[#This Row],[Item]],supercb[Bairro],mercado9)</f>
        <v>0</v>
      </c>
      <c r="U175" s="4">
        <f>SUMIFS(super1[Qtde],super1[Item],tab_alimentos[[#This Row],[Item]],super1[Bairro],mercado10)+SUMIFS(supercb[Qtde],supercb[Item],tab_alimentos[[#This Row],[Item]],supercb[Bairro],mercado10)</f>
        <v>0</v>
      </c>
      <c r="V175" s="4">
        <f>SUMIFS(super1[Qtde],super1[Item],tab_alimentos[[#This Row],[Item]],super1[Bairro],mercado11)+SUMIFS(supercb[Qtde],supercb[Item],tab_alimentos[[#This Row],[Item]],supercb[Bairro],mercado11)</f>
        <v>0</v>
      </c>
      <c r="W175" s="4">
        <f>SUMIFS(super1[Qtde],super1[Item],tab_alimentos[[#This Row],[Item]],super1[Bairro],mercado12)+SUMIFS(supercb[Qtde],supercb[Item],tab_alimentos[[#This Row],[Item]],supercb[Bairro],mercado12)</f>
        <v>0</v>
      </c>
      <c r="X175" s="4">
        <f>SUMIFS(super1[Qtde],super1[Item],tab_alimentos[[#This Row],[Item]],super1[Bairro],mercado13)+SUMIFS(supercb[Qtde],supercb[Item],tab_alimentos[[#This Row],[Item]],supercb[Bairro],mercado13)</f>
        <v>0</v>
      </c>
      <c r="Y175" s="4">
        <f>SUMIFS(super1[Qtde],super1[Item],tab_alimentos[[#This Row],[Item]],super1[Bairro],mercado14)+SUMIFS(supercb[Qtde],supercb[Item],tab_alimentos[[#This Row],[Item]],supercb[Bairro],mercado14)</f>
        <v>0</v>
      </c>
      <c r="Z175" s="4">
        <f>SUMIFS(super1[Qtde],super1[Item],tab_alimentos[[#This Row],[Item]],super1[Bairro],mercado15)+SUMIFS(supercb[Qtde],supercb[Item],tab_alimentos[[#This Row],[Item]],supercb[Bairro],mercado15)</f>
        <v>0</v>
      </c>
      <c r="AA175" s="4">
        <f>SUMIFS(super1[Qtde],super1[Item],tab_alimentos[[#This Row],[Item]],super1[Bairro],mercado16)+SUMIFS(supercb[Qtde],supercb[Item],tab_alimentos[[#This Row],[Item]],supercb[Bairro],mercado16)</f>
        <v>0</v>
      </c>
      <c r="AB175" s="4">
        <f>SUMIFS(super1[Qtde],super1[Item],tab_alimentos[[#This Row],[Item]],super1[Bairro],mercado17)+SUMIFS(supercb[Qtde],supercb[Item],tab_alimentos[[#This Row],[Item]],supercb[Bairro],mercado17)</f>
        <v>0</v>
      </c>
      <c r="AC175" s="4">
        <f>SUMIFS(super1[Qtde],super1[Item],tab_alimentos[[#This Row],[Item]],super1[Bairro],mercado18)+SUMIFS(supercb[Qtde],supercb[Item],tab_alimentos[[#This Row],[Item]],supercb[Bairro],mercado18)</f>
        <v>0</v>
      </c>
      <c r="AD175" s="4">
        <f>SUMIFS(super1[Qtde],super1[Item],tab_alimentos[[#This Row],[Item]],super1[Bairro],extras)+SUMIFS(supercb[Qtde],supercb[Item],tab_alimentos[[#This Row],[Item]],supercb[Bairro],extras)</f>
        <v>0</v>
      </c>
      <c r="AE175" s="4">
        <f t="shared" si="67"/>
        <v>0</v>
      </c>
      <c r="AF175" s="4">
        <f t="shared" si="68"/>
        <v>0</v>
      </c>
      <c r="AG175" s="6">
        <f t="shared" si="69"/>
        <v>0</v>
      </c>
      <c r="AH175" s="19" t="str">
        <f>higiene[[#This Row],[Item]]</f>
        <v>O</v>
      </c>
      <c r="AI175" s="4">
        <f>IFERROR(higiene[[#This Row],[Kg equivalente]],0)</f>
        <v>0</v>
      </c>
      <c r="AJ175" s="4">
        <f>IFERROR(higiene[[#This Row],[Preço por produto]],0)</f>
        <v>0</v>
      </c>
      <c r="AK175" s="4">
        <f>SUMIFS(super1[Qtde],super1[Item],tab_higiene[[#This Row],[Item]],super1[Bairro],mercado1)+SUMIFS(supercb[Qtde],supercb[Item],tab_higiene[[#This Row],[Item]],supercb[Bairro],mercado1)</f>
        <v>0</v>
      </c>
      <c r="AL175" s="4">
        <f>SUMIFS(super1[Qtde],super1[Item],tab_higiene[[#This Row],[Item]],super1[Bairro],mercado2)+SUMIFS(supercb[Qtde],supercb[Item],tab_higiene[[#This Row],[Item]],supercb[Bairro],mercado2)</f>
        <v>0</v>
      </c>
      <c r="AM175" s="4">
        <f>SUMIFS(super1[Qtde],super1[Item],tab_higiene[[#This Row],[Item]],super1[Bairro],mercado3)+SUMIFS(supercb[Qtde],supercb[Item],tab_higiene[[#This Row],[Item]],supercb[Bairro],mercado3)</f>
        <v>0</v>
      </c>
      <c r="AN175" s="4">
        <f>SUMIFS(super1[Qtde],super1[Item],tab_higiene[[#This Row],[Item]],super1[Bairro],mercado4)+SUMIFS(supercb[Qtde],supercb[Item],tab_higiene[[#This Row],[Item]],supercb[Bairro],mercado4)</f>
        <v>0</v>
      </c>
      <c r="AO175" s="4">
        <f>SUMIFS(super1[Qtde],super1[Item],tab_higiene[[#This Row],[Item]],super1[Bairro],mercado5)+SUMIFS(supercb[Qtde],supercb[Item],tab_higiene[[#This Row],[Item]],supercb[Bairro],mercado5)</f>
        <v>0</v>
      </c>
      <c r="AP175" s="4">
        <f>SUMIFS(super1[Qtde],super1[Item],tab_higiene[[#This Row],[Item]],super1[Bairro],mercado6)+SUMIFS(supercb[Qtde],supercb[Item],tab_higiene[[#This Row],[Item]],supercb[Bairro],mercado6)</f>
        <v>0</v>
      </c>
      <c r="AQ175" s="4">
        <f>SUMIFS(super1[Qtde],super1[Item],tab_higiene[[#This Row],[Item]],super1[Bairro],mercado7)+SUMIFS(supercb[Qtde],supercb[Item],tab_higiene[[#This Row],[Item]],supercb[Bairro],mercado7)</f>
        <v>0</v>
      </c>
      <c r="AR175" s="4">
        <f>SUMIFS(super1[Qtde],super1[Item],tab_higiene[[#This Row],[Item]],super1[Bairro],mercado8)+SUMIFS(supercb[Qtde],supercb[Item],tab_higiene[[#This Row],[Item]],supercb[Bairro],mercado8)</f>
        <v>0</v>
      </c>
      <c r="AS175" s="4">
        <f>SUMIFS(super1[Qtde],super1[Item],tab_higiene[[#This Row],[Item]],super1[Bairro],mercado9)+SUMIFS(supercb[Qtde],supercb[Item],tab_higiene[[#This Row],[Item]],supercb[Bairro],mercado9)</f>
        <v>0</v>
      </c>
      <c r="AT175" s="4">
        <f>SUMIFS(super1[Qtde],super1[Item],tab_higiene[[#This Row],[Item]],super1[Bairro],mercado10)+SUMIFS(supercb[Qtde],supercb[Item],tab_higiene[[#This Row],[Item]],supercb[Bairro],mercado10)</f>
        <v>0</v>
      </c>
      <c r="AU175" s="4">
        <f>SUMIFS(super1[Qtde],super1[Item],tab_higiene[[#This Row],[Item]],super1[Bairro],mercado11)+SUMIFS(supercb[Qtde],supercb[Item],tab_higiene[[#This Row],[Item]],supercb[Bairro],mercado11)</f>
        <v>0</v>
      </c>
      <c r="AV175" s="4">
        <f>SUMIFS(super1[Qtde],super1[Item],tab_higiene[[#This Row],[Item]],super1[Bairro],mercado12)+SUMIFS(supercb[Qtde],supercb[Item],tab_higiene[[#This Row],[Item]],supercb[Bairro],mercado12)</f>
        <v>0</v>
      </c>
      <c r="AW175" s="4">
        <f>SUMIFS(super1[Qtde],super1[Item],tab_higiene[[#This Row],[Item]],super1[Bairro],mercado13)+SUMIFS(supercb[Qtde],supercb[Item],tab_higiene[[#This Row],[Item]],supercb[Bairro],mercado13)</f>
        <v>0</v>
      </c>
      <c r="AX175" s="4">
        <f>SUMIFS(super1[Qtde],super1[Item],tab_higiene[[#This Row],[Item]],super1[Bairro],mercado14)+SUMIFS(supercb[Qtde],supercb[Item],tab_higiene[[#This Row],[Item]],supercb[Bairro],mercado14)</f>
        <v>0</v>
      </c>
      <c r="AY175" s="4">
        <f>SUMIFS(super1[Qtde],super1[Item],tab_higiene[[#This Row],[Item]],super1[Bairro],mercado15)+SUMIFS(supercb[Qtde],supercb[Item],tab_higiene[[#This Row],[Item]],supercb[Bairro],mercado15)</f>
        <v>0</v>
      </c>
      <c r="AZ175" s="4">
        <f>SUMIFS(super1[Qtde],super1[Item],tab_higiene[[#This Row],[Item]],super1[Bairro],mercado16)+SUMIFS(supercb[Qtde],supercb[Item],tab_higiene[[#This Row],[Item]],supercb[Bairro],mercado16)</f>
        <v>0</v>
      </c>
      <c r="BA175" s="4">
        <f>SUMIFS(super1[Qtde],super1[Item],tab_higiene[[#This Row],[Item]],super1[Bairro],mercado17)+SUMIFS(supercb[Qtde],supercb[Item],tab_higiene[[#This Row],[Item]],supercb[Bairro],mercado17)</f>
        <v>0</v>
      </c>
      <c r="BB175" s="4">
        <f>SUMIFS(super1[Qtde],super1[Item],tab_higiene[[#This Row],[Item]],super1[Bairro],mercado18)+SUMIFS(supercb[Qtde],supercb[Item],tab_higiene[[#This Row],[Item]],supercb[Bairro],mercado18)</f>
        <v>0</v>
      </c>
      <c r="BC175" s="4">
        <f>SUMIFS(super1[Qtde],super1[Item],tab_higiene[[#This Row],[Item]],super1[Bairro],extras)+SUMIFS(supercb[Qtde],supercb[Item],tab_higiene[[#This Row],[Item]],supercb[Bairro],extras)</f>
        <v>0</v>
      </c>
      <c r="BD175" s="4">
        <f t="shared" si="70"/>
        <v>0</v>
      </c>
      <c r="BE175" s="4">
        <f t="shared" si="71"/>
        <v>0</v>
      </c>
      <c r="BF175" s="6">
        <f t="shared" si="72"/>
        <v>0</v>
      </c>
    </row>
    <row r="176" spans="9:58" x14ac:dyDescent="0.25">
      <c r="I176" s="19" t="str">
        <f>alimentos[[#This Row],[Item]]</f>
        <v>Chocolate Bis (126g)</v>
      </c>
      <c r="J176" s="4">
        <f>IFERROR(alimentos[[#This Row],[kg/embalagem]],0)</f>
        <v>0.126</v>
      </c>
      <c r="K176" s="4">
        <f>IFERROR(alimentos[[#This Row],[Preço]],0)</f>
        <v>6.59</v>
      </c>
      <c r="L176" s="4">
        <f>SUMIFS(super1[Qtde],super1[Item],tab_alimentos[[#This Row],[Item]],super1[Bairro],mercado1)+SUMIFS(supercb[Qtde],supercb[Item],tab_alimentos[[#This Row],[Item]],supercb[Bairro],mercado1)</f>
        <v>0</v>
      </c>
      <c r="M176" s="4">
        <f>SUMIFS(super1[Qtde],super1[Item],tab_alimentos[[#This Row],[Item]],super1[Bairro],mercado2)+SUMIFS(supercb[Qtde],supercb[Item],tab_alimentos[[#This Row],[Item]],supercb[Bairro],mercado2)</f>
        <v>0</v>
      </c>
      <c r="N176" s="4">
        <f>SUMIFS(super1[Qtde],super1[Item],tab_alimentos[[#This Row],[Item]],super1[Bairro],mercado3)+SUMIFS(supercb[Qtde],supercb[Item],tab_alimentos[[#This Row],[Item]],supercb[Bairro],mercado3)</f>
        <v>0</v>
      </c>
      <c r="O176" s="4">
        <f>SUMIFS(super1[Qtde],super1[Item],tab_alimentos[[#This Row],[Item]],super1[Bairro],mercado4)+SUMIFS(supercb[Qtde],supercb[Item],tab_alimentos[[#This Row],[Item]],supercb[Bairro],mercado4)</f>
        <v>0</v>
      </c>
      <c r="P176" s="4">
        <f>SUMIFS(super1[Qtde],super1[Item],tab_alimentos[[#This Row],[Item]],super1[Bairro],mercado5)+SUMIFS(supercb[Qtde],supercb[Item],tab_alimentos[[#This Row],[Item]],supercb[Bairro],mercado5)</f>
        <v>0</v>
      </c>
      <c r="Q176" s="4">
        <f>SUMIFS(super1[Qtde],super1[Item],tab_alimentos[[#This Row],[Item]],super1[Bairro],mercado6)+SUMIFS(supercb[Qtde],supercb[Item],tab_alimentos[[#This Row],[Item]],supercb[Bairro],mercado6)</f>
        <v>0</v>
      </c>
      <c r="R176" s="4">
        <f>SUMIFS(super1[Qtde],super1[Item],tab_alimentos[[#This Row],[Item]],super1[Bairro],mercado7)+SUMIFS(supercb[Qtde],supercb[Item],tab_alimentos[[#This Row],[Item]],supercb[Bairro],mercado7)</f>
        <v>0</v>
      </c>
      <c r="S176" s="4">
        <f>SUMIFS(super1[Qtde],super1[Item],tab_alimentos[[#This Row],[Item]],super1[Bairro],mercado8)+SUMIFS(supercb[Qtde],supercb[Item],tab_alimentos[[#This Row],[Item]],supercb[Bairro],mercado8)</f>
        <v>0</v>
      </c>
      <c r="T176" s="4">
        <f>SUMIFS(super1[Qtde],super1[Item],tab_alimentos[[#This Row],[Item]],super1[Bairro],mercado9)+SUMIFS(supercb[Qtde],supercb[Item],tab_alimentos[[#This Row],[Item]],supercb[Bairro],mercado9)</f>
        <v>0</v>
      </c>
      <c r="U176" s="4">
        <f>SUMIFS(super1[Qtde],super1[Item],tab_alimentos[[#This Row],[Item]],super1[Bairro],mercado10)+SUMIFS(supercb[Qtde],supercb[Item],tab_alimentos[[#This Row],[Item]],supercb[Bairro],mercado10)</f>
        <v>0</v>
      </c>
      <c r="V176" s="4">
        <f>SUMIFS(super1[Qtde],super1[Item],tab_alimentos[[#This Row],[Item]],super1[Bairro],mercado11)+SUMIFS(supercb[Qtde],supercb[Item],tab_alimentos[[#This Row],[Item]],supercb[Bairro],mercado11)</f>
        <v>0</v>
      </c>
      <c r="W176" s="4">
        <f>SUMIFS(super1[Qtde],super1[Item],tab_alimentos[[#This Row],[Item]],super1[Bairro],mercado12)+SUMIFS(supercb[Qtde],supercb[Item],tab_alimentos[[#This Row],[Item]],supercb[Bairro],mercado12)</f>
        <v>0</v>
      </c>
      <c r="X176" s="4">
        <f>SUMIFS(super1[Qtde],super1[Item],tab_alimentos[[#This Row],[Item]],super1[Bairro],mercado13)+SUMIFS(supercb[Qtde],supercb[Item],tab_alimentos[[#This Row],[Item]],supercb[Bairro],mercado13)</f>
        <v>0</v>
      </c>
      <c r="Y176" s="4">
        <f>SUMIFS(super1[Qtde],super1[Item],tab_alimentos[[#This Row],[Item]],super1[Bairro],mercado14)+SUMIFS(supercb[Qtde],supercb[Item],tab_alimentos[[#This Row],[Item]],supercb[Bairro],mercado14)</f>
        <v>0</v>
      </c>
      <c r="Z176" s="4">
        <f>SUMIFS(super1[Qtde],super1[Item],tab_alimentos[[#This Row],[Item]],super1[Bairro],mercado15)+SUMIFS(supercb[Qtde],supercb[Item],tab_alimentos[[#This Row],[Item]],supercb[Bairro],mercado15)</f>
        <v>0</v>
      </c>
      <c r="AA176" s="4">
        <f>SUMIFS(super1[Qtde],super1[Item],tab_alimentos[[#This Row],[Item]],super1[Bairro],mercado16)+SUMIFS(supercb[Qtde],supercb[Item],tab_alimentos[[#This Row],[Item]],supercb[Bairro],mercado16)</f>
        <v>0</v>
      </c>
      <c r="AB176" s="4">
        <f>SUMIFS(super1[Qtde],super1[Item],tab_alimentos[[#This Row],[Item]],super1[Bairro],mercado17)+SUMIFS(supercb[Qtde],supercb[Item],tab_alimentos[[#This Row],[Item]],supercb[Bairro],mercado17)</f>
        <v>0</v>
      </c>
      <c r="AC176" s="4">
        <f>SUMIFS(super1[Qtde],super1[Item],tab_alimentos[[#This Row],[Item]],super1[Bairro],mercado18)+SUMIFS(supercb[Qtde],supercb[Item],tab_alimentos[[#This Row],[Item]],supercb[Bairro],mercado18)</f>
        <v>0</v>
      </c>
      <c r="AD176" s="4">
        <f>SUMIFS(super1[Qtde],super1[Item],tab_alimentos[[#This Row],[Item]],super1[Bairro],extras)+SUMIFS(supercb[Qtde],supercb[Item],tab_alimentos[[#This Row],[Item]],supercb[Bairro],extras)</f>
        <v>0</v>
      </c>
      <c r="AE176" s="4">
        <f t="shared" si="67"/>
        <v>0</v>
      </c>
      <c r="AF176" s="4">
        <f t="shared" si="68"/>
        <v>0</v>
      </c>
      <c r="AG176" s="6">
        <f t="shared" si="69"/>
        <v>0</v>
      </c>
      <c r="AH176" s="19" t="str">
        <f>higiene[[#This Row],[Item]]</f>
        <v>P</v>
      </c>
      <c r="AI176" s="4">
        <f>IFERROR(higiene[[#This Row],[Kg equivalente]],0)</f>
        <v>0</v>
      </c>
      <c r="AJ176" s="4">
        <f>IFERROR(higiene[[#This Row],[Preço por produto]],0)</f>
        <v>0</v>
      </c>
      <c r="AK176" s="4">
        <f>SUMIFS(super1[Qtde],super1[Item],tab_higiene[[#This Row],[Item]],super1[Bairro],mercado1)+SUMIFS(supercb[Qtde],supercb[Item],tab_higiene[[#This Row],[Item]],supercb[Bairro],mercado1)</f>
        <v>0</v>
      </c>
      <c r="AL176" s="4">
        <f>SUMIFS(super1[Qtde],super1[Item],tab_higiene[[#This Row],[Item]],super1[Bairro],mercado2)+SUMIFS(supercb[Qtde],supercb[Item],tab_higiene[[#This Row],[Item]],supercb[Bairro],mercado2)</f>
        <v>0</v>
      </c>
      <c r="AM176" s="4">
        <f>SUMIFS(super1[Qtde],super1[Item],tab_higiene[[#This Row],[Item]],super1[Bairro],mercado3)+SUMIFS(supercb[Qtde],supercb[Item],tab_higiene[[#This Row],[Item]],supercb[Bairro],mercado3)</f>
        <v>0</v>
      </c>
      <c r="AN176" s="4">
        <f>SUMIFS(super1[Qtde],super1[Item],tab_higiene[[#This Row],[Item]],super1[Bairro],mercado4)+SUMIFS(supercb[Qtde],supercb[Item],tab_higiene[[#This Row],[Item]],supercb[Bairro],mercado4)</f>
        <v>0</v>
      </c>
      <c r="AO176" s="4">
        <f>SUMIFS(super1[Qtde],super1[Item],tab_higiene[[#This Row],[Item]],super1[Bairro],mercado5)+SUMIFS(supercb[Qtde],supercb[Item],tab_higiene[[#This Row],[Item]],supercb[Bairro],mercado5)</f>
        <v>0</v>
      </c>
      <c r="AP176" s="4">
        <f>SUMIFS(super1[Qtde],super1[Item],tab_higiene[[#This Row],[Item]],super1[Bairro],mercado6)+SUMIFS(supercb[Qtde],supercb[Item],tab_higiene[[#This Row],[Item]],supercb[Bairro],mercado6)</f>
        <v>0</v>
      </c>
      <c r="AQ176" s="4">
        <f>SUMIFS(super1[Qtde],super1[Item],tab_higiene[[#This Row],[Item]],super1[Bairro],mercado7)+SUMIFS(supercb[Qtde],supercb[Item],tab_higiene[[#This Row],[Item]],supercb[Bairro],mercado7)</f>
        <v>0</v>
      </c>
      <c r="AR176" s="4">
        <f>SUMIFS(super1[Qtde],super1[Item],tab_higiene[[#This Row],[Item]],super1[Bairro],mercado8)+SUMIFS(supercb[Qtde],supercb[Item],tab_higiene[[#This Row],[Item]],supercb[Bairro],mercado8)</f>
        <v>0</v>
      </c>
      <c r="AS176" s="4">
        <f>SUMIFS(super1[Qtde],super1[Item],tab_higiene[[#This Row],[Item]],super1[Bairro],mercado9)+SUMIFS(supercb[Qtde],supercb[Item],tab_higiene[[#This Row],[Item]],supercb[Bairro],mercado9)</f>
        <v>0</v>
      </c>
      <c r="AT176" s="4">
        <f>SUMIFS(super1[Qtde],super1[Item],tab_higiene[[#This Row],[Item]],super1[Bairro],mercado10)+SUMIFS(supercb[Qtde],supercb[Item],tab_higiene[[#This Row],[Item]],supercb[Bairro],mercado10)</f>
        <v>0</v>
      </c>
      <c r="AU176" s="4">
        <f>SUMIFS(super1[Qtde],super1[Item],tab_higiene[[#This Row],[Item]],super1[Bairro],mercado11)+SUMIFS(supercb[Qtde],supercb[Item],tab_higiene[[#This Row],[Item]],supercb[Bairro],mercado11)</f>
        <v>0</v>
      </c>
      <c r="AV176" s="4">
        <f>SUMIFS(super1[Qtde],super1[Item],tab_higiene[[#This Row],[Item]],super1[Bairro],mercado12)+SUMIFS(supercb[Qtde],supercb[Item],tab_higiene[[#This Row],[Item]],supercb[Bairro],mercado12)</f>
        <v>0</v>
      </c>
      <c r="AW176" s="4">
        <f>SUMIFS(super1[Qtde],super1[Item],tab_higiene[[#This Row],[Item]],super1[Bairro],mercado13)+SUMIFS(supercb[Qtde],supercb[Item],tab_higiene[[#This Row],[Item]],supercb[Bairro],mercado13)</f>
        <v>0</v>
      </c>
      <c r="AX176" s="4">
        <f>SUMIFS(super1[Qtde],super1[Item],tab_higiene[[#This Row],[Item]],super1[Bairro],mercado14)+SUMIFS(supercb[Qtde],supercb[Item],tab_higiene[[#This Row],[Item]],supercb[Bairro],mercado14)</f>
        <v>0</v>
      </c>
      <c r="AY176" s="4">
        <f>SUMIFS(super1[Qtde],super1[Item],tab_higiene[[#This Row],[Item]],super1[Bairro],mercado15)+SUMIFS(supercb[Qtde],supercb[Item],tab_higiene[[#This Row],[Item]],supercb[Bairro],mercado15)</f>
        <v>0</v>
      </c>
      <c r="AZ176" s="4">
        <f>SUMIFS(super1[Qtde],super1[Item],tab_higiene[[#This Row],[Item]],super1[Bairro],mercado16)+SUMIFS(supercb[Qtde],supercb[Item],tab_higiene[[#This Row],[Item]],supercb[Bairro],mercado16)</f>
        <v>0</v>
      </c>
      <c r="BA176" s="4">
        <f>SUMIFS(super1[Qtde],super1[Item],tab_higiene[[#This Row],[Item]],super1[Bairro],mercado17)+SUMIFS(supercb[Qtde],supercb[Item],tab_higiene[[#This Row],[Item]],supercb[Bairro],mercado17)</f>
        <v>0</v>
      </c>
      <c r="BB176" s="4">
        <f>SUMIFS(super1[Qtde],super1[Item],tab_higiene[[#This Row],[Item]],super1[Bairro],mercado18)+SUMIFS(supercb[Qtde],supercb[Item],tab_higiene[[#This Row],[Item]],supercb[Bairro],mercado18)</f>
        <v>0</v>
      </c>
      <c r="BC176" s="4">
        <f>SUMIFS(super1[Qtde],super1[Item],tab_higiene[[#This Row],[Item]],super1[Bairro],extras)+SUMIFS(supercb[Qtde],supercb[Item],tab_higiene[[#This Row],[Item]],supercb[Bairro],extras)</f>
        <v>0</v>
      </c>
      <c r="BD176" s="4">
        <f t="shared" si="70"/>
        <v>0</v>
      </c>
      <c r="BE176" s="4">
        <f t="shared" si="71"/>
        <v>0</v>
      </c>
      <c r="BF176" s="6">
        <f t="shared" si="72"/>
        <v>0</v>
      </c>
    </row>
    <row r="177" spans="9:58" x14ac:dyDescent="0.25">
      <c r="I177" s="19" t="str">
        <f>alimentos[[#This Row],[Item]]</f>
        <v>Chocotone (90g)</v>
      </c>
      <c r="J177" s="4">
        <f>IFERROR(alimentos[[#This Row],[kg/embalagem]],0)</f>
        <v>0.09</v>
      </c>
      <c r="K177" s="4">
        <f>IFERROR(alimentos[[#This Row],[Preço]],0)</f>
        <v>5.5</v>
      </c>
      <c r="L177" s="4">
        <f>SUMIFS(super1[Qtde],super1[Item],tab_alimentos[[#This Row],[Item]],super1[Bairro],mercado1)+SUMIFS(supercb[Qtde],supercb[Item],tab_alimentos[[#This Row],[Item]],supercb[Bairro],mercado1)</f>
        <v>0</v>
      </c>
      <c r="M177" s="4">
        <f>SUMIFS(super1[Qtde],super1[Item],tab_alimentos[[#This Row],[Item]],super1[Bairro],mercado2)+SUMIFS(supercb[Qtde],supercb[Item],tab_alimentos[[#This Row],[Item]],supercb[Bairro],mercado2)</f>
        <v>0</v>
      </c>
      <c r="N177" s="4">
        <f>SUMIFS(super1[Qtde],super1[Item],tab_alimentos[[#This Row],[Item]],super1[Bairro],mercado3)+SUMIFS(supercb[Qtde],supercb[Item],tab_alimentos[[#This Row],[Item]],supercb[Bairro],mercado3)</f>
        <v>0</v>
      </c>
      <c r="O177" s="4">
        <f>SUMIFS(super1[Qtde],super1[Item],tab_alimentos[[#This Row],[Item]],super1[Bairro],mercado4)+SUMIFS(supercb[Qtde],supercb[Item],tab_alimentos[[#This Row],[Item]],supercb[Bairro],mercado4)</f>
        <v>0</v>
      </c>
      <c r="P177" s="4">
        <f>SUMIFS(super1[Qtde],super1[Item],tab_alimentos[[#This Row],[Item]],super1[Bairro],mercado5)+SUMIFS(supercb[Qtde],supercb[Item],tab_alimentos[[#This Row],[Item]],supercb[Bairro],mercado5)</f>
        <v>0</v>
      </c>
      <c r="Q177" s="4">
        <f>SUMIFS(super1[Qtde],super1[Item],tab_alimentos[[#This Row],[Item]],super1[Bairro],mercado6)+SUMIFS(supercb[Qtde],supercb[Item],tab_alimentos[[#This Row],[Item]],supercb[Bairro],mercado6)</f>
        <v>0</v>
      </c>
      <c r="R177" s="4">
        <f>SUMIFS(super1[Qtde],super1[Item],tab_alimentos[[#This Row],[Item]],super1[Bairro],mercado7)+SUMIFS(supercb[Qtde],supercb[Item],tab_alimentos[[#This Row],[Item]],supercb[Bairro],mercado7)</f>
        <v>0</v>
      </c>
      <c r="S177" s="4">
        <f>SUMIFS(super1[Qtde],super1[Item],tab_alimentos[[#This Row],[Item]],super1[Bairro],mercado8)+SUMIFS(supercb[Qtde],supercb[Item],tab_alimentos[[#This Row],[Item]],supercb[Bairro],mercado8)</f>
        <v>0</v>
      </c>
      <c r="T177" s="4">
        <f>SUMIFS(super1[Qtde],super1[Item],tab_alimentos[[#This Row],[Item]],super1[Bairro],mercado9)+SUMIFS(supercb[Qtde],supercb[Item],tab_alimentos[[#This Row],[Item]],supercb[Bairro],mercado9)</f>
        <v>0</v>
      </c>
      <c r="U177" s="4">
        <f>SUMIFS(super1[Qtde],super1[Item],tab_alimentos[[#This Row],[Item]],super1[Bairro],mercado10)+SUMIFS(supercb[Qtde],supercb[Item],tab_alimentos[[#This Row],[Item]],supercb[Bairro],mercado10)</f>
        <v>0</v>
      </c>
      <c r="V177" s="4">
        <f>SUMIFS(super1[Qtde],super1[Item],tab_alimentos[[#This Row],[Item]],super1[Bairro],mercado11)+SUMIFS(supercb[Qtde],supercb[Item],tab_alimentos[[#This Row],[Item]],supercb[Bairro],mercado11)</f>
        <v>0</v>
      </c>
      <c r="W177" s="4">
        <f>SUMIFS(super1[Qtde],super1[Item],tab_alimentos[[#This Row],[Item]],super1[Bairro],mercado12)+SUMIFS(supercb[Qtde],supercb[Item],tab_alimentos[[#This Row],[Item]],supercb[Bairro],mercado12)</f>
        <v>0</v>
      </c>
      <c r="X177" s="4">
        <f>SUMIFS(super1[Qtde],super1[Item],tab_alimentos[[#This Row],[Item]],super1[Bairro],mercado13)+SUMIFS(supercb[Qtde],supercb[Item],tab_alimentos[[#This Row],[Item]],supercb[Bairro],mercado13)</f>
        <v>0</v>
      </c>
      <c r="Y177" s="4">
        <f>SUMIFS(super1[Qtde],super1[Item],tab_alimentos[[#This Row],[Item]],super1[Bairro],mercado14)+SUMIFS(supercb[Qtde],supercb[Item],tab_alimentos[[#This Row],[Item]],supercb[Bairro],mercado14)</f>
        <v>0</v>
      </c>
      <c r="Z177" s="4">
        <f>SUMIFS(super1[Qtde],super1[Item],tab_alimentos[[#This Row],[Item]],super1[Bairro],mercado15)+SUMIFS(supercb[Qtde],supercb[Item],tab_alimentos[[#This Row],[Item]],supercb[Bairro],mercado15)</f>
        <v>0</v>
      </c>
      <c r="AA177" s="4">
        <f>SUMIFS(super1[Qtde],super1[Item],tab_alimentos[[#This Row],[Item]],super1[Bairro],mercado16)+SUMIFS(supercb[Qtde],supercb[Item],tab_alimentos[[#This Row],[Item]],supercb[Bairro],mercado16)</f>
        <v>0</v>
      </c>
      <c r="AB177" s="4">
        <f>SUMIFS(super1[Qtde],super1[Item],tab_alimentos[[#This Row],[Item]],super1[Bairro],mercado17)+SUMIFS(supercb[Qtde],supercb[Item],tab_alimentos[[#This Row],[Item]],supercb[Bairro],mercado17)</f>
        <v>0</v>
      </c>
      <c r="AC177" s="4">
        <f>SUMIFS(super1[Qtde],super1[Item],tab_alimentos[[#This Row],[Item]],super1[Bairro],mercado18)+SUMIFS(supercb[Qtde],supercb[Item],tab_alimentos[[#This Row],[Item]],supercb[Bairro],mercado18)</f>
        <v>0</v>
      </c>
      <c r="AD177" s="4">
        <f>SUMIFS(super1[Qtde],super1[Item],tab_alimentos[[#This Row],[Item]],super1[Bairro],extras)+SUMIFS(supercb[Qtde],supercb[Item],tab_alimentos[[#This Row],[Item]],supercb[Bairro],extras)</f>
        <v>0</v>
      </c>
      <c r="AE177" s="4">
        <f t="shared" si="67"/>
        <v>0</v>
      </c>
      <c r="AF177" s="4">
        <f t="shared" si="68"/>
        <v>0</v>
      </c>
      <c r="AG177" s="6">
        <f t="shared" si="69"/>
        <v>0</v>
      </c>
      <c r="AH177" s="19" t="str">
        <f>higiene[[#This Row],[Item]]</f>
        <v>Pano de Limpeza (5un)</v>
      </c>
      <c r="AI177" s="4">
        <f>IFERROR(higiene[[#This Row],[Kg equivalente]],0)</f>
        <v>0</v>
      </c>
      <c r="AJ177" s="4">
        <f>IFERROR(higiene[[#This Row],[Preço por produto]],0)</f>
        <v>10.14</v>
      </c>
      <c r="AK177" s="4">
        <f>SUMIFS(super1[Qtde],super1[Item],tab_higiene[[#This Row],[Item]],super1[Bairro],mercado1)+SUMIFS(supercb[Qtde],supercb[Item],tab_higiene[[#This Row],[Item]],supercb[Bairro],mercado1)</f>
        <v>0</v>
      </c>
      <c r="AL177" s="4">
        <f>SUMIFS(super1[Qtde],super1[Item],tab_higiene[[#This Row],[Item]],super1[Bairro],mercado2)+SUMIFS(supercb[Qtde],supercb[Item],tab_higiene[[#This Row],[Item]],supercb[Bairro],mercado2)</f>
        <v>0</v>
      </c>
      <c r="AM177" s="4">
        <f>SUMIFS(super1[Qtde],super1[Item],tab_higiene[[#This Row],[Item]],super1[Bairro],mercado3)+SUMIFS(supercb[Qtde],supercb[Item],tab_higiene[[#This Row],[Item]],supercb[Bairro],mercado3)</f>
        <v>0</v>
      </c>
      <c r="AN177" s="4">
        <f>SUMIFS(super1[Qtde],super1[Item],tab_higiene[[#This Row],[Item]],super1[Bairro],mercado4)+SUMIFS(supercb[Qtde],supercb[Item],tab_higiene[[#This Row],[Item]],supercb[Bairro],mercado4)</f>
        <v>0</v>
      </c>
      <c r="AO177" s="4">
        <f>SUMIFS(super1[Qtde],super1[Item],tab_higiene[[#This Row],[Item]],super1[Bairro],mercado5)+SUMIFS(supercb[Qtde],supercb[Item],tab_higiene[[#This Row],[Item]],supercb[Bairro],mercado5)</f>
        <v>0</v>
      </c>
      <c r="AP177" s="4">
        <f>SUMIFS(super1[Qtde],super1[Item],tab_higiene[[#This Row],[Item]],super1[Bairro],mercado6)+SUMIFS(supercb[Qtde],supercb[Item],tab_higiene[[#This Row],[Item]],supercb[Bairro],mercado6)</f>
        <v>0</v>
      </c>
      <c r="AQ177" s="4">
        <f>SUMIFS(super1[Qtde],super1[Item],tab_higiene[[#This Row],[Item]],super1[Bairro],mercado7)+SUMIFS(supercb[Qtde],supercb[Item],tab_higiene[[#This Row],[Item]],supercb[Bairro],mercado7)</f>
        <v>0</v>
      </c>
      <c r="AR177" s="4">
        <f>SUMIFS(super1[Qtde],super1[Item],tab_higiene[[#This Row],[Item]],super1[Bairro],mercado8)+SUMIFS(supercb[Qtde],supercb[Item],tab_higiene[[#This Row],[Item]],supercb[Bairro],mercado8)</f>
        <v>0</v>
      </c>
      <c r="AS177" s="4">
        <f>SUMIFS(super1[Qtde],super1[Item],tab_higiene[[#This Row],[Item]],super1[Bairro],mercado9)+SUMIFS(supercb[Qtde],supercb[Item],tab_higiene[[#This Row],[Item]],supercb[Bairro],mercado9)</f>
        <v>0</v>
      </c>
      <c r="AT177" s="4">
        <f>SUMIFS(super1[Qtde],super1[Item],tab_higiene[[#This Row],[Item]],super1[Bairro],mercado10)+SUMIFS(supercb[Qtde],supercb[Item],tab_higiene[[#This Row],[Item]],supercb[Bairro],mercado10)</f>
        <v>0</v>
      </c>
      <c r="AU177" s="4">
        <f>SUMIFS(super1[Qtde],super1[Item],tab_higiene[[#This Row],[Item]],super1[Bairro],mercado11)+SUMIFS(supercb[Qtde],supercb[Item],tab_higiene[[#This Row],[Item]],supercb[Bairro],mercado11)</f>
        <v>0</v>
      </c>
      <c r="AV177" s="4">
        <f>SUMIFS(super1[Qtde],super1[Item],tab_higiene[[#This Row],[Item]],super1[Bairro],mercado12)+SUMIFS(supercb[Qtde],supercb[Item],tab_higiene[[#This Row],[Item]],supercb[Bairro],mercado12)</f>
        <v>0</v>
      </c>
      <c r="AW177" s="4">
        <f>SUMIFS(super1[Qtde],super1[Item],tab_higiene[[#This Row],[Item]],super1[Bairro],mercado13)+SUMIFS(supercb[Qtde],supercb[Item],tab_higiene[[#This Row],[Item]],supercb[Bairro],mercado13)</f>
        <v>0</v>
      </c>
      <c r="AX177" s="4">
        <f>SUMIFS(super1[Qtde],super1[Item],tab_higiene[[#This Row],[Item]],super1[Bairro],mercado14)+SUMIFS(supercb[Qtde],supercb[Item],tab_higiene[[#This Row],[Item]],supercb[Bairro],mercado14)</f>
        <v>0</v>
      </c>
      <c r="AY177" s="4">
        <f>SUMIFS(super1[Qtde],super1[Item],tab_higiene[[#This Row],[Item]],super1[Bairro],mercado15)+SUMIFS(supercb[Qtde],supercb[Item],tab_higiene[[#This Row],[Item]],supercb[Bairro],mercado15)</f>
        <v>0</v>
      </c>
      <c r="AZ177" s="4">
        <f>SUMIFS(super1[Qtde],super1[Item],tab_higiene[[#This Row],[Item]],super1[Bairro],mercado16)+SUMIFS(supercb[Qtde],supercb[Item],tab_higiene[[#This Row],[Item]],supercb[Bairro],mercado16)</f>
        <v>0</v>
      </c>
      <c r="BA177" s="4">
        <f>SUMIFS(super1[Qtde],super1[Item],tab_higiene[[#This Row],[Item]],super1[Bairro],mercado17)+SUMIFS(supercb[Qtde],supercb[Item],tab_higiene[[#This Row],[Item]],supercb[Bairro],mercado17)</f>
        <v>0</v>
      </c>
      <c r="BB177" s="4">
        <f>SUMIFS(super1[Qtde],super1[Item],tab_higiene[[#This Row],[Item]],super1[Bairro],mercado18)+SUMIFS(supercb[Qtde],supercb[Item],tab_higiene[[#This Row],[Item]],supercb[Bairro],mercado18)</f>
        <v>0</v>
      </c>
      <c r="BC177" s="4">
        <f>SUMIFS(super1[Qtde],super1[Item],tab_higiene[[#This Row],[Item]],super1[Bairro],extras)+SUMIFS(supercb[Qtde],supercb[Item],tab_higiene[[#This Row],[Item]],supercb[Bairro],extras)</f>
        <v>0</v>
      </c>
      <c r="BD177" s="4">
        <f t="shared" si="70"/>
        <v>0</v>
      </c>
      <c r="BE177" s="4">
        <f t="shared" si="71"/>
        <v>0</v>
      </c>
      <c r="BF177" s="6">
        <f t="shared" si="72"/>
        <v>0</v>
      </c>
    </row>
    <row r="178" spans="9:58" x14ac:dyDescent="0.25">
      <c r="I178" s="19" t="str">
        <f>alimentos[[#This Row],[Item]]</f>
        <v>Club Social (1un)</v>
      </c>
      <c r="J178" s="4">
        <f>IFERROR(alimentos[[#This Row],[kg/embalagem]],0)</f>
        <v>2.4E-2</v>
      </c>
      <c r="K178" s="4">
        <f>IFERROR(alimentos[[#This Row],[Preço]],0)</f>
        <v>4.6900000000000004</v>
      </c>
      <c r="L178" s="4">
        <f>SUMIFS(super1[Qtde],super1[Item],tab_alimentos[[#This Row],[Item]],super1[Bairro],mercado1)+SUMIFS(supercb[Qtde],supercb[Item],tab_alimentos[[#This Row],[Item]],supercb[Bairro],mercado1)</f>
        <v>0</v>
      </c>
      <c r="M178" s="4">
        <f>SUMIFS(super1[Qtde],super1[Item],tab_alimentos[[#This Row],[Item]],super1[Bairro],mercado2)+SUMIFS(supercb[Qtde],supercb[Item],tab_alimentos[[#This Row],[Item]],supercb[Bairro],mercado2)</f>
        <v>0</v>
      </c>
      <c r="N178" s="4">
        <f>SUMIFS(super1[Qtde],super1[Item],tab_alimentos[[#This Row],[Item]],super1[Bairro],mercado3)+SUMIFS(supercb[Qtde],supercb[Item],tab_alimentos[[#This Row],[Item]],supercb[Bairro],mercado3)</f>
        <v>0</v>
      </c>
      <c r="O178" s="4">
        <f>SUMIFS(super1[Qtde],super1[Item],tab_alimentos[[#This Row],[Item]],super1[Bairro],mercado4)+SUMIFS(supercb[Qtde],supercb[Item],tab_alimentos[[#This Row],[Item]],supercb[Bairro],mercado4)</f>
        <v>0</v>
      </c>
      <c r="P178" s="4">
        <f>SUMIFS(super1[Qtde],super1[Item],tab_alimentos[[#This Row],[Item]],super1[Bairro],mercado5)+SUMIFS(supercb[Qtde],supercb[Item],tab_alimentos[[#This Row],[Item]],supercb[Bairro],mercado5)</f>
        <v>0</v>
      </c>
      <c r="Q178" s="4">
        <f>SUMIFS(super1[Qtde],super1[Item],tab_alimentos[[#This Row],[Item]],super1[Bairro],mercado6)+SUMIFS(supercb[Qtde],supercb[Item],tab_alimentos[[#This Row],[Item]],supercb[Bairro],mercado6)</f>
        <v>0</v>
      </c>
      <c r="R178" s="4">
        <f>SUMIFS(super1[Qtde],super1[Item],tab_alimentos[[#This Row],[Item]],super1[Bairro],mercado7)+SUMIFS(supercb[Qtde],supercb[Item],tab_alimentos[[#This Row],[Item]],supercb[Bairro],mercado7)</f>
        <v>0</v>
      </c>
      <c r="S178" s="4">
        <f>SUMIFS(super1[Qtde],super1[Item],tab_alimentos[[#This Row],[Item]],super1[Bairro],mercado8)+SUMIFS(supercb[Qtde],supercb[Item],tab_alimentos[[#This Row],[Item]],supercb[Bairro],mercado8)</f>
        <v>0</v>
      </c>
      <c r="T178" s="4">
        <f>SUMIFS(super1[Qtde],super1[Item],tab_alimentos[[#This Row],[Item]],super1[Bairro],mercado9)+SUMIFS(supercb[Qtde],supercb[Item],tab_alimentos[[#This Row],[Item]],supercb[Bairro],mercado9)</f>
        <v>0</v>
      </c>
      <c r="U178" s="4">
        <f>SUMIFS(super1[Qtde],super1[Item],tab_alimentos[[#This Row],[Item]],super1[Bairro],mercado10)+SUMIFS(supercb[Qtde],supercb[Item],tab_alimentos[[#This Row],[Item]],supercb[Bairro],mercado10)</f>
        <v>0</v>
      </c>
      <c r="V178" s="4">
        <f>SUMIFS(super1[Qtde],super1[Item],tab_alimentos[[#This Row],[Item]],super1[Bairro],mercado11)+SUMIFS(supercb[Qtde],supercb[Item],tab_alimentos[[#This Row],[Item]],supercb[Bairro],mercado11)</f>
        <v>0</v>
      </c>
      <c r="W178" s="4">
        <f>SUMIFS(super1[Qtde],super1[Item],tab_alimentos[[#This Row],[Item]],super1[Bairro],mercado12)+SUMIFS(supercb[Qtde],supercb[Item],tab_alimentos[[#This Row],[Item]],supercb[Bairro],mercado12)</f>
        <v>0</v>
      </c>
      <c r="X178" s="4">
        <f>SUMIFS(super1[Qtde],super1[Item],tab_alimentos[[#This Row],[Item]],super1[Bairro],mercado13)+SUMIFS(supercb[Qtde],supercb[Item],tab_alimentos[[#This Row],[Item]],supercb[Bairro],mercado13)</f>
        <v>0</v>
      </c>
      <c r="Y178" s="4">
        <f>SUMIFS(super1[Qtde],super1[Item],tab_alimentos[[#This Row],[Item]],super1[Bairro],mercado14)+SUMIFS(supercb[Qtde],supercb[Item],tab_alimentos[[#This Row],[Item]],supercb[Bairro],mercado14)</f>
        <v>0</v>
      </c>
      <c r="Z178" s="4">
        <f>SUMIFS(super1[Qtde],super1[Item],tab_alimentos[[#This Row],[Item]],super1[Bairro],mercado15)+SUMIFS(supercb[Qtde],supercb[Item],tab_alimentos[[#This Row],[Item]],supercb[Bairro],mercado15)</f>
        <v>0</v>
      </c>
      <c r="AA178" s="4">
        <f>SUMIFS(super1[Qtde],super1[Item],tab_alimentos[[#This Row],[Item]],super1[Bairro],mercado16)+SUMIFS(supercb[Qtde],supercb[Item],tab_alimentos[[#This Row],[Item]],supercb[Bairro],mercado16)</f>
        <v>0</v>
      </c>
      <c r="AB178" s="4">
        <f>SUMIFS(super1[Qtde],super1[Item],tab_alimentos[[#This Row],[Item]],super1[Bairro],mercado17)+SUMIFS(supercb[Qtde],supercb[Item],tab_alimentos[[#This Row],[Item]],supercb[Bairro],mercado17)</f>
        <v>0</v>
      </c>
      <c r="AC178" s="4">
        <f>SUMIFS(super1[Qtde],super1[Item],tab_alimentos[[#This Row],[Item]],super1[Bairro],mercado18)+SUMIFS(supercb[Qtde],supercb[Item],tab_alimentos[[#This Row],[Item]],supercb[Bairro],mercado18)</f>
        <v>0</v>
      </c>
      <c r="AD178" s="4">
        <f>SUMIFS(super1[Qtde],super1[Item],tab_alimentos[[#This Row],[Item]],super1[Bairro],extras)+SUMIFS(supercb[Qtde],supercb[Item],tab_alimentos[[#This Row],[Item]],supercb[Bairro],extras)</f>
        <v>0</v>
      </c>
      <c r="AE178" s="4">
        <f t="shared" si="67"/>
        <v>0</v>
      </c>
      <c r="AF178" s="4">
        <f t="shared" si="68"/>
        <v>0</v>
      </c>
      <c r="AG178" s="6">
        <f t="shared" si="69"/>
        <v>0</v>
      </c>
      <c r="AH178" s="19" t="str">
        <f>higiene[[#This Row],[Item]]</f>
        <v>Papel Higiênico (12un)</v>
      </c>
      <c r="AI178" s="4">
        <f>IFERROR(higiene[[#This Row],[Kg equivalente]],0)</f>
        <v>0</v>
      </c>
      <c r="AJ178" s="4">
        <f>IFERROR(higiene[[#This Row],[Preço por produto]],0)</f>
        <v>19.989999999999998</v>
      </c>
      <c r="AK178" s="4">
        <f>SUMIFS(super1[Qtde],super1[Item],tab_higiene[[#This Row],[Item]],super1[Bairro],mercado1)+SUMIFS(supercb[Qtde],supercb[Item],tab_higiene[[#This Row],[Item]],supercb[Bairro],mercado1)</f>
        <v>0</v>
      </c>
      <c r="AL178" s="4">
        <f>SUMIFS(super1[Qtde],super1[Item],tab_higiene[[#This Row],[Item]],super1[Bairro],mercado2)+SUMIFS(supercb[Qtde],supercb[Item],tab_higiene[[#This Row],[Item]],supercb[Bairro],mercado2)</f>
        <v>0</v>
      </c>
      <c r="AM178" s="4">
        <f>SUMIFS(super1[Qtde],super1[Item],tab_higiene[[#This Row],[Item]],super1[Bairro],mercado3)+SUMIFS(supercb[Qtde],supercb[Item],tab_higiene[[#This Row],[Item]],supercb[Bairro],mercado3)</f>
        <v>0</v>
      </c>
      <c r="AN178" s="4">
        <f>SUMIFS(super1[Qtde],super1[Item],tab_higiene[[#This Row],[Item]],super1[Bairro],mercado4)+SUMIFS(supercb[Qtde],supercb[Item],tab_higiene[[#This Row],[Item]],supercb[Bairro],mercado4)</f>
        <v>0</v>
      </c>
      <c r="AO178" s="4">
        <f>SUMIFS(super1[Qtde],super1[Item],tab_higiene[[#This Row],[Item]],super1[Bairro],mercado5)+SUMIFS(supercb[Qtde],supercb[Item],tab_higiene[[#This Row],[Item]],supercb[Bairro],mercado5)</f>
        <v>0</v>
      </c>
      <c r="AP178" s="4">
        <f>SUMIFS(super1[Qtde],super1[Item],tab_higiene[[#This Row],[Item]],super1[Bairro],mercado6)+SUMIFS(supercb[Qtde],supercb[Item],tab_higiene[[#This Row],[Item]],supercb[Bairro],mercado6)</f>
        <v>0</v>
      </c>
      <c r="AQ178" s="4">
        <f>SUMIFS(super1[Qtde],super1[Item],tab_higiene[[#This Row],[Item]],super1[Bairro],mercado7)+SUMIFS(supercb[Qtde],supercb[Item],tab_higiene[[#This Row],[Item]],supercb[Bairro],mercado7)</f>
        <v>0</v>
      </c>
      <c r="AR178" s="4">
        <f>SUMIFS(super1[Qtde],super1[Item],tab_higiene[[#This Row],[Item]],super1[Bairro],mercado8)+SUMIFS(supercb[Qtde],supercb[Item],tab_higiene[[#This Row],[Item]],supercb[Bairro],mercado8)</f>
        <v>0</v>
      </c>
      <c r="AS178" s="4">
        <f>SUMIFS(super1[Qtde],super1[Item],tab_higiene[[#This Row],[Item]],super1[Bairro],mercado9)+SUMIFS(supercb[Qtde],supercb[Item],tab_higiene[[#This Row],[Item]],supercb[Bairro],mercado9)</f>
        <v>0</v>
      </c>
      <c r="AT178" s="4">
        <f>SUMIFS(super1[Qtde],super1[Item],tab_higiene[[#This Row],[Item]],super1[Bairro],mercado10)+SUMIFS(supercb[Qtde],supercb[Item],tab_higiene[[#This Row],[Item]],supercb[Bairro],mercado10)</f>
        <v>0</v>
      </c>
      <c r="AU178" s="4">
        <f>SUMIFS(super1[Qtde],super1[Item],tab_higiene[[#This Row],[Item]],super1[Bairro],mercado11)+SUMIFS(supercb[Qtde],supercb[Item],tab_higiene[[#This Row],[Item]],supercb[Bairro],mercado11)</f>
        <v>0</v>
      </c>
      <c r="AV178" s="4">
        <f>SUMIFS(super1[Qtde],super1[Item],tab_higiene[[#This Row],[Item]],super1[Bairro],mercado12)+SUMIFS(supercb[Qtde],supercb[Item],tab_higiene[[#This Row],[Item]],supercb[Bairro],mercado12)</f>
        <v>0</v>
      </c>
      <c r="AW178" s="4">
        <f>SUMIFS(super1[Qtde],super1[Item],tab_higiene[[#This Row],[Item]],super1[Bairro],mercado13)+SUMIFS(supercb[Qtde],supercb[Item],tab_higiene[[#This Row],[Item]],supercb[Bairro],mercado13)</f>
        <v>0</v>
      </c>
      <c r="AX178" s="4">
        <f>SUMIFS(super1[Qtde],super1[Item],tab_higiene[[#This Row],[Item]],super1[Bairro],mercado14)+SUMIFS(supercb[Qtde],supercb[Item],tab_higiene[[#This Row],[Item]],supercb[Bairro],mercado14)</f>
        <v>0</v>
      </c>
      <c r="AY178" s="4">
        <f>SUMIFS(super1[Qtde],super1[Item],tab_higiene[[#This Row],[Item]],super1[Bairro],mercado15)+SUMIFS(supercb[Qtde],supercb[Item],tab_higiene[[#This Row],[Item]],supercb[Bairro],mercado15)</f>
        <v>0</v>
      </c>
      <c r="AZ178" s="4">
        <f>SUMIFS(super1[Qtde],super1[Item],tab_higiene[[#This Row],[Item]],super1[Bairro],mercado16)+SUMIFS(supercb[Qtde],supercb[Item],tab_higiene[[#This Row],[Item]],supercb[Bairro],mercado16)</f>
        <v>0</v>
      </c>
      <c r="BA178" s="4">
        <f>SUMIFS(super1[Qtde],super1[Item],tab_higiene[[#This Row],[Item]],super1[Bairro],mercado17)+SUMIFS(supercb[Qtde],supercb[Item],tab_higiene[[#This Row],[Item]],supercb[Bairro],mercado17)</f>
        <v>0</v>
      </c>
      <c r="BB178" s="4">
        <f>SUMIFS(super1[Qtde],super1[Item],tab_higiene[[#This Row],[Item]],super1[Bairro],mercado18)+SUMIFS(supercb[Qtde],supercb[Item],tab_higiene[[#This Row],[Item]],supercb[Bairro],mercado18)</f>
        <v>0</v>
      </c>
      <c r="BC178" s="4">
        <f>SUMIFS(super1[Qtde],super1[Item],tab_higiene[[#This Row],[Item]],super1[Bairro],extras)+SUMIFS(supercb[Qtde],supercb[Item],tab_higiene[[#This Row],[Item]],supercb[Bairro],extras)</f>
        <v>0</v>
      </c>
      <c r="BD178" s="4">
        <f t="shared" si="70"/>
        <v>0</v>
      </c>
      <c r="BE178" s="4">
        <f t="shared" si="71"/>
        <v>0</v>
      </c>
      <c r="BF178" s="6">
        <f t="shared" si="72"/>
        <v>0</v>
      </c>
    </row>
    <row r="179" spans="9:58" x14ac:dyDescent="0.25">
      <c r="I179" s="19" t="str">
        <f>alimentos[[#This Row],[Item]]</f>
        <v>Club Social (6un)</v>
      </c>
      <c r="J179" s="4">
        <f>IFERROR(alimentos[[#This Row],[kg/embalagem]],0)</f>
        <v>0.14000000000000001</v>
      </c>
      <c r="K179" s="4">
        <f>IFERROR(alimentos[[#This Row],[Preço]],0)</f>
        <v>6.19</v>
      </c>
      <c r="L179" s="4">
        <f>SUMIFS(super1[Qtde],super1[Item],tab_alimentos[[#This Row],[Item]],super1[Bairro],mercado1)+SUMIFS(supercb[Qtde],supercb[Item],tab_alimentos[[#This Row],[Item]],supercb[Bairro],mercado1)</f>
        <v>0</v>
      </c>
      <c r="M179" s="4">
        <f>SUMIFS(super1[Qtde],super1[Item],tab_alimentos[[#This Row],[Item]],super1[Bairro],mercado2)+SUMIFS(supercb[Qtde],supercb[Item],tab_alimentos[[#This Row],[Item]],supercb[Bairro],mercado2)</f>
        <v>0</v>
      </c>
      <c r="N179" s="4">
        <f>SUMIFS(super1[Qtde],super1[Item],tab_alimentos[[#This Row],[Item]],super1[Bairro],mercado3)+SUMIFS(supercb[Qtde],supercb[Item],tab_alimentos[[#This Row],[Item]],supercb[Bairro],mercado3)</f>
        <v>0</v>
      </c>
      <c r="O179" s="4">
        <f>SUMIFS(super1[Qtde],super1[Item],tab_alimentos[[#This Row],[Item]],super1[Bairro],mercado4)+SUMIFS(supercb[Qtde],supercb[Item],tab_alimentos[[#This Row],[Item]],supercb[Bairro],mercado4)</f>
        <v>0</v>
      </c>
      <c r="P179" s="4">
        <f>SUMIFS(super1[Qtde],super1[Item],tab_alimentos[[#This Row],[Item]],super1[Bairro],mercado5)+SUMIFS(supercb[Qtde],supercb[Item],tab_alimentos[[#This Row],[Item]],supercb[Bairro],mercado5)</f>
        <v>0</v>
      </c>
      <c r="Q179" s="4">
        <f>SUMIFS(super1[Qtde],super1[Item],tab_alimentos[[#This Row],[Item]],super1[Bairro],mercado6)+SUMIFS(supercb[Qtde],supercb[Item],tab_alimentos[[#This Row],[Item]],supercb[Bairro],mercado6)</f>
        <v>0</v>
      </c>
      <c r="R179" s="4">
        <f>SUMIFS(super1[Qtde],super1[Item],tab_alimentos[[#This Row],[Item]],super1[Bairro],mercado7)+SUMIFS(supercb[Qtde],supercb[Item],tab_alimentos[[#This Row],[Item]],supercb[Bairro],mercado7)</f>
        <v>0</v>
      </c>
      <c r="S179" s="4">
        <f>SUMIFS(super1[Qtde],super1[Item],tab_alimentos[[#This Row],[Item]],super1[Bairro],mercado8)+SUMIFS(supercb[Qtde],supercb[Item],tab_alimentos[[#This Row],[Item]],supercb[Bairro],mercado8)</f>
        <v>0</v>
      </c>
      <c r="T179" s="4">
        <f>SUMIFS(super1[Qtde],super1[Item],tab_alimentos[[#This Row],[Item]],super1[Bairro],mercado9)+SUMIFS(supercb[Qtde],supercb[Item],tab_alimentos[[#This Row],[Item]],supercb[Bairro],mercado9)</f>
        <v>0</v>
      </c>
      <c r="U179" s="4">
        <f>SUMIFS(super1[Qtde],super1[Item],tab_alimentos[[#This Row],[Item]],super1[Bairro],mercado10)+SUMIFS(supercb[Qtde],supercb[Item],tab_alimentos[[#This Row],[Item]],supercb[Bairro],mercado10)</f>
        <v>0</v>
      </c>
      <c r="V179" s="4">
        <f>SUMIFS(super1[Qtde],super1[Item],tab_alimentos[[#This Row],[Item]],super1[Bairro],mercado11)+SUMIFS(supercb[Qtde],supercb[Item],tab_alimentos[[#This Row],[Item]],supercb[Bairro],mercado11)</f>
        <v>0</v>
      </c>
      <c r="W179" s="4">
        <f>SUMIFS(super1[Qtde],super1[Item],tab_alimentos[[#This Row],[Item]],super1[Bairro],mercado12)+SUMIFS(supercb[Qtde],supercb[Item],tab_alimentos[[#This Row],[Item]],supercb[Bairro],mercado12)</f>
        <v>0</v>
      </c>
      <c r="X179" s="4">
        <f>SUMIFS(super1[Qtde],super1[Item],tab_alimentos[[#This Row],[Item]],super1[Bairro],mercado13)+SUMIFS(supercb[Qtde],supercb[Item],tab_alimentos[[#This Row],[Item]],supercb[Bairro],mercado13)</f>
        <v>0</v>
      </c>
      <c r="Y179" s="4">
        <f>SUMIFS(super1[Qtde],super1[Item],tab_alimentos[[#This Row],[Item]],super1[Bairro],mercado14)+SUMIFS(supercb[Qtde],supercb[Item],tab_alimentos[[#This Row],[Item]],supercb[Bairro],mercado14)</f>
        <v>0</v>
      </c>
      <c r="Z179" s="4">
        <f>SUMIFS(super1[Qtde],super1[Item],tab_alimentos[[#This Row],[Item]],super1[Bairro],mercado15)+SUMIFS(supercb[Qtde],supercb[Item],tab_alimentos[[#This Row],[Item]],supercb[Bairro],mercado15)</f>
        <v>0</v>
      </c>
      <c r="AA179" s="4">
        <f>SUMIFS(super1[Qtde],super1[Item],tab_alimentos[[#This Row],[Item]],super1[Bairro],mercado16)+SUMIFS(supercb[Qtde],supercb[Item],tab_alimentos[[#This Row],[Item]],supercb[Bairro],mercado16)</f>
        <v>0</v>
      </c>
      <c r="AB179" s="4">
        <f>SUMIFS(super1[Qtde],super1[Item],tab_alimentos[[#This Row],[Item]],super1[Bairro],mercado17)+SUMIFS(supercb[Qtde],supercb[Item],tab_alimentos[[#This Row],[Item]],supercb[Bairro],mercado17)</f>
        <v>0</v>
      </c>
      <c r="AC179" s="4">
        <f>SUMIFS(super1[Qtde],super1[Item],tab_alimentos[[#This Row],[Item]],super1[Bairro],mercado18)+SUMIFS(supercb[Qtde],supercb[Item],tab_alimentos[[#This Row],[Item]],supercb[Bairro],mercado18)</f>
        <v>0</v>
      </c>
      <c r="AD179" s="4">
        <f>SUMIFS(super1[Qtde],super1[Item],tab_alimentos[[#This Row],[Item]],super1[Bairro],extras)+SUMIFS(supercb[Qtde],supercb[Item],tab_alimentos[[#This Row],[Item]],supercb[Bairro],extras)</f>
        <v>0</v>
      </c>
      <c r="AE179" s="4">
        <f t="shared" si="67"/>
        <v>0</v>
      </c>
      <c r="AF179" s="4">
        <f t="shared" si="68"/>
        <v>0</v>
      </c>
      <c r="AG179" s="6">
        <f t="shared" si="69"/>
        <v>0</v>
      </c>
      <c r="AH179" s="19" t="str">
        <f>higiene[[#This Row],[Item]]</f>
        <v>Papel Higiênico (16un)</v>
      </c>
      <c r="AI179" s="4">
        <f>IFERROR(higiene[[#This Row],[Kg equivalente]],0)</f>
        <v>0</v>
      </c>
      <c r="AJ179" s="4">
        <f>IFERROR(higiene[[#This Row],[Preço por produto]],0)</f>
        <v>14.79</v>
      </c>
      <c r="AK179" s="4">
        <f>SUMIFS(super1[Qtde],super1[Item],tab_higiene[[#This Row],[Item]],super1[Bairro],mercado1)+SUMIFS(supercb[Qtde],supercb[Item],tab_higiene[[#This Row],[Item]],supercb[Bairro],mercado1)</f>
        <v>0</v>
      </c>
      <c r="AL179" s="4">
        <f>SUMIFS(super1[Qtde],super1[Item],tab_higiene[[#This Row],[Item]],super1[Bairro],mercado2)+SUMIFS(supercb[Qtde],supercb[Item],tab_higiene[[#This Row],[Item]],supercb[Bairro],mercado2)</f>
        <v>0</v>
      </c>
      <c r="AM179" s="4">
        <f>SUMIFS(super1[Qtde],super1[Item],tab_higiene[[#This Row],[Item]],super1[Bairro],mercado3)+SUMIFS(supercb[Qtde],supercb[Item],tab_higiene[[#This Row],[Item]],supercb[Bairro],mercado3)</f>
        <v>0</v>
      </c>
      <c r="AN179" s="4">
        <f>SUMIFS(super1[Qtde],super1[Item],tab_higiene[[#This Row],[Item]],super1[Bairro],mercado4)+SUMIFS(supercb[Qtde],supercb[Item],tab_higiene[[#This Row],[Item]],supercb[Bairro],mercado4)</f>
        <v>0</v>
      </c>
      <c r="AO179" s="4">
        <f>SUMIFS(super1[Qtde],super1[Item],tab_higiene[[#This Row],[Item]],super1[Bairro],mercado5)+SUMIFS(supercb[Qtde],supercb[Item],tab_higiene[[#This Row],[Item]],supercb[Bairro],mercado5)</f>
        <v>0</v>
      </c>
      <c r="AP179" s="4">
        <f>SUMIFS(super1[Qtde],super1[Item],tab_higiene[[#This Row],[Item]],super1[Bairro],mercado6)+SUMIFS(supercb[Qtde],supercb[Item],tab_higiene[[#This Row],[Item]],supercb[Bairro],mercado6)</f>
        <v>0</v>
      </c>
      <c r="AQ179" s="4">
        <f>SUMIFS(super1[Qtde],super1[Item],tab_higiene[[#This Row],[Item]],super1[Bairro],mercado7)+SUMIFS(supercb[Qtde],supercb[Item],tab_higiene[[#This Row],[Item]],supercb[Bairro],mercado7)</f>
        <v>0</v>
      </c>
      <c r="AR179" s="4">
        <f>SUMIFS(super1[Qtde],super1[Item],tab_higiene[[#This Row],[Item]],super1[Bairro],mercado8)+SUMIFS(supercb[Qtde],supercb[Item],tab_higiene[[#This Row],[Item]],supercb[Bairro],mercado8)</f>
        <v>0</v>
      </c>
      <c r="AS179" s="4">
        <f>SUMIFS(super1[Qtde],super1[Item],tab_higiene[[#This Row],[Item]],super1[Bairro],mercado9)+SUMIFS(supercb[Qtde],supercb[Item],tab_higiene[[#This Row],[Item]],supercb[Bairro],mercado9)</f>
        <v>0</v>
      </c>
      <c r="AT179" s="4">
        <f>SUMIFS(super1[Qtde],super1[Item],tab_higiene[[#This Row],[Item]],super1[Bairro],mercado10)+SUMIFS(supercb[Qtde],supercb[Item],tab_higiene[[#This Row],[Item]],supercb[Bairro],mercado10)</f>
        <v>0</v>
      </c>
      <c r="AU179" s="4">
        <f>SUMIFS(super1[Qtde],super1[Item],tab_higiene[[#This Row],[Item]],super1[Bairro],mercado11)+SUMIFS(supercb[Qtde],supercb[Item],tab_higiene[[#This Row],[Item]],supercb[Bairro],mercado11)</f>
        <v>0</v>
      </c>
      <c r="AV179" s="4">
        <f>SUMIFS(super1[Qtde],super1[Item],tab_higiene[[#This Row],[Item]],super1[Bairro],mercado12)+SUMIFS(supercb[Qtde],supercb[Item],tab_higiene[[#This Row],[Item]],supercb[Bairro],mercado12)</f>
        <v>0</v>
      </c>
      <c r="AW179" s="4">
        <f>SUMIFS(super1[Qtde],super1[Item],tab_higiene[[#This Row],[Item]],super1[Bairro],mercado13)+SUMIFS(supercb[Qtde],supercb[Item],tab_higiene[[#This Row],[Item]],supercb[Bairro],mercado13)</f>
        <v>0</v>
      </c>
      <c r="AX179" s="4">
        <f>SUMIFS(super1[Qtde],super1[Item],tab_higiene[[#This Row],[Item]],super1[Bairro],mercado14)+SUMIFS(supercb[Qtde],supercb[Item],tab_higiene[[#This Row],[Item]],supercb[Bairro],mercado14)</f>
        <v>0</v>
      </c>
      <c r="AY179" s="4">
        <f>SUMIFS(super1[Qtde],super1[Item],tab_higiene[[#This Row],[Item]],super1[Bairro],mercado15)+SUMIFS(supercb[Qtde],supercb[Item],tab_higiene[[#This Row],[Item]],supercb[Bairro],mercado15)</f>
        <v>0</v>
      </c>
      <c r="AZ179" s="4">
        <f>SUMIFS(super1[Qtde],super1[Item],tab_higiene[[#This Row],[Item]],super1[Bairro],mercado16)+SUMIFS(supercb[Qtde],supercb[Item],tab_higiene[[#This Row],[Item]],supercb[Bairro],mercado16)</f>
        <v>0</v>
      </c>
      <c r="BA179" s="4">
        <f>SUMIFS(super1[Qtde],super1[Item],tab_higiene[[#This Row],[Item]],super1[Bairro],mercado17)+SUMIFS(supercb[Qtde],supercb[Item],tab_higiene[[#This Row],[Item]],supercb[Bairro],mercado17)</f>
        <v>0</v>
      </c>
      <c r="BB179" s="4">
        <f>SUMIFS(super1[Qtde],super1[Item],tab_higiene[[#This Row],[Item]],super1[Bairro],mercado18)+SUMIFS(supercb[Qtde],supercb[Item],tab_higiene[[#This Row],[Item]],supercb[Bairro],mercado18)</f>
        <v>0</v>
      </c>
      <c r="BC179" s="4">
        <f>SUMIFS(super1[Qtde],super1[Item],tab_higiene[[#This Row],[Item]],super1[Bairro],extras)+SUMIFS(supercb[Qtde],supercb[Item],tab_higiene[[#This Row],[Item]],supercb[Bairro],extras)</f>
        <v>0</v>
      </c>
      <c r="BD179" s="4">
        <f t="shared" ref="BD179:BD182" si="73">SUM(AK179:BB179)</f>
        <v>0</v>
      </c>
      <c r="BE179" s="4">
        <f t="shared" ref="BE179:BE182" si="74">IFERROR(BD179*AJ179,0)</f>
        <v>0</v>
      </c>
      <c r="BF179" s="6">
        <f t="shared" ref="BF179:BF182" si="75">IFERROR(AI179*BD179,0)</f>
        <v>0</v>
      </c>
    </row>
    <row r="180" spans="9:58" x14ac:dyDescent="0.25">
      <c r="I180" s="19" t="str">
        <f>alimentos[[#This Row],[Item]]</f>
        <v>Cocada (300g)</v>
      </c>
      <c r="J180" s="4">
        <f>IFERROR(alimentos[[#This Row],[kg/embalagem]],0)</f>
        <v>0.3</v>
      </c>
      <c r="K180" s="4">
        <f>IFERROR(alimentos[[#This Row],[Preço]],0)</f>
        <v>12.75</v>
      </c>
      <c r="L180" s="4">
        <f>SUMIFS(super1[Qtde],super1[Item],tab_alimentos[[#This Row],[Item]],super1[Bairro],mercado1)+SUMIFS(supercb[Qtde],supercb[Item],tab_alimentos[[#This Row],[Item]],supercb[Bairro],mercado1)</f>
        <v>0</v>
      </c>
      <c r="M180" s="4">
        <f>SUMIFS(super1[Qtde],super1[Item],tab_alimentos[[#This Row],[Item]],super1[Bairro],mercado2)+SUMIFS(supercb[Qtde],supercb[Item],tab_alimentos[[#This Row],[Item]],supercb[Bairro],mercado2)</f>
        <v>0</v>
      </c>
      <c r="N180" s="4">
        <f>SUMIFS(super1[Qtde],super1[Item],tab_alimentos[[#This Row],[Item]],super1[Bairro],mercado3)+SUMIFS(supercb[Qtde],supercb[Item],tab_alimentos[[#This Row],[Item]],supercb[Bairro],mercado3)</f>
        <v>0</v>
      </c>
      <c r="O180" s="4">
        <f>SUMIFS(super1[Qtde],super1[Item],tab_alimentos[[#This Row],[Item]],super1[Bairro],mercado4)+SUMIFS(supercb[Qtde],supercb[Item],tab_alimentos[[#This Row],[Item]],supercb[Bairro],mercado4)</f>
        <v>0</v>
      </c>
      <c r="P180" s="4">
        <f>SUMIFS(super1[Qtde],super1[Item],tab_alimentos[[#This Row],[Item]],super1[Bairro],mercado5)+SUMIFS(supercb[Qtde],supercb[Item],tab_alimentos[[#This Row],[Item]],supercb[Bairro],mercado5)</f>
        <v>0</v>
      </c>
      <c r="Q180" s="4">
        <f>SUMIFS(super1[Qtde],super1[Item],tab_alimentos[[#This Row],[Item]],super1[Bairro],mercado6)+SUMIFS(supercb[Qtde],supercb[Item],tab_alimentos[[#This Row],[Item]],supercb[Bairro],mercado6)</f>
        <v>0</v>
      </c>
      <c r="R180" s="4">
        <f>SUMIFS(super1[Qtde],super1[Item],tab_alimentos[[#This Row],[Item]],super1[Bairro],mercado7)+SUMIFS(supercb[Qtde],supercb[Item],tab_alimentos[[#This Row],[Item]],supercb[Bairro],mercado7)</f>
        <v>0</v>
      </c>
      <c r="S180" s="4">
        <f>SUMIFS(super1[Qtde],super1[Item],tab_alimentos[[#This Row],[Item]],super1[Bairro],mercado8)+SUMIFS(supercb[Qtde],supercb[Item],tab_alimentos[[#This Row],[Item]],supercb[Bairro],mercado8)</f>
        <v>0</v>
      </c>
      <c r="T180" s="4">
        <f>SUMIFS(super1[Qtde],super1[Item],tab_alimentos[[#This Row],[Item]],super1[Bairro],mercado9)+SUMIFS(supercb[Qtde],supercb[Item],tab_alimentos[[#This Row],[Item]],supercb[Bairro],mercado9)</f>
        <v>0</v>
      </c>
      <c r="U180" s="4">
        <f>SUMIFS(super1[Qtde],super1[Item],tab_alimentos[[#This Row],[Item]],super1[Bairro],mercado10)+SUMIFS(supercb[Qtde],supercb[Item],tab_alimentos[[#This Row],[Item]],supercb[Bairro],mercado10)</f>
        <v>0</v>
      </c>
      <c r="V180" s="4">
        <f>SUMIFS(super1[Qtde],super1[Item],tab_alimentos[[#This Row],[Item]],super1[Bairro],mercado11)+SUMIFS(supercb[Qtde],supercb[Item],tab_alimentos[[#This Row],[Item]],supercb[Bairro],mercado11)</f>
        <v>0</v>
      </c>
      <c r="W180" s="4">
        <f>SUMIFS(super1[Qtde],super1[Item],tab_alimentos[[#This Row],[Item]],super1[Bairro],mercado12)+SUMIFS(supercb[Qtde],supercb[Item],tab_alimentos[[#This Row],[Item]],supercb[Bairro],mercado12)</f>
        <v>0</v>
      </c>
      <c r="X180" s="4">
        <f>SUMIFS(super1[Qtde],super1[Item],tab_alimentos[[#This Row],[Item]],super1[Bairro],mercado13)+SUMIFS(supercb[Qtde],supercb[Item],tab_alimentos[[#This Row],[Item]],supercb[Bairro],mercado13)</f>
        <v>0</v>
      </c>
      <c r="Y180" s="4">
        <f>SUMIFS(super1[Qtde],super1[Item],tab_alimentos[[#This Row],[Item]],super1[Bairro],mercado14)+SUMIFS(supercb[Qtde],supercb[Item],tab_alimentos[[#This Row],[Item]],supercb[Bairro],mercado14)</f>
        <v>0</v>
      </c>
      <c r="Z180" s="4">
        <f>SUMIFS(super1[Qtde],super1[Item],tab_alimentos[[#This Row],[Item]],super1[Bairro],mercado15)+SUMIFS(supercb[Qtde],supercb[Item],tab_alimentos[[#This Row],[Item]],supercb[Bairro],mercado15)</f>
        <v>0</v>
      </c>
      <c r="AA180" s="4">
        <f>SUMIFS(super1[Qtde],super1[Item],tab_alimentos[[#This Row],[Item]],super1[Bairro],mercado16)+SUMIFS(supercb[Qtde],supercb[Item],tab_alimentos[[#This Row],[Item]],supercb[Bairro],mercado16)</f>
        <v>0</v>
      </c>
      <c r="AB180" s="4">
        <f>SUMIFS(super1[Qtde],super1[Item],tab_alimentos[[#This Row],[Item]],super1[Bairro],mercado17)+SUMIFS(supercb[Qtde],supercb[Item],tab_alimentos[[#This Row],[Item]],supercb[Bairro],mercado17)</f>
        <v>0</v>
      </c>
      <c r="AC180" s="4">
        <f>SUMIFS(super1[Qtde],super1[Item],tab_alimentos[[#This Row],[Item]],super1[Bairro],mercado18)+SUMIFS(supercb[Qtde],supercb[Item],tab_alimentos[[#This Row],[Item]],supercb[Bairro],mercado18)</f>
        <v>0</v>
      </c>
      <c r="AD180" s="4">
        <f>SUMIFS(super1[Qtde],super1[Item],tab_alimentos[[#This Row],[Item]],super1[Bairro],extras)+SUMIFS(supercb[Qtde],supercb[Item],tab_alimentos[[#This Row],[Item]],supercb[Bairro],extras)</f>
        <v>0</v>
      </c>
      <c r="AE180" s="4">
        <f t="shared" si="67"/>
        <v>0</v>
      </c>
      <c r="AF180" s="4">
        <f t="shared" si="68"/>
        <v>0</v>
      </c>
      <c r="AG180" s="6">
        <f t="shared" si="69"/>
        <v>0</v>
      </c>
      <c r="AH180" s="19" t="str">
        <f>higiene[[#This Row],[Item]]</f>
        <v>Papel Higiênico (24un)</v>
      </c>
      <c r="AI180" s="4">
        <f>IFERROR(higiene[[#This Row],[Kg equivalente]],0)</f>
        <v>0</v>
      </c>
      <c r="AJ180" s="4">
        <f>IFERROR(higiene[[#This Row],[Preço por produto]],0)</f>
        <v>38.979999999999997</v>
      </c>
      <c r="AK180" s="4">
        <f>SUMIFS(super1[Qtde],super1[Item],tab_higiene[[#This Row],[Item]],super1[Bairro],mercado1)+SUMIFS(supercb[Qtde],supercb[Item],tab_higiene[[#This Row],[Item]],supercb[Bairro],mercado1)</f>
        <v>0</v>
      </c>
      <c r="AL180" s="4">
        <f>SUMIFS(super1[Qtde],super1[Item],tab_higiene[[#This Row],[Item]],super1[Bairro],mercado2)+SUMIFS(supercb[Qtde],supercb[Item],tab_higiene[[#This Row],[Item]],supercb[Bairro],mercado2)</f>
        <v>0</v>
      </c>
      <c r="AM180" s="4">
        <f>SUMIFS(super1[Qtde],super1[Item],tab_higiene[[#This Row],[Item]],super1[Bairro],mercado3)+SUMIFS(supercb[Qtde],supercb[Item],tab_higiene[[#This Row],[Item]],supercb[Bairro],mercado3)</f>
        <v>0</v>
      </c>
      <c r="AN180" s="4">
        <f>SUMIFS(super1[Qtde],super1[Item],tab_higiene[[#This Row],[Item]],super1[Bairro],mercado4)+SUMIFS(supercb[Qtde],supercb[Item],tab_higiene[[#This Row],[Item]],supercb[Bairro],mercado4)</f>
        <v>0</v>
      </c>
      <c r="AO180" s="4">
        <f>SUMIFS(super1[Qtde],super1[Item],tab_higiene[[#This Row],[Item]],super1[Bairro],mercado5)+SUMIFS(supercb[Qtde],supercb[Item],tab_higiene[[#This Row],[Item]],supercb[Bairro],mercado5)</f>
        <v>0</v>
      </c>
      <c r="AP180" s="4">
        <f>SUMIFS(super1[Qtde],super1[Item],tab_higiene[[#This Row],[Item]],super1[Bairro],mercado6)+SUMIFS(supercb[Qtde],supercb[Item],tab_higiene[[#This Row],[Item]],supercb[Bairro],mercado6)</f>
        <v>0</v>
      </c>
      <c r="AQ180" s="4">
        <f>SUMIFS(super1[Qtde],super1[Item],tab_higiene[[#This Row],[Item]],super1[Bairro],mercado7)+SUMIFS(supercb[Qtde],supercb[Item],tab_higiene[[#This Row],[Item]],supercb[Bairro],mercado7)</f>
        <v>0</v>
      </c>
      <c r="AR180" s="4">
        <f>SUMIFS(super1[Qtde],super1[Item],tab_higiene[[#This Row],[Item]],super1[Bairro],mercado8)+SUMIFS(supercb[Qtde],supercb[Item],tab_higiene[[#This Row],[Item]],supercb[Bairro],mercado8)</f>
        <v>0</v>
      </c>
      <c r="AS180" s="4">
        <f>SUMIFS(super1[Qtde],super1[Item],tab_higiene[[#This Row],[Item]],super1[Bairro],mercado9)+SUMIFS(supercb[Qtde],supercb[Item],tab_higiene[[#This Row],[Item]],supercb[Bairro],mercado9)</f>
        <v>0</v>
      </c>
      <c r="AT180" s="4">
        <f>SUMIFS(super1[Qtde],super1[Item],tab_higiene[[#This Row],[Item]],super1[Bairro],mercado10)+SUMIFS(supercb[Qtde],supercb[Item],tab_higiene[[#This Row],[Item]],supercb[Bairro],mercado10)</f>
        <v>0</v>
      </c>
      <c r="AU180" s="4">
        <f>SUMIFS(super1[Qtde],super1[Item],tab_higiene[[#This Row],[Item]],super1[Bairro],mercado11)+SUMIFS(supercb[Qtde],supercb[Item],tab_higiene[[#This Row],[Item]],supercb[Bairro],mercado11)</f>
        <v>0</v>
      </c>
      <c r="AV180" s="4">
        <f>SUMIFS(super1[Qtde],super1[Item],tab_higiene[[#This Row],[Item]],super1[Bairro],mercado12)+SUMIFS(supercb[Qtde],supercb[Item],tab_higiene[[#This Row],[Item]],supercb[Bairro],mercado12)</f>
        <v>0</v>
      </c>
      <c r="AW180" s="4">
        <f>SUMIFS(super1[Qtde],super1[Item],tab_higiene[[#This Row],[Item]],super1[Bairro],mercado13)+SUMIFS(supercb[Qtde],supercb[Item],tab_higiene[[#This Row],[Item]],supercb[Bairro],mercado13)</f>
        <v>0</v>
      </c>
      <c r="AX180" s="4">
        <f>SUMIFS(super1[Qtde],super1[Item],tab_higiene[[#This Row],[Item]],super1[Bairro],mercado14)+SUMIFS(supercb[Qtde],supercb[Item],tab_higiene[[#This Row],[Item]],supercb[Bairro],mercado14)</f>
        <v>0</v>
      </c>
      <c r="AY180" s="4">
        <f>SUMIFS(super1[Qtde],super1[Item],tab_higiene[[#This Row],[Item]],super1[Bairro],mercado15)+SUMIFS(supercb[Qtde],supercb[Item],tab_higiene[[#This Row],[Item]],supercb[Bairro],mercado15)</f>
        <v>0</v>
      </c>
      <c r="AZ180" s="4">
        <f>SUMIFS(super1[Qtde],super1[Item],tab_higiene[[#This Row],[Item]],super1[Bairro],mercado16)+SUMIFS(supercb[Qtde],supercb[Item],tab_higiene[[#This Row],[Item]],supercb[Bairro],mercado16)</f>
        <v>0</v>
      </c>
      <c r="BA180" s="4">
        <f>SUMIFS(super1[Qtde],super1[Item],tab_higiene[[#This Row],[Item]],super1[Bairro],mercado17)+SUMIFS(supercb[Qtde],supercb[Item],tab_higiene[[#This Row],[Item]],supercb[Bairro],mercado17)</f>
        <v>0</v>
      </c>
      <c r="BB180" s="4">
        <f>SUMIFS(super1[Qtde],super1[Item],tab_higiene[[#This Row],[Item]],super1[Bairro],mercado18)+SUMIFS(supercb[Qtde],supercb[Item],tab_higiene[[#This Row],[Item]],supercb[Bairro],mercado18)</f>
        <v>0</v>
      </c>
      <c r="BC180" s="4">
        <f>SUMIFS(super1[Qtde],super1[Item],tab_higiene[[#This Row],[Item]],super1[Bairro],extras)+SUMIFS(supercb[Qtde],supercb[Item],tab_higiene[[#This Row],[Item]],supercb[Bairro],extras)</f>
        <v>0</v>
      </c>
      <c r="BD180" s="4">
        <f t="shared" si="73"/>
        <v>0</v>
      </c>
      <c r="BE180" s="4">
        <f t="shared" si="74"/>
        <v>0</v>
      </c>
      <c r="BF180" s="6">
        <f t="shared" si="75"/>
        <v>0</v>
      </c>
    </row>
    <row r="181" spans="9:58" x14ac:dyDescent="0.25">
      <c r="I181" s="19" t="str">
        <f>alimentos[[#This Row],[Item]]</f>
        <v>Coco Ralado (100g)</v>
      </c>
      <c r="J181" s="4">
        <f>IFERROR(alimentos[[#This Row],[kg/embalagem]],0)</f>
        <v>0.1</v>
      </c>
      <c r="K181" s="4">
        <f>IFERROR(alimentos[[#This Row],[Preço]],0)</f>
        <v>4.49</v>
      </c>
      <c r="L181" s="4">
        <f>SUMIFS(super1[Qtde],super1[Item],tab_alimentos[[#This Row],[Item]],super1[Bairro],mercado1)+SUMIFS(supercb[Qtde],supercb[Item],tab_alimentos[[#This Row],[Item]],supercb[Bairro],mercado1)</f>
        <v>0</v>
      </c>
      <c r="M181" s="4">
        <f>SUMIFS(super1[Qtde],super1[Item],tab_alimentos[[#This Row],[Item]],super1[Bairro],mercado2)+SUMIFS(supercb[Qtde],supercb[Item],tab_alimentos[[#This Row],[Item]],supercb[Bairro],mercado2)</f>
        <v>0</v>
      </c>
      <c r="N181" s="4">
        <f>SUMIFS(super1[Qtde],super1[Item],tab_alimentos[[#This Row],[Item]],super1[Bairro],mercado3)+SUMIFS(supercb[Qtde],supercb[Item],tab_alimentos[[#This Row],[Item]],supercb[Bairro],mercado3)</f>
        <v>0</v>
      </c>
      <c r="O181" s="4">
        <f>SUMIFS(super1[Qtde],super1[Item],tab_alimentos[[#This Row],[Item]],super1[Bairro],mercado4)+SUMIFS(supercb[Qtde],supercb[Item],tab_alimentos[[#This Row],[Item]],supercb[Bairro],mercado4)</f>
        <v>0</v>
      </c>
      <c r="P181" s="4">
        <f>SUMIFS(super1[Qtde],super1[Item],tab_alimentos[[#This Row],[Item]],super1[Bairro],mercado5)+SUMIFS(supercb[Qtde],supercb[Item],tab_alimentos[[#This Row],[Item]],supercb[Bairro],mercado5)</f>
        <v>0</v>
      </c>
      <c r="Q181" s="4">
        <f>SUMIFS(super1[Qtde],super1[Item],tab_alimentos[[#This Row],[Item]],super1[Bairro],mercado6)+SUMIFS(supercb[Qtde],supercb[Item],tab_alimentos[[#This Row],[Item]],supercb[Bairro],mercado6)</f>
        <v>0</v>
      </c>
      <c r="R181" s="4">
        <f>SUMIFS(super1[Qtde],super1[Item],tab_alimentos[[#This Row],[Item]],super1[Bairro],mercado7)+SUMIFS(supercb[Qtde],supercb[Item],tab_alimentos[[#This Row],[Item]],supercb[Bairro],mercado7)</f>
        <v>0</v>
      </c>
      <c r="S181" s="4">
        <f>SUMIFS(super1[Qtde],super1[Item],tab_alimentos[[#This Row],[Item]],super1[Bairro],mercado8)+SUMIFS(supercb[Qtde],supercb[Item],tab_alimentos[[#This Row],[Item]],supercb[Bairro],mercado8)</f>
        <v>0</v>
      </c>
      <c r="T181" s="4">
        <f>SUMIFS(super1[Qtde],super1[Item],tab_alimentos[[#This Row],[Item]],super1[Bairro],mercado9)+SUMIFS(supercb[Qtde],supercb[Item],tab_alimentos[[#This Row],[Item]],supercb[Bairro],mercado9)</f>
        <v>0</v>
      </c>
      <c r="U181" s="4">
        <f>SUMIFS(super1[Qtde],super1[Item],tab_alimentos[[#This Row],[Item]],super1[Bairro],mercado10)+SUMIFS(supercb[Qtde],supercb[Item],tab_alimentos[[#This Row],[Item]],supercb[Bairro],mercado10)</f>
        <v>0</v>
      </c>
      <c r="V181" s="4">
        <f>SUMIFS(super1[Qtde],super1[Item],tab_alimentos[[#This Row],[Item]],super1[Bairro],mercado11)+SUMIFS(supercb[Qtde],supercb[Item],tab_alimentos[[#This Row],[Item]],supercb[Bairro],mercado11)</f>
        <v>0</v>
      </c>
      <c r="W181" s="4">
        <f>SUMIFS(super1[Qtde],super1[Item],tab_alimentos[[#This Row],[Item]],super1[Bairro],mercado12)+SUMIFS(supercb[Qtde],supercb[Item],tab_alimentos[[#This Row],[Item]],supercb[Bairro],mercado12)</f>
        <v>0</v>
      </c>
      <c r="X181" s="4">
        <f>SUMIFS(super1[Qtde],super1[Item],tab_alimentos[[#This Row],[Item]],super1[Bairro],mercado13)+SUMIFS(supercb[Qtde],supercb[Item],tab_alimentos[[#This Row],[Item]],supercb[Bairro],mercado13)</f>
        <v>0</v>
      </c>
      <c r="Y181" s="4">
        <f>SUMIFS(super1[Qtde],super1[Item],tab_alimentos[[#This Row],[Item]],super1[Bairro],mercado14)+SUMIFS(supercb[Qtde],supercb[Item],tab_alimentos[[#This Row],[Item]],supercb[Bairro],mercado14)</f>
        <v>0</v>
      </c>
      <c r="Z181" s="4">
        <f>SUMIFS(super1[Qtde],super1[Item],tab_alimentos[[#This Row],[Item]],super1[Bairro],mercado15)+SUMIFS(supercb[Qtde],supercb[Item],tab_alimentos[[#This Row],[Item]],supercb[Bairro],mercado15)</f>
        <v>0</v>
      </c>
      <c r="AA181" s="4">
        <f>SUMIFS(super1[Qtde],super1[Item],tab_alimentos[[#This Row],[Item]],super1[Bairro],mercado16)+SUMIFS(supercb[Qtde],supercb[Item],tab_alimentos[[#This Row],[Item]],supercb[Bairro],mercado16)</f>
        <v>0</v>
      </c>
      <c r="AB181" s="4">
        <f>SUMIFS(super1[Qtde],super1[Item],tab_alimentos[[#This Row],[Item]],super1[Bairro],mercado17)+SUMIFS(supercb[Qtde],supercb[Item],tab_alimentos[[#This Row],[Item]],supercb[Bairro],mercado17)</f>
        <v>0</v>
      </c>
      <c r="AC181" s="4">
        <f>SUMIFS(super1[Qtde],super1[Item],tab_alimentos[[#This Row],[Item]],super1[Bairro],mercado18)+SUMIFS(supercb[Qtde],supercb[Item],tab_alimentos[[#This Row],[Item]],supercb[Bairro],mercado18)</f>
        <v>0</v>
      </c>
      <c r="AD181" s="4">
        <f>SUMIFS(super1[Qtde],super1[Item],tab_alimentos[[#This Row],[Item]],super1[Bairro],extras)+SUMIFS(supercb[Qtde],supercb[Item],tab_alimentos[[#This Row],[Item]],supercb[Bairro],extras)</f>
        <v>0</v>
      </c>
      <c r="AE181" s="4">
        <f t="shared" si="67"/>
        <v>0</v>
      </c>
      <c r="AF181" s="4">
        <f t="shared" si="68"/>
        <v>0</v>
      </c>
      <c r="AG181" s="6">
        <f t="shared" si="69"/>
        <v>0</v>
      </c>
      <c r="AH181" s="19" t="str">
        <f>higiene[[#This Row],[Item]]</f>
        <v>Papel Higiênico (44uni)</v>
      </c>
      <c r="AI181" s="4">
        <f>IFERROR(higiene[[#This Row],[Kg equivalente]],0)</f>
        <v>0</v>
      </c>
      <c r="AJ181" s="4">
        <f>IFERROR(higiene[[#This Row],[Preço por produto]],0)</f>
        <v>11.29</v>
      </c>
      <c r="AK181" s="4">
        <f>SUMIFS(super1[Qtde],super1[Item],tab_higiene[[#This Row],[Item]],super1[Bairro],mercado1)+SUMIFS(supercb[Qtde],supercb[Item],tab_higiene[[#This Row],[Item]],supercb[Bairro],mercado1)</f>
        <v>0</v>
      </c>
      <c r="AL181" s="4">
        <f>SUMIFS(super1[Qtde],super1[Item],tab_higiene[[#This Row],[Item]],super1[Bairro],mercado2)+SUMIFS(supercb[Qtde],supercb[Item],tab_higiene[[#This Row],[Item]],supercb[Bairro],mercado2)</f>
        <v>0</v>
      </c>
      <c r="AM181" s="4">
        <f>SUMIFS(super1[Qtde],super1[Item],tab_higiene[[#This Row],[Item]],super1[Bairro],mercado3)+SUMIFS(supercb[Qtde],supercb[Item],tab_higiene[[#This Row],[Item]],supercb[Bairro],mercado3)</f>
        <v>0</v>
      </c>
      <c r="AN181" s="4">
        <f>SUMIFS(super1[Qtde],super1[Item],tab_higiene[[#This Row],[Item]],super1[Bairro],mercado4)+SUMIFS(supercb[Qtde],supercb[Item],tab_higiene[[#This Row],[Item]],supercb[Bairro],mercado4)</f>
        <v>0</v>
      </c>
      <c r="AO181" s="4">
        <f>SUMIFS(super1[Qtde],super1[Item],tab_higiene[[#This Row],[Item]],super1[Bairro],mercado5)+SUMIFS(supercb[Qtde],supercb[Item],tab_higiene[[#This Row],[Item]],supercb[Bairro],mercado5)</f>
        <v>0</v>
      </c>
      <c r="AP181" s="4">
        <f>SUMIFS(super1[Qtde],super1[Item],tab_higiene[[#This Row],[Item]],super1[Bairro],mercado6)+SUMIFS(supercb[Qtde],supercb[Item],tab_higiene[[#This Row],[Item]],supercb[Bairro],mercado6)</f>
        <v>0</v>
      </c>
      <c r="AQ181" s="4">
        <f>SUMIFS(super1[Qtde],super1[Item],tab_higiene[[#This Row],[Item]],super1[Bairro],mercado7)+SUMIFS(supercb[Qtde],supercb[Item],tab_higiene[[#This Row],[Item]],supercb[Bairro],mercado7)</f>
        <v>0</v>
      </c>
      <c r="AR181" s="4">
        <f>SUMIFS(super1[Qtde],super1[Item],tab_higiene[[#This Row],[Item]],super1[Bairro],mercado8)+SUMIFS(supercb[Qtde],supercb[Item],tab_higiene[[#This Row],[Item]],supercb[Bairro],mercado8)</f>
        <v>0</v>
      </c>
      <c r="AS181" s="4">
        <f>SUMIFS(super1[Qtde],super1[Item],tab_higiene[[#This Row],[Item]],super1[Bairro],mercado9)+SUMIFS(supercb[Qtde],supercb[Item],tab_higiene[[#This Row],[Item]],supercb[Bairro],mercado9)</f>
        <v>0</v>
      </c>
      <c r="AT181" s="4">
        <f>SUMIFS(super1[Qtde],super1[Item],tab_higiene[[#This Row],[Item]],super1[Bairro],mercado10)+SUMIFS(supercb[Qtde],supercb[Item],tab_higiene[[#This Row],[Item]],supercb[Bairro],mercado10)</f>
        <v>0</v>
      </c>
      <c r="AU181" s="4">
        <f>SUMIFS(super1[Qtde],super1[Item],tab_higiene[[#This Row],[Item]],super1[Bairro],mercado11)+SUMIFS(supercb[Qtde],supercb[Item],tab_higiene[[#This Row],[Item]],supercb[Bairro],mercado11)</f>
        <v>0</v>
      </c>
      <c r="AV181" s="4">
        <f>SUMIFS(super1[Qtde],super1[Item],tab_higiene[[#This Row],[Item]],super1[Bairro],mercado12)+SUMIFS(supercb[Qtde],supercb[Item],tab_higiene[[#This Row],[Item]],supercb[Bairro],mercado12)</f>
        <v>0</v>
      </c>
      <c r="AW181" s="4">
        <f>SUMIFS(super1[Qtde],super1[Item],tab_higiene[[#This Row],[Item]],super1[Bairro],mercado13)+SUMIFS(supercb[Qtde],supercb[Item],tab_higiene[[#This Row],[Item]],supercb[Bairro],mercado13)</f>
        <v>0</v>
      </c>
      <c r="AX181" s="4">
        <f>SUMIFS(super1[Qtde],super1[Item],tab_higiene[[#This Row],[Item]],super1[Bairro],mercado14)+SUMIFS(supercb[Qtde],supercb[Item],tab_higiene[[#This Row],[Item]],supercb[Bairro],mercado14)</f>
        <v>0</v>
      </c>
      <c r="AY181" s="4">
        <f>SUMIFS(super1[Qtde],super1[Item],tab_higiene[[#This Row],[Item]],super1[Bairro],mercado15)+SUMIFS(supercb[Qtde],supercb[Item],tab_higiene[[#This Row],[Item]],supercb[Bairro],mercado15)</f>
        <v>0</v>
      </c>
      <c r="AZ181" s="4">
        <f>SUMIFS(super1[Qtde],super1[Item],tab_higiene[[#This Row],[Item]],super1[Bairro],mercado16)+SUMIFS(supercb[Qtde],supercb[Item],tab_higiene[[#This Row],[Item]],supercb[Bairro],mercado16)</f>
        <v>0</v>
      </c>
      <c r="BA181" s="4">
        <f>SUMIFS(super1[Qtde],super1[Item],tab_higiene[[#This Row],[Item]],super1[Bairro],mercado17)+SUMIFS(supercb[Qtde],supercb[Item],tab_higiene[[#This Row],[Item]],supercb[Bairro],mercado17)</f>
        <v>0</v>
      </c>
      <c r="BB181" s="4">
        <f>SUMIFS(super1[Qtde],super1[Item],tab_higiene[[#This Row],[Item]],super1[Bairro],mercado18)+SUMIFS(supercb[Qtde],supercb[Item],tab_higiene[[#This Row],[Item]],supercb[Bairro],mercado18)</f>
        <v>0</v>
      </c>
      <c r="BC181" s="4">
        <f>SUMIFS(super1[Qtde],super1[Item],tab_higiene[[#This Row],[Item]],super1[Bairro],extras)+SUMIFS(supercb[Qtde],supercb[Item],tab_higiene[[#This Row],[Item]],supercb[Bairro],extras)</f>
        <v>0</v>
      </c>
      <c r="BD181" s="4">
        <f t="shared" si="73"/>
        <v>0</v>
      </c>
      <c r="BE181" s="4">
        <f t="shared" si="74"/>
        <v>0</v>
      </c>
      <c r="BF181" s="6">
        <f t="shared" si="75"/>
        <v>0</v>
      </c>
    </row>
    <row r="182" spans="9:58" x14ac:dyDescent="0.25">
      <c r="I182" s="19" t="str">
        <f>alimentos[[#This Row],[Item]]</f>
        <v>Coco Ralado (50g)</v>
      </c>
      <c r="J182" s="4">
        <f>IFERROR(alimentos[[#This Row],[kg/embalagem]],0)</f>
        <v>0.05</v>
      </c>
      <c r="K182" s="4">
        <f>IFERROR(alimentos[[#This Row],[Preço]],0)</f>
        <v>1.98</v>
      </c>
      <c r="L182" s="4">
        <f>SUMIFS(super1[Qtde],super1[Item],tab_alimentos[[#This Row],[Item]],super1[Bairro],mercado1)+SUMIFS(supercb[Qtde],supercb[Item],tab_alimentos[[#This Row],[Item]],supercb[Bairro],mercado1)</f>
        <v>0</v>
      </c>
      <c r="M182" s="4">
        <f>SUMIFS(super1[Qtde],super1[Item],tab_alimentos[[#This Row],[Item]],super1[Bairro],mercado2)+SUMIFS(supercb[Qtde],supercb[Item],tab_alimentos[[#This Row],[Item]],supercb[Bairro],mercado2)</f>
        <v>0</v>
      </c>
      <c r="N182" s="4">
        <f>SUMIFS(super1[Qtde],super1[Item],tab_alimentos[[#This Row],[Item]],super1[Bairro],mercado3)+SUMIFS(supercb[Qtde],supercb[Item],tab_alimentos[[#This Row],[Item]],supercb[Bairro],mercado3)</f>
        <v>0</v>
      </c>
      <c r="O182" s="4">
        <f>SUMIFS(super1[Qtde],super1[Item],tab_alimentos[[#This Row],[Item]],super1[Bairro],mercado4)+SUMIFS(supercb[Qtde],supercb[Item],tab_alimentos[[#This Row],[Item]],supercb[Bairro],mercado4)</f>
        <v>0</v>
      </c>
      <c r="P182" s="4">
        <f>SUMIFS(super1[Qtde],super1[Item],tab_alimentos[[#This Row],[Item]],super1[Bairro],mercado5)+SUMIFS(supercb[Qtde],supercb[Item],tab_alimentos[[#This Row],[Item]],supercb[Bairro],mercado5)</f>
        <v>0</v>
      </c>
      <c r="Q182" s="4">
        <f>SUMIFS(super1[Qtde],super1[Item],tab_alimentos[[#This Row],[Item]],super1[Bairro],mercado6)+SUMIFS(supercb[Qtde],supercb[Item],tab_alimentos[[#This Row],[Item]],supercb[Bairro],mercado6)</f>
        <v>0</v>
      </c>
      <c r="R182" s="4">
        <f>SUMIFS(super1[Qtde],super1[Item],tab_alimentos[[#This Row],[Item]],super1[Bairro],mercado7)+SUMIFS(supercb[Qtde],supercb[Item],tab_alimentos[[#This Row],[Item]],supercb[Bairro],mercado7)</f>
        <v>0</v>
      </c>
      <c r="S182" s="4">
        <f>SUMIFS(super1[Qtde],super1[Item],tab_alimentos[[#This Row],[Item]],super1[Bairro],mercado8)+SUMIFS(supercb[Qtde],supercb[Item],tab_alimentos[[#This Row],[Item]],supercb[Bairro],mercado8)</f>
        <v>0</v>
      </c>
      <c r="T182" s="4">
        <f>SUMIFS(super1[Qtde],super1[Item],tab_alimentos[[#This Row],[Item]],super1[Bairro],mercado9)+SUMIFS(supercb[Qtde],supercb[Item],tab_alimentos[[#This Row],[Item]],supercb[Bairro],mercado9)</f>
        <v>0</v>
      </c>
      <c r="U182" s="4">
        <f>SUMIFS(super1[Qtde],super1[Item],tab_alimentos[[#This Row],[Item]],super1[Bairro],mercado10)+SUMIFS(supercb[Qtde],supercb[Item],tab_alimentos[[#This Row],[Item]],supercb[Bairro],mercado10)</f>
        <v>0</v>
      </c>
      <c r="V182" s="4">
        <f>SUMIFS(super1[Qtde],super1[Item],tab_alimentos[[#This Row],[Item]],super1[Bairro],mercado11)+SUMIFS(supercb[Qtde],supercb[Item],tab_alimentos[[#This Row],[Item]],supercb[Bairro],mercado11)</f>
        <v>0</v>
      </c>
      <c r="W182" s="4">
        <f>SUMIFS(super1[Qtde],super1[Item],tab_alimentos[[#This Row],[Item]],super1[Bairro],mercado12)+SUMIFS(supercb[Qtde],supercb[Item],tab_alimentos[[#This Row],[Item]],supercb[Bairro],mercado12)</f>
        <v>0</v>
      </c>
      <c r="X182" s="4">
        <f>SUMIFS(super1[Qtde],super1[Item],tab_alimentos[[#This Row],[Item]],super1[Bairro],mercado13)+SUMIFS(supercb[Qtde],supercb[Item],tab_alimentos[[#This Row],[Item]],supercb[Bairro],mercado13)</f>
        <v>0</v>
      </c>
      <c r="Y182" s="4">
        <f>SUMIFS(super1[Qtde],super1[Item],tab_alimentos[[#This Row],[Item]],super1[Bairro],mercado14)+SUMIFS(supercb[Qtde],supercb[Item],tab_alimentos[[#This Row],[Item]],supercb[Bairro],mercado14)</f>
        <v>0</v>
      </c>
      <c r="Z182" s="4">
        <f>SUMIFS(super1[Qtde],super1[Item],tab_alimentos[[#This Row],[Item]],super1[Bairro],mercado15)+SUMIFS(supercb[Qtde],supercb[Item],tab_alimentos[[#This Row],[Item]],supercb[Bairro],mercado15)</f>
        <v>0</v>
      </c>
      <c r="AA182" s="4">
        <f>SUMIFS(super1[Qtde],super1[Item],tab_alimentos[[#This Row],[Item]],super1[Bairro],mercado16)+SUMIFS(supercb[Qtde],supercb[Item],tab_alimentos[[#This Row],[Item]],supercb[Bairro],mercado16)</f>
        <v>0</v>
      </c>
      <c r="AB182" s="4">
        <f>SUMIFS(super1[Qtde],super1[Item],tab_alimentos[[#This Row],[Item]],super1[Bairro],mercado17)+SUMIFS(supercb[Qtde],supercb[Item],tab_alimentos[[#This Row],[Item]],supercb[Bairro],mercado17)</f>
        <v>0</v>
      </c>
      <c r="AC182" s="4">
        <f>SUMIFS(super1[Qtde],super1[Item],tab_alimentos[[#This Row],[Item]],super1[Bairro],mercado18)+SUMIFS(supercb[Qtde],supercb[Item],tab_alimentos[[#This Row],[Item]],supercb[Bairro],mercado18)</f>
        <v>0</v>
      </c>
      <c r="AD182" s="4">
        <f>SUMIFS(super1[Qtde],super1[Item],tab_alimentos[[#This Row],[Item]],super1[Bairro],extras)+SUMIFS(supercb[Qtde],supercb[Item],tab_alimentos[[#This Row],[Item]],supercb[Bairro],extras)</f>
        <v>0</v>
      </c>
      <c r="AE182" s="4">
        <f t="shared" si="67"/>
        <v>0</v>
      </c>
      <c r="AF182" s="4">
        <f t="shared" si="68"/>
        <v>0</v>
      </c>
      <c r="AG182" s="6">
        <f t="shared" si="69"/>
        <v>0</v>
      </c>
      <c r="AH182" s="19" t="str">
        <f>higiene[[#This Row],[Item]]</f>
        <v>Papel Higiênico (4un)</v>
      </c>
      <c r="AI182" s="4">
        <f>IFERROR(higiene[[#This Row],[Kg equivalente]],0)</f>
        <v>0</v>
      </c>
      <c r="AJ182" s="4">
        <f>IFERROR(higiene[[#This Row],[Preço por produto]],0)</f>
        <v>2.94</v>
      </c>
      <c r="AK182" s="4">
        <f>SUMIFS(super1[Qtde],super1[Item],tab_higiene[[#This Row],[Item]],super1[Bairro],mercado1)+SUMIFS(supercb[Qtde],supercb[Item],tab_higiene[[#This Row],[Item]],supercb[Bairro],mercado1)</f>
        <v>0</v>
      </c>
      <c r="AL182" s="4">
        <f>SUMIFS(super1[Qtde],super1[Item],tab_higiene[[#This Row],[Item]],super1[Bairro],mercado2)+SUMIFS(supercb[Qtde],supercb[Item],tab_higiene[[#This Row],[Item]],supercb[Bairro],mercado2)</f>
        <v>0</v>
      </c>
      <c r="AM182" s="4">
        <f>SUMIFS(super1[Qtde],super1[Item],tab_higiene[[#This Row],[Item]],super1[Bairro],mercado3)+SUMIFS(supercb[Qtde],supercb[Item],tab_higiene[[#This Row],[Item]],supercb[Bairro],mercado3)</f>
        <v>0</v>
      </c>
      <c r="AN182" s="4">
        <f>SUMIFS(super1[Qtde],super1[Item],tab_higiene[[#This Row],[Item]],super1[Bairro],mercado4)+SUMIFS(supercb[Qtde],supercb[Item],tab_higiene[[#This Row],[Item]],supercb[Bairro],mercado4)</f>
        <v>0</v>
      </c>
      <c r="AO182" s="4">
        <f>SUMIFS(super1[Qtde],super1[Item],tab_higiene[[#This Row],[Item]],super1[Bairro],mercado5)+SUMIFS(supercb[Qtde],supercb[Item],tab_higiene[[#This Row],[Item]],supercb[Bairro],mercado5)</f>
        <v>0</v>
      </c>
      <c r="AP182" s="4">
        <f>SUMIFS(super1[Qtde],super1[Item],tab_higiene[[#This Row],[Item]],super1[Bairro],mercado6)+SUMIFS(supercb[Qtde],supercb[Item],tab_higiene[[#This Row],[Item]],supercb[Bairro],mercado6)</f>
        <v>0</v>
      </c>
      <c r="AQ182" s="4">
        <f>SUMIFS(super1[Qtde],super1[Item],tab_higiene[[#This Row],[Item]],super1[Bairro],mercado7)+SUMIFS(supercb[Qtde],supercb[Item],tab_higiene[[#This Row],[Item]],supercb[Bairro],mercado7)</f>
        <v>0</v>
      </c>
      <c r="AR182" s="4">
        <f>SUMIFS(super1[Qtde],super1[Item],tab_higiene[[#This Row],[Item]],super1[Bairro],mercado8)+SUMIFS(supercb[Qtde],supercb[Item],tab_higiene[[#This Row],[Item]],supercb[Bairro],mercado8)</f>
        <v>0</v>
      </c>
      <c r="AS182" s="4">
        <f>SUMIFS(super1[Qtde],super1[Item],tab_higiene[[#This Row],[Item]],super1[Bairro],mercado9)+SUMIFS(supercb[Qtde],supercb[Item],tab_higiene[[#This Row],[Item]],supercb[Bairro],mercado9)</f>
        <v>0</v>
      </c>
      <c r="AT182" s="4">
        <f>SUMIFS(super1[Qtde],super1[Item],tab_higiene[[#This Row],[Item]],super1[Bairro],mercado10)+SUMIFS(supercb[Qtde],supercb[Item],tab_higiene[[#This Row],[Item]],supercb[Bairro],mercado10)</f>
        <v>0</v>
      </c>
      <c r="AU182" s="4">
        <f>SUMIFS(super1[Qtde],super1[Item],tab_higiene[[#This Row],[Item]],super1[Bairro],mercado11)+SUMIFS(supercb[Qtde],supercb[Item],tab_higiene[[#This Row],[Item]],supercb[Bairro],mercado11)</f>
        <v>0</v>
      </c>
      <c r="AV182" s="4">
        <f>SUMIFS(super1[Qtde],super1[Item],tab_higiene[[#This Row],[Item]],super1[Bairro],mercado12)+SUMIFS(supercb[Qtde],supercb[Item],tab_higiene[[#This Row],[Item]],supercb[Bairro],mercado12)</f>
        <v>0</v>
      </c>
      <c r="AW182" s="4">
        <f>SUMIFS(super1[Qtde],super1[Item],tab_higiene[[#This Row],[Item]],super1[Bairro],mercado13)+SUMIFS(supercb[Qtde],supercb[Item],tab_higiene[[#This Row],[Item]],supercb[Bairro],mercado13)</f>
        <v>0</v>
      </c>
      <c r="AX182" s="4">
        <f>SUMIFS(super1[Qtde],super1[Item],tab_higiene[[#This Row],[Item]],super1[Bairro],mercado14)+SUMIFS(supercb[Qtde],supercb[Item],tab_higiene[[#This Row],[Item]],supercb[Bairro],mercado14)</f>
        <v>0</v>
      </c>
      <c r="AY182" s="4">
        <f>SUMIFS(super1[Qtde],super1[Item],tab_higiene[[#This Row],[Item]],super1[Bairro],mercado15)+SUMIFS(supercb[Qtde],supercb[Item],tab_higiene[[#This Row],[Item]],supercb[Bairro],mercado15)</f>
        <v>0</v>
      </c>
      <c r="AZ182" s="4">
        <f>SUMIFS(super1[Qtde],super1[Item],tab_higiene[[#This Row],[Item]],super1[Bairro],mercado16)+SUMIFS(supercb[Qtde],supercb[Item],tab_higiene[[#This Row],[Item]],supercb[Bairro],mercado16)</f>
        <v>0</v>
      </c>
      <c r="BA182" s="4">
        <f>SUMIFS(super1[Qtde],super1[Item],tab_higiene[[#This Row],[Item]],super1[Bairro],mercado17)+SUMIFS(supercb[Qtde],supercb[Item],tab_higiene[[#This Row],[Item]],supercb[Bairro],mercado17)</f>
        <v>0</v>
      </c>
      <c r="BB182" s="4">
        <f>SUMIFS(super1[Qtde],super1[Item],tab_higiene[[#This Row],[Item]],super1[Bairro],mercado18)+SUMIFS(supercb[Qtde],supercb[Item],tab_higiene[[#This Row],[Item]],supercb[Bairro],mercado18)</f>
        <v>0</v>
      </c>
      <c r="BC182" s="4">
        <f>SUMIFS(super1[Qtde],super1[Item],tab_higiene[[#This Row],[Item]],super1[Bairro],extras)+SUMIFS(supercb[Qtde],supercb[Item],tab_higiene[[#This Row],[Item]],supercb[Bairro],extras)</f>
        <v>0</v>
      </c>
      <c r="BD182" s="4">
        <f t="shared" si="73"/>
        <v>0</v>
      </c>
      <c r="BE182" s="4">
        <f t="shared" si="74"/>
        <v>0</v>
      </c>
      <c r="BF182" s="6">
        <f t="shared" si="75"/>
        <v>0</v>
      </c>
    </row>
    <row r="183" spans="9:58" x14ac:dyDescent="0.25">
      <c r="I183" s="19" t="str">
        <f>alimentos[[#This Row],[Item]]</f>
        <v>Cookie (400g)</v>
      </c>
      <c r="J183" s="4">
        <f>IFERROR(alimentos[[#This Row],[kg/embalagem]],0)</f>
        <v>0.4</v>
      </c>
      <c r="K183" s="4">
        <f>IFERROR(alimentos[[#This Row],[Preço]],0)</f>
        <v>4.79</v>
      </c>
      <c r="L183" s="4">
        <f>SUMIFS(super1[Qtde],super1[Item],tab_alimentos[[#This Row],[Item]],super1[Bairro],mercado1)+SUMIFS(supercb[Qtde],supercb[Item],tab_alimentos[[#This Row],[Item]],supercb[Bairro],mercado1)</f>
        <v>0</v>
      </c>
      <c r="M183" s="4">
        <f>SUMIFS(super1[Qtde],super1[Item],tab_alimentos[[#This Row],[Item]],super1[Bairro],mercado2)+SUMIFS(supercb[Qtde],supercb[Item],tab_alimentos[[#This Row],[Item]],supercb[Bairro],mercado2)</f>
        <v>0</v>
      </c>
      <c r="N183" s="4">
        <f>SUMIFS(super1[Qtde],super1[Item],tab_alimentos[[#This Row],[Item]],super1[Bairro],mercado3)+SUMIFS(supercb[Qtde],supercb[Item],tab_alimentos[[#This Row],[Item]],supercb[Bairro],mercado3)</f>
        <v>0</v>
      </c>
      <c r="O183" s="4">
        <f>SUMIFS(super1[Qtde],super1[Item],tab_alimentos[[#This Row],[Item]],super1[Bairro],mercado4)+SUMIFS(supercb[Qtde],supercb[Item],tab_alimentos[[#This Row],[Item]],supercb[Bairro],mercado4)</f>
        <v>0</v>
      </c>
      <c r="P183" s="4">
        <f>SUMIFS(super1[Qtde],super1[Item],tab_alimentos[[#This Row],[Item]],super1[Bairro],mercado5)+SUMIFS(supercb[Qtde],supercb[Item],tab_alimentos[[#This Row],[Item]],supercb[Bairro],mercado5)</f>
        <v>0</v>
      </c>
      <c r="Q183" s="4">
        <f>SUMIFS(super1[Qtde],super1[Item],tab_alimentos[[#This Row],[Item]],super1[Bairro],mercado6)+SUMIFS(supercb[Qtde],supercb[Item],tab_alimentos[[#This Row],[Item]],supercb[Bairro],mercado6)</f>
        <v>0</v>
      </c>
      <c r="R183" s="4">
        <f>SUMIFS(super1[Qtde],super1[Item],tab_alimentos[[#This Row],[Item]],super1[Bairro],mercado7)+SUMIFS(supercb[Qtde],supercb[Item],tab_alimentos[[#This Row],[Item]],supercb[Bairro],mercado7)</f>
        <v>0</v>
      </c>
      <c r="S183" s="4">
        <f>SUMIFS(super1[Qtde],super1[Item],tab_alimentos[[#This Row],[Item]],super1[Bairro],mercado8)+SUMIFS(supercb[Qtde],supercb[Item],tab_alimentos[[#This Row],[Item]],supercb[Bairro],mercado8)</f>
        <v>0</v>
      </c>
      <c r="T183" s="4">
        <f>SUMIFS(super1[Qtde],super1[Item],tab_alimentos[[#This Row],[Item]],super1[Bairro],mercado9)+SUMIFS(supercb[Qtde],supercb[Item],tab_alimentos[[#This Row],[Item]],supercb[Bairro],mercado9)</f>
        <v>0</v>
      </c>
      <c r="U183" s="4">
        <f>SUMIFS(super1[Qtde],super1[Item],tab_alimentos[[#This Row],[Item]],super1[Bairro],mercado10)+SUMIFS(supercb[Qtde],supercb[Item],tab_alimentos[[#This Row],[Item]],supercb[Bairro],mercado10)</f>
        <v>0</v>
      </c>
      <c r="V183" s="4">
        <f>SUMIFS(super1[Qtde],super1[Item],tab_alimentos[[#This Row],[Item]],super1[Bairro],mercado11)+SUMIFS(supercb[Qtde],supercb[Item],tab_alimentos[[#This Row],[Item]],supercb[Bairro],mercado11)</f>
        <v>0</v>
      </c>
      <c r="W183" s="4">
        <f>SUMIFS(super1[Qtde],super1[Item],tab_alimentos[[#This Row],[Item]],super1[Bairro],mercado12)+SUMIFS(supercb[Qtde],supercb[Item],tab_alimentos[[#This Row],[Item]],supercb[Bairro],mercado12)</f>
        <v>0</v>
      </c>
      <c r="X183" s="4">
        <f>SUMIFS(super1[Qtde],super1[Item],tab_alimentos[[#This Row],[Item]],super1[Bairro],mercado13)+SUMIFS(supercb[Qtde],supercb[Item],tab_alimentos[[#This Row],[Item]],supercb[Bairro],mercado13)</f>
        <v>0</v>
      </c>
      <c r="Y183" s="4">
        <f>SUMIFS(super1[Qtde],super1[Item],tab_alimentos[[#This Row],[Item]],super1[Bairro],mercado14)+SUMIFS(supercb[Qtde],supercb[Item],tab_alimentos[[#This Row],[Item]],supercb[Bairro],mercado14)</f>
        <v>0</v>
      </c>
      <c r="Z183" s="4">
        <f>SUMIFS(super1[Qtde],super1[Item],tab_alimentos[[#This Row],[Item]],super1[Bairro],mercado15)+SUMIFS(supercb[Qtde],supercb[Item],tab_alimentos[[#This Row],[Item]],supercb[Bairro],mercado15)</f>
        <v>0</v>
      </c>
      <c r="AA183" s="4">
        <f>SUMIFS(super1[Qtde],super1[Item],tab_alimentos[[#This Row],[Item]],super1[Bairro],mercado16)+SUMIFS(supercb[Qtde],supercb[Item],tab_alimentos[[#This Row],[Item]],supercb[Bairro],mercado16)</f>
        <v>0</v>
      </c>
      <c r="AB183" s="4">
        <f>SUMIFS(super1[Qtde],super1[Item],tab_alimentos[[#This Row],[Item]],super1[Bairro],mercado17)+SUMIFS(supercb[Qtde],supercb[Item],tab_alimentos[[#This Row],[Item]],supercb[Bairro],mercado17)</f>
        <v>0</v>
      </c>
      <c r="AC183" s="4">
        <f>SUMIFS(super1[Qtde],super1[Item],tab_alimentos[[#This Row],[Item]],super1[Bairro],mercado18)+SUMIFS(supercb[Qtde],supercb[Item],tab_alimentos[[#This Row],[Item]],supercb[Bairro],mercado18)</f>
        <v>0</v>
      </c>
      <c r="AD183" s="4">
        <f>SUMIFS(super1[Qtde],super1[Item],tab_alimentos[[#This Row],[Item]],super1[Bairro],extras)+SUMIFS(supercb[Qtde],supercb[Item],tab_alimentos[[#This Row],[Item]],supercb[Bairro],extras)</f>
        <v>0</v>
      </c>
      <c r="AE183" s="4">
        <f t="shared" si="67"/>
        <v>0</v>
      </c>
      <c r="AF183" s="4">
        <f t="shared" si="68"/>
        <v>0</v>
      </c>
      <c r="AG183" s="6">
        <f t="shared" si="69"/>
        <v>0</v>
      </c>
      <c r="AH183" s="19" t="str">
        <f>higiene[[#This Row],[Item]]</f>
        <v>Papel Higiênico (8un)</v>
      </c>
      <c r="AI183" s="4">
        <f>IFERROR(higiene[[#This Row],[Kg equivalente]],0)</f>
        <v>0</v>
      </c>
      <c r="AJ183" s="4">
        <f>IFERROR(higiene[[#This Row],[Preço por produto]],0)</f>
        <v>20.59</v>
      </c>
      <c r="AK183" s="4">
        <f>SUMIFS(super1[Qtde],super1[Item],tab_higiene[[#This Row],[Item]],super1[Bairro],mercado1)+SUMIFS(supercb[Qtde],supercb[Item],tab_higiene[[#This Row],[Item]],supercb[Bairro],mercado1)</f>
        <v>0</v>
      </c>
      <c r="AL183" s="4">
        <f>SUMIFS(super1[Qtde],super1[Item],tab_higiene[[#This Row],[Item]],super1[Bairro],mercado2)+SUMIFS(supercb[Qtde],supercb[Item],tab_higiene[[#This Row],[Item]],supercb[Bairro],mercado2)</f>
        <v>0</v>
      </c>
      <c r="AM183" s="4">
        <f>SUMIFS(super1[Qtde],super1[Item],tab_higiene[[#This Row],[Item]],super1[Bairro],mercado3)+SUMIFS(supercb[Qtde],supercb[Item],tab_higiene[[#This Row],[Item]],supercb[Bairro],mercado3)</f>
        <v>0</v>
      </c>
      <c r="AN183" s="4">
        <f>SUMIFS(super1[Qtde],super1[Item],tab_higiene[[#This Row],[Item]],super1[Bairro],mercado4)+SUMIFS(supercb[Qtde],supercb[Item],tab_higiene[[#This Row],[Item]],supercb[Bairro],mercado4)</f>
        <v>0</v>
      </c>
      <c r="AO183" s="4">
        <f>SUMIFS(super1[Qtde],super1[Item],tab_higiene[[#This Row],[Item]],super1[Bairro],mercado5)+SUMIFS(supercb[Qtde],supercb[Item],tab_higiene[[#This Row],[Item]],supercb[Bairro],mercado5)</f>
        <v>0</v>
      </c>
      <c r="AP183" s="4">
        <f>SUMIFS(super1[Qtde],super1[Item],tab_higiene[[#This Row],[Item]],super1[Bairro],mercado6)+SUMIFS(supercb[Qtde],supercb[Item],tab_higiene[[#This Row],[Item]],supercb[Bairro],mercado6)</f>
        <v>0</v>
      </c>
      <c r="AQ183" s="4">
        <f>SUMIFS(super1[Qtde],super1[Item],tab_higiene[[#This Row],[Item]],super1[Bairro],mercado7)+SUMIFS(supercb[Qtde],supercb[Item],tab_higiene[[#This Row],[Item]],supercb[Bairro],mercado7)</f>
        <v>0</v>
      </c>
      <c r="AR183" s="4">
        <f>SUMIFS(super1[Qtde],super1[Item],tab_higiene[[#This Row],[Item]],super1[Bairro],mercado8)+SUMIFS(supercb[Qtde],supercb[Item],tab_higiene[[#This Row],[Item]],supercb[Bairro],mercado8)</f>
        <v>0</v>
      </c>
      <c r="AS183" s="4">
        <f>SUMIFS(super1[Qtde],super1[Item],tab_higiene[[#This Row],[Item]],super1[Bairro],mercado9)+SUMIFS(supercb[Qtde],supercb[Item],tab_higiene[[#This Row],[Item]],supercb[Bairro],mercado9)</f>
        <v>0</v>
      </c>
      <c r="AT183" s="4">
        <f>SUMIFS(super1[Qtde],super1[Item],tab_higiene[[#This Row],[Item]],super1[Bairro],mercado10)+SUMIFS(supercb[Qtde],supercb[Item],tab_higiene[[#This Row],[Item]],supercb[Bairro],mercado10)</f>
        <v>0</v>
      </c>
      <c r="AU183" s="4">
        <f>SUMIFS(super1[Qtde],super1[Item],tab_higiene[[#This Row],[Item]],super1[Bairro],mercado11)+SUMIFS(supercb[Qtde],supercb[Item],tab_higiene[[#This Row],[Item]],supercb[Bairro],mercado11)</f>
        <v>0</v>
      </c>
      <c r="AV183" s="4">
        <f>SUMIFS(super1[Qtde],super1[Item],tab_higiene[[#This Row],[Item]],super1[Bairro],mercado12)+SUMIFS(supercb[Qtde],supercb[Item],tab_higiene[[#This Row],[Item]],supercb[Bairro],mercado12)</f>
        <v>0</v>
      </c>
      <c r="AW183" s="4">
        <f>SUMIFS(super1[Qtde],super1[Item],tab_higiene[[#This Row],[Item]],super1[Bairro],mercado13)+SUMIFS(supercb[Qtde],supercb[Item],tab_higiene[[#This Row],[Item]],supercb[Bairro],mercado13)</f>
        <v>0</v>
      </c>
      <c r="AX183" s="4">
        <f>SUMIFS(super1[Qtde],super1[Item],tab_higiene[[#This Row],[Item]],super1[Bairro],mercado14)+SUMIFS(supercb[Qtde],supercb[Item],tab_higiene[[#This Row],[Item]],supercb[Bairro],mercado14)</f>
        <v>0</v>
      </c>
      <c r="AY183" s="4">
        <f>SUMIFS(super1[Qtde],super1[Item],tab_higiene[[#This Row],[Item]],super1[Bairro],mercado15)+SUMIFS(supercb[Qtde],supercb[Item],tab_higiene[[#This Row],[Item]],supercb[Bairro],mercado15)</f>
        <v>0</v>
      </c>
      <c r="AZ183" s="4">
        <f>SUMIFS(super1[Qtde],super1[Item],tab_higiene[[#This Row],[Item]],super1[Bairro],mercado16)+SUMIFS(supercb[Qtde],supercb[Item],tab_higiene[[#This Row],[Item]],supercb[Bairro],mercado16)</f>
        <v>0</v>
      </c>
      <c r="BA183" s="4">
        <f>SUMIFS(super1[Qtde],super1[Item],tab_higiene[[#This Row],[Item]],super1[Bairro],mercado17)+SUMIFS(supercb[Qtde],supercb[Item],tab_higiene[[#This Row],[Item]],supercb[Bairro],mercado17)</f>
        <v>0</v>
      </c>
      <c r="BB183" s="4">
        <f>SUMIFS(super1[Qtde],super1[Item],tab_higiene[[#This Row],[Item]],super1[Bairro],mercado18)+SUMIFS(supercb[Qtde],supercb[Item],tab_higiene[[#This Row],[Item]],supercb[Bairro],mercado18)</f>
        <v>0</v>
      </c>
      <c r="BC183" s="4">
        <f>SUMIFS(super1[Qtde],super1[Item],tab_higiene[[#This Row],[Item]],super1[Bairro],extras)+SUMIFS(supercb[Qtde],supercb[Item],tab_higiene[[#This Row],[Item]],supercb[Bairro],extras)</f>
        <v>0</v>
      </c>
      <c r="BD183" s="4">
        <f t="shared" si="50"/>
        <v>0</v>
      </c>
      <c r="BE183" s="4">
        <f t="shared" si="51"/>
        <v>0</v>
      </c>
      <c r="BF183" s="6">
        <f t="shared" si="52"/>
        <v>0</v>
      </c>
    </row>
    <row r="184" spans="9:58" x14ac:dyDescent="0.25">
      <c r="I184" s="19" t="str">
        <f>alimentos[[#This Row],[Item]]</f>
        <v>Creme de Cebola em Pó (68g)</v>
      </c>
      <c r="J184" s="4">
        <f>IFERROR(alimentos[[#This Row],[kg/embalagem]],0)</f>
        <v>6.8000000000000005E-2</v>
      </c>
      <c r="K184" s="4">
        <f>IFERROR(alimentos[[#This Row],[Preço]],0)</f>
        <v>6.79</v>
      </c>
      <c r="L184" s="4">
        <f>SUMIFS(super1[Qtde],super1[Item],tab_alimentos[[#This Row],[Item]],super1[Bairro],mercado1)+SUMIFS(supercb[Qtde],supercb[Item],tab_alimentos[[#This Row],[Item]],supercb[Bairro],mercado1)</f>
        <v>0</v>
      </c>
      <c r="M184" s="4">
        <f>SUMIFS(super1[Qtde],super1[Item],tab_alimentos[[#This Row],[Item]],super1[Bairro],mercado2)+SUMIFS(supercb[Qtde],supercb[Item],tab_alimentos[[#This Row],[Item]],supercb[Bairro],mercado2)</f>
        <v>0</v>
      </c>
      <c r="N184" s="4">
        <f>SUMIFS(super1[Qtde],super1[Item],tab_alimentos[[#This Row],[Item]],super1[Bairro],mercado3)+SUMIFS(supercb[Qtde],supercb[Item],tab_alimentos[[#This Row],[Item]],supercb[Bairro],mercado3)</f>
        <v>0</v>
      </c>
      <c r="O184" s="4">
        <f>SUMIFS(super1[Qtde],super1[Item],tab_alimentos[[#This Row],[Item]],super1[Bairro],mercado4)+SUMIFS(supercb[Qtde],supercb[Item],tab_alimentos[[#This Row],[Item]],supercb[Bairro],mercado4)</f>
        <v>0</v>
      </c>
      <c r="P184" s="4">
        <f>SUMIFS(super1[Qtde],super1[Item],tab_alimentos[[#This Row],[Item]],super1[Bairro],mercado5)+SUMIFS(supercb[Qtde],supercb[Item],tab_alimentos[[#This Row],[Item]],supercb[Bairro],mercado5)</f>
        <v>0</v>
      </c>
      <c r="Q184" s="4">
        <f>SUMIFS(super1[Qtde],super1[Item],tab_alimentos[[#This Row],[Item]],super1[Bairro],mercado6)+SUMIFS(supercb[Qtde],supercb[Item],tab_alimentos[[#This Row],[Item]],supercb[Bairro],mercado6)</f>
        <v>0</v>
      </c>
      <c r="R184" s="4">
        <f>SUMIFS(super1[Qtde],super1[Item],tab_alimentos[[#This Row],[Item]],super1[Bairro],mercado7)+SUMIFS(supercb[Qtde],supercb[Item],tab_alimentos[[#This Row],[Item]],supercb[Bairro],mercado7)</f>
        <v>0</v>
      </c>
      <c r="S184" s="4">
        <f>SUMIFS(super1[Qtde],super1[Item],tab_alimentos[[#This Row],[Item]],super1[Bairro],mercado8)+SUMIFS(supercb[Qtde],supercb[Item],tab_alimentos[[#This Row],[Item]],supercb[Bairro],mercado8)</f>
        <v>0</v>
      </c>
      <c r="T184" s="4">
        <f>SUMIFS(super1[Qtde],super1[Item],tab_alimentos[[#This Row],[Item]],super1[Bairro],mercado9)+SUMIFS(supercb[Qtde],supercb[Item],tab_alimentos[[#This Row],[Item]],supercb[Bairro],mercado9)</f>
        <v>0</v>
      </c>
      <c r="U184" s="4">
        <f>SUMIFS(super1[Qtde],super1[Item],tab_alimentos[[#This Row],[Item]],super1[Bairro],mercado10)+SUMIFS(supercb[Qtde],supercb[Item],tab_alimentos[[#This Row],[Item]],supercb[Bairro],mercado10)</f>
        <v>0</v>
      </c>
      <c r="V184" s="4">
        <f>SUMIFS(super1[Qtde],super1[Item],tab_alimentos[[#This Row],[Item]],super1[Bairro],mercado11)+SUMIFS(supercb[Qtde],supercb[Item],tab_alimentos[[#This Row],[Item]],supercb[Bairro],mercado11)</f>
        <v>0</v>
      </c>
      <c r="W184" s="4">
        <f>SUMIFS(super1[Qtde],super1[Item],tab_alimentos[[#This Row],[Item]],super1[Bairro],mercado12)+SUMIFS(supercb[Qtde],supercb[Item],tab_alimentos[[#This Row],[Item]],supercb[Bairro],mercado12)</f>
        <v>0</v>
      </c>
      <c r="X184" s="4">
        <f>SUMIFS(super1[Qtde],super1[Item],tab_alimentos[[#This Row],[Item]],super1[Bairro],mercado13)+SUMIFS(supercb[Qtde],supercb[Item],tab_alimentos[[#This Row],[Item]],supercb[Bairro],mercado13)</f>
        <v>0</v>
      </c>
      <c r="Y184" s="4">
        <f>SUMIFS(super1[Qtde],super1[Item],tab_alimentos[[#This Row],[Item]],super1[Bairro],mercado14)+SUMIFS(supercb[Qtde],supercb[Item],tab_alimentos[[#This Row],[Item]],supercb[Bairro],mercado14)</f>
        <v>0</v>
      </c>
      <c r="Z184" s="4">
        <f>SUMIFS(super1[Qtde],super1[Item],tab_alimentos[[#This Row],[Item]],super1[Bairro],mercado15)+SUMIFS(supercb[Qtde],supercb[Item],tab_alimentos[[#This Row],[Item]],supercb[Bairro],mercado15)</f>
        <v>0</v>
      </c>
      <c r="AA184" s="4">
        <f>SUMIFS(super1[Qtde],super1[Item],tab_alimentos[[#This Row],[Item]],super1[Bairro],mercado16)+SUMIFS(supercb[Qtde],supercb[Item],tab_alimentos[[#This Row],[Item]],supercb[Bairro],mercado16)</f>
        <v>0</v>
      </c>
      <c r="AB184" s="4">
        <f>SUMIFS(super1[Qtde],super1[Item],tab_alimentos[[#This Row],[Item]],super1[Bairro],mercado17)+SUMIFS(supercb[Qtde],supercb[Item],tab_alimentos[[#This Row],[Item]],supercb[Bairro],mercado17)</f>
        <v>0</v>
      </c>
      <c r="AC184" s="4">
        <f>SUMIFS(super1[Qtde],super1[Item],tab_alimentos[[#This Row],[Item]],super1[Bairro],mercado18)+SUMIFS(supercb[Qtde],supercb[Item],tab_alimentos[[#This Row],[Item]],supercb[Bairro],mercado18)</f>
        <v>0</v>
      </c>
      <c r="AD184" s="4">
        <f>SUMIFS(super1[Qtde],super1[Item],tab_alimentos[[#This Row],[Item]],super1[Bairro],extras)+SUMIFS(supercb[Qtde],supercb[Item],tab_alimentos[[#This Row],[Item]],supercb[Bairro],extras)</f>
        <v>0</v>
      </c>
      <c r="AE184" s="4">
        <f t="shared" si="67"/>
        <v>0</v>
      </c>
      <c r="AF184" s="4">
        <f t="shared" si="68"/>
        <v>0</v>
      </c>
      <c r="AG184" s="6">
        <f t="shared" si="69"/>
        <v>0</v>
      </c>
      <c r="AH184" s="19" t="str">
        <f>higiene[[#This Row],[Item]]</f>
        <v>Papel Manteiga (7,5m)</v>
      </c>
      <c r="AI184" s="4">
        <f>IFERROR(higiene[[#This Row],[Kg equivalente]],0)</f>
        <v>0</v>
      </c>
      <c r="AJ184" s="4">
        <f>IFERROR(higiene[[#This Row],[Preço por produto]],0)</f>
        <v>7.29</v>
      </c>
      <c r="AK184" s="4">
        <f>SUMIFS(super1[Qtde],super1[Item],tab_higiene[[#This Row],[Item]],super1[Bairro],mercado1)+SUMIFS(supercb[Qtde],supercb[Item],tab_higiene[[#This Row],[Item]],supercb[Bairro],mercado1)</f>
        <v>0</v>
      </c>
      <c r="AL184" s="4">
        <f>SUMIFS(super1[Qtde],super1[Item],tab_higiene[[#This Row],[Item]],super1[Bairro],mercado2)+SUMIFS(supercb[Qtde],supercb[Item],tab_higiene[[#This Row],[Item]],supercb[Bairro],mercado2)</f>
        <v>0</v>
      </c>
      <c r="AM184" s="4">
        <f>SUMIFS(super1[Qtde],super1[Item],tab_higiene[[#This Row],[Item]],super1[Bairro],mercado3)+SUMIFS(supercb[Qtde],supercb[Item],tab_higiene[[#This Row],[Item]],supercb[Bairro],mercado3)</f>
        <v>0</v>
      </c>
      <c r="AN184" s="4">
        <f>SUMIFS(super1[Qtde],super1[Item],tab_higiene[[#This Row],[Item]],super1[Bairro],mercado4)+SUMIFS(supercb[Qtde],supercb[Item],tab_higiene[[#This Row],[Item]],supercb[Bairro],mercado4)</f>
        <v>0</v>
      </c>
      <c r="AO184" s="4">
        <f>SUMIFS(super1[Qtde],super1[Item],tab_higiene[[#This Row],[Item]],super1[Bairro],mercado5)+SUMIFS(supercb[Qtde],supercb[Item],tab_higiene[[#This Row],[Item]],supercb[Bairro],mercado5)</f>
        <v>0</v>
      </c>
      <c r="AP184" s="4">
        <f>SUMIFS(super1[Qtde],super1[Item],tab_higiene[[#This Row],[Item]],super1[Bairro],mercado6)+SUMIFS(supercb[Qtde],supercb[Item],tab_higiene[[#This Row],[Item]],supercb[Bairro],mercado6)</f>
        <v>0</v>
      </c>
      <c r="AQ184" s="4">
        <f>SUMIFS(super1[Qtde],super1[Item],tab_higiene[[#This Row],[Item]],super1[Bairro],mercado7)+SUMIFS(supercb[Qtde],supercb[Item],tab_higiene[[#This Row],[Item]],supercb[Bairro],mercado7)</f>
        <v>0</v>
      </c>
      <c r="AR184" s="4">
        <f>SUMIFS(super1[Qtde],super1[Item],tab_higiene[[#This Row],[Item]],super1[Bairro],mercado8)+SUMIFS(supercb[Qtde],supercb[Item],tab_higiene[[#This Row],[Item]],supercb[Bairro],mercado8)</f>
        <v>0</v>
      </c>
      <c r="AS184" s="4">
        <f>SUMIFS(super1[Qtde],super1[Item],tab_higiene[[#This Row],[Item]],super1[Bairro],mercado9)+SUMIFS(supercb[Qtde],supercb[Item],tab_higiene[[#This Row],[Item]],supercb[Bairro],mercado9)</f>
        <v>0</v>
      </c>
      <c r="AT184" s="4">
        <f>SUMIFS(super1[Qtde],super1[Item],tab_higiene[[#This Row],[Item]],super1[Bairro],mercado10)+SUMIFS(supercb[Qtde],supercb[Item],tab_higiene[[#This Row],[Item]],supercb[Bairro],mercado10)</f>
        <v>0</v>
      </c>
      <c r="AU184" s="4">
        <f>SUMIFS(super1[Qtde],super1[Item],tab_higiene[[#This Row],[Item]],super1[Bairro],mercado11)+SUMIFS(supercb[Qtde],supercb[Item],tab_higiene[[#This Row],[Item]],supercb[Bairro],mercado11)</f>
        <v>0</v>
      </c>
      <c r="AV184" s="4">
        <f>SUMIFS(super1[Qtde],super1[Item],tab_higiene[[#This Row],[Item]],super1[Bairro],mercado12)+SUMIFS(supercb[Qtde],supercb[Item],tab_higiene[[#This Row],[Item]],supercb[Bairro],mercado12)</f>
        <v>0</v>
      </c>
      <c r="AW184" s="4">
        <f>SUMIFS(super1[Qtde],super1[Item],tab_higiene[[#This Row],[Item]],super1[Bairro],mercado13)+SUMIFS(supercb[Qtde],supercb[Item],tab_higiene[[#This Row],[Item]],supercb[Bairro],mercado13)</f>
        <v>0</v>
      </c>
      <c r="AX184" s="4">
        <f>SUMIFS(super1[Qtde],super1[Item],tab_higiene[[#This Row],[Item]],super1[Bairro],mercado14)+SUMIFS(supercb[Qtde],supercb[Item],tab_higiene[[#This Row],[Item]],supercb[Bairro],mercado14)</f>
        <v>0</v>
      </c>
      <c r="AY184" s="4">
        <f>SUMIFS(super1[Qtde],super1[Item],tab_higiene[[#This Row],[Item]],super1[Bairro],mercado15)+SUMIFS(supercb[Qtde],supercb[Item],tab_higiene[[#This Row],[Item]],supercb[Bairro],mercado15)</f>
        <v>0</v>
      </c>
      <c r="AZ184" s="4">
        <f>SUMIFS(super1[Qtde],super1[Item],tab_higiene[[#This Row],[Item]],super1[Bairro],mercado16)+SUMIFS(supercb[Qtde],supercb[Item],tab_higiene[[#This Row],[Item]],supercb[Bairro],mercado16)</f>
        <v>0</v>
      </c>
      <c r="BA184" s="4">
        <f>SUMIFS(super1[Qtde],super1[Item],tab_higiene[[#This Row],[Item]],super1[Bairro],mercado17)+SUMIFS(supercb[Qtde],supercb[Item],tab_higiene[[#This Row],[Item]],supercb[Bairro],mercado17)</f>
        <v>0</v>
      </c>
      <c r="BB184" s="4">
        <f>SUMIFS(super1[Qtde],super1[Item],tab_higiene[[#This Row],[Item]],super1[Bairro],mercado18)+SUMIFS(supercb[Qtde],supercb[Item],tab_higiene[[#This Row],[Item]],supercb[Bairro],mercado18)</f>
        <v>0</v>
      </c>
      <c r="BC184" s="4">
        <f>SUMIFS(super1[Qtde],super1[Item],tab_higiene[[#This Row],[Item]],super1[Bairro],extras)+SUMIFS(supercb[Qtde],supercb[Item],tab_higiene[[#This Row],[Item]],supercb[Bairro],extras)</f>
        <v>0</v>
      </c>
      <c r="BD184" s="4">
        <f t="shared" si="50"/>
        <v>0</v>
      </c>
      <c r="BE184" s="4">
        <f t="shared" si="51"/>
        <v>0</v>
      </c>
      <c r="BF184" s="6">
        <f t="shared" si="52"/>
        <v>0</v>
      </c>
    </row>
    <row r="185" spans="9:58" x14ac:dyDescent="0.25">
      <c r="I185" s="19" t="str">
        <f>alimentos[[#This Row],[Item]]</f>
        <v>Creme de Leite (200g)</v>
      </c>
      <c r="J185" s="4">
        <f>IFERROR(alimentos[[#This Row],[kg/embalagem]],0)</f>
        <v>0.2</v>
      </c>
      <c r="K185" s="4">
        <f>IFERROR(alimentos[[#This Row],[Preço]],0)</f>
        <v>3.48</v>
      </c>
      <c r="L185" s="4">
        <f>SUMIFS(super1[Qtde],super1[Item],tab_alimentos[[#This Row],[Item]],super1[Bairro],mercado1)+SUMIFS(supercb[Qtde],supercb[Item],tab_alimentos[[#This Row],[Item]],supercb[Bairro],mercado1)</f>
        <v>0</v>
      </c>
      <c r="M185" s="4">
        <f>SUMIFS(super1[Qtde],super1[Item],tab_alimentos[[#This Row],[Item]],super1[Bairro],mercado2)+SUMIFS(supercb[Qtde],supercb[Item],tab_alimentos[[#This Row],[Item]],supercb[Bairro],mercado2)</f>
        <v>0</v>
      </c>
      <c r="N185" s="4">
        <f>SUMIFS(super1[Qtde],super1[Item],tab_alimentos[[#This Row],[Item]],super1[Bairro],mercado3)+SUMIFS(supercb[Qtde],supercb[Item],tab_alimentos[[#This Row],[Item]],supercb[Bairro],mercado3)</f>
        <v>0</v>
      </c>
      <c r="O185" s="4">
        <f>SUMIFS(super1[Qtde],super1[Item],tab_alimentos[[#This Row],[Item]],super1[Bairro],mercado4)+SUMIFS(supercb[Qtde],supercb[Item],tab_alimentos[[#This Row],[Item]],supercb[Bairro],mercado4)</f>
        <v>0</v>
      </c>
      <c r="P185" s="4">
        <f>SUMIFS(super1[Qtde],super1[Item],tab_alimentos[[#This Row],[Item]],super1[Bairro],mercado5)+SUMIFS(supercb[Qtde],supercb[Item],tab_alimentos[[#This Row],[Item]],supercb[Bairro],mercado5)</f>
        <v>0</v>
      </c>
      <c r="Q185" s="4">
        <f>SUMIFS(super1[Qtde],super1[Item],tab_alimentos[[#This Row],[Item]],super1[Bairro],mercado6)+SUMIFS(supercb[Qtde],supercb[Item],tab_alimentos[[#This Row],[Item]],supercb[Bairro],mercado6)</f>
        <v>0</v>
      </c>
      <c r="R185" s="4">
        <f>SUMIFS(super1[Qtde],super1[Item],tab_alimentos[[#This Row],[Item]],super1[Bairro],mercado7)+SUMIFS(supercb[Qtde],supercb[Item],tab_alimentos[[#This Row],[Item]],supercb[Bairro],mercado7)</f>
        <v>0</v>
      </c>
      <c r="S185" s="4">
        <f>SUMIFS(super1[Qtde],super1[Item],tab_alimentos[[#This Row],[Item]],super1[Bairro],mercado8)+SUMIFS(supercb[Qtde],supercb[Item],tab_alimentos[[#This Row],[Item]],supercb[Bairro],mercado8)</f>
        <v>0</v>
      </c>
      <c r="T185" s="4">
        <f>SUMIFS(super1[Qtde],super1[Item],tab_alimentos[[#This Row],[Item]],super1[Bairro],mercado9)+SUMIFS(supercb[Qtde],supercb[Item],tab_alimentos[[#This Row],[Item]],supercb[Bairro],mercado9)</f>
        <v>0</v>
      </c>
      <c r="U185" s="4">
        <f>SUMIFS(super1[Qtde],super1[Item],tab_alimentos[[#This Row],[Item]],super1[Bairro],mercado10)+SUMIFS(supercb[Qtde],supercb[Item],tab_alimentos[[#This Row],[Item]],supercb[Bairro],mercado10)</f>
        <v>0</v>
      </c>
      <c r="V185" s="4">
        <f>SUMIFS(super1[Qtde],super1[Item],tab_alimentos[[#This Row],[Item]],super1[Bairro],mercado11)+SUMIFS(supercb[Qtde],supercb[Item],tab_alimentos[[#This Row],[Item]],supercb[Bairro],mercado11)</f>
        <v>0</v>
      </c>
      <c r="W185" s="4">
        <f>SUMIFS(super1[Qtde],super1[Item],tab_alimentos[[#This Row],[Item]],super1[Bairro],mercado12)+SUMIFS(supercb[Qtde],supercb[Item],tab_alimentos[[#This Row],[Item]],supercb[Bairro],mercado12)</f>
        <v>0</v>
      </c>
      <c r="X185" s="4">
        <f>SUMIFS(super1[Qtde],super1[Item],tab_alimentos[[#This Row],[Item]],super1[Bairro],mercado13)+SUMIFS(supercb[Qtde],supercb[Item],tab_alimentos[[#This Row],[Item]],supercb[Bairro],mercado13)</f>
        <v>0</v>
      </c>
      <c r="Y185" s="4">
        <f>SUMIFS(super1[Qtde],super1[Item],tab_alimentos[[#This Row],[Item]],super1[Bairro],mercado14)+SUMIFS(supercb[Qtde],supercb[Item],tab_alimentos[[#This Row],[Item]],supercb[Bairro],mercado14)</f>
        <v>0</v>
      </c>
      <c r="Z185" s="4">
        <f>SUMIFS(super1[Qtde],super1[Item],tab_alimentos[[#This Row],[Item]],super1[Bairro],mercado15)+SUMIFS(supercb[Qtde],supercb[Item],tab_alimentos[[#This Row],[Item]],supercb[Bairro],mercado15)</f>
        <v>0</v>
      </c>
      <c r="AA185" s="4">
        <f>SUMIFS(super1[Qtde],super1[Item],tab_alimentos[[#This Row],[Item]],super1[Bairro],mercado16)+SUMIFS(supercb[Qtde],supercb[Item],tab_alimentos[[#This Row],[Item]],supercb[Bairro],mercado16)</f>
        <v>0</v>
      </c>
      <c r="AB185" s="4">
        <f>SUMIFS(super1[Qtde],super1[Item],tab_alimentos[[#This Row],[Item]],super1[Bairro],mercado17)+SUMIFS(supercb[Qtde],supercb[Item],tab_alimentos[[#This Row],[Item]],supercb[Bairro],mercado17)</f>
        <v>0</v>
      </c>
      <c r="AC185" s="4">
        <f>SUMIFS(super1[Qtde],super1[Item],tab_alimentos[[#This Row],[Item]],super1[Bairro],mercado18)+SUMIFS(supercb[Qtde],supercb[Item],tab_alimentos[[#This Row],[Item]],supercb[Bairro],mercado18)</f>
        <v>0</v>
      </c>
      <c r="AD185" s="4">
        <f>SUMIFS(super1[Qtde],super1[Item],tab_alimentos[[#This Row],[Item]],super1[Bairro],extras)+SUMIFS(supercb[Qtde],supercb[Item],tab_alimentos[[#This Row],[Item]],supercb[Bairro],extras)</f>
        <v>0</v>
      </c>
      <c r="AE185" s="4">
        <f t="shared" si="67"/>
        <v>0</v>
      </c>
      <c r="AF185" s="4">
        <f t="shared" si="68"/>
        <v>0</v>
      </c>
      <c r="AG185" s="6">
        <f t="shared" si="69"/>
        <v>0</v>
      </c>
      <c r="AH185" s="19" t="str">
        <f>higiene[[#This Row],[Item]]</f>
        <v>Papel Toalha (12un)</v>
      </c>
      <c r="AI185" s="4">
        <f>IFERROR(higiene[[#This Row],[Kg equivalente]],0)</f>
        <v>0</v>
      </c>
      <c r="AJ185" s="4">
        <f>IFERROR(higiene[[#This Row],[Preço por produto]],0)</f>
        <v>45.9</v>
      </c>
      <c r="AK185" s="4">
        <f>SUMIFS(super1[Qtde],super1[Item],tab_higiene[[#This Row],[Item]],super1[Bairro],mercado1)+SUMIFS(supercb[Qtde],supercb[Item],tab_higiene[[#This Row],[Item]],supercb[Bairro],mercado1)</f>
        <v>0</v>
      </c>
      <c r="AL185" s="4">
        <f>SUMIFS(super1[Qtde],super1[Item],tab_higiene[[#This Row],[Item]],super1[Bairro],mercado2)+SUMIFS(supercb[Qtde],supercb[Item],tab_higiene[[#This Row],[Item]],supercb[Bairro],mercado2)</f>
        <v>0</v>
      </c>
      <c r="AM185" s="4">
        <f>SUMIFS(super1[Qtde],super1[Item],tab_higiene[[#This Row],[Item]],super1[Bairro],mercado3)+SUMIFS(supercb[Qtde],supercb[Item],tab_higiene[[#This Row],[Item]],supercb[Bairro],mercado3)</f>
        <v>0</v>
      </c>
      <c r="AN185" s="4">
        <f>SUMIFS(super1[Qtde],super1[Item],tab_higiene[[#This Row],[Item]],super1[Bairro],mercado4)+SUMIFS(supercb[Qtde],supercb[Item],tab_higiene[[#This Row],[Item]],supercb[Bairro],mercado4)</f>
        <v>0</v>
      </c>
      <c r="AO185" s="4">
        <f>SUMIFS(super1[Qtde],super1[Item],tab_higiene[[#This Row],[Item]],super1[Bairro],mercado5)+SUMIFS(supercb[Qtde],supercb[Item],tab_higiene[[#This Row],[Item]],supercb[Bairro],mercado5)</f>
        <v>0</v>
      </c>
      <c r="AP185" s="4">
        <f>SUMIFS(super1[Qtde],super1[Item],tab_higiene[[#This Row],[Item]],super1[Bairro],mercado6)+SUMIFS(supercb[Qtde],supercb[Item],tab_higiene[[#This Row],[Item]],supercb[Bairro],mercado6)</f>
        <v>0</v>
      </c>
      <c r="AQ185" s="4">
        <f>SUMIFS(super1[Qtde],super1[Item],tab_higiene[[#This Row],[Item]],super1[Bairro],mercado7)+SUMIFS(supercb[Qtde],supercb[Item],tab_higiene[[#This Row],[Item]],supercb[Bairro],mercado7)</f>
        <v>0</v>
      </c>
      <c r="AR185" s="4">
        <f>SUMIFS(super1[Qtde],super1[Item],tab_higiene[[#This Row],[Item]],super1[Bairro],mercado8)+SUMIFS(supercb[Qtde],supercb[Item],tab_higiene[[#This Row],[Item]],supercb[Bairro],mercado8)</f>
        <v>0</v>
      </c>
      <c r="AS185" s="4">
        <f>SUMIFS(super1[Qtde],super1[Item],tab_higiene[[#This Row],[Item]],super1[Bairro],mercado9)+SUMIFS(supercb[Qtde],supercb[Item],tab_higiene[[#This Row],[Item]],supercb[Bairro],mercado9)</f>
        <v>0</v>
      </c>
      <c r="AT185" s="4">
        <f>SUMIFS(super1[Qtde],super1[Item],tab_higiene[[#This Row],[Item]],super1[Bairro],mercado10)+SUMIFS(supercb[Qtde],supercb[Item],tab_higiene[[#This Row],[Item]],supercb[Bairro],mercado10)</f>
        <v>0</v>
      </c>
      <c r="AU185" s="4">
        <f>SUMIFS(super1[Qtde],super1[Item],tab_higiene[[#This Row],[Item]],super1[Bairro],mercado11)+SUMIFS(supercb[Qtde],supercb[Item],tab_higiene[[#This Row],[Item]],supercb[Bairro],mercado11)</f>
        <v>0</v>
      </c>
      <c r="AV185" s="4">
        <f>SUMIFS(super1[Qtde],super1[Item],tab_higiene[[#This Row],[Item]],super1[Bairro],mercado12)+SUMIFS(supercb[Qtde],supercb[Item],tab_higiene[[#This Row],[Item]],supercb[Bairro],mercado12)</f>
        <v>0</v>
      </c>
      <c r="AW185" s="4">
        <f>SUMIFS(super1[Qtde],super1[Item],tab_higiene[[#This Row],[Item]],super1[Bairro],mercado13)+SUMIFS(supercb[Qtde],supercb[Item],tab_higiene[[#This Row],[Item]],supercb[Bairro],mercado13)</f>
        <v>0</v>
      </c>
      <c r="AX185" s="4">
        <f>SUMIFS(super1[Qtde],super1[Item],tab_higiene[[#This Row],[Item]],super1[Bairro],mercado14)+SUMIFS(supercb[Qtde],supercb[Item],tab_higiene[[#This Row],[Item]],supercb[Bairro],mercado14)</f>
        <v>0</v>
      </c>
      <c r="AY185" s="4">
        <f>SUMIFS(super1[Qtde],super1[Item],tab_higiene[[#This Row],[Item]],super1[Bairro],mercado15)+SUMIFS(supercb[Qtde],supercb[Item],tab_higiene[[#This Row],[Item]],supercb[Bairro],mercado15)</f>
        <v>0</v>
      </c>
      <c r="AZ185" s="4">
        <f>SUMIFS(super1[Qtde],super1[Item],tab_higiene[[#This Row],[Item]],super1[Bairro],mercado16)+SUMIFS(supercb[Qtde],supercb[Item],tab_higiene[[#This Row],[Item]],supercb[Bairro],mercado16)</f>
        <v>0</v>
      </c>
      <c r="BA185" s="4">
        <f>SUMIFS(super1[Qtde],super1[Item],tab_higiene[[#This Row],[Item]],super1[Bairro],mercado17)+SUMIFS(supercb[Qtde],supercb[Item],tab_higiene[[#This Row],[Item]],supercb[Bairro],mercado17)</f>
        <v>0</v>
      </c>
      <c r="BB185" s="4">
        <f>SUMIFS(super1[Qtde],super1[Item],tab_higiene[[#This Row],[Item]],super1[Bairro],mercado18)+SUMIFS(supercb[Qtde],supercb[Item],tab_higiene[[#This Row],[Item]],supercb[Bairro],mercado18)</f>
        <v>0</v>
      </c>
      <c r="BC185" s="4">
        <f>SUMIFS(super1[Qtde],super1[Item],tab_higiene[[#This Row],[Item]],super1[Bairro],extras)+SUMIFS(supercb[Qtde],supercb[Item],tab_higiene[[#This Row],[Item]],supercb[Bairro],extras)</f>
        <v>0</v>
      </c>
      <c r="BD185" s="4">
        <f t="shared" si="50"/>
        <v>0</v>
      </c>
      <c r="BE185" s="4">
        <f t="shared" si="51"/>
        <v>0</v>
      </c>
      <c r="BF185" s="6">
        <f t="shared" si="52"/>
        <v>0</v>
      </c>
    </row>
    <row r="186" spans="9:58" ht="15.75" thickBot="1" x14ac:dyDescent="0.3">
      <c r="I186" s="19" t="str">
        <f>alimentos[[#This Row],[Item]]</f>
        <v>Cuscuz (500g)</v>
      </c>
      <c r="J186" s="4">
        <f>IFERROR(alimentos[[#This Row],[kg/embalagem]],0)</f>
        <v>0.5</v>
      </c>
      <c r="K186" s="4">
        <f>IFERROR(alimentos[[#This Row],[Preço]],0)</f>
        <v>1.69</v>
      </c>
      <c r="L186" s="4">
        <f>SUMIFS(super1[Qtde],super1[Item],tab_alimentos[[#This Row],[Item]],super1[Bairro],mercado1)+SUMIFS(supercb[Qtde],supercb[Item],tab_alimentos[[#This Row],[Item]],supercb[Bairro],mercado1)</f>
        <v>0</v>
      </c>
      <c r="M186" s="4">
        <f>SUMIFS(super1[Qtde],super1[Item],tab_alimentos[[#This Row],[Item]],super1[Bairro],mercado2)+SUMIFS(supercb[Qtde],supercb[Item],tab_alimentos[[#This Row],[Item]],supercb[Bairro],mercado2)</f>
        <v>0</v>
      </c>
      <c r="N186" s="4">
        <f>SUMIFS(super1[Qtde],super1[Item],tab_alimentos[[#This Row],[Item]],super1[Bairro],mercado3)+SUMIFS(supercb[Qtde],supercb[Item],tab_alimentos[[#This Row],[Item]],supercb[Bairro],mercado3)</f>
        <v>0</v>
      </c>
      <c r="O186" s="4">
        <f>SUMIFS(super1[Qtde],super1[Item],tab_alimentos[[#This Row],[Item]],super1[Bairro],mercado4)+SUMIFS(supercb[Qtde],supercb[Item],tab_alimentos[[#This Row],[Item]],supercb[Bairro],mercado4)</f>
        <v>0</v>
      </c>
      <c r="P186" s="4">
        <f>SUMIFS(super1[Qtde],super1[Item],tab_alimentos[[#This Row],[Item]],super1[Bairro],mercado5)+SUMIFS(supercb[Qtde],supercb[Item],tab_alimentos[[#This Row],[Item]],supercb[Bairro],mercado5)</f>
        <v>0</v>
      </c>
      <c r="Q186" s="4">
        <f>SUMIFS(super1[Qtde],super1[Item],tab_alimentos[[#This Row],[Item]],super1[Bairro],mercado6)+SUMIFS(supercb[Qtde],supercb[Item],tab_alimentos[[#This Row],[Item]],supercb[Bairro],mercado6)</f>
        <v>0</v>
      </c>
      <c r="R186" s="4">
        <f>SUMIFS(super1[Qtde],super1[Item],tab_alimentos[[#This Row],[Item]],super1[Bairro],mercado7)+SUMIFS(supercb[Qtde],supercb[Item],tab_alimentos[[#This Row],[Item]],supercb[Bairro],mercado7)</f>
        <v>0</v>
      </c>
      <c r="S186" s="4">
        <f>SUMIFS(super1[Qtde],super1[Item],tab_alimentos[[#This Row],[Item]],super1[Bairro],mercado8)+SUMIFS(supercb[Qtde],supercb[Item],tab_alimentos[[#This Row],[Item]],supercb[Bairro],mercado8)</f>
        <v>0</v>
      </c>
      <c r="T186" s="4">
        <f>SUMIFS(super1[Qtde],super1[Item],tab_alimentos[[#This Row],[Item]],super1[Bairro],mercado9)+SUMIFS(supercb[Qtde],supercb[Item],tab_alimentos[[#This Row],[Item]],supercb[Bairro],mercado9)</f>
        <v>0</v>
      </c>
      <c r="U186" s="4">
        <f>SUMIFS(super1[Qtde],super1[Item],tab_alimentos[[#This Row],[Item]],super1[Bairro],mercado10)+SUMIFS(supercb[Qtde],supercb[Item],tab_alimentos[[#This Row],[Item]],supercb[Bairro],mercado10)</f>
        <v>0</v>
      </c>
      <c r="V186" s="4">
        <f>SUMIFS(super1[Qtde],super1[Item],tab_alimentos[[#This Row],[Item]],super1[Bairro],mercado11)+SUMIFS(supercb[Qtde],supercb[Item],tab_alimentos[[#This Row],[Item]],supercb[Bairro],mercado11)</f>
        <v>0</v>
      </c>
      <c r="W186" s="4">
        <f>SUMIFS(super1[Qtde],super1[Item],tab_alimentos[[#This Row],[Item]],super1[Bairro],mercado12)+SUMIFS(supercb[Qtde],supercb[Item],tab_alimentos[[#This Row],[Item]],supercb[Bairro],mercado12)</f>
        <v>0</v>
      </c>
      <c r="X186" s="4">
        <f>SUMIFS(super1[Qtde],super1[Item],tab_alimentos[[#This Row],[Item]],super1[Bairro],mercado13)+SUMIFS(supercb[Qtde],supercb[Item],tab_alimentos[[#This Row],[Item]],supercb[Bairro],mercado13)</f>
        <v>0</v>
      </c>
      <c r="Y186" s="4">
        <f>SUMIFS(super1[Qtde],super1[Item],tab_alimentos[[#This Row],[Item]],super1[Bairro],mercado14)+SUMIFS(supercb[Qtde],supercb[Item],tab_alimentos[[#This Row],[Item]],supercb[Bairro],mercado14)</f>
        <v>0</v>
      </c>
      <c r="Z186" s="4">
        <f>SUMIFS(super1[Qtde],super1[Item],tab_alimentos[[#This Row],[Item]],super1[Bairro],mercado15)+SUMIFS(supercb[Qtde],supercb[Item],tab_alimentos[[#This Row],[Item]],supercb[Bairro],mercado15)</f>
        <v>0</v>
      </c>
      <c r="AA186" s="4">
        <f>SUMIFS(super1[Qtde],super1[Item],tab_alimentos[[#This Row],[Item]],super1[Bairro],mercado16)+SUMIFS(supercb[Qtde],supercb[Item],tab_alimentos[[#This Row],[Item]],supercb[Bairro],mercado16)</f>
        <v>0</v>
      </c>
      <c r="AB186" s="4">
        <f>SUMIFS(super1[Qtde],super1[Item],tab_alimentos[[#This Row],[Item]],super1[Bairro],mercado17)+SUMIFS(supercb[Qtde],supercb[Item],tab_alimentos[[#This Row],[Item]],supercb[Bairro],mercado17)</f>
        <v>0</v>
      </c>
      <c r="AC186" s="4">
        <f>SUMIFS(super1[Qtde],super1[Item],tab_alimentos[[#This Row],[Item]],super1[Bairro],mercado18)+SUMIFS(supercb[Qtde],supercb[Item],tab_alimentos[[#This Row],[Item]],supercb[Bairro],mercado18)</f>
        <v>0</v>
      </c>
      <c r="AD186" s="4">
        <f>SUMIFS(super1[Qtde],super1[Item],tab_alimentos[[#This Row],[Item]],super1[Bairro],extras)+SUMIFS(supercb[Qtde],supercb[Item],tab_alimentos[[#This Row],[Item]],supercb[Bairro],extras)</f>
        <v>0</v>
      </c>
      <c r="AE186" s="4">
        <f t="shared" si="67"/>
        <v>0</v>
      </c>
      <c r="AF186" s="4">
        <f t="shared" si="68"/>
        <v>0</v>
      </c>
      <c r="AG186" s="6">
        <f t="shared" si="69"/>
        <v>0</v>
      </c>
      <c r="AH186" s="13" t="str">
        <f>higiene[[#This Row],[Item]]</f>
        <v>Papel Toalha (2un)</v>
      </c>
      <c r="AI186" s="9">
        <f>IFERROR(higiene[[#This Row],[Kg equivalente]],0)</f>
        <v>0</v>
      </c>
      <c r="AJ186" s="9">
        <f>IFERROR(higiene[[#This Row],[Preço por produto]],0)</f>
        <v>2.89</v>
      </c>
      <c r="AK186" s="4">
        <f>SUMIFS(super1[Qtde],super1[Item],tab_higiene[[#This Row],[Item]],super1[Bairro],mercado1)+SUMIFS(supercb[Qtde],supercb[Item],tab_higiene[[#This Row],[Item]],supercb[Bairro],mercado1)</f>
        <v>0</v>
      </c>
      <c r="AL186" s="4">
        <f>SUMIFS(super1[Qtde],super1[Item],tab_higiene[[#This Row],[Item]],super1[Bairro],mercado2)+SUMIFS(supercb[Qtde],supercb[Item],tab_higiene[[#This Row],[Item]],supercb[Bairro],mercado2)</f>
        <v>0</v>
      </c>
      <c r="AM186" s="4">
        <f>SUMIFS(super1[Qtde],super1[Item],tab_higiene[[#This Row],[Item]],super1[Bairro],mercado3)+SUMIFS(supercb[Qtde],supercb[Item],tab_higiene[[#This Row],[Item]],supercb[Bairro],mercado3)</f>
        <v>0</v>
      </c>
      <c r="AN186" s="4">
        <f>SUMIFS(super1[Qtde],super1[Item],tab_higiene[[#This Row],[Item]],super1[Bairro],mercado4)+SUMIFS(supercb[Qtde],supercb[Item],tab_higiene[[#This Row],[Item]],supercb[Bairro],mercado4)</f>
        <v>0</v>
      </c>
      <c r="AO186" s="4">
        <f>SUMIFS(super1[Qtde],super1[Item],tab_higiene[[#This Row],[Item]],super1[Bairro],mercado5)+SUMIFS(supercb[Qtde],supercb[Item],tab_higiene[[#This Row],[Item]],supercb[Bairro],mercado5)</f>
        <v>0</v>
      </c>
      <c r="AP186" s="4">
        <f>SUMIFS(super1[Qtde],super1[Item],tab_higiene[[#This Row],[Item]],super1[Bairro],mercado6)+SUMIFS(supercb[Qtde],supercb[Item],tab_higiene[[#This Row],[Item]],supercb[Bairro],mercado6)</f>
        <v>0</v>
      </c>
      <c r="AQ186" s="4">
        <f>SUMIFS(super1[Qtde],super1[Item],tab_higiene[[#This Row],[Item]],super1[Bairro],mercado7)+SUMIFS(supercb[Qtde],supercb[Item],tab_higiene[[#This Row],[Item]],supercb[Bairro],mercado7)</f>
        <v>0</v>
      </c>
      <c r="AR186" s="4">
        <f>SUMIFS(super1[Qtde],super1[Item],tab_higiene[[#This Row],[Item]],super1[Bairro],mercado8)+SUMIFS(supercb[Qtde],supercb[Item],tab_higiene[[#This Row],[Item]],supercb[Bairro],mercado8)</f>
        <v>0</v>
      </c>
      <c r="AS186" s="4">
        <f>SUMIFS(super1[Qtde],super1[Item],tab_higiene[[#This Row],[Item]],super1[Bairro],mercado9)+SUMIFS(supercb[Qtde],supercb[Item],tab_higiene[[#This Row],[Item]],supercb[Bairro],mercado9)</f>
        <v>0</v>
      </c>
      <c r="AT186" s="4">
        <f>SUMIFS(super1[Qtde],super1[Item],tab_higiene[[#This Row],[Item]],super1[Bairro],mercado10)+SUMIFS(supercb[Qtde],supercb[Item],tab_higiene[[#This Row],[Item]],supercb[Bairro],mercado10)</f>
        <v>0</v>
      </c>
      <c r="AU186" s="4">
        <f>SUMIFS(super1[Qtde],super1[Item],tab_higiene[[#This Row],[Item]],super1[Bairro],mercado11)+SUMIFS(supercb[Qtde],supercb[Item],tab_higiene[[#This Row],[Item]],supercb[Bairro],mercado11)</f>
        <v>0</v>
      </c>
      <c r="AV186" s="4">
        <f>SUMIFS(super1[Qtde],super1[Item],tab_higiene[[#This Row],[Item]],super1[Bairro],mercado12)+SUMIFS(supercb[Qtde],supercb[Item],tab_higiene[[#This Row],[Item]],supercb[Bairro],mercado12)</f>
        <v>0</v>
      </c>
      <c r="AW186" s="4">
        <f>SUMIFS(super1[Qtde],super1[Item],tab_higiene[[#This Row],[Item]],super1[Bairro],mercado13)+SUMIFS(supercb[Qtde],supercb[Item],tab_higiene[[#This Row],[Item]],supercb[Bairro],mercado13)</f>
        <v>0</v>
      </c>
      <c r="AX186" s="4">
        <f>SUMIFS(super1[Qtde],super1[Item],tab_higiene[[#This Row],[Item]],super1[Bairro],mercado14)+SUMIFS(supercb[Qtde],supercb[Item],tab_higiene[[#This Row],[Item]],supercb[Bairro],mercado14)</f>
        <v>0</v>
      </c>
      <c r="AY186" s="4">
        <f>SUMIFS(super1[Qtde],super1[Item],tab_higiene[[#This Row],[Item]],super1[Bairro],mercado15)+SUMIFS(supercb[Qtde],supercb[Item],tab_higiene[[#This Row],[Item]],supercb[Bairro],mercado15)</f>
        <v>0</v>
      </c>
      <c r="AZ186" s="4">
        <f>SUMIFS(super1[Qtde],super1[Item],tab_higiene[[#This Row],[Item]],super1[Bairro],mercado16)+SUMIFS(supercb[Qtde],supercb[Item],tab_higiene[[#This Row],[Item]],supercb[Bairro],mercado16)</f>
        <v>0</v>
      </c>
      <c r="BA186" s="4">
        <f>SUMIFS(super1[Qtde],super1[Item],tab_higiene[[#This Row],[Item]],super1[Bairro],mercado17)+SUMIFS(supercb[Qtde],supercb[Item],tab_higiene[[#This Row],[Item]],supercb[Bairro],mercado17)</f>
        <v>0</v>
      </c>
      <c r="BB186" s="4">
        <f>SUMIFS(super1[Qtde],super1[Item],tab_higiene[[#This Row],[Item]],super1[Bairro],mercado18)+SUMIFS(supercb[Qtde],supercb[Item],tab_higiene[[#This Row],[Item]],supercb[Bairro],mercado18)</f>
        <v>0</v>
      </c>
      <c r="BC186" s="31">
        <f>SUMIFS(super1[Qtde],super1[Item],tab_higiene[[#This Row],[Item]],super1[Bairro],extras)+SUMIFS(supercb[Qtde],supercb[Item],tab_higiene[[#This Row],[Item]],supercb[Bairro],extras)</f>
        <v>0</v>
      </c>
      <c r="BD186" s="9">
        <f t="shared" si="50"/>
        <v>0</v>
      </c>
      <c r="BE186" s="9">
        <f t="shared" si="51"/>
        <v>0</v>
      </c>
      <c r="BF186" s="18">
        <f t="shared" si="52"/>
        <v>0</v>
      </c>
    </row>
    <row r="187" spans="9:58" ht="15.75" thickBot="1" x14ac:dyDescent="0.3">
      <c r="I187" s="19" t="str">
        <f>alimentos[[#This Row],[Item]]</f>
        <v>D</v>
      </c>
      <c r="J187" s="4">
        <f>IFERROR(alimentos[[#This Row],[kg/embalagem]],0)</f>
        <v>0</v>
      </c>
      <c r="K187" s="4">
        <f>IFERROR(alimentos[[#This Row],[Preço]],0)</f>
        <v>0</v>
      </c>
      <c r="L187" s="4">
        <f>SUMIFS(super1[Qtde],super1[Item],tab_alimentos[[#This Row],[Item]],super1[Bairro],mercado1)+SUMIFS(supercb[Qtde],supercb[Item],tab_alimentos[[#This Row],[Item]],supercb[Bairro],mercado1)</f>
        <v>0</v>
      </c>
      <c r="M187" s="4">
        <f>SUMIFS(super1[Qtde],super1[Item],tab_alimentos[[#This Row],[Item]],super1[Bairro],mercado2)+SUMIFS(supercb[Qtde],supercb[Item],tab_alimentos[[#This Row],[Item]],supercb[Bairro],mercado2)</f>
        <v>0</v>
      </c>
      <c r="N187" s="4">
        <f>SUMIFS(super1[Qtde],super1[Item],tab_alimentos[[#This Row],[Item]],super1[Bairro],mercado3)+SUMIFS(supercb[Qtde],supercb[Item],tab_alimentos[[#This Row],[Item]],supercb[Bairro],mercado3)</f>
        <v>0</v>
      </c>
      <c r="O187" s="4">
        <f>SUMIFS(super1[Qtde],super1[Item],tab_alimentos[[#This Row],[Item]],super1[Bairro],mercado4)+SUMIFS(supercb[Qtde],supercb[Item],tab_alimentos[[#This Row],[Item]],supercb[Bairro],mercado4)</f>
        <v>0</v>
      </c>
      <c r="P187" s="4">
        <f>SUMIFS(super1[Qtde],super1[Item],tab_alimentos[[#This Row],[Item]],super1[Bairro],mercado5)+SUMIFS(supercb[Qtde],supercb[Item],tab_alimentos[[#This Row],[Item]],supercb[Bairro],mercado5)</f>
        <v>0</v>
      </c>
      <c r="Q187" s="4">
        <f>SUMIFS(super1[Qtde],super1[Item],tab_alimentos[[#This Row],[Item]],super1[Bairro],mercado6)+SUMIFS(supercb[Qtde],supercb[Item],tab_alimentos[[#This Row],[Item]],supercb[Bairro],mercado6)</f>
        <v>0</v>
      </c>
      <c r="R187" s="4">
        <f>SUMIFS(super1[Qtde],super1[Item],tab_alimentos[[#This Row],[Item]],super1[Bairro],mercado7)+SUMIFS(supercb[Qtde],supercb[Item],tab_alimentos[[#This Row],[Item]],supercb[Bairro],mercado7)</f>
        <v>0</v>
      </c>
      <c r="S187" s="4">
        <f>SUMIFS(super1[Qtde],super1[Item],tab_alimentos[[#This Row],[Item]],super1[Bairro],mercado8)+SUMIFS(supercb[Qtde],supercb[Item],tab_alimentos[[#This Row],[Item]],supercb[Bairro],mercado8)</f>
        <v>0</v>
      </c>
      <c r="T187" s="4">
        <f>SUMIFS(super1[Qtde],super1[Item],tab_alimentos[[#This Row],[Item]],super1[Bairro],mercado9)+SUMIFS(supercb[Qtde],supercb[Item],tab_alimentos[[#This Row],[Item]],supercb[Bairro],mercado9)</f>
        <v>0</v>
      </c>
      <c r="U187" s="4">
        <f>SUMIFS(super1[Qtde],super1[Item],tab_alimentos[[#This Row],[Item]],super1[Bairro],mercado10)+SUMIFS(supercb[Qtde],supercb[Item],tab_alimentos[[#This Row],[Item]],supercb[Bairro],mercado10)</f>
        <v>0</v>
      </c>
      <c r="V187" s="4">
        <f>SUMIFS(super1[Qtde],super1[Item],tab_alimentos[[#This Row],[Item]],super1[Bairro],mercado11)+SUMIFS(supercb[Qtde],supercb[Item],tab_alimentos[[#This Row],[Item]],supercb[Bairro],mercado11)</f>
        <v>0</v>
      </c>
      <c r="W187" s="4">
        <f>SUMIFS(super1[Qtde],super1[Item],tab_alimentos[[#This Row],[Item]],super1[Bairro],mercado12)+SUMIFS(supercb[Qtde],supercb[Item],tab_alimentos[[#This Row],[Item]],supercb[Bairro],mercado12)</f>
        <v>0</v>
      </c>
      <c r="X187" s="4">
        <f>SUMIFS(super1[Qtde],super1[Item],tab_alimentos[[#This Row],[Item]],super1[Bairro],mercado13)+SUMIFS(supercb[Qtde],supercb[Item],tab_alimentos[[#This Row],[Item]],supercb[Bairro],mercado13)</f>
        <v>0</v>
      </c>
      <c r="Y187" s="4">
        <f>SUMIFS(super1[Qtde],super1[Item],tab_alimentos[[#This Row],[Item]],super1[Bairro],mercado14)+SUMIFS(supercb[Qtde],supercb[Item],tab_alimentos[[#This Row],[Item]],supercb[Bairro],mercado14)</f>
        <v>0</v>
      </c>
      <c r="Z187" s="4">
        <f>SUMIFS(super1[Qtde],super1[Item],tab_alimentos[[#This Row],[Item]],super1[Bairro],mercado15)+SUMIFS(supercb[Qtde],supercb[Item],tab_alimentos[[#This Row],[Item]],supercb[Bairro],mercado15)</f>
        <v>0</v>
      </c>
      <c r="AA187" s="4">
        <f>SUMIFS(super1[Qtde],super1[Item],tab_alimentos[[#This Row],[Item]],super1[Bairro],mercado16)+SUMIFS(supercb[Qtde],supercb[Item],tab_alimentos[[#This Row],[Item]],supercb[Bairro],mercado16)</f>
        <v>0</v>
      </c>
      <c r="AB187" s="4">
        <f>SUMIFS(super1[Qtde],super1[Item],tab_alimentos[[#This Row],[Item]],super1[Bairro],mercado17)+SUMIFS(supercb[Qtde],supercb[Item],tab_alimentos[[#This Row],[Item]],supercb[Bairro],mercado17)</f>
        <v>0</v>
      </c>
      <c r="AC187" s="4">
        <f>SUMIFS(super1[Qtde],super1[Item],tab_alimentos[[#This Row],[Item]],super1[Bairro],mercado18)+SUMIFS(supercb[Qtde],supercb[Item],tab_alimentos[[#This Row],[Item]],supercb[Bairro],mercado18)</f>
        <v>0</v>
      </c>
      <c r="AD187" s="4">
        <f>SUMIFS(super1[Qtde],super1[Item],tab_alimentos[[#This Row],[Item]],super1[Bairro],extras)+SUMIFS(supercb[Qtde],supercb[Item],tab_alimentos[[#This Row],[Item]],supercb[Bairro],extras)</f>
        <v>0</v>
      </c>
      <c r="AE187" s="4">
        <f t="shared" si="67"/>
        <v>0</v>
      </c>
      <c r="AF187" s="4">
        <f t="shared" si="68"/>
        <v>0</v>
      </c>
      <c r="AG187" s="6">
        <f t="shared" si="69"/>
        <v>0</v>
      </c>
      <c r="AH187" s="13" t="str">
        <f>higiene[[#This Row],[Item]]</f>
        <v>Pasta de Dente (100g)</v>
      </c>
      <c r="AI187" s="9">
        <f>IFERROR(higiene[[#This Row],[Kg equivalente]],0)</f>
        <v>0</v>
      </c>
      <c r="AJ187" s="9">
        <f>IFERROR(higiene[[#This Row],[Preço por produto]],0)</f>
        <v>10.039999999999999</v>
      </c>
      <c r="AK187" s="4">
        <f>SUMIFS(super1[Qtde],super1[Item],tab_higiene[[#This Row],[Item]],super1[Bairro],mercado1)+SUMIFS(supercb[Qtde],supercb[Item],tab_higiene[[#This Row],[Item]],supercb[Bairro],mercado1)</f>
        <v>0</v>
      </c>
      <c r="AL187" s="4">
        <f>SUMIFS(super1[Qtde],super1[Item],tab_higiene[[#This Row],[Item]],super1[Bairro],mercado2)+SUMIFS(supercb[Qtde],supercb[Item],tab_higiene[[#This Row],[Item]],supercb[Bairro],mercado2)</f>
        <v>0</v>
      </c>
      <c r="AM187" s="4">
        <f>SUMIFS(super1[Qtde],super1[Item],tab_higiene[[#This Row],[Item]],super1[Bairro],mercado3)+SUMIFS(supercb[Qtde],supercb[Item],tab_higiene[[#This Row],[Item]],supercb[Bairro],mercado3)</f>
        <v>0</v>
      </c>
      <c r="AN187" s="4">
        <f>SUMIFS(super1[Qtde],super1[Item],tab_higiene[[#This Row],[Item]],super1[Bairro],mercado4)+SUMIFS(supercb[Qtde],supercb[Item],tab_higiene[[#This Row],[Item]],supercb[Bairro],mercado4)</f>
        <v>0</v>
      </c>
      <c r="AO187" s="4">
        <f>SUMIFS(super1[Qtde],super1[Item],tab_higiene[[#This Row],[Item]],super1[Bairro],mercado5)+SUMIFS(supercb[Qtde],supercb[Item],tab_higiene[[#This Row],[Item]],supercb[Bairro],mercado5)</f>
        <v>0</v>
      </c>
      <c r="AP187" s="4">
        <f>SUMIFS(super1[Qtde],super1[Item],tab_higiene[[#This Row],[Item]],super1[Bairro],mercado6)+SUMIFS(supercb[Qtde],supercb[Item],tab_higiene[[#This Row],[Item]],supercb[Bairro],mercado6)</f>
        <v>0</v>
      </c>
      <c r="AQ187" s="4">
        <f>SUMIFS(super1[Qtde],super1[Item],tab_higiene[[#This Row],[Item]],super1[Bairro],mercado7)+SUMIFS(supercb[Qtde],supercb[Item],tab_higiene[[#This Row],[Item]],supercb[Bairro],mercado7)</f>
        <v>0</v>
      </c>
      <c r="AR187" s="4">
        <f>SUMIFS(super1[Qtde],super1[Item],tab_higiene[[#This Row],[Item]],super1[Bairro],mercado8)+SUMIFS(supercb[Qtde],supercb[Item],tab_higiene[[#This Row],[Item]],supercb[Bairro],mercado8)</f>
        <v>0</v>
      </c>
      <c r="AS187" s="4">
        <f>SUMIFS(super1[Qtde],super1[Item],tab_higiene[[#This Row],[Item]],super1[Bairro],mercado9)+SUMIFS(supercb[Qtde],supercb[Item],tab_higiene[[#This Row],[Item]],supercb[Bairro],mercado9)</f>
        <v>0</v>
      </c>
      <c r="AT187" s="4">
        <f>SUMIFS(super1[Qtde],super1[Item],tab_higiene[[#This Row],[Item]],super1[Bairro],mercado10)+SUMIFS(supercb[Qtde],supercb[Item],tab_higiene[[#This Row],[Item]],supercb[Bairro],mercado10)</f>
        <v>0</v>
      </c>
      <c r="AU187" s="4">
        <f>SUMIFS(super1[Qtde],super1[Item],tab_higiene[[#This Row],[Item]],super1[Bairro],mercado11)+SUMIFS(supercb[Qtde],supercb[Item],tab_higiene[[#This Row],[Item]],supercb[Bairro],mercado11)</f>
        <v>0</v>
      </c>
      <c r="AV187" s="4">
        <f>SUMIFS(super1[Qtde],super1[Item],tab_higiene[[#This Row],[Item]],super1[Bairro],mercado12)+SUMIFS(supercb[Qtde],supercb[Item],tab_higiene[[#This Row],[Item]],supercb[Bairro],mercado12)</f>
        <v>0</v>
      </c>
      <c r="AW187" s="4">
        <f>SUMIFS(super1[Qtde],super1[Item],tab_higiene[[#This Row],[Item]],super1[Bairro],mercado13)+SUMIFS(supercb[Qtde],supercb[Item],tab_higiene[[#This Row],[Item]],supercb[Bairro],mercado13)</f>
        <v>0</v>
      </c>
      <c r="AX187" s="4">
        <f>SUMIFS(super1[Qtde],super1[Item],tab_higiene[[#This Row],[Item]],super1[Bairro],mercado14)+SUMIFS(supercb[Qtde],supercb[Item],tab_higiene[[#This Row],[Item]],supercb[Bairro],mercado14)</f>
        <v>0</v>
      </c>
      <c r="AY187" s="4">
        <f>SUMIFS(super1[Qtde],super1[Item],tab_higiene[[#This Row],[Item]],super1[Bairro],mercado15)+SUMIFS(supercb[Qtde],supercb[Item],tab_higiene[[#This Row],[Item]],supercb[Bairro],mercado15)</f>
        <v>0</v>
      </c>
      <c r="AZ187" s="4">
        <f>SUMIFS(super1[Qtde],super1[Item],tab_higiene[[#This Row],[Item]],super1[Bairro],mercado16)+SUMIFS(supercb[Qtde],supercb[Item],tab_higiene[[#This Row],[Item]],supercb[Bairro],mercado16)</f>
        <v>0</v>
      </c>
      <c r="BA187" s="4">
        <f>SUMIFS(super1[Qtde],super1[Item],tab_higiene[[#This Row],[Item]],super1[Bairro],mercado17)+SUMIFS(supercb[Qtde],supercb[Item],tab_higiene[[#This Row],[Item]],supercb[Bairro],mercado17)</f>
        <v>0</v>
      </c>
      <c r="BB187" s="4">
        <f>SUMIFS(super1[Qtde],super1[Item],tab_higiene[[#This Row],[Item]],super1[Bairro],mercado18)+SUMIFS(supercb[Qtde],supercb[Item],tab_higiene[[#This Row],[Item]],supercb[Bairro],mercado18)</f>
        <v>0</v>
      </c>
      <c r="BC187" s="31">
        <f>SUMIFS(super1[Qtde],super1[Item],tab_higiene[[#This Row],[Item]],super1[Bairro],extras)+SUMIFS(supercb[Qtde],supercb[Item],tab_higiene[[#This Row],[Item]],supercb[Bairro],extras)</f>
        <v>0</v>
      </c>
      <c r="BD187" s="9">
        <f t="shared" ref="BD187:BD215" si="76">SUM(AK187:BB187)</f>
        <v>0</v>
      </c>
      <c r="BE187" s="9">
        <f t="shared" ref="BE187:BE215" si="77">IFERROR(BD187*AJ187,0)</f>
        <v>0</v>
      </c>
      <c r="BF187" s="18">
        <f t="shared" ref="BF187:BF215" si="78">IFERROR(AI187*BD187,0)</f>
        <v>0</v>
      </c>
    </row>
    <row r="188" spans="9:58" ht="15.75" thickBot="1" x14ac:dyDescent="0.3">
      <c r="I188" s="19" t="str">
        <f>alimentos[[#This Row],[Item]]</f>
        <v>Doce de Abóbora (220g)</v>
      </c>
      <c r="J188" s="4">
        <f>IFERROR(alimentos[[#This Row],[kg/embalagem]],0)</f>
        <v>0.22</v>
      </c>
      <c r="K188" s="4">
        <f>IFERROR(alimentos[[#This Row],[Preço]],0)</f>
        <v>8.6999999999999993</v>
      </c>
      <c r="L188" s="4">
        <f>SUMIFS(super1[Qtde],super1[Item],tab_alimentos[[#This Row],[Item]],super1[Bairro],mercado1)+SUMIFS(supercb[Qtde],supercb[Item],tab_alimentos[[#This Row],[Item]],supercb[Bairro],mercado1)</f>
        <v>0</v>
      </c>
      <c r="M188" s="4">
        <f>SUMIFS(super1[Qtde],super1[Item],tab_alimentos[[#This Row],[Item]],super1[Bairro],mercado2)+SUMIFS(supercb[Qtde],supercb[Item],tab_alimentos[[#This Row],[Item]],supercb[Bairro],mercado2)</f>
        <v>0</v>
      </c>
      <c r="N188" s="4">
        <f>SUMIFS(super1[Qtde],super1[Item],tab_alimentos[[#This Row],[Item]],super1[Bairro],mercado3)+SUMIFS(supercb[Qtde],supercb[Item],tab_alimentos[[#This Row],[Item]],supercb[Bairro],mercado3)</f>
        <v>0</v>
      </c>
      <c r="O188" s="4">
        <f>SUMIFS(super1[Qtde],super1[Item],tab_alimentos[[#This Row],[Item]],super1[Bairro],mercado4)+SUMIFS(supercb[Qtde],supercb[Item],tab_alimentos[[#This Row],[Item]],supercb[Bairro],mercado4)</f>
        <v>0</v>
      </c>
      <c r="P188" s="4">
        <f>SUMIFS(super1[Qtde],super1[Item],tab_alimentos[[#This Row],[Item]],super1[Bairro],mercado5)+SUMIFS(supercb[Qtde],supercb[Item],tab_alimentos[[#This Row],[Item]],supercb[Bairro],mercado5)</f>
        <v>0</v>
      </c>
      <c r="Q188" s="4">
        <f>SUMIFS(super1[Qtde],super1[Item],tab_alimentos[[#This Row],[Item]],super1[Bairro],mercado6)+SUMIFS(supercb[Qtde],supercb[Item],tab_alimentos[[#This Row],[Item]],supercb[Bairro],mercado6)</f>
        <v>0</v>
      </c>
      <c r="R188" s="4">
        <f>SUMIFS(super1[Qtde],super1[Item],tab_alimentos[[#This Row],[Item]],super1[Bairro],mercado7)+SUMIFS(supercb[Qtde],supercb[Item],tab_alimentos[[#This Row],[Item]],supercb[Bairro],mercado7)</f>
        <v>0</v>
      </c>
      <c r="S188" s="4">
        <f>SUMIFS(super1[Qtde],super1[Item],tab_alimentos[[#This Row],[Item]],super1[Bairro],mercado8)+SUMIFS(supercb[Qtde],supercb[Item],tab_alimentos[[#This Row],[Item]],supercb[Bairro],mercado8)</f>
        <v>0</v>
      </c>
      <c r="T188" s="4">
        <f>SUMIFS(super1[Qtde],super1[Item],tab_alimentos[[#This Row],[Item]],super1[Bairro],mercado9)+SUMIFS(supercb[Qtde],supercb[Item],tab_alimentos[[#This Row],[Item]],supercb[Bairro],mercado9)</f>
        <v>0</v>
      </c>
      <c r="U188" s="4">
        <f>SUMIFS(super1[Qtde],super1[Item],tab_alimentos[[#This Row],[Item]],super1[Bairro],mercado10)+SUMIFS(supercb[Qtde],supercb[Item],tab_alimentos[[#This Row],[Item]],supercb[Bairro],mercado10)</f>
        <v>0</v>
      </c>
      <c r="V188" s="4">
        <f>SUMIFS(super1[Qtde],super1[Item],tab_alimentos[[#This Row],[Item]],super1[Bairro],mercado11)+SUMIFS(supercb[Qtde],supercb[Item],tab_alimentos[[#This Row],[Item]],supercb[Bairro],mercado11)</f>
        <v>0</v>
      </c>
      <c r="W188" s="4">
        <f>SUMIFS(super1[Qtde],super1[Item],tab_alimentos[[#This Row],[Item]],super1[Bairro],mercado12)+SUMIFS(supercb[Qtde],supercb[Item],tab_alimentos[[#This Row],[Item]],supercb[Bairro],mercado12)</f>
        <v>0</v>
      </c>
      <c r="X188" s="4">
        <f>SUMIFS(super1[Qtde],super1[Item],tab_alimentos[[#This Row],[Item]],super1[Bairro],mercado13)+SUMIFS(supercb[Qtde],supercb[Item],tab_alimentos[[#This Row],[Item]],supercb[Bairro],mercado13)</f>
        <v>0</v>
      </c>
      <c r="Y188" s="4">
        <f>SUMIFS(super1[Qtde],super1[Item],tab_alimentos[[#This Row],[Item]],super1[Bairro],mercado14)+SUMIFS(supercb[Qtde],supercb[Item],tab_alimentos[[#This Row],[Item]],supercb[Bairro],mercado14)</f>
        <v>0</v>
      </c>
      <c r="Z188" s="4">
        <f>SUMIFS(super1[Qtde],super1[Item],tab_alimentos[[#This Row],[Item]],super1[Bairro],mercado15)+SUMIFS(supercb[Qtde],supercb[Item],tab_alimentos[[#This Row],[Item]],supercb[Bairro],mercado15)</f>
        <v>0</v>
      </c>
      <c r="AA188" s="4">
        <f>SUMIFS(super1[Qtde],super1[Item],tab_alimentos[[#This Row],[Item]],super1[Bairro],mercado16)+SUMIFS(supercb[Qtde],supercb[Item],tab_alimentos[[#This Row],[Item]],supercb[Bairro],mercado16)</f>
        <v>0</v>
      </c>
      <c r="AB188" s="4">
        <f>SUMIFS(super1[Qtde],super1[Item],tab_alimentos[[#This Row],[Item]],super1[Bairro],mercado17)+SUMIFS(supercb[Qtde],supercb[Item],tab_alimentos[[#This Row],[Item]],supercb[Bairro],mercado17)</f>
        <v>0</v>
      </c>
      <c r="AC188" s="4">
        <f>SUMIFS(super1[Qtde],super1[Item],tab_alimentos[[#This Row],[Item]],super1[Bairro],mercado18)+SUMIFS(supercb[Qtde],supercb[Item],tab_alimentos[[#This Row],[Item]],supercb[Bairro],mercado18)</f>
        <v>0</v>
      </c>
      <c r="AD188" s="4">
        <f>SUMIFS(super1[Qtde],super1[Item],tab_alimentos[[#This Row],[Item]],super1[Bairro],extras)+SUMIFS(supercb[Qtde],supercb[Item],tab_alimentos[[#This Row],[Item]],supercb[Bairro],extras)</f>
        <v>0</v>
      </c>
      <c r="AE188" s="4">
        <f t="shared" si="67"/>
        <v>0</v>
      </c>
      <c r="AF188" s="4">
        <f t="shared" si="68"/>
        <v>0</v>
      </c>
      <c r="AG188" s="6">
        <f t="shared" si="69"/>
        <v>0</v>
      </c>
      <c r="AH188" s="13" t="str">
        <f>higiene[[#This Row],[Item]]</f>
        <v>Pasta de Dente (120g)</v>
      </c>
      <c r="AI188" s="9">
        <f>IFERROR(higiene[[#This Row],[Kg equivalente]],0)</f>
        <v>0</v>
      </c>
      <c r="AJ188" s="9">
        <f>IFERROR(higiene[[#This Row],[Preço por produto]],0)</f>
        <v>3.99</v>
      </c>
      <c r="AK188" s="4">
        <f>SUMIFS(super1[Qtde],super1[Item],tab_higiene[[#This Row],[Item]],super1[Bairro],mercado1)+SUMIFS(supercb[Qtde],supercb[Item],tab_higiene[[#This Row],[Item]],supercb[Bairro],mercado1)</f>
        <v>0</v>
      </c>
      <c r="AL188" s="4">
        <f>SUMIFS(super1[Qtde],super1[Item],tab_higiene[[#This Row],[Item]],super1[Bairro],mercado2)+SUMIFS(supercb[Qtde],supercb[Item],tab_higiene[[#This Row],[Item]],supercb[Bairro],mercado2)</f>
        <v>0</v>
      </c>
      <c r="AM188" s="4">
        <f>SUMIFS(super1[Qtde],super1[Item],tab_higiene[[#This Row],[Item]],super1[Bairro],mercado3)+SUMIFS(supercb[Qtde],supercb[Item],tab_higiene[[#This Row],[Item]],supercb[Bairro],mercado3)</f>
        <v>0</v>
      </c>
      <c r="AN188" s="4">
        <f>SUMIFS(super1[Qtde],super1[Item],tab_higiene[[#This Row],[Item]],super1[Bairro],mercado4)+SUMIFS(supercb[Qtde],supercb[Item],tab_higiene[[#This Row],[Item]],supercb[Bairro],mercado4)</f>
        <v>0</v>
      </c>
      <c r="AO188" s="4">
        <f>SUMIFS(super1[Qtde],super1[Item],tab_higiene[[#This Row],[Item]],super1[Bairro],mercado5)+SUMIFS(supercb[Qtde],supercb[Item],tab_higiene[[#This Row],[Item]],supercb[Bairro],mercado5)</f>
        <v>0</v>
      </c>
      <c r="AP188" s="4">
        <f>SUMIFS(super1[Qtde],super1[Item],tab_higiene[[#This Row],[Item]],super1[Bairro],mercado6)+SUMIFS(supercb[Qtde],supercb[Item],tab_higiene[[#This Row],[Item]],supercb[Bairro],mercado6)</f>
        <v>0</v>
      </c>
      <c r="AQ188" s="4">
        <f>SUMIFS(super1[Qtde],super1[Item],tab_higiene[[#This Row],[Item]],super1[Bairro],mercado7)+SUMIFS(supercb[Qtde],supercb[Item],tab_higiene[[#This Row],[Item]],supercb[Bairro],mercado7)</f>
        <v>0</v>
      </c>
      <c r="AR188" s="4">
        <f>SUMIFS(super1[Qtde],super1[Item],tab_higiene[[#This Row],[Item]],super1[Bairro],mercado8)+SUMIFS(supercb[Qtde],supercb[Item],tab_higiene[[#This Row],[Item]],supercb[Bairro],mercado8)</f>
        <v>0</v>
      </c>
      <c r="AS188" s="4">
        <f>SUMIFS(super1[Qtde],super1[Item],tab_higiene[[#This Row],[Item]],super1[Bairro],mercado9)+SUMIFS(supercb[Qtde],supercb[Item],tab_higiene[[#This Row],[Item]],supercb[Bairro],mercado9)</f>
        <v>0</v>
      </c>
      <c r="AT188" s="4">
        <f>SUMIFS(super1[Qtde],super1[Item],tab_higiene[[#This Row],[Item]],super1[Bairro],mercado10)+SUMIFS(supercb[Qtde],supercb[Item],tab_higiene[[#This Row],[Item]],supercb[Bairro],mercado10)</f>
        <v>0</v>
      </c>
      <c r="AU188" s="4">
        <f>SUMIFS(super1[Qtde],super1[Item],tab_higiene[[#This Row],[Item]],super1[Bairro],mercado11)+SUMIFS(supercb[Qtde],supercb[Item],tab_higiene[[#This Row],[Item]],supercb[Bairro],mercado11)</f>
        <v>0</v>
      </c>
      <c r="AV188" s="4">
        <f>SUMIFS(super1[Qtde],super1[Item],tab_higiene[[#This Row],[Item]],super1[Bairro],mercado12)+SUMIFS(supercb[Qtde],supercb[Item],tab_higiene[[#This Row],[Item]],supercb[Bairro],mercado12)</f>
        <v>0</v>
      </c>
      <c r="AW188" s="4">
        <f>SUMIFS(super1[Qtde],super1[Item],tab_higiene[[#This Row],[Item]],super1[Bairro],mercado13)+SUMIFS(supercb[Qtde],supercb[Item],tab_higiene[[#This Row],[Item]],supercb[Bairro],mercado13)</f>
        <v>0</v>
      </c>
      <c r="AX188" s="4">
        <f>SUMIFS(super1[Qtde],super1[Item],tab_higiene[[#This Row],[Item]],super1[Bairro],mercado14)+SUMIFS(supercb[Qtde],supercb[Item],tab_higiene[[#This Row],[Item]],supercb[Bairro],mercado14)</f>
        <v>0</v>
      </c>
      <c r="AY188" s="4">
        <f>SUMIFS(super1[Qtde],super1[Item],tab_higiene[[#This Row],[Item]],super1[Bairro],mercado15)+SUMIFS(supercb[Qtde],supercb[Item],tab_higiene[[#This Row],[Item]],supercb[Bairro],mercado15)</f>
        <v>0</v>
      </c>
      <c r="AZ188" s="4">
        <f>SUMIFS(super1[Qtde],super1[Item],tab_higiene[[#This Row],[Item]],super1[Bairro],mercado16)+SUMIFS(supercb[Qtde],supercb[Item],tab_higiene[[#This Row],[Item]],supercb[Bairro],mercado16)</f>
        <v>0</v>
      </c>
      <c r="BA188" s="4">
        <f>SUMIFS(super1[Qtde],super1[Item],tab_higiene[[#This Row],[Item]],super1[Bairro],mercado17)+SUMIFS(supercb[Qtde],supercb[Item],tab_higiene[[#This Row],[Item]],supercb[Bairro],mercado17)</f>
        <v>0</v>
      </c>
      <c r="BB188" s="4">
        <f>SUMIFS(super1[Qtde],super1[Item],tab_higiene[[#This Row],[Item]],super1[Bairro],mercado18)+SUMIFS(supercb[Qtde],supercb[Item],tab_higiene[[#This Row],[Item]],supercb[Bairro],mercado18)</f>
        <v>0</v>
      </c>
      <c r="BC188" s="31">
        <f>SUMIFS(super1[Qtde],super1[Item],tab_higiene[[#This Row],[Item]],super1[Bairro],extras)+SUMIFS(supercb[Qtde],supercb[Item],tab_higiene[[#This Row],[Item]],supercb[Bairro],extras)</f>
        <v>0</v>
      </c>
      <c r="BD188" s="9">
        <f t="shared" si="76"/>
        <v>0</v>
      </c>
      <c r="BE188" s="9">
        <f t="shared" si="77"/>
        <v>0</v>
      </c>
      <c r="BF188" s="18">
        <f t="shared" si="78"/>
        <v>0</v>
      </c>
    </row>
    <row r="189" spans="9:58" ht="15.75" thickBot="1" x14ac:dyDescent="0.3">
      <c r="I189" s="19" t="str">
        <f>alimentos[[#This Row],[Item]]</f>
        <v>Doce de Leite (250g)</v>
      </c>
      <c r="J189" s="4">
        <f>IFERROR(alimentos[[#This Row],[kg/embalagem]],0)</f>
        <v>0.25</v>
      </c>
      <c r="K189" s="4">
        <f>IFERROR(alimentos[[#This Row],[Preço]],0)</f>
        <v>11.9</v>
      </c>
      <c r="L189" s="4">
        <f>SUMIFS(super1[Qtde],super1[Item],tab_alimentos[[#This Row],[Item]],super1[Bairro],mercado1)+SUMIFS(supercb[Qtde],supercb[Item],tab_alimentos[[#This Row],[Item]],supercb[Bairro],mercado1)</f>
        <v>0</v>
      </c>
      <c r="M189" s="4">
        <f>SUMIFS(super1[Qtde],super1[Item],tab_alimentos[[#This Row],[Item]],super1[Bairro],mercado2)+SUMIFS(supercb[Qtde],supercb[Item],tab_alimentos[[#This Row],[Item]],supercb[Bairro],mercado2)</f>
        <v>0</v>
      </c>
      <c r="N189" s="4">
        <f>SUMIFS(super1[Qtde],super1[Item],tab_alimentos[[#This Row],[Item]],super1[Bairro],mercado3)+SUMIFS(supercb[Qtde],supercb[Item],tab_alimentos[[#This Row],[Item]],supercb[Bairro],mercado3)</f>
        <v>0</v>
      </c>
      <c r="O189" s="4">
        <f>SUMIFS(super1[Qtde],super1[Item],tab_alimentos[[#This Row],[Item]],super1[Bairro],mercado4)+SUMIFS(supercb[Qtde],supercb[Item],tab_alimentos[[#This Row],[Item]],supercb[Bairro],mercado4)</f>
        <v>0</v>
      </c>
      <c r="P189" s="4">
        <f>SUMIFS(super1[Qtde],super1[Item],tab_alimentos[[#This Row],[Item]],super1[Bairro],mercado5)+SUMIFS(supercb[Qtde],supercb[Item],tab_alimentos[[#This Row],[Item]],supercb[Bairro],mercado5)</f>
        <v>0</v>
      </c>
      <c r="Q189" s="4">
        <f>SUMIFS(super1[Qtde],super1[Item],tab_alimentos[[#This Row],[Item]],super1[Bairro],mercado6)+SUMIFS(supercb[Qtde],supercb[Item],tab_alimentos[[#This Row],[Item]],supercb[Bairro],mercado6)</f>
        <v>0</v>
      </c>
      <c r="R189" s="4">
        <f>SUMIFS(super1[Qtde],super1[Item],tab_alimentos[[#This Row],[Item]],super1[Bairro],mercado7)+SUMIFS(supercb[Qtde],supercb[Item],tab_alimentos[[#This Row],[Item]],supercb[Bairro],mercado7)</f>
        <v>0</v>
      </c>
      <c r="S189" s="4">
        <f>SUMIFS(super1[Qtde],super1[Item],tab_alimentos[[#This Row],[Item]],super1[Bairro],mercado8)+SUMIFS(supercb[Qtde],supercb[Item],tab_alimentos[[#This Row],[Item]],supercb[Bairro],mercado8)</f>
        <v>0</v>
      </c>
      <c r="T189" s="4">
        <f>SUMIFS(super1[Qtde],super1[Item],tab_alimentos[[#This Row],[Item]],super1[Bairro],mercado9)+SUMIFS(supercb[Qtde],supercb[Item],tab_alimentos[[#This Row],[Item]],supercb[Bairro],mercado9)</f>
        <v>0</v>
      </c>
      <c r="U189" s="4">
        <f>SUMIFS(super1[Qtde],super1[Item],tab_alimentos[[#This Row],[Item]],super1[Bairro],mercado10)+SUMIFS(supercb[Qtde],supercb[Item],tab_alimentos[[#This Row],[Item]],supercb[Bairro],mercado10)</f>
        <v>0</v>
      </c>
      <c r="V189" s="4">
        <f>SUMIFS(super1[Qtde],super1[Item],tab_alimentos[[#This Row],[Item]],super1[Bairro],mercado11)+SUMIFS(supercb[Qtde],supercb[Item],tab_alimentos[[#This Row],[Item]],supercb[Bairro],mercado11)</f>
        <v>0</v>
      </c>
      <c r="W189" s="4">
        <f>SUMIFS(super1[Qtde],super1[Item],tab_alimentos[[#This Row],[Item]],super1[Bairro],mercado12)+SUMIFS(supercb[Qtde],supercb[Item],tab_alimentos[[#This Row],[Item]],supercb[Bairro],mercado12)</f>
        <v>0</v>
      </c>
      <c r="X189" s="4">
        <f>SUMIFS(super1[Qtde],super1[Item],tab_alimentos[[#This Row],[Item]],super1[Bairro],mercado13)+SUMIFS(supercb[Qtde],supercb[Item],tab_alimentos[[#This Row],[Item]],supercb[Bairro],mercado13)</f>
        <v>0</v>
      </c>
      <c r="Y189" s="4">
        <f>SUMIFS(super1[Qtde],super1[Item],tab_alimentos[[#This Row],[Item]],super1[Bairro],mercado14)+SUMIFS(supercb[Qtde],supercb[Item],tab_alimentos[[#This Row],[Item]],supercb[Bairro],mercado14)</f>
        <v>0</v>
      </c>
      <c r="Z189" s="4">
        <f>SUMIFS(super1[Qtde],super1[Item],tab_alimentos[[#This Row],[Item]],super1[Bairro],mercado15)+SUMIFS(supercb[Qtde],supercb[Item],tab_alimentos[[#This Row],[Item]],supercb[Bairro],mercado15)</f>
        <v>0</v>
      </c>
      <c r="AA189" s="4">
        <f>SUMIFS(super1[Qtde],super1[Item],tab_alimentos[[#This Row],[Item]],super1[Bairro],mercado16)+SUMIFS(supercb[Qtde],supercb[Item],tab_alimentos[[#This Row],[Item]],supercb[Bairro],mercado16)</f>
        <v>0</v>
      </c>
      <c r="AB189" s="4">
        <f>SUMIFS(super1[Qtde],super1[Item],tab_alimentos[[#This Row],[Item]],super1[Bairro],mercado17)+SUMIFS(supercb[Qtde],supercb[Item],tab_alimentos[[#This Row],[Item]],supercb[Bairro],mercado17)</f>
        <v>0</v>
      </c>
      <c r="AC189" s="4">
        <f>SUMIFS(super1[Qtde],super1[Item],tab_alimentos[[#This Row],[Item]],super1[Bairro],mercado18)+SUMIFS(supercb[Qtde],supercb[Item],tab_alimentos[[#This Row],[Item]],supercb[Bairro],mercado18)</f>
        <v>0</v>
      </c>
      <c r="AD189" s="4">
        <f>SUMIFS(super1[Qtde],super1[Item],tab_alimentos[[#This Row],[Item]],super1[Bairro],extras)+SUMIFS(supercb[Qtde],supercb[Item],tab_alimentos[[#This Row],[Item]],supercb[Bairro],extras)</f>
        <v>0</v>
      </c>
      <c r="AE189" s="4">
        <f t="shared" si="67"/>
        <v>0</v>
      </c>
      <c r="AF189" s="4">
        <f t="shared" si="68"/>
        <v>0</v>
      </c>
      <c r="AG189" s="6">
        <f t="shared" si="69"/>
        <v>0</v>
      </c>
      <c r="AH189" s="13" t="str">
        <f>higiene[[#This Row],[Item]]</f>
        <v>Pasta de Dente (140g)</v>
      </c>
      <c r="AI189" s="9">
        <f>IFERROR(higiene[[#This Row],[Kg equivalente]],0)</f>
        <v>0</v>
      </c>
      <c r="AJ189" s="9">
        <f>IFERROR(higiene[[#This Row],[Preço por produto]],0)</f>
        <v>9.9700000000000006</v>
      </c>
      <c r="AK189" s="4">
        <f>SUMIFS(super1[Qtde],super1[Item],tab_higiene[[#This Row],[Item]],super1[Bairro],mercado1)+SUMIFS(supercb[Qtde],supercb[Item],tab_higiene[[#This Row],[Item]],supercb[Bairro],mercado1)</f>
        <v>0</v>
      </c>
      <c r="AL189" s="4">
        <f>SUMIFS(super1[Qtde],super1[Item],tab_higiene[[#This Row],[Item]],super1[Bairro],mercado2)+SUMIFS(supercb[Qtde],supercb[Item],tab_higiene[[#This Row],[Item]],supercb[Bairro],mercado2)</f>
        <v>0</v>
      </c>
      <c r="AM189" s="4">
        <f>SUMIFS(super1[Qtde],super1[Item],tab_higiene[[#This Row],[Item]],super1[Bairro],mercado3)+SUMIFS(supercb[Qtde],supercb[Item],tab_higiene[[#This Row],[Item]],supercb[Bairro],mercado3)</f>
        <v>0</v>
      </c>
      <c r="AN189" s="4">
        <f>SUMIFS(super1[Qtde],super1[Item],tab_higiene[[#This Row],[Item]],super1[Bairro],mercado4)+SUMIFS(supercb[Qtde],supercb[Item],tab_higiene[[#This Row],[Item]],supercb[Bairro],mercado4)</f>
        <v>0</v>
      </c>
      <c r="AO189" s="4">
        <f>SUMIFS(super1[Qtde],super1[Item],tab_higiene[[#This Row],[Item]],super1[Bairro],mercado5)+SUMIFS(supercb[Qtde],supercb[Item],tab_higiene[[#This Row],[Item]],supercb[Bairro],mercado5)</f>
        <v>0</v>
      </c>
      <c r="AP189" s="4">
        <f>SUMIFS(super1[Qtde],super1[Item],tab_higiene[[#This Row],[Item]],super1[Bairro],mercado6)+SUMIFS(supercb[Qtde],supercb[Item],tab_higiene[[#This Row],[Item]],supercb[Bairro],mercado6)</f>
        <v>0</v>
      </c>
      <c r="AQ189" s="4">
        <f>SUMIFS(super1[Qtde],super1[Item],tab_higiene[[#This Row],[Item]],super1[Bairro],mercado7)+SUMIFS(supercb[Qtde],supercb[Item],tab_higiene[[#This Row],[Item]],supercb[Bairro],mercado7)</f>
        <v>0</v>
      </c>
      <c r="AR189" s="4">
        <f>SUMIFS(super1[Qtde],super1[Item],tab_higiene[[#This Row],[Item]],super1[Bairro],mercado8)+SUMIFS(supercb[Qtde],supercb[Item],tab_higiene[[#This Row],[Item]],supercb[Bairro],mercado8)</f>
        <v>0</v>
      </c>
      <c r="AS189" s="4">
        <f>SUMIFS(super1[Qtde],super1[Item],tab_higiene[[#This Row],[Item]],super1[Bairro],mercado9)+SUMIFS(supercb[Qtde],supercb[Item],tab_higiene[[#This Row],[Item]],supercb[Bairro],mercado9)</f>
        <v>0</v>
      </c>
      <c r="AT189" s="4">
        <f>SUMIFS(super1[Qtde],super1[Item],tab_higiene[[#This Row],[Item]],super1[Bairro],mercado10)+SUMIFS(supercb[Qtde],supercb[Item],tab_higiene[[#This Row],[Item]],supercb[Bairro],mercado10)</f>
        <v>0</v>
      </c>
      <c r="AU189" s="4">
        <f>SUMIFS(super1[Qtde],super1[Item],tab_higiene[[#This Row],[Item]],super1[Bairro],mercado11)+SUMIFS(supercb[Qtde],supercb[Item],tab_higiene[[#This Row],[Item]],supercb[Bairro],mercado11)</f>
        <v>0</v>
      </c>
      <c r="AV189" s="4">
        <f>SUMIFS(super1[Qtde],super1[Item],tab_higiene[[#This Row],[Item]],super1[Bairro],mercado12)+SUMIFS(supercb[Qtde],supercb[Item],tab_higiene[[#This Row],[Item]],supercb[Bairro],mercado12)</f>
        <v>0</v>
      </c>
      <c r="AW189" s="4">
        <f>SUMIFS(super1[Qtde],super1[Item],tab_higiene[[#This Row],[Item]],super1[Bairro],mercado13)+SUMIFS(supercb[Qtde],supercb[Item],tab_higiene[[#This Row],[Item]],supercb[Bairro],mercado13)</f>
        <v>0</v>
      </c>
      <c r="AX189" s="4">
        <f>SUMIFS(super1[Qtde],super1[Item],tab_higiene[[#This Row],[Item]],super1[Bairro],mercado14)+SUMIFS(supercb[Qtde],supercb[Item],tab_higiene[[#This Row],[Item]],supercb[Bairro],mercado14)</f>
        <v>0</v>
      </c>
      <c r="AY189" s="4">
        <f>SUMIFS(super1[Qtde],super1[Item],tab_higiene[[#This Row],[Item]],super1[Bairro],mercado15)+SUMIFS(supercb[Qtde],supercb[Item],tab_higiene[[#This Row],[Item]],supercb[Bairro],mercado15)</f>
        <v>0</v>
      </c>
      <c r="AZ189" s="4">
        <f>SUMIFS(super1[Qtde],super1[Item],tab_higiene[[#This Row],[Item]],super1[Bairro],mercado16)+SUMIFS(supercb[Qtde],supercb[Item],tab_higiene[[#This Row],[Item]],supercb[Bairro],mercado16)</f>
        <v>0</v>
      </c>
      <c r="BA189" s="4">
        <f>SUMIFS(super1[Qtde],super1[Item],tab_higiene[[#This Row],[Item]],super1[Bairro],mercado17)+SUMIFS(supercb[Qtde],supercb[Item],tab_higiene[[#This Row],[Item]],supercb[Bairro],mercado17)</f>
        <v>0</v>
      </c>
      <c r="BB189" s="4">
        <f>SUMIFS(super1[Qtde],super1[Item],tab_higiene[[#This Row],[Item]],super1[Bairro],mercado18)+SUMIFS(supercb[Qtde],supercb[Item],tab_higiene[[#This Row],[Item]],supercb[Bairro],mercado18)</f>
        <v>0</v>
      </c>
      <c r="BC189" s="31">
        <f>SUMIFS(super1[Qtde],super1[Item],tab_higiene[[#This Row],[Item]],super1[Bairro],extras)+SUMIFS(supercb[Qtde],supercb[Item],tab_higiene[[#This Row],[Item]],supercb[Bairro],extras)</f>
        <v>0</v>
      </c>
      <c r="BD189" s="9">
        <f t="shared" si="76"/>
        <v>0</v>
      </c>
      <c r="BE189" s="9">
        <f t="shared" si="77"/>
        <v>0</v>
      </c>
      <c r="BF189" s="18">
        <f t="shared" si="78"/>
        <v>0</v>
      </c>
    </row>
    <row r="190" spans="9:58" ht="15.75" thickBot="1" x14ac:dyDescent="0.3">
      <c r="I190" s="19" t="str">
        <f>alimentos[[#This Row],[Item]]</f>
        <v>Doce de Leite (300g)</v>
      </c>
      <c r="J190" s="4">
        <f>IFERROR(alimentos[[#This Row],[kg/embalagem]],0)</f>
        <v>0.3</v>
      </c>
      <c r="K190" s="4">
        <f>IFERROR(alimentos[[#This Row],[Preço]],0)</f>
        <v>8.5</v>
      </c>
      <c r="L190" s="4">
        <f>SUMIFS(super1[Qtde],super1[Item],tab_alimentos[[#This Row],[Item]],super1[Bairro],mercado1)+SUMIFS(supercb[Qtde],supercb[Item],tab_alimentos[[#This Row],[Item]],supercb[Bairro],mercado1)</f>
        <v>0</v>
      </c>
      <c r="M190" s="4">
        <f>SUMIFS(super1[Qtde],super1[Item],tab_alimentos[[#This Row],[Item]],super1[Bairro],mercado2)+SUMIFS(supercb[Qtde],supercb[Item],tab_alimentos[[#This Row],[Item]],supercb[Bairro],mercado2)</f>
        <v>0</v>
      </c>
      <c r="N190" s="4">
        <f>SUMIFS(super1[Qtde],super1[Item],tab_alimentos[[#This Row],[Item]],super1[Bairro],mercado3)+SUMIFS(supercb[Qtde],supercb[Item],tab_alimentos[[#This Row],[Item]],supercb[Bairro],mercado3)</f>
        <v>0</v>
      </c>
      <c r="O190" s="4">
        <f>SUMIFS(super1[Qtde],super1[Item],tab_alimentos[[#This Row],[Item]],super1[Bairro],mercado4)+SUMIFS(supercb[Qtde],supercb[Item],tab_alimentos[[#This Row],[Item]],supercb[Bairro],mercado4)</f>
        <v>0</v>
      </c>
      <c r="P190" s="4">
        <f>SUMIFS(super1[Qtde],super1[Item],tab_alimentos[[#This Row],[Item]],super1[Bairro],mercado5)+SUMIFS(supercb[Qtde],supercb[Item],tab_alimentos[[#This Row],[Item]],supercb[Bairro],mercado5)</f>
        <v>0</v>
      </c>
      <c r="Q190" s="4">
        <f>SUMIFS(super1[Qtde],super1[Item],tab_alimentos[[#This Row],[Item]],super1[Bairro],mercado6)+SUMIFS(supercb[Qtde],supercb[Item],tab_alimentos[[#This Row],[Item]],supercb[Bairro],mercado6)</f>
        <v>0</v>
      </c>
      <c r="R190" s="4">
        <f>SUMIFS(super1[Qtde],super1[Item],tab_alimentos[[#This Row],[Item]],super1[Bairro],mercado7)+SUMIFS(supercb[Qtde],supercb[Item],tab_alimentos[[#This Row],[Item]],supercb[Bairro],mercado7)</f>
        <v>0</v>
      </c>
      <c r="S190" s="4">
        <f>SUMIFS(super1[Qtde],super1[Item],tab_alimentos[[#This Row],[Item]],super1[Bairro],mercado8)+SUMIFS(supercb[Qtde],supercb[Item],tab_alimentos[[#This Row],[Item]],supercb[Bairro],mercado8)</f>
        <v>0</v>
      </c>
      <c r="T190" s="4">
        <f>SUMIFS(super1[Qtde],super1[Item],tab_alimentos[[#This Row],[Item]],super1[Bairro],mercado9)+SUMIFS(supercb[Qtde],supercb[Item],tab_alimentos[[#This Row],[Item]],supercb[Bairro],mercado9)</f>
        <v>0</v>
      </c>
      <c r="U190" s="4">
        <f>SUMIFS(super1[Qtde],super1[Item],tab_alimentos[[#This Row],[Item]],super1[Bairro],mercado10)+SUMIFS(supercb[Qtde],supercb[Item],tab_alimentos[[#This Row],[Item]],supercb[Bairro],mercado10)</f>
        <v>0</v>
      </c>
      <c r="V190" s="4">
        <f>SUMIFS(super1[Qtde],super1[Item],tab_alimentos[[#This Row],[Item]],super1[Bairro],mercado11)+SUMIFS(supercb[Qtde],supercb[Item],tab_alimentos[[#This Row],[Item]],supercb[Bairro],mercado11)</f>
        <v>0</v>
      </c>
      <c r="W190" s="4">
        <f>SUMIFS(super1[Qtde],super1[Item],tab_alimentos[[#This Row],[Item]],super1[Bairro],mercado12)+SUMIFS(supercb[Qtde],supercb[Item],tab_alimentos[[#This Row],[Item]],supercb[Bairro],mercado12)</f>
        <v>0</v>
      </c>
      <c r="X190" s="4">
        <f>SUMIFS(super1[Qtde],super1[Item],tab_alimentos[[#This Row],[Item]],super1[Bairro],mercado13)+SUMIFS(supercb[Qtde],supercb[Item],tab_alimentos[[#This Row],[Item]],supercb[Bairro],mercado13)</f>
        <v>0</v>
      </c>
      <c r="Y190" s="4">
        <f>SUMIFS(super1[Qtde],super1[Item],tab_alimentos[[#This Row],[Item]],super1[Bairro],mercado14)+SUMIFS(supercb[Qtde],supercb[Item],tab_alimentos[[#This Row],[Item]],supercb[Bairro],mercado14)</f>
        <v>0</v>
      </c>
      <c r="Z190" s="4">
        <f>SUMIFS(super1[Qtde],super1[Item],tab_alimentos[[#This Row],[Item]],super1[Bairro],mercado15)+SUMIFS(supercb[Qtde],supercb[Item],tab_alimentos[[#This Row],[Item]],supercb[Bairro],mercado15)</f>
        <v>0</v>
      </c>
      <c r="AA190" s="4">
        <f>SUMIFS(super1[Qtde],super1[Item],tab_alimentos[[#This Row],[Item]],super1[Bairro],mercado16)+SUMIFS(supercb[Qtde],supercb[Item],tab_alimentos[[#This Row],[Item]],supercb[Bairro],mercado16)</f>
        <v>0</v>
      </c>
      <c r="AB190" s="4">
        <f>SUMIFS(super1[Qtde],super1[Item],tab_alimentos[[#This Row],[Item]],super1[Bairro],mercado17)+SUMIFS(supercb[Qtde],supercb[Item],tab_alimentos[[#This Row],[Item]],supercb[Bairro],mercado17)</f>
        <v>0</v>
      </c>
      <c r="AC190" s="4">
        <f>SUMIFS(super1[Qtde],super1[Item],tab_alimentos[[#This Row],[Item]],super1[Bairro],mercado18)+SUMIFS(supercb[Qtde],supercb[Item],tab_alimentos[[#This Row],[Item]],supercb[Bairro],mercado18)</f>
        <v>0</v>
      </c>
      <c r="AD190" s="4">
        <f>SUMIFS(super1[Qtde],super1[Item],tab_alimentos[[#This Row],[Item]],super1[Bairro],extras)+SUMIFS(supercb[Qtde],supercb[Item],tab_alimentos[[#This Row],[Item]],supercb[Bairro],extras)</f>
        <v>0</v>
      </c>
      <c r="AE190" s="4">
        <f t="shared" si="67"/>
        <v>0</v>
      </c>
      <c r="AF190" s="4">
        <f t="shared" si="68"/>
        <v>0</v>
      </c>
      <c r="AG190" s="6">
        <f t="shared" si="69"/>
        <v>0</v>
      </c>
      <c r="AH190" s="13" t="str">
        <f>higiene[[#This Row],[Item]]</f>
        <v>Pasta de Dente (180g)</v>
      </c>
      <c r="AI190" s="9">
        <f>IFERROR(higiene[[#This Row],[Kg equivalente]],0)</f>
        <v>0</v>
      </c>
      <c r="AJ190" s="9">
        <f>IFERROR(higiene[[#This Row],[Preço por produto]],0)</f>
        <v>4.47</v>
      </c>
      <c r="AK190" s="4">
        <f>SUMIFS(super1[Qtde],super1[Item],tab_higiene[[#This Row],[Item]],super1[Bairro],mercado1)+SUMIFS(supercb[Qtde],supercb[Item],tab_higiene[[#This Row],[Item]],supercb[Bairro],mercado1)</f>
        <v>0</v>
      </c>
      <c r="AL190" s="4">
        <f>SUMIFS(super1[Qtde],super1[Item],tab_higiene[[#This Row],[Item]],super1[Bairro],mercado2)+SUMIFS(supercb[Qtde],supercb[Item],tab_higiene[[#This Row],[Item]],supercb[Bairro],mercado2)</f>
        <v>0</v>
      </c>
      <c r="AM190" s="4">
        <f>SUMIFS(super1[Qtde],super1[Item],tab_higiene[[#This Row],[Item]],super1[Bairro],mercado3)+SUMIFS(supercb[Qtde],supercb[Item],tab_higiene[[#This Row],[Item]],supercb[Bairro],mercado3)</f>
        <v>0</v>
      </c>
      <c r="AN190" s="4">
        <f>SUMIFS(super1[Qtde],super1[Item],tab_higiene[[#This Row],[Item]],super1[Bairro],mercado4)+SUMIFS(supercb[Qtde],supercb[Item],tab_higiene[[#This Row],[Item]],supercb[Bairro],mercado4)</f>
        <v>0</v>
      </c>
      <c r="AO190" s="4">
        <f>SUMIFS(super1[Qtde],super1[Item],tab_higiene[[#This Row],[Item]],super1[Bairro],mercado5)+SUMIFS(supercb[Qtde],supercb[Item],tab_higiene[[#This Row],[Item]],supercb[Bairro],mercado5)</f>
        <v>0</v>
      </c>
      <c r="AP190" s="4">
        <f>SUMIFS(super1[Qtde],super1[Item],tab_higiene[[#This Row],[Item]],super1[Bairro],mercado6)+SUMIFS(supercb[Qtde],supercb[Item],tab_higiene[[#This Row],[Item]],supercb[Bairro],mercado6)</f>
        <v>0</v>
      </c>
      <c r="AQ190" s="4">
        <f>SUMIFS(super1[Qtde],super1[Item],tab_higiene[[#This Row],[Item]],super1[Bairro],mercado7)+SUMIFS(supercb[Qtde],supercb[Item],tab_higiene[[#This Row],[Item]],supercb[Bairro],mercado7)</f>
        <v>0</v>
      </c>
      <c r="AR190" s="4">
        <f>SUMIFS(super1[Qtde],super1[Item],tab_higiene[[#This Row],[Item]],super1[Bairro],mercado8)+SUMIFS(supercb[Qtde],supercb[Item],tab_higiene[[#This Row],[Item]],supercb[Bairro],mercado8)</f>
        <v>0</v>
      </c>
      <c r="AS190" s="4">
        <f>SUMIFS(super1[Qtde],super1[Item],tab_higiene[[#This Row],[Item]],super1[Bairro],mercado9)+SUMIFS(supercb[Qtde],supercb[Item],tab_higiene[[#This Row],[Item]],supercb[Bairro],mercado9)</f>
        <v>0</v>
      </c>
      <c r="AT190" s="4">
        <f>SUMIFS(super1[Qtde],super1[Item],tab_higiene[[#This Row],[Item]],super1[Bairro],mercado10)+SUMIFS(supercb[Qtde],supercb[Item],tab_higiene[[#This Row],[Item]],supercb[Bairro],mercado10)</f>
        <v>0</v>
      </c>
      <c r="AU190" s="4">
        <f>SUMIFS(super1[Qtde],super1[Item],tab_higiene[[#This Row],[Item]],super1[Bairro],mercado11)+SUMIFS(supercb[Qtde],supercb[Item],tab_higiene[[#This Row],[Item]],supercb[Bairro],mercado11)</f>
        <v>0</v>
      </c>
      <c r="AV190" s="4">
        <f>SUMIFS(super1[Qtde],super1[Item],tab_higiene[[#This Row],[Item]],super1[Bairro],mercado12)+SUMIFS(supercb[Qtde],supercb[Item],tab_higiene[[#This Row],[Item]],supercb[Bairro],mercado12)</f>
        <v>0</v>
      </c>
      <c r="AW190" s="4">
        <f>SUMIFS(super1[Qtde],super1[Item],tab_higiene[[#This Row],[Item]],super1[Bairro],mercado13)+SUMIFS(supercb[Qtde],supercb[Item],tab_higiene[[#This Row],[Item]],supercb[Bairro],mercado13)</f>
        <v>0</v>
      </c>
      <c r="AX190" s="4">
        <f>SUMIFS(super1[Qtde],super1[Item],tab_higiene[[#This Row],[Item]],super1[Bairro],mercado14)+SUMIFS(supercb[Qtde],supercb[Item],tab_higiene[[#This Row],[Item]],supercb[Bairro],mercado14)</f>
        <v>0</v>
      </c>
      <c r="AY190" s="4">
        <f>SUMIFS(super1[Qtde],super1[Item],tab_higiene[[#This Row],[Item]],super1[Bairro],mercado15)+SUMIFS(supercb[Qtde],supercb[Item],tab_higiene[[#This Row],[Item]],supercb[Bairro],mercado15)</f>
        <v>0</v>
      </c>
      <c r="AZ190" s="4">
        <f>SUMIFS(super1[Qtde],super1[Item],tab_higiene[[#This Row],[Item]],super1[Bairro],mercado16)+SUMIFS(supercb[Qtde],supercb[Item],tab_higiene[[#This Row],[Item]],supercb[Bairro],mercado16)</f>
        <v>0</v>
      </c>
      <c r="BA190" s="4">
        <f>SUMIFS(super1[Qtde],super1[Item],tab_higiene[[#This Row],[Item]],super1[Bairro],mercado17)+SUMIFS(supercb[Qtde],supercb[Item],tab_higiene[[#This Row],[Item]],supercb[Bairro],mercado17)</f>
        <v>0</v>
      </c>
      <c r="BB190" s="4">
        <f>SUMIFS(super1[Qtde],super1[Item],tab_higiene[[#This Row],[Item]],super1[Bairro],mercado18)+SUMIFS(supercb[Qtde],supercb[Item],tab_higiene[[#This Row],[Item]],supercb[Bairro],mercado18)</f>
        <v>0</v>
      </c>
      <c r="BC190" s="31">
        <f>SUMIFS(super1[Qtde],super1[Item],tab_higiene[[#This Row],[Item]],super1[Bairro],extras)+SUMIFS(supercb[Qtde],supercb[Item],tab_higiene[[#This Row],[Item]],supercb[Bairro],extras)</f>
        <v>0</v>
      </c>
      <c r="BD190" s="9">
        <f t="shared" si="76"/>
        <v>0</v>
      </c>
      <c r="BE190" s="9">
        <f t="shared" si="77"/>
        <v>0</v>
      </c>
      <c r="BF190" s="18">
        <f t="shared" si="78"/>
        <v>0</v>
      </c>
    </row>
    <row r="191" spans="9:58" ht="15.75" thickBot="1" x14ac:dyDescent="0.3">
      <c r="I191" s="19" t="str">
        <f>alimentos[[#This Row],[Item]]</f>
        <v>Doce de Leite (400g)</v>
      </c>
      <c r="J191" s="4">
        <f>IFERROR(alimentos[[#This Row],[kg/embalagem]],0)</f>
        <v>0.4</v>
      </c>
      <c r="K191" s="4">
        <f>IFERROR(alimentos[[#This Row],[Preço]],0)</f>
        <v>12.99</v>
      </c>
      <c r="L191" s="4">
        <f>SUMIFS(super1[Qtde],super1[Item],tab_alimentos[[#This Row],[Item]],super1[Bairro],mercado1)+SUMIFS(supercb[Qtde],supercb[Item],tab_alimentos[[#This Row],[Item]],supercb[Bairro],mercado1)</f>
        <v>0</v>
      </c>
      <c r="M191" s="4">
        <f>SUMIFS(super1[Qtde],super1[Item],tab_alimentos[[#This Row],[Item]],super1[Bairro],mercado2)+SUMIFS(supercb[Qtde],supercb[Item],tab_alimentos[[#This Row],[Item]],supercb[Bairro],mercado2)</f>
        <v>0</v>
      </c>
      <c r="N191" s="4">
        <f>SUMIFS(super1[Qtde],super1[Item],tab_alimentos[[#This Row],[Item]],super1[Bairro],mercado3)+SUMIFS(supercb[Qtde],supercb[Item],tab_alimentos[[#This Row],[Item]],supercb[Bairro],mercado3)</f>
        <v>0</v>
      </c>
      <c r="O191" s="4">
        <f>SUMIFS(super1[Qtde],super1[Item],tab_alimentos[[#This Row],[Item]],super1[Bairro],mercado4)+SUMIFS(supercb[Qtde],supercb[Item],tab_alimentos[[#This Row],[Item]],supercb[Bairro],mercado4)</f>
        <v>0</v>
      </c>
      <c r="P191" s="4">
        <f>SUMIFS(super1[Qtde],super1[Item],tab_alimentos[[#This Row],[Item]],super1[Bairro],mercado5)+SUMIFS(supercb[Qtde],supercb[Item],tab_alimentos[[#This Row],[Item]],supercb[Bairro],mercado5)</f>
        <v>0</v>
      </c>
      <c r="Q191" s="4">
        <f>SUMIFS(super1[Qtde],super1[Item],tab_alimentos[[#This Row],[Item]],super1[Bairro],mercado6)+SUMIFS(supercb[Qtde],supercb[Item],tab_alimentos[[#This Row],[Item]],supercb[Bairro],mercado6)</f>
        <v>0</v>
      </c>
      <c r="R191" s="4">
        <f>SUMIFS(super1[Qtde],super1[Item],tab_alimentos[[#This Row],[Item]],super1[Bairro],mercado7)+SUMIFS(supercb[Qtde],supercb[Item],tab_alimentos[[#This Row],[Item]],supercb[Bairro],mercado7)</f>
        <v>0</v>
      </c>
      <c r="S191" s="4">
        <f>SUMIFS(super1[Qtde],super1[Item],tab_alimentos[[#This Row],[Item]],super1[Bairro],mercado8)+SUMIFS(supercb[Qtde],supercb[Item],tab_alimentos[[#This Row],[Item]],supercb[Bairro],mercado8)</f>
        <v>0</v>
      </c>
      <c r="T191" s="4">
        <f>SUMIFS(super1[Qtde],super1[Item],tab_alimentos[[#This Row],[Item]],super1[Bairro],mercado9)+SUMIFS(supercb[Qtde],supercb[Item],tab_alimentos[[#This Row],[Item]],supercb[Bairro],mercado9)</f>
        <v>0</v>
      </c>
      <c r="U191" s="4">
        <f>SUMIFS(super1[Qtde],super1[Item],tab_alimentos[[#This Row],[Item]],super1[Bairro],mercado10)+SUMIFS(supercb[Qtde],supercb[Item],tab_alimentos[[#This Row],[Item]],supercb[Bairro],mercado10)</f>
        <v>0</v>
      </c>
      <c r="V191" s="4">
        <f>SUMIFS(super1[Qtde],super1[Item],tab_alimentos[[#This Row],[Item]],super1[Bairro],mercado11)+SUMIFS(supercb[Qtde],supercb[Item],tab_alimentos[[#This Row],[Item]],supercb[Bairro],mercado11)</f>
        <v>0</v>
      </c>
      <c r="W191" s="4">
        <f>SUMIFS(super1[Qtde],super1[Item],tab_alimentos[[#This Row],[Item]],super1[Bairro],mercado12)+SUMIFS(supercb[Qtde],supercb[Item],tab_alimentos[[#This Row],[Item]],supercb[Bairro],mercado12)</f>
        <v>0</v>
      </c>
      <c r="X191" s="4">
        <f>SUMIFS(super1[Qtde],super1[Item],tab_alimentos[[#This Row],[Item]],super1[Bairro],mercado13)+SUMIFS(supercb[Qtde],supercb[Item],tab_alimentos[[#This Row],[Item]],supercb[Bairro],mercado13)</f>
        <v>0</v>
      </c>
      <c r="Y191" s="4">
        <f>SUMIFS(super1[Qtde],super1[Item],tab_alimentos[[#This Row],[Item]],super1[Bairro],mercado14)+SUMIFS(supercb[Qtde],supercb[Item],tab_alimentos[[#This Row],[Item]],supercb[Bairro],mercado14)</f>
        <v>0</v>
      </c>
      <c r="Z191" s="4">
        <f>SUMIFS(super1[Qtde],super1[Item],tab_alimentos[[#This Row],[Item]],super1[Bairro],mercado15)+SUMIFS(supercb[Qtde],supercb[Item],tab_alimentos[[#This Row],[Item]],supercb[Bairro],mercado15)</f>
        <v>0</v>
      </c>
      <c r="AA191" s="4">
        <f>SUMIFS(super1[Qtde],super1[Item],tab_alimentos[[#This Row],[Item]],super1[Bairro],mercado16)+SUMIFS(supercb[Qtde],supercb[Item],tab_alimentos[[#This Row],[Item]],supercb[Bairro],mercado16)</f>
        <v>0</v>
      </c>
      <c r="AB191" s="4">
        <f>SUMIFS(super1[Qtde],super1[Item],tab_alimentos[[#This Row],[Item]],super1[Bairro],mercado17)+SUMIFS(supercb[Qtde],supercb[Item],tab_alimentos[[#This Row],[Item]],supercb[Bairro],mercado17)</f>
        <v>0</v>
      </c>
      <c r="AC191" s="4">
        <f>SUMIFS(super1[Qtde],super1[Item],tab_alimentos[[#This Row],[Item]],super1[Bairro],mercado18)+SUMIFS(supercb[Qtde],supercb[Item],tab_alimentos[[#This Row],[Item]],supercb[Bairro],mercado18)</f>
        <v>0</v>
      </c>
      <c r="AD191" s="4">
        <f>SUMIFS(super1[Qtde],super1[Item],tab_alimentos[[#This Row],[Item]],super1[Bairro],extras)+SUMIFS(supercb[Qtde],supercb[Item],tab_alimentos[[#This Row],[Item]],supercb[Bairro],extras)</f>
        <v>0</v>
      </c>
      <c r="AE191" s="4">
        <f t="shared" si="67"/>
        <v>0</v>
      </c>
      <c r="AF191" s="4">
        <f t="shared" si="68"/>
        <v>0</v>
      </c>
      <c r="AG191" s="6">
        <f t="shared" si="69"/>
        <v>0</v>
      </c>
      <c r="AH191" s="13" t="str">
        <f>higiene[[#This Row],[Item]]</f>
        <v>Pasta de Dente (30g)</v>
      </c>
      <c r="AI191" s="9">
        <f>IFERROR(higiene[[#This Row],[Kg equivalente]],0)</f>
        <v>0</v>
      </c>
      <c r="AJ191" s="9">
        <f>IFERROR(higiene[[#This Row],[Preço por produto]],0)</f>
        <v>1.0900000000000001</v>
      </c>
      <c r="AK191" s="4">
        <f>SUMIFS(super1[Qtde],super1[Item],tab_higiene[[#This Row],[Item]],super1[Bairro],mercado1)+SUMIFS(supercb[Qtde],supercb[Item],tab_higiene[[#This Row],[Item]],supercb[Bairro],mercado1)</f>
        <v>0</v>
      </c>
      <c r="AL191" s="4">
        <f>SUMIFS(super1[Qtde],super1[Item],tab_higiene[[#This Row],[Item]],super1[Bairro],mercado2)+SUMIFS(supercb[Qtde],supercb[Item],tab_higiene[[#This Row],[Item]],supercb[Bairro],mercado2)</f>
        <v>0</v>
      </c>
      <c r="AM191" s="4">
        <f>SUMIFS(super1[Qtde],super1[Item],tab_higiene[[#This Row],[Item]],super1[Bairro],mercado3)+SUMIFS(supercb[Qtde],supercb[Item],tab_higiene[[#This Row],[Item]],supercb[Bairro],mercado3)</f>
        <v>0</v>
      </c>
      <c r="AN191" s="4">
        <f>SUMIFS(super1[Qtde],super1[Item],tab_higiene[[#This Row],[Item]],super1[Bairro],mercado4)+SUMIFS(supercb[Qtde],supercb[Item],tab_higiene[[#This Row],[Item]],supercb[Bairro],mercado4)</f>
        <v>0</v>
      </c>
      <c r="AO191" s="4">
        <f>SUMIFS(super1[Qtde],super1[Item],tab_higiene[[#This Row],[Item]],super1[Bairro],mercado5)+SUMIFS(supercb[Qtde],supercb[Item],tab_higiene[[#This Row],[Item]],supercb[Bairro],mercado5)</f>
        <v>0</v>
      </c>
      <c r="AP191" s="4">
        <f>SUMIFS(super1[Qtde],super1[Item],tab_higiene[[#This Row],[Item]],super1[Bairro],mercado6)+SUMIFS(supercb[Qtde],supercb[Item],tab_higiene[[#This Row],[Item]],supercb[Bairro],mercado6)</f>
        <v>0</v>
      </c>
      <c r="AQ191" s="4">
        <f>SUMIFS(super1[Qtde],super1[Item],tab_higiene[[#This Row],[Item]],super1[Bairro],mercado7)+SUMIFS(supercb[Qtde],supercb[Item],tab_higiene[[#This Row],[Item]],supercb[Bairro],mercado7)</f>
        <v>0</v>
      </c>
      <c r="AR191" s="4">
        <f>SUMIFS(super1[Qtde],super1[Item],tab_higiene[[#This Row],[Item]],super1[Bairro],mercado8)+SUMIFS(supercb[Qtde],supercb[Item],tab_higiene[[#This Row],[Item]],supercb[Bairro],mercado8)</f>
        <v>0</v>
      </c>
      <c r="AS191" s="4">
        <f>SUMIFS(super1[Qtde],super1[Item],tab_higiene[[#This Row],[Item]],super1[Bairro],mercado9)+SUMIFS(supercb[Qtde],supercb[Item],tab_higiene[[#This Row],[Item]],supercb[Bairro],mercado9)</f>
        <v>0</v>
      </c>
      <c r="AT191" s="4">
        <f>SUMIFS(super1[Qtde],super1[Item],tab_higiene[[#This Row],[Item]],super1[Bairro],mercado10)+SUMIFS(supercb[Qtde],supercb[Item],tab_higiene[[#This Row],[Item]],supercb[Bairro],mercado10)</f>
        <v>0</v>
      </c>
      <c r="AU191" s="4">
        <f>SUMIFS(super1[Qtde],super1[Item],tab_higiene[[#This Row],[Item]],super1[Bairro],mercado11)+SUMIFS(supercb[Qtde],supercb[Item],tab_higiene[[#This Row],[Item]],supercb[Bairro],mercado11)</f>
        <v>0</v>
      </c>
      <c r="AV191" s="4">
        <f>SUMIFS(super1[Qtde],super1[Item],tab_higiene[[#This Row],[Item]],super1[Bairro],mercado12)+SUMIFS(supercb[Qtde],supercb[Item],tab_higiene[[#This Row],[Item]],supercb[Bairro],mercado12)</f>
        <v>0</v>
      </c>
      <c r="AW191" s="4">
        <f>SUMIFS(super1[Qtde],super1[Item],tab_higiene[[#This Row],[Item]],super1[Bairro],mercado13)+SUMIFS(supercb[Qtde],supercb[Item],tab_higiene[[#This Row],[Item]],supercb[Bairro],mercado13)</f>
        <v>0</v>
      </c>
      <c r="AX191" s="4">
        <f>SUMIFS(super1[Qtde],super1[Item],tab_higiene[[#This Row],[Item]],super1[Bairro],mercado14)+SUMIFS(supercb[Qtde],supercb[Item],tab_higiene[[#This Row],[Item]],supercb[Bairro],mercado14)</f>
        <v>0</v>
      </c>
      <c r="AY191" s="4">
        <f>SUMIFS(super1[Qtde],super1[Item],tab_higiene[[#This Row],[Item]],super1[Bairro],mercado15)+SUMIFS(supercb[Qtde],supercb[Item],tab_higiene[[#This Row],[Item]],supercb[Bairro],mercado15)</f>
        <v>0</v>
      </c>
      <c r="AZ191" s="4">
        <f>SUMIFS(super1[Qtde],super1[Item],tab_higiene[[#This Row],[Item]],super1[Bairro],mercado16)+SUMIFS(supercb[Qtde],supercb[Item],tab_higiene[[#This Row],[Item]],supercb[Bairro],mercado16)</f>
        <v>0</v>
      </c>
      <c r="BA191" s="4">
        <f>SUMIFS(super1[Qtde],super1[Item],tab_higiene[[#This Row],[Item]],super1[Bairro],mercado17)+SUMIFS(supercb[Qtde],supercb[Item],tab_higiene[[#This Row],[Item]],supercb[Bairro],mercado17)</f>
        <v>0</v>
      </c>
      <c r="BB191" s="4">
        <f>SUMIFS(super1[Qtde],super1[Item],tab_higiene[[#This Row],[Item]],super1[Bairro],mercado18)+SUMIFS(supercb[Qtde],supercb[Item],tab_higiene[[#This Row],[Item]],supercb[Bairro],mercado18)</f>
        <v>0</v>
      </c>
      <c r="BC191" s="31">
        <f>SUMIFS(super1[Qtde],super1[Item],tab_higiene[[#This Row],[Item]],super1[Bairro],extras)+SUMIFS(supercb[Qtde],supercb[Item],tab_higiene[[#This Row],[Item]],supercb[Bairro],extras)</f>
        <v>0</v>
      </c>
      <c r="BD191" s="9">
        <f t="shared" si="76"/>
        <v>0</v>
      </c>
      <c r="BE191" s="9">
        <f t="shared" si="77"/>
        <v>0</v>
      </c>
      <c r="BF191" s="18">
        <f t="shared" si="78"/>
        <v>0</v>
      </c>
    </row>
    <row r="192" spans="9:58" ht="15.75" thickBot="1" x14ac:dyDescent="0.3">
      <c r="I192" s="19" t="str">
        <f>alimentos[[#This Row],[Item]]</f>
        <v>E</v>
      </c>
      <c r="J192" s="4">
        <f>IFERROR(alimentos[[#This Row],[kg/embalagem]],0)</f>
        <v>0</v>
      </c>
      <c r="K192" s="4">
        <f>IFERROR(alimentos[[#This Row],[Preço]],0)</f>
        <v>0</v>
      </c>
      <c r="L192" s="4">
        <f>SUMIFS(super1[Qtde],super1[Item],tab_alimentos[[#This Row],[Item]],super1[Bairro],mercado1)+SUMIFS(supercb[Qtde],supercb[Item],tab_alimentos[[#This Row],[Item]],supercb[Bairro],mercado1)</f>
        <v>0</v>
      </c>
      <c r="M192" s="4">
        <f>SUMIFS(super1[Qtde],super1[Item],tab_alimentos[[#This Row],[Item]],super1[Bairro],mercado2)+SUMIFS(supercb[Qtde],supercb[Item],tab_alimentos[[#This Row],[Item]],supercb[Bairro],mercado2)</f>
        <v>0</v>
      </c>
      <c r="N192" s="4">
        <f>SUMIFS(super1[Qtde],super1[Item],tab_alimentos[[#This Row],[Item]],super1[Bairro],mercado3)+SUMIFS(supercb[Qtde],supercb[Item],tab_alimentos[[#This Row],[Item]],supercb[Bairro],mercado3)</f>
        <v>0</v>
      </c>
      <c r="O192" s="4">
        <f>SUMIFS(super1[Qtde],super1[Item],tab_alimentos[[#This Row],[Item]],super1[Bairro],mercado4)+SUMIFS(supercb[Qtde],supercb[Item],tab_alimentos[[#This Row],[Item]],supercb[Bairro],mercado4)</f>
        <v>0</v>
      </c>
      <c r="P192" s="4">
        <f>SUMIFS(super1[Qtde],super1[Item],tab_alimentos[[#This Row],[Item]],super1[Bairro],mercado5)+SUMIFS(supercb[Qtde],supercb[Item],tab_alimentos[[#This Row],[Item]],supercb[Bairro],mercado5)</f>
        <v>0</v>
      </c>
      <c r="Q192" s="4">
        <f>SUMIFS(super1[Qtde],super1[Item],tab_alimentos[[#This Row],[Item]],super1[Bairro],mercado6)+SUMIFS(supercb[Qtde],supercb[Item],tab_alimentos[[#This Row],[Item]],supercb[Bairro],mercado6)</f>
        <v>0</v>
      </c>
      <c r="R192" s="4">
        <f>SUMIFS(super1[Qtde],super1[Item],tab_alimentos[[#This Row],[Item]],super1[Bairro],mercado7)+SUMIFS(supercb[Qtde],supercb[Item],tab_alimentos[[#This Row],[Item]],supercb[Bairro],mercado7)</f>
        <v>0</v>
      </c>
      <c r="S192" s="4">
        <f>SUMIFS(super1[Qtde],super1[Item],tab_alimentos[[#This Row],[Item]],super1[Bairro],mercado8)+SUMIFS(supercb[Qtde],supercb[Item],tab_alimentos[[#This Row],[Item]],supercb[Bairro],mercado8)</f>
        <v>0</v>
      </c>
      <c r="T192" s="4">
        <f>SUMIFS(super1[Qtde],super1[Item],tab_alimentos[[#This Row],[Item]],super1[Bairro],mercado9)+SUMIFS(supercb[Qtde],supercb[Item],tab_alimentos[[#This Row],[Item]],supercb[Bairro],mercado9)</f>
        <v>0</v>
      </c>
      <c r="U192" s="4">
        <f>SUMIFS(super1[Qtde],super1[Item],tab_alimentos[[#This Row],[Item]],super1[Bairro],mercado10)+SUMIFS(supercb[Qtde],supercb[Item],tab_alimentos[[#This Row],[Item]],supercb[Bairro],mercado10)</f>
        <v>0</v>
      </c>
      <c r="V192" s="4">
        <f>SUMIFS(super1[Qtde],super1[Item],tab_alimentos[[#This Row],[Item]],super1[Bairro],mercado11)+SUMIFS(supercb[Qtde],supercb[Item],tab_alimentos[[#This Row],[Item]],supercb[Bairro],mercado11)</f>
        <v>0</v>
      </c>
      <c r="W192" s="4">
        <f>SUMIFS(super1[Qtde],super1[Item],tab_alimentos[[#This Row],[Item]],super1[Bairro],mercado12)+SUMIFS(supercb[Qtde],supercb[Item],tab_alimentos[[#This Row],[Item]],supercb[Bairro],mercado12)</f>
        <v>0</v>
      </c>
      <c r="X192" s="4">
        <f>SUMIFS(super1[Qtde],super1[Item],tab_alimentos[[#This Row],[Item]],super1[Bairro],mercado13)+SUMIFS(supercb[Qtde],supercb[Item],tab_alimentos[[#This Row],[Item]],supercb[Bairro],mercado13)</f>
        <v>0</v>
      </c>
      <c r="Y192" s="4">
        <f>SUMIFS(super1[Qtde],super1[Item],tab_alimentos[[#This Row],[Item]],super1[Bairro],mercado14)+SUMIFS(supercb[Qtde],supercb[Item],tab_alimentos[[#This Row],[Item]],supercb[Bairro],mercado14)</f>
        <v>0</v>
      </c>
      <c r="Z192" s="4">
        <f>SUMIFS(super1[Qtde],super1[Item],tab_alimentos[[#This Row],[Item]],super1[Bairro],mercado15)+SUMIFS(supercb[Qtde],supercb[Item],tab_alimentos[[#This Row],[Item]],supercb[Bairro],mercado15)</f>
        <v>0</v>
      </c>
      <c r="AA192" s="4">
        <f>SUMIFS(super1[Qtde],super1[Item],tab_alimentos[[#This Row],[Item]],super1[Bairro],mercado16)+SUMIFS(supercb[Qtde],supercb[Item],tab_alimentos[[#This Row],[Item]],supercb[Bairro],mercado16)</f>
        <v>0</v>
      </c>
      <c r="AB192" s="4">
        <f>SUMIFS(super1[Qtde],super1[Item],tab_alimentos[[#This Row],[Item]],super1[Bairro],mercado17)+SUMIFS(supercb[Qtde],supercb[Item],tab_alimentos[[#This Row],[Item]],supercb[Bairro],mercado17)</f>
        <v>0</v>
      </c>
      <c r="AC192" s="4">
        <f>SUMIFS(super1[Qtde],super1[Item],tab_alimentos[[#This Row],[Item]],super1[Bairro],mercado18)+SUMIFS(supercb[Qtde],supercb[Item],tab_alimentos[[#This Row],[Item]],supercb[Bairro],mercado18)</f>
        <v>0</v>
      </c>
      <c r="AD192" s="4">
        <f>SUMIFS(super1[Qtde],super1[Item],tab_alimentos[[#This Row],[Item]],super1[Bairro],extras)+SUMIFS(supercb[Qtde],supercb[Item],tab_alimentos[[#This Row],[Item]],supercb[Bairro],extras)</f>
        <v>0</v>
      </c>
      <c r="AE192" s="4">
        <f t="shared" si="67"/>
        <v>0</v>
      </c>
      <c r="AF192" s="4">
        <f t="shared" si="68"/>
        <v>0</v>
      </c>
      <c r="AG192" s="6">
        <f t="shared" si="69"/>
        <v>0</v>
      </c>
      <c r="AH192" s="13" t="str">
        <f>higiene[[#This Row],[Item]]</f>
        <v>Pasta de Dente (50g)</v>
      </c>
      <c r="AI192" s="9">
        <f>IFERROR(higiene[[#This Row],[Kg equivalente]],0)</f>
        <v>0</v>
      </c>
      <c r="AJ192" s="9">
        <f>IFERROR(higiene[[#This Row],[Preço por produto]],0)</f>
        <v>1.89</v>
      </c>
      <c r="AK192" s="4">
        <f>SUMIFS(super1[Qtde],super1[Item],tab_higiene[[#This Row],[Item]],super1[Bairro],mercado1)+SUMIFS(supercb[Qtde],supercb[Item],tab_higiene[[#This Row],[Item]],supercb[Bairro],mercado1)</f>
        <v>0</v>
      </c>
      <c r="AL192" s="4">
        <f>SUMIFS(super1[Qtde],super1[Item],tab_higiene[[#This Row],[Item]],super1[Bairro],mercado2)+SUMIFS(supercb[Qtde],supercb[Item],tab_higiene[[#This Row],[Item]],supercb[Bairro],mercado2)</f>
        <v>0</v>
      </c>
      <c r="AM192" s="4">
        <f>SUMIFS(super1[Qtde],super1[Item],tab_higiene[[#This Row],[Item]],super1[Bairro],mercado3)+SUMIFS(supercb[Qtde],supercb[Item],tab_higiene[[#This Row],[Item]],supercb[Bairro],mercado3)</f>
        <v>0</v>
      </c>
      <c r="AN192" s="4">
        <f>SUMIFS(super1[Qtde],super1[Item],tab_higiene[[#This Row],[Item]],super1[Bairro],mercado4)+SUMIFS(supercb[Qtde],supercb[Item],tab_higiene[[#This Row],[Item]],supercb[Bairro],mercado4)</f>
        <v>0</v>
      </c>
      <c r="AO192" s="4">
        <f>SUMIFS(super1[Qtde],super1[Item],tab_higiene[[#This Row],[Item]],super1[Bairro],mercado5)+SUMIFS(supercb[Qtde],supercb[Item],tab_higiene[[#This Row],[Item]],supercb[Bairro],mercado5)</f>
        <v>0</v>
      </c>
      <c r="AP192" s="4">
        <f>SUMIFS(super1[Qtde],super1[Item],tab_higiene[[#This Row],[Item]],super1[Bairro],mercado6)+SUMIFS(supercb[Qtde],supercb[Item],tab_higiene[[#This Row],[Item]],supercb[Bairro],mercado6)</f>
        <v>0</v>
      </c>
      <c r="AQ192" s="4">
        <f>SUMIFS(super1[Qtde],super1[Item],tab_higiene[[#This Row],[Item]],super1[Bairro],mercado7)+SUMIFS(supercb[Qtde],supercb[Item],tab_higiene[[#This Row],[Item]],supercb[Bairro],mercado7)</f>
        <v>0</v>
      </c>
      <c r="AR192" s="4">
        <f>SUMIFS(super1[Qtde],super1[Item],tab_higiene[[#This Row],[Item]],super1[Bairro],mercado8)+SUMIFS(supercb[Qtde],supercb[Item],tab_higiene[[#This Row],[Item]],supercb[Bairro],mercado8)</f>
        <v>0</v>
      </c>
      <c r="AS192" s="4">
        <f>SUMIFS(super1[Qtde],super1[Item],tab_higiene[[#This Row],[Item]],super1[Bairro],mercado9)+SUMIFS(supercb[Qtde],supercb[Item],tab_higiene[[#This Row],[Item]],supercb[Bairro],mercado9)</f>
        <v>0</v>
      </c>
      <c r="AT192" s="4">
        <f>SUMIFS(super1[Qtde],super1[Item],tab_higiene[[#This Row],[Item]],super1[Bairro],mercado10)+SUMIFS(supercb[Qtde],supercb[Item],tab_higiene[[#This Row],[Item]],supercb[Bairro],mercado10)</f>
        <v>0</v>
      </c>
      <c r="AU192" s="4">
        <f>SUMIFS(super1[Qtde],super1[Item],tab_higiene[[#This Row],[Item]],super1[Bairro],mercado11)+SUMIFS(supercb[Qtde],supercb[Item],tab_higiene[[#This Row],[Item]],supercb[Bairro],mercado11)</f>
        <v>0</v>
      </c>
      <c r="AV192" s="4">
        <f>SUMIFS(super1[Qtde],super1[Item],tab_higiene[[#This Row],[Item]],super1[Bairro],mercado12)+SUMIFS(supercb[Qtde],supercb[Item],tab_higiene[[#This Row],[Item]],supercb[Bairro],mercado12)</f>
        <v>0</v>
      </c>
      <c r="AW192" s="4">
        <f>SUMIFS(super1[Qtde],super1[Item],tab_higiene[[#This Row],[Item]],super1[Bairro],mercado13)+SUMIFS(supercb[Qtde],supercb[Item],tab_higiene[[#This Row],[Item]],supercb[Bairro],mercado13)</f>
        <v>0</v>
      </c>
      <c r="AX192" s="4">
        <f>SUMIFS(super1[Qtde],super1[Item],tab_higiene[[#This Row],[Item]],super1[Bairro],mercado14)+SUMIFS(supercb[Qtde],supercb[Item],tab_higiene[[#This Row],[Item]],supercb[Bairro],mercado14)</f>
        <v>0</v>
      </c>
      <c r="AY192" s="4">
        <f>SUMIFS(super1[Qtde],super1[Item],tab_higiene[[#This Row],[Item]],super1[Bairro],mercado15)+SUMIFS(supercb[Qtde],supercb[Item],tab_higiene[[#This Row],[Item]],supercb[Bairro],mercado15)</f>
        <v>0</v>
      </c>
      <c r="AZ192" s="4">
        <f>SUMIFS(super1[Qtde],super1[Item],tab_higiene[[#This Row],[Item]],super1[Bairro],mercado16)+SUMIFS(supercb[Qtde],supercb[Item],tab_higiene[[#This Row],[Item]],supercb[Bairro],mercado16)</f>
        <v>0</v>
      </c>
      <c r="BA192" s="4">
        <f>SUMIFS(super1[Qtde],super1[Item],tab_higiene[[#This Row],[Item]],super1[Bairro],mercado17)+SUMIFS(supercb[Qtde],supercb[Item],tab_higiene[[#This Row],[Item]],supercb[Bairro],mercado17)</f>
        <v>0</v>
      </c>
      <c r="BB192" s="4">
        <f>SUMIFS(super1[Qtde],super1[Item],tab_higiene[[#This Row],[Item]],super1[Bairro],mercado18)+SUMIFS(supercb[Qtde],supercb[Item],tab_higiene[[#This Row],[Item]],supercb[Bairro],mercado18)</f>
        <v>0</v>
      </c>
      <c r="BC192" s="31">
        <f>SUMIFS(super1[Qtde],super1[Item],tab_higiene[[#This Row],[Item]],super1[Bairro],extras)+SUMIFS(supercb[Qtde],supercb[Item],tab_higiene[[#This Row],[Item]],supercb[Bairro],extras)</f>
        <v>0</v>
      </c>
      <c r="BD192" s="9">
        <f t="shared" si="76"/>
        <v>0</v>
      </c>
      <c r="BE192" s="9">
        <f t="shared" si="77"/>
        <v>0</v>
      </c>
      <c r="BF192" s="18">
        <f t="shared" si="78"/>
        <v>0</v>
      </c>
    </row>
    <row r="193" spans="9:58" ht="15.75" thickBot="1" x14ac:dyDescent="0.3">
      <c r="I193" s="19" t="str">
        <f>alimentos[[#This Row],[Item]]</f>
        <v>Erva-Doce (40g)</v>
      </c>
      <c r="J193" s="4">
        <f>IFERROR(alimentos[[#This Row],[kg/embalagem]],0)</f>
        <v>0.04</v>
      </c>
      <c r="K193" s="4">
        <f>IFERROR(alimentos[[#This Row],[Preço]],0)</f>
        <v>6.99</v>
      </c>
      <c r="L193" s="4">
        <f>SUMIFS(super1[Qtde],super1[Item],tab_alimentos[[#This Row],[Item]],super1[Bairro],mercado1)+SUMIFS(supercb[Qtde],supercb[Item],tab_alimentos[[#This Row],[Item]],supercb[Bairro],mercado1)</f>
        <v>0</v>
      </c>
      <c r="M193" s="4">
        <f>SUMIFS(super1[Qtde],super1[Item],tab_alimentos[[#This Row],[Item]],super1[Bairro],mercado2)+SUMIFS(supercb[Qtde],supercb[Item],tab_alimentos[[#This Row],[Item]],supercb[Bairro],mercado2)</f>
        <v>0</v>
      </c>
      <c r="N193" s="4">
        <f>SUMIFS(super1[Qtde],super1[Item],tab_alimentos[[#This Row],[Item]],super1[Bairro],mercado3)+SUMIFS(supercb[Qtde],supercb[Item],tab_alimentos[[#This Row],[Item]],supercb[Bairro],mercado3)</f>
        <v>0</v>
      </c>
      <c r="O193" s="4">
        <f>SUMIFS(super1[Qtde],super1[Item],tab_alimentos[[#This Row],[Item]],super1[Bairro],mercado4)+SUMIFS(supercb[Qtde],supercb[Item],tab_alimentos[[#This Row],[Item]],supercb[Bairro],mercado4)</f>
        <v>0</v>
      </c>
      <c r="P193" s="4">
        <f>SUMIFS(super1[Qtde],super1[Item],tab_alimentos[[#This Row],[Item]],super1[Bairro],mercado5)+SUMIFS(supercb[Qtde],supercb[Item],tab_alimentos[[#This Row],[Item]],supercb[Bairro],mercado5)</f>
        <v>0</v>
      </c>
      <c r="Q193" s="4">
        <f>SUMIFS(super1[Qtde],super1[Item],tab_alimentos[[#This Row],[Item]],super1[Bairro],mercado6)+SUMIFS(supercb[Qtde],supercb[Item],tab_alimentos[[#This Row],[Item]],supercb[Bairro],mercado6)</f>
        <v>0</v>
      </c>
      <c r="R193" s="4">
        <f>SUMIFS(super1[Qtde],super1[Item],tab_alimentos[[#This Row],[Item]],super1[Bairro],mercado7)+SUMIFS(supercb[Qtde],supercb[Item],tab_alimentos[[#This Row],[Item]],supercb[Bairro],mercado7)</f>
        <v>0</v>
      </c>
      <c r="S193" s="4">
        <f>SUMIFS(super1[Qtde],super1[Item],tab_alimentos[[#This Row],[Item]],super1[Bairro],mercado8)+SUMIFS(supercb[Qtde],supercb[Item],tab_alimentos[[#This Row],[Item]],supercb[Bairro],mercado8)</f>
        <v>0</v>
      </c>
      <c r="T193" s="4">
        <f>SUMIFS(super1[Qtde],super1[Item],tab_alimentos[[#This Row],[Item]],super1[Bairro],mercado9)+SUMIFS(supercb[Qtde],supercb[Item],tab_alimentos[[#This Row],[Item]],supercb[Bairro],mercado9)</f>
        <v>0</v>
      </c>
      <c r="U193" s="4">
        <f>SUMIFS(super1[Qtde],super1[Item],tab_alimentos[[#This Row],[Item]],super1[Bairro],mercado10)+SUMIFS(supercb[Qtde],supercb[Item],tab_alimentos[[#This Row],[Item]],supercb[Bairro],mercado10)</f>
        <v>0</v>
      </c>
      <c r="V193" s="4">
        <f>SUMIFS(super1[Qtde],super1[Item],tab_alimentos[[#This Row],[Item]],super1[Bairro],mercado11)+SUMIFS(supercb[Qtde],supercb[Item],tab_alimentos[[#This Row],[Item]],supercb[Bairro],mercado11)</f>
        <v>0</v>
      </c>
      <c r="W193" s="4">
        <f>SUMIFS(super1[Qtde],super1[Item],tab_alimentos[[#This Row],[Item]],super1[Bairro],mercado12)+SUMIFS(supercb[Qtde],supercb[Item],tab_alimentos[[#This Row],[Item]],supercb[Bairro],mercado12)</f>
        <v>0</v>
      </c>
      <c r="X193" s="4">
        <f>SUMIFS(super1[Qtde],super1[Item],tab_alimentos[[#This Row],[Item]],super1[Bairro],mercado13)+SUMIFS(supercb[Qtde],supercb[Item],tab_alimentos[[#This Row],[Item]],supercb[Bairro],mercado13)</f>
        <v>0</v>
      </c>
      <c r="Y193" s="4">
        <f>SUMIFS(super1[Qtde],super1[Item],tab_alimentos[[#This Row],[Item]],super1[Bairro],mercado14)+SUMIFS(supercb[Qtde],supercb[Item],tab_alimentos[[#This Row],[Item]],supercb[Bairro],mercado14)</f>
        <v>0</v>
      </c>
      <c r="Z193" s="4">
        <f>SUMIFS(super1[Qtde],super1[Item],tab_alimentos[[#This Row],[Item]],super1[Bairro],mercado15)+SUMIFS(supercb[Qtde],supercb[Item],tab_alimentos[[#This Row],[Item]],supercb[Bairro],mercado15)</f>
        <v>0</v>
      </c>
      <c r="AA193" s="4">
        <f>SUMIFS(super1[Qtde],super1[Item],tab_alimentos[[#This Row],[Item]],super1[Bairro],mercado16)+SUMIFS(supercb[Qtde],supercb[Item],tab_alimentos[[#This Row],[Item]],supercb[Bairro],mercado16)</f>
        <v>0</v>
      </c>
      <c r="AB193" s="4">
        <f>SUMIFS(super1[Qtde],super1[Item],tab_alimentos[[#This Row],[Item]],super1[Bairro],mercado17)+SUMIFS(supercb[Qtde],supercb[Item],tab_alimentos[[#This Row],[Item]],supercb[Bairro],mercado17)</f>
        <v>0</v>
      </c>
      <c r="AC193" s="4">
        <f>SUMIFS(super1[Qtde],super1[Item],tab_alimentos[[#This Row],[Item]],super1[Bairro],mercado18)+SUMIFS(supercb[Qtde],supercb[Item],tab_alimentos[[#This Row],[Item]],supercb[Bairro],mercado18)</f>
        <v>0</v>
      </c>
      <c r="AD193" s="4">
        <f>SUMIFS(super1[Qtde],super1[Item],tab_alimentos[[#This Row],[Item]],super1[Bairro],extras)+SUMIFS(supercb[Qtde],supercb[Item],tab_alimentos[[#This Row],[Item]],supercb[Bairro],extras)</f>
        <v>0</v>
      </c>
      <c r="AE193" s="4">
        <f t="shared" si="67"/>
        <v>0</v>
      </c>
      <c r="AF193" s="4">
        <f t="shared" si="68"/>
        <v>0</v>
      </c>
      <c r="AG193" s="6">
        <f t="shared" si="69"/>
        <v>0</v>
      </c>
      <c r="AH193" s="13" t="str">
        <f>higiene[[#This Row],[Item]]</f>
        <v>Pasta de Dente (70g)</v>
      </c>
      <c r="AI193" s="9">
        <f>IFERROR(higiene[[#This Row],[Kg equivalente]],0)</f>
        <v>0</v>
      </c>
      <c r="AJ193" s="9">
        <f>IFERROR(higiene[[#This Row],[Preço por produto]],0)</f>
        <v>1.05</v>
      </c>
      <c r="AK193" s="4">
        <f>SUMIFS(super1[Qtde],super1[Item],tab_higiene[[#This Row],[Item]],super1[Bairro],mercado1)+SUMIFS(supercb[Qtde],supercb[Item],tab_higiene[[#This Row],[Item]],supercb[Bairro],mercado1)</f>
        <v>0</v>
      </c>
      <c r="AL193" s="4">
        <f>SUMIFS(super1[Qtde],super1[Item],tab_higiene[[#This Row],[Item]],super1[Bairro],mercado2)+SUMIFS(supercb[Qtde],supercb[Item],tab_higiene[[#This Row],[Item]],supercb[Bairro],mercado2)</f>
        <v>0</v>
      </c>
      <c r="AM193" s="4">
        <f>SUMIFS(super1[Qtde],super1[Item],tab_higiene[[#This Row],[Item]],super1[Bairro],mercado3)+SUMIFS(supercb[Qtde],supercb[Item],tab_higiene[[#This Row],[Item]],supercb[Bairro],mercado3)</f>
        <v>0</v>
      </c>
      <c r="AN193" s="4">
        <f>SUMIFS(super1[Qtde],super1[Item],tab_higiene[[#This Row],[Item]],super1[Bairro],mercado4)+SUMIFS(supercb[Qtde],supercb[Item],tab_higiene[[#This Row],[Item]],supercb[Bairro],mercado4)</f>
        <v>0</v>
      </c>
      <c r="AO193" s="4">
        <f>SUMIFS(super1[Qtde],super1[Item],tab_higiene[[#This Row],[Item]],super1[Bairro],mercado5)+SUMIFS(supercb[Qtde],supercb[Item],tab_higiene[[#This Row],[Item]],supercb[Bairro],mercado5)</f>
        <v>0</v>
      </c>
      <c r="AP193" s="4">
        <f>SUMIFS(super1[Qtde],super1[Item],tab_higiene[[#This Row],[Item]],super1[Bairro],mercado6)+SUMIFS(supercb[Qtde],supercb[Item],tab_higiene[[#This Row],[Item]],supercb[Bairro],mercado6)</f>
        <v>0</v>
      </c>
      <c r="AQ193" s="4">
        <f>SUMIFS(super1[Qtde],super1[Item],tab_higiene[[#This Row],[Item]],super1[Bairro],mercado7)+SUMIFS(supercb[Qtde],supercb[Item],tab_higiene[[#This Row],[Item]],supercb[Bairro],mercado7)</f>
        <v>0</v>
      </c>
      <c r="AR193" s="4">
        <f>SUMIFS(super1[Qtde],super1[Item],tab_higiene[[#This Row],[Item]],super1[Bairro],mercado8)+SUMIFS(supercb[Qtde],supercb[Item],tab_higiene[[#This Row],[Item]],supercb[Bairro],mercado8)</f>
        <v>0</v>
      </c>
      <c r="AS193" s="4">
        <f>SUMIFS(super1[Qtde],super1[Item],tab_higiene[[#This Row],[Item]],super1[Bairro],mercado9)+SUMIFS(supercb[Qtde],supercb[Item],tab_higiene[[#This Row],[Item]],supercb[Bairro],mercado9)</f>
        <v>0</v>
      </c>
      <c r="AT193" s="4">
        <f>SUMIFS(super1[Qtde],super1[Item],tab_higiene[[#This Row],[Item]],super1[Bairro],mercado10)+SUMIFS(supercb[Qtde],supercb[Item],tab_higiene[[#This Row],[Item]],supercb[Bairro],mercado10)</f>
        <v>0</v>
      </c>
      <c r="AU193" s="4">
        <f>SUMIFS(super1[Qtde],super1[Item],tab_higiene[[#This Row],[Item]],super1[Bairro],mercado11)+SUMIFS(supercb[Qtde],supercb[Item],tab_higiene[[#This Row],[Item]],supercb[Bairro],mercado11)</f>
        <v>0</v>
      </c>
      <c r="AV193" s="4">
        <f>SUMIFS(super1[Qtde],super1[Item],tab_higiene[[#This Row],[Item]],super1[Bairro],mercado12)+SUMIFS(supercb[Qtde],supercb[Item],tab_higiene[[#This Row],[Item]],supercb[Bairro],mercado12)</f>
        <v>0</v>
      </c>
      <c r="AW193" s="4">
        <f>SUMIFS(super1[Qtde],super1[Item],tab_higiene[[#This Row],[Item]],super1[Bairro],mercado13)+SUMIFS(supercb[Qtde],supercb[Item],tab_higiene[[#This Row],[Item]],supercb[Bairro],mercado13)</f>
        <v>0</v>
      </c>
      <c r="AX193" s="4">
        <f>SUMIFS(super1[Qtde],super1[Item],tab_higiene[[#This Row],[Item]],super1[Bairro],mercado14)+SUMIFS(supercb[Qtde],supercb[Item],tab_higiene[[#This Row],[Item]],supercb[Bairro],mercado14)</f>
        <v>0</v>
      </c>
      <c r="AY193" s="4">
        <f>SUMIFS(super1[Qtde],super1[Item],tab_higiene[[#This Row],[Item]],super1[Bairro],mercado15)+SUMIFS(supercb[Qtde],supercb[Item],tab_higiene[[#This Row],[Item]],supercb[Bairro],mercado15)</f>
        <v>0</v>
      </c>
      <c r="AZ193" s="4">
        <f>SUMIFS(super1[Qtde],super1[Item],tab_higiene[[#This Row],[Item]],super1[Bairro],mercado16)+SUMIFS(supercb[Qtde],supercb[Item],tab_higiene[[#This Row],[Item]],supercb[Bairro],mercado16)</f>
        <v>0</v>
      </c>
      <c r="BA193" s="4">
        <f>SUMIFS(super1[Qtde],super1[Item],tab_higiene[[#This Row],[Item]],super1[Bairro],mercado17)+SUMIFS(supercb[Qtde],supercb[Item],tab_higiene[[#This Row],[Item]],supercb[Bairro],mercado17)</f>
        <v>0</v>
      </c>
      <c r="BB193" s="4">
        <f>SUMIFS(super1[Qtde],super1[Item],tab_higiene[[#This Row],[Item]],super1[Bairro],mercado18)+SUMIFS(supercb[Qtde],supercb[Item],tab_higiene[[#This Row],[Item]],supercb[Bairro],mercado18)</f>
        <v>0</v>
      </c>
      <c r="BC193" s="31">
        <f>SUMIFS(super1[Qtde],super1[Item],tab_higiene[[#This Row],[Item]],super1[Bairro],extras)+SUMIFS(supercb[Qtde],supercb[Item],tab_higiene[[#This Row],[Item]],supercb[Bairro],extras)</f>
        <v>0</v>
      </c>
      <c r="BD193" s="9">
        <f t="shared" si="76"/>
        <v>0</v>
      </c>
      <c r="BE193" s="9">
        <f t="shared" si="77"/>
        <v>0</v>
      </c>
      <c r="BF193" s="18">
        <f t="shared" si="78"/>
        <v>0</v>
      </c>
    </row>
    <row r="194" spans="9:58" ht="15.75" thickBot="1" x14ac:dyDescent="0.3">
      <c r="I194" s="19" t="str">
        <f>alimentos[[#This Row],[Item]]</f>
        <v>Ervilha Lata (200g)</v>
      </c>
      <c r="J194" s="4">
        <f>IFERROR(alimentos[[#This Row],[kg/embalagem]],0)</f>
        <v>0.2</v>
      </c>
      <c r="K194" s="4">
        <f>IFERROR(alimentos[[#This Row],[Preço]],0)</f>
        <v>2.69</v>
      </c>
      <c r="L194" s="4">
        <f>SUMIFS(super1[Qtde],super1[Item],tab_alimentos[[#This Row],[Item]],super1[Bairro],mercado1)+SUMIFS(supercb[Qtde],supercb[Item],tab_alimentos[[#This Row],[Item]],supercb[Bairro],mercado1)</f>
        <v>0</v>
      </c>
      <c r="M194" s="4">
        <f>SUMIFS(super1[Qtde],super1[Item],tab_alimentos[[#This Row],[Item]],super1[Bairro],mercado2)+SUMIFS(supercb[Qtde],supercb[Item],tab_alimentos[[#This Row],[Item]],supercb[Bairro],mercado2)</f>
        <v>0</v>
      </c>
      <c r="N194" s="4">
        <f>SUMIFS(super1[Qtde],super1[Item],tab_alimentos[[#This Row],[Item]],super1[Bairro],mercado3)+SUMIFS(supercb[Qtde],supercb[Item],tab_alimentos[[#This Row],[Item]],supercb[Bairro],mercado3)</f>
        <v>0</v>
      </c>
      <c r="O194" s="4">
        <f>SUMIFS(super1[Qtde],super1[Item],tab_alimentos[[#This Row],[Item]],super1[Bairro],mercado4)+SUMIFS(supercb[Qtde],supercb[Item],tab_alimentos[[#This Row],[Item]],supercb[Bairro],mercado4)</f>
        <v>0</v>
      </c>
      <c r="P194" s="4">
        <f>SUMIFS(super1[Qtde],super1[Item],tab_alimentos[[#This Row],[Item]],super1[Bairro],mercado5)+SUMIFS(supercb[Qtde],supercb[Item],tab_alimentos[[#This Row],[Item]],supercb[Bairro],mercado5)</f>
        <v>0</v>
      </c>
      <c r="Q194" s="4">
        <f>SUMIFS(super1[Qtde],super1[Item],tab_alimentos[[#This Row],[Item]],super1[Bairro],mercado6)+SUMIFS(supercb[Qtde],supercb[Item],tab_alimentos[[#This Row],[Item]],supercb[Bairro],mercado6)</f>
        <v>0</v>
      </c>
      <c r="R194" s="4">
        <f>SUMIFS(super1[Qtde],super1[Item],tab_alimentos[[#This Row],[Item]],super1[Bairro],mercado7)+SUMIFS(supercb[Qtde],supercb[Item],tab_alimentos[[#This Row],[Item]],supercb[Bairro],mercado7)</f>
        <v>0</v>
      </c>
      <c r="S194" s="4">
        <f>SUMIFS(super1[Qtde],super1[Item],tab_alimentos[[#This Row],[Item]],super1[Bairro],mercado8)+SUMIFS(supercb[Qtde],supercb[Item],tab_alimentos[[#This Row],[Item]],supercb[Bairro],mercado8)</f>
        <v>0</v>
      </c>
      <c r="T194" s="4">
        <f>SUMIFS(super1[Qtde],super1[Item],tab_alimentos[[#This Row],[Item]],super1[Bairro],mercado9)+SUMIFS(supercb[Qtde],supercb[Item],tab_alimentos[[#This Row],[Item]],supercb[Bairro],mercado9)</f>
        <v>0</v>
      </c>
      <c r="U194" s="4">
        <f>SUMIFS(super1[Qtde],super1[Item],tab_alimentos[[#This Row],[Item]],super1[Bairro],mercado10)+SUMIFS(supercb[Qtde],supercb[Item],tab_alimentos[[#This Row],[Item]],supercb[Bairro],mercado10)</f>
        <v>0</v>
      </c>
      <c r="V194" s="4">
        <f>SUMIFS(super1[Qtde],super1[Item],tab_alimentos[[#This Row],[Item]],super1[Bairro],mercado11)+SUMIFS(supercb[Qtde],supercb[Item],tab_alimentos[[#This Row],[Item]],supercb[Bairro],mercado11)</f>
        <v>0</v>
      </c>
      <c r="W194" s="4">
        <f>SUMIFS(super1[Qtde],super1[Item],tab_alimentos[[#This Row],[Item]],super1[Bairro],mercado12)+SUMIFS(supercb[Qtde],supercb[Item],tab_alimentos[[#This Row],[Item]],supercb[Bairro],mercado12)</f>
        <v>0</v>
      </c>
      <c r="X194" s="4">
        <f>SUMIFS(super1[Qtde],super1[Item],tab_alimentos[[#This Row],[Item]],super1[Bairro],mercado13)+SUMIFS(supercb[Qtde],supercb[Item],tab_alimentos[[#This Row],[Item]],supercb[Bairro],mercado13)</f>
        <v>0</v>
      </c>
      <c r="Y194" s="4">
        <f>SUMIFS(super1[Qtde],super1[Item],tab_alimentos[[#This Row],[Item]],super1[Bairro],mercado14)+SUMIFS(supercb[Qtde],supercb[Item],tab_alimentos[[#This Row],[Item]],supercb[Bairro],mercado14)</f>
        <v>0</v>
      </c>
      <c r="Z194" s="4">
        <f>SUMIFS(super1[Qtde],super1[Item],tab_alimentos[[#This Row],[Item]],super1[Bairro],mercado15)+SUMIFS(supercb[Qtde],supercb[Item],tab_alimentos[[#This Row],[Item]],supercb[Bairro],mercado15)</f>
        <v>0</v>
      </c>
      <c r="AA194" s="4">
        <f>SUMIFS(super1[Qtde],super1[Item],tab_alimentos[[#This Row],[Item]],super1[Bairro],mercado16)+SUMIFS(supercb[Qtde],supercb[Item],tab_alimentos[[#This Row],[Item]],supercb[Bairro],mercado16)</f>
        <v>0</v>
      </c>
      <c r="AB194" s="4">
        <f>SUMIFS(super1[Qtde],super1[Item],tab_alimentos[[#This Row],[Item]],super1[Bairro],mercado17)+SUMIFS(supercb[Qtde],supercb[Item],tab_alimentos[[#This Row],[Item]],supercb[Bairro],mercado17)</f>
        <v>0</v>
      </c>
      <c r="AC194" s="4">
        <f>SUMIFS(super1[Qtde],super1[Item],tab_alimentos[[#This Row],[Item]],super1[Bairro],mercado18)+SUMIFS(supercb[Qtde],supercb[Item],tab_alimentos[[#This Row],[Item]],supercb[Bairro],mercado18)</f>
        <v>0</v>
      </c>
      <c r="AD194" s="4">
        <f>SUMIFS(super1[Qtde],super1[Item],tab_alimentos[[#This Row],[Item]],super1[Bairro],extras)+SUMIFS(supercb[Qtde],supercb[Item],tab_alimentos[[#This Row],[Item]],supercb[Bairro],extras)</f>
        <v>0</v>
      </c>
      <c r="AE194" s="4">
        <f t="shared" si="67"/>
        <v>0</v>
      </c>
      <c r="AF194" s="4">
        <f t="shared" si="68"/>
        <v>0</v>
      </c>
      <c r="AG194" s="6">
        <f t="shared" si="69"/>
        <v>0</v>
      </c>
      <c r="AH194" s="13" t="str">
        <f>higiene[[#This Row],[Item]]</f>
        <v>Pasta de Dente (90g)</v>
      </c>
      <c r="AI194" s="9">
        <f>IFERROR(higiene[[#This Row],[Kg equivalente]],0)</f>
        <v>0</v>
      </c>
      <c r="AJ194" s="9">
        <f>IFERROR(higiene[[#This Row],[Preço por produto]],0)</f>
        <v>2.89</v>
      </c>
      <c r="AK194" s="4">
        <f>SUMIFS(super1[Qtde],super1[Item],tab_higiene[[#This Row],[Item]],super1[Bairro],mercado1)+SUMIFS(supercb[Qtde],supercb[Item],tab_higiene[[#This Row],[Item]],supercb[Bairro],mercado1)</f>
        <v>0</v>
      </c>
      <c r="AL194" s="4">
        <f>SUMIFS(super1[Qtde],super1[Item],tab_higiene[[#This Row],[Item]],super1[Bairro],mercado2)+SUMIFS(supercb[Qtde],supercb[Item],tab_higiene[[#This Row],[Item]],supercb[Bairro],mercado2)</f>
        <v>0</v>
      </c>
      <c r="AM194" s="4">
        <f>SUMIFS(super1[Qtde],super1[Item],tab_higiene[[#This Row],[Item]],super1[Bairro],mercado3)+SUMIFS(supercb[Qtde],supercb[Item],tab_higiene[[#This Row],[Item]],supercb[Bairro],mercado3)</f>
        <v>0</v>
      </c>
      <c r="AN194" s="4">
        <f>SUMIFS(super1[Qtde],super1[Item],tab_higiene[[#This Row],[Item]],super1[Bairro],mercado4)+SUMIFS(supercb[Qtde],supercb[Item],tab_higiene[[#This Row],[Item]],supercb[Bairro],mercado4)</f>
        <v>0</v>
      </c>
      <c r="AO194" s="4">
        <f>SUMIFS(super1[Qtde],super1[Item],tab_higiene[[#This Row],[Item]],super1[Bairro],mercado5)+SUMIFS(supercb[Qtde],supercb[Item],tab_higiene[[#This Row],[Item]],supercb[Bairro],mercado5)</f>
        <v>0</v>
      </c>
      <c r="AP194" s="4">
        <f>SUMIFS(super1[Qtde],super1[Item],tab_higiene[[#This Row],[Item]],super1[Bairro],mercado6)+SUMIFS(supercb[Qtde],supercb[Item],tab_higiene[[#This Row],[Item]],supercb[Bairro],mercado6)</f>
        <v>0</v>
      </c>
      <c r="AQ194" s="4">
        <f>SUMIFS(super1[Qtde],super1[Item],tab_higiene[[#This Row],[Item]],super1[Bairro],mercado7)+SUMIFS(supercb[Qtde],supercb[Item],tab_higiene[[#This Row],[Item]],supercb[Bairro],mercado7)</f>
        <v>0</v>
      </c>
      <c r="AR194" s="4">
        <f>SUMIFS(super1[Qtde],super1[Item],tab_higiene[[#This Row],[Item]],super1[Bairro],mercado8)+SUMIFS(supercb[Qtde],supercb[Item],tab_higiene[[#This Row],[Item]],supercb[Bairro],mercado8)</f>
        <v>0</v>
      </c>
      <c r="AS194" s="4">
        <f>SUMIFS(super1[Qtde],super1[Item],tab_higiene[[#This Row],[Item]],super1[Bairro],mercado9)+SUMIFS(supercb[Qtde],supercb[Item],tab_higiene[[#This Row],[Item]],supercb[Bairro],mercado9)</f>
        <v>0</v>
      </c>
      <c r="AT194" s="4">
        <f>SUMIFS(super1[Qtde],super1[Item],tab_higiene[[#This Row],[Item]],super1[Bairro],mercado10)+SUMIFS(supercb[Qtde],supercb[Item],tab_higiene[[#This Row],[Item]],supercb[Bairro],mercado10)</f>
        <v>0</v>
      </c>
      <c r="AU194" s="4">
        <f>SUMIFS(super1[Qtde],super1[Item],tab_higiene[[#This Row],[Item]],super1[Bairro],mercado11)+SUMIFS(supercb[Qtde],supercb[Item],tab_higiene[[#This Row],[Item]],supercb[Bairro],mercado11)</f>
        <v>0</v>
      </c>
      <c r="AV194" s="4">
        <f>SUMIFS(super1[Qtde],super1[Item],tab_higiene[[#This Row],[Item]],super1[Bairro],mercado12)+SUMIFS(supercb[Qtde],supercb[Item],tab_higiene[[#This Row],[Item]],supercb[Bairro],mercado12)</f>
        <v>0</v>
      </c>
      <c r="AW194" s="4">
        <f>SUMIFS(super1[Qtde],super1[Item],tab_higiene[[#This Row],[Item]],super1[Bairro],mercado13)+SUMIFS(supercb[Qtde],supercb[Item],tab_higiene[[#This Row],[Item]],supercb[Bairro],mercado13)</f>
        <v>0</v>
      </c>
      <c r="AX194" s="4">
        <f>SUMIFS(super1[Qtde],super1[Item],tab_higiene[[#This Row],[Item]],super1[Bairro],mercado14)+SUMIFS(supercb[Qtde],supercb[Item],tab_higiene[[#This Row],[Item]],supercb[Bairro],mercado14)</f>
        <v>0</v>
      </c>
      <c r="AY194" s="4">
        <f>SUMIFS(super1[Qtde],super1[Item],tab_higiene[[#This Row],[Item]],super1[Bairro],mercado15)+SUMIFS(supercb[Qtde],supercb[Item],tab_higiene[[#This Row],[Item]],supercb[Bairro],mercado15)</f>
        <v>0</v>
      </c>
      <c r="AZ194" s="4">
        <f>SUMIFS(super1[Qtde],super1[Item],tab_higiene[[#This Row],[Item]],super1[Bairro],mercado16)+SUMIFS(supercb[Qtde],supercb[Item],tab_higiene[[#This Row],[Item]],supercb[Bairro],mercado16)</f>
        <v>0</v>
      </c>
      <c r="BA194" s="4">
        <f>SUMIFS(super1[Qtde],super1[Item],tab_higiene[[#This Row],[Item]],super1[Bairro],mercado17)+SUMIFS(supercb[Qtde],supercb[Item],tab_higiene[[#This Row],[Item]],supercb[Bairro],mercado17)</f>
        <v>0</v>
      </c>
      <c r="BB194" s="4">
        <f>SUMIFS(super1[Qtde],super1[Item],tab_higiene[[#This Row],[Item]],super1[Bairro],mercado18)+SUMIFS(supercb[Qtde],supercb[Item],tab_higiene[[#This Row],[Item]],supercb[Bairro],mercado18)</f>
        <v>0</v>
      </c>
      <c r="BC194" s="31">
        <f>SUMIFS(super1[Qtde],super1[Item],tab_higiene[[#This Row],[Item]],super1[Bairro],extras)+SUMIFS(supercb[Qtde],supercb[Item],tab_higiene[[#This Row],[Item]],supercb[Bairro],extras)</f>
        <v>0</v>
      </c>
      <c r="BD194" s="9">
        <f t="shared" si="76"/>
        <v>0</v>
      </c>
      <c r="BE194" s="9">
        <f t="shared" si="77"/>
        <v>0</v>
      </c>
      <c r="BF194" s="18">
        <f t="shared" si="78"/>
        <v>0</v>
      </c>
    </row>
    <row r="195" spans="9:58" ht="15.75" thickBot="1" x14ac:dyDescent="0.3">
      <c r="I195" s="19" t="str">
        <f>alimentos[[#This Row],[Item]]</f>
        <v>Ervilha Lata (280g)</v>
      </c>
      <c r="J195" s="4">
        <f>IFERROR(alimentos[[#This Row],[kg/embalagem]],0)</f>
        <v>0.28000000000000003</v>
      </c>
      <c r="K195" s="4">
        <f>IFERROR(alimentos[[#This Row],[Preço]],0)</f>
        <v>2.99</v>
      </c>
      <c r="L195" s="4">
        <f>SUMIFS(super1[Qtde],super1[Item],tab_alimentos[[#This Row],[Item]],super1[Bairro],mercado1)+SUMIFS(supercb[Qtde],supercb[Item],tab_alimentos[[#This Row],[Item]],supercb[Bairro],mercado1)</f>
        <v>0</v>
      </c>
      <c r="M195" s="4">
        <f>SUMIFS(super1[Qtde],super1[Item],tab_alimentos[[#This Row],[Item]],super1[Bairro],mercado2)+SUMIFS(supercb[Qtde],supercb[Item],tab_alimentos[[#This Row],[Item]],supercb[Bairro],mercado2)</f>
        <v>0</v>
      </c>
      <c r="N195" s="4">
        <f>SUMIFS(super1[Qtde],super1[Item],tab_alimentos[[#This Row],[Item]],super1[Bairro],mercado3)+SUMIFS(supercb[Qtde],supercb[Item],tab_alimentos[[#This Row],[Item]],supercb[Bairro],mercado3)</f>
        <v>0</v>
      </c>
      <c r="O195" s="4">
        <f>SUMIFS(super1[Qtde],super1[Item],tab_alimentos[[#This Row],[Item]],super1[Bairro],mercado4)+SUMIFS(supercb[Qtde],supercb[Item],tab_alimentos[[#This Row],[Item]],supercb[Bairro],mercado4)</f>
        <v>0</v>
      </c>
      <c r="P195" s="4">
        <f>SUMIFS(super1[Qtde],super1[Item],tab_alimentos[[#This Row],[Item]],super1[Bairro],mercado5)+SUMIFS(supercb[Qtde],supercb[Item],tab_alimentos[[#This Row],[Item]],supercb[Bairro],mercado5)</f>
        <v>0</v>
      </c>
      <c r="Q195" s="4">
        <f>SUMIFS(super1[Qtde],super1[Item],tab_alimentos[[#This Row],[Item]],super1[Bairro],mercado6)+SUMIFS(supercb[Qtde],supercb[Item],tab_alimentos[[#This Row],[Item]],supercb[Bairro],mercado6)</f>
        <v>0</v>
      </c>
      <c r="R195" s="4">
        <f>SUMIFS(super1[Qtde],super1[Item],tab_alimentos[[#This Row],[Item]],super1[Bairro],mercado7)+SUMIFS(supercb[Qtde],supercb[Item],tab_alimentos[[#This Row],[Item]],supercb[Bairro],mercado7)</f>
        <v>0</v>
      </c>
      <c r="S195" s="4">
        <f>SUMIFS(super1[Qtde],super1[Item],tab_alimentos[[#This Row],[Item]],super1[Bairro],mercado8)+SUMIFS(supercb[Qtde],supercb[Item],tab_alimentos[[#This Row],[Item]],supercb[Bairro],mercado8)</f>
        <v>0</v>
      </c>
      <c r="T195" s="4">
        <f>SUMIFS(super1[Qtde],super1[Item],tab_alimentos[[#This Row],[Item]],super1[Bairro],mercado9)+SUMIFS(supercb[Qtde],supercb[Item],tab_alimentos[[#This Row],[Item]],supercb[Bairro],mercado9)</f>
        <v>0</v>
      </c>
      <c r="U195" s="4">
        <f>SUMIFS(super1[Qtde],super1[Item],tab_alimentos[[#This Row],[Item]],super1[Bairro],mercado10)+SUMIFS(supercb[Qtde],supercb[Item],tab_alimentos[[#This Row],[Item]],supercb[Bairro],mercado10)</f>
        <v>0</v>
      </c>
      <c r="V195" s="4">
        <f>SUMIFS(super1[Qtde],super1[Item],tab_alimentos[[#This Row],[Item]],super1[Bairro],mercado11)+SUMIFS(supercb[Qtde],supercb[Item],tab_alimentos[[#This Row],[Item]],supercb[Bairro],mercado11)</f>
        <v>0</v>
      </c>
      <c r="W195" s="4">
        <f>SUMIFS(super1[Qtde],super1[Item],tab_alimentos[[#This Row],[Item]],super1[Bairro],mercado12)+SUMIFS(supercb[Qtde],supercb[Item],tab_alimentos[[#This Row],[Item]],supercb[Bairro],mercado12)</f>
        <v>0</v>
      </c>
      <c r="X195" s="4">
        <f>SUMIFS(super1[Qtde],super1[Item],tab_alimentos[[#This Row],[Item]],super1[Bairro],mercado13)+SUMIFS(supercb[Qtde],supercb[Item],tab_alimentos[[#This Row],[Item]],supercb[Bairro],mercado13)</f>
        <v>0</v>
      </c>
      <c r="Y195" s="4">
        <f>SUMIFS(super1[Qtde],super1[Item],tab_alimentos[[#This Row],[Item]],super1[Bairro],mercado14)+SUMIFS(supercb[Qtde],supercb[Item],tab_alimentos[[#This Row],[Item]],supercb[Bairro],mercado14)</f>
        <v>0</v>
      </c>
      <c r="Z195" s="4">
        <f>SUMIFS(super1[Qtde],super1[Item],tab_alimentos[[#This Row],[Item]],super1[Bairro],mercado15)+SUMIFS(supercb[Qtde],supercb[Item],tab_alimentos[[#This Row],[Item]],supercb[Bairro],mercado15)</f>
        <v>0</v>
      </c>
      <c r="AA195" s="4">
        <f>SUMIFS(super1[Qtde],super1[Item],tab_alimentos[[#This Row],[Item]],super1[Bairro],mercado16)+SUMIFS(supercb[Qtde],supercb[Item],tab_alimentos[[#This Row],[Item]],supercb[Bairro],mercado16)</f>
        <v>0</v>
      </c>
      <c r="AB195" s="4">
        <f>SUMIFS(super1[Qtde],super1[Item],tab_alimentos[[#This Row],[Item]],super1[Bairro],mercado17)+SUMIFS(supercb[Qtde],supercb[Item],tab_alimentos[[#This Row],[Item]],supercb[Bairro],mercado17)</f>
        <v>0</v>
      </c>
      <c r="AC195" s="4">
        <f>SUMIFS(super1[Qtde],super1[Item],tab_alimentos[[#This Row],[Item]],super1[Bairro],mercado18)+SUMIFS(supercb[Qtde],supercb[Item],tab_alimentos[[#This Row],[Item]],supercb[Bairro],mercado18)</f>
        <v>0</v>
      </c>
      <c r="AD195" s="4">
        <f>SUMIFS(super1[Qtde],super1[Item],tab_alimentos[[#This Row],[Item]],super1[Bairro],extras)+SUMIFS(supercb[Qtde],supercb[Item],tab_alimentos[[#This Row],[Item]],supercb[Bairro],extras)</f>
        <v>0</v>
      </c>
      <c r="AE195" s="4">
        <f t="shared" si="67"/>
        <v>0</v>
      </c>
      <c r="AF195" s="4">
        <f t="shared" si="68"/>
        <v>0</v>
      </c>
      <c r="AG195" s="6">
        <f t="shared" si="69"/>
        <v>0</v>
      </c>
      <c r="AH195" s="13" t="str">
        <f>higiene[[#This Row],[Item]]</f>
        <v>Pasta de Dente Pacote 3 Unidades (70g)</v>
      </c>
      <c r="AI195" s="9">
        <f>IFERROR(higiene[[#This Row],[Kg equivalente]],0)</f>
        <v>0</v>
      </c>
      <c r="AJ195" s="9">
        <f>IFERROR(higiene[[#This Row],[Preço por produto]],0)</f>
        <v>6.59</v>
      </c>
      <c r="AK195" s="4">
        <f>SUMIFS(super1[Qtde],super1[Item],tab_higiene[[#This Row],[Item]],super1[Bairro],mercado1)+SUMIFS(supercb[Qtde],supercb[Item],tab_higiene[[#This Row],[Item]],supercb[Bairro],mercado1)</f>
        <v>0</v>
      </c>
      <c r="AL195" s="4">
        <f>SUMIFS(super1[Qtde],super1[Item],tab_higiene[[#This Row],[Item]],super1[Bairro],mercado2)+SUMIFS(supercb[Qtde],supercb[Item],tab_higiene[[#This Row],[Item]],supercb[Bairro],mercado2)</f>
        <v>0</v>
      </c>
      <c r="AM195" s="4">
        <f>SUMIFS(super1[Qtde],super1[Item],tab_higiene[[#This Row],[Item]],super1[Bairro],mercado3)+SUMIFS(supercb[Qtde],supercb[Item],tab_higiene[[#This Row],[Item]],supercb[Bairro],mercado3)</f>
        <v>0</v>
      </c>
      <c r="AN195" s="4">
        <f>SUMIFS(super1[Qtde],super1[Item],tab_higiene[[#This Row],[Item]],super1[Bairro],mercado4)+SUMIFS(supercb[Qtde],supercb[Item],tab_higiene[[#This Row],[Item]],supercb[Bairro],mercado4)</f>
        <v>0</v>
      </c>
      <c r="AO195" s="4">
        <f>SUMIFS(super1[Qtde],super1[Item],tab_higiene[[#This Row],[Item]],super1[Bairro],mercado5)+SUMIFS(supercb[Qtde],supercb[Item],tab_higiene[[#This Row],[Item]],supercb[Bairro],mercado5)</f>
        <v>0</v>
      </c>
      <c r="AP195" s="4">
        <f>SUMIFS(super1[Qtde],super1[Item],tab_higiene[[#This Row],[Item]],super1[Bairro],mercado6)+SUMIFS(supercb[Qtde],supercb[Item],tab_higiene[[#This Row],[Item]],supercb[Bairro],mercado6)</f>
        <v>0</v>
      </c>
      <c r="AQ195" s="4">
        <f>SUMIFS(super1[Qtde],super1[Item],tab_higiene[[#This Row],[Item]],super1[Bairro],mercado7)+SUMIFS(supercb[Qtde],supercb[Item],tab_higiene[[#This Row],[Item]],supercb[Bairro],mercado7)</f>
        <v>0</v>
      </c>
      <c r="AR195" s="4">
        <f>SUMIFS(super1[Qtde],super1[Item],tab_higiene[[#This Row],[Item]],super1[Bairro],mercado8)+SUMIFS(supercb[Qtde],supercb[Item],tab_higiene[[#This Row],[Item]],supercb[Bairro],mercado8)</f>
        <v>0</v>
      </c>
      <c r="AS195" s="4">
        <f>SUMIFS(super1[Qtde],super1[Item],tab_higiene[[#This Row],[Item]],super1[Bairro],mercado9)+SUMIFS(supercb[Qtde],supercb[Item],tab_higiene[[#This Row],[Item]],supercb[Bairro],mercado9)</f>
        <v>0</v>
      </c>
      <c r="AT195" s="4">
        <f>SUMIFS(super1[Qtde],super1[Item],tab_higiene[[#This Row],[Item]],super1[Bairro],mercado10)+SUMIFS(supercb[Qtde],supercb[Item],tab_higiene[[#This Row],[Item]],supercb[Bairro],mercado10)</f>
        <v>0</v>
      </c>
      <c r="AU195" s="4">
        <f>SUMIFS(super1[Qtde],super1[Item],tab_higiene[[#This Row],[Item]],super1[Bairro],mercado11)+SUMIFS(supercb[Qtde],supercb[Item],tab_higiene[[#This Row],[Item]],supercb[Bairro],mercado11)</f>
        <v>0</v>
      </c>
      <c r="AV195" s="4">
        <f>SUMIFS(super1[Qtde],super1[Item],tab_higiene[[#This Row],[Item]],super1[Bairro],mercado12)+SUMIFS(supercb[Qtde],supercb[Item],tab_higiene[[#This Row],[Item]],supercb[Bairro],mercado12)</f>
        <v>0</v>
      </c>
      <c r="AW195" s="4">
        <f>SUMIFS(super1[Qtde],super1[Item],tab_higiene[[#This Row],[Item]],super1[Bairro],mercado13)+SUMIFS(supercb[Qtde],supercb[Item],tab_higiene[[#This Row],[Item]],supercb[Bairro],mercado13)</f>
        <v>0</v>
      </c>
      <c r="AX195" s="4">
        <f>SUMIFS(super1[Qtde],super1[Item],tab_higiene[[#This Row],[Item]],super1[Bairro],mercado14)+SUMIFS(supercb[Qtde],supercb[Item],tab_higiene[[#This Row],[Item]],supercb[Bairro],mercado14)</f>
        <v>0</v>
      </c>
      <c r="AY195" s="4">
        <f>SUMIFS(super1[Qtde],super1[Item],tab_higiene[[#This Row],[Item]],super1[Bairro],mercado15)+SUMIFS(supercb[Qtde],supercb[Item],tab_higiene[[#This Row],[Item]],supercb[Bairro],mercado15)</f>
        <v>0</v>
      </c>
      <c r="AZ195" s="4">
        <f>SUMIFS(super1[Qtde],super1[Item],tab_higiene[[#This Row],[Item]],super1[Bairro],mercado16)+SUMIFS(supercb[Qtde],supercb[Item],tab_higiene[[#This Row],[Item]],supercb[Bairro],mercado16)</f>
        <v>0</v>
      </c>
      <c r="BA195" s="4">
        <f>SUMIFS(super1[Qtde],super1[Item],tab_higiene[[#This Row],[Item]],super1[Bairro],mercado17)+SUMIFS(supercb[Qtde],supercb[Item],tab_higiene[[#This Row],[Item]],supercb[Bairro],mercado17)</f>
        <v>0</v>
      </c>
      <c r="BB195" s="4">
        <f>SUMIFS(super1[Qtde],super1[Item],tab_higiene[[#This Row],[Item]],super1[Bairro],mercado18)+SUMIFS(supercb[Qtde],supercb[Item],tab_higiene[[#This Row],[Item]],supercb[Bairro],mercado18)</f>
        <v>0</v>
      </c>
      <c r="BC195" s="31">
        <f>SUMIFS(super1[Qtde],super1[Item],tab_higiene[[#This Row],[Item]],super1[Bairro],extras)+SUMIFS(supercb[Qtde],supercb[Item],tab_higiene[[#This Row],[Item]],supercb[Bairro],extras)</f>
        <v>0</v>
      </c>
      <c r="BD195" s="9">
        <f t="shared" si="76"/>
        <v>0</v>
      </c>
      <c r="BE195" s="9">
        <f t="shared" si="77"/>
        <v>0</v>
      </c>
      <c r="BF195" s="18">
        <f t="shared" si="78"/>
        <v>0</v>
      </c>
    </row>
    <row r="196" spans="9:58" ht="15.75" thickBot="1" x14ac:dyDescent="0.3">
      <c r="I196" s="19" t="str">
        <f>alimentos[[#This Row],[Item]]</f>
        <v>Ervilha Lata (300g)</v>
      </c>
      <c r="J196" s="4">
        <f>IFERROR(alimentos[[#This Row],[kg/embalagem]],0)</f>
        <v>0.3</v>
      </c>
      <c r="K196" s="4">
        <f>IFERROR(alimentos[[#This Row],[Preço]],0)</f>
        <v>3.97</v>
      </c>
      <c r="L196" s="4">
        <f>SUMIFS(super1[Qtde],super1[Item],tab_alimentos[[#This Row],[Item]],super1[Bairro],mercado1)+SUMIFS(supercb[Qtde],supercb[Item],tab_alimentos[[#This Row],[Item]],supercb[Bairro],mercado1)</f>
        <v>0</v>
      </c>
      <c r="M196" s="4">
        <f>SUMIFS(super1[Qtde],super1[Item],tab_alimentos[[#This Row],[Item]],super1[Bairro],mercado2)+SUMIFS(supercb[Qtde],supercb[Item],tab_alimentos[[#This Row],[Item]],supercb[Bairro],mercado2)</f>
        <v>0</v>
      </c>
      <c r="N196" s="4">
        <f>SUMIFS(super1[Qtde],super1[Item],tab_alimentos[[#This Row],[Item]],super1[Bairro],mercado3)+SUMIFS(supercb[Qtde],supercb[Item],tab_alimentos[[#This Row],[Item]],supercb[Bairro],mercado3)</f>
        <v>0</v>
      </c>
      <c r="O196" s="4">
        <f>SUMIFS(super1[Qtde],super1[Item],tab_alimentos[[#This Row],[Item]],super1[Bairro],mercado4)+SUMIFS(supercb[Qtde],supercb[Item],tab_alimentos[[#This Row],[Item]],supercb[Bairro],mercado4)</f>
        <v>0</v>
      </c>
      <c r="P196" s="4">
        <f>SUMIFS(super1[Qtde],super1[Item],tab_alimentos[[#This Row],[Item]],super1[Bairro],mercado5)+SUMIFS(supercb[Qtde],supercb[Item],tab_alimentos[[#This Row],[Item]],supercb[Bairro],mercado5)</f>
        <v>0</v>
      </c>
      <c r="Q196" s="4">
        <f>SUMIFS(super1[Qtde],super1[Item],tab_alimentos[[#This Row],[Item]],super1[Bairro],mercado6)+SUMIFS(supercb[Qtde],supercb[Item],tab_alimentos[[#This Row],[Item]],supercb[Bairro],mercado6)</f>
        <v>0</v>
      </c>
      <c r="R196" s="4">
        <f>SUMIFS(super1[Qtde],super1[Item],tab_alimentos[[#This Row],[Item]],super1[Bairro],mercado7)+SUMIFS(supercb[Qtde],supercb[Item],tab_alimentos[[#This Row],[Item]],supercb[Bairro],mercado7)</f>
        <v>0</v>
      </c>
      <c r="S196" s="4">
        <f>SUMIFS(super1[Qtde],super1[Item],tab_alimentos[[#This Row],[Item]],super1[Bairro],mercado8)+SUMIFS(supercb[Qtde],supercb[Item],tab_alimentos[[#This Row],[Item]],supercb[Bairro],mercado8)</f>
        <v>0</v>
      </c>
      <c r="T196" s="4">
        <f>SUMIFS(super1[Qtde],super1[Item],tab_alimentos[[#This Row],[Item]],super1[Bairro],mercado9)+SUMIFS(supercb[Qtde],supercb[Item],tab_alimentos[[#This Row],[Item]],supercb[Bairro],mercado9)</f>
        <v>0</v>
      </c>
      <c r="U196" s="4">
        <f>SUMIFS(super1[Qtde],super1[Item],tab_alimentos[[#This Row],[Item]],super1[Bairro],mercado10)+SUMIFS(supercb[Qtde],supercb[Item],tab_alimentos[[#This Row],[Item]],supercb[Bairro],mercado10)</f>
        <v>0</v>
      </c>
      <c r="V196" s="4">
        <f>SUMIFS(super1[Qtde],super1[Item],tab_alimentos[[#This Row],[Item]],super1[Bairro],mercado11)+SUMIFS(supercb[Qtde],supercb[Item],tab_alimentos[[#This Row],[Item]],supercb[Bairro],mercado11)</f>
        <v>0</v>
      </c>
      <c r="W196" s="4">
        <f>SUMIFS(super1[Qtde],super1[Item],tab_alimentos[[#This Row],[Item]],super1[Bairro],mercado12)+SUMIFS(supercb[Qtde],supercb[Item],tab_alimentos[[#This Row],[Item]],supercb[Bairro],mercado12)</f>
        <v>0</v>
      </c>
      <c r="X196" s="4">
        <f>SUMIFS(super1[Qtde],super1[Item],tab_alimentos[[#This Row],[Item]],super1[Bairro],mercado13)+SUMIFS(supercb[Qtde],supercb[Item],tab_alimentos[[#This Row],[Item]],supercb[Bairro],mercado13)</f>
        <v>0</v>
      </c>
      <c r="Y196" s="4">
        <f>SUMIFS(super1[Qtde],super1[Item],tab_alimentos[[#This Row],[Item]],super1[Bairro],mercado14)+SUMIFS(supercb[Qtde],supercb[Item],tab_alimentos[[#This Row],[Item]],supercb[Bairro],mercado14)</f>
        <v>0</v>
      </c>
      <c r="Z196" s="4">
        <f>SUMIFS(super1[Qtde],super1[Item],tab_alimentos[[#This Row],[Item]],super1[Bairro],mercado15)+SUMIFS(supercb[Qtde],supercb[Item],tab_alimentos[[#This Row],[Item]],supercb[Bairro],mercado15)</f>
        <v>0</v>
      </c>
      <c r="AA196" s="4">
        <f>SUMIFS(super1[Qtde],super1[Item],tab_alimentos[[#This Row],[Item]],super1[Bairro],mercado16)+SUMIFS(supercb[Qtde],supercb[Item],tab_alimentos[[#This Row],[Item]],supercb[Bairro],mercado16)</f>
        <v>0</v>
      </c>
      <c r="AB196" s="4">
        <f>SUMIFS(super1[Qtde],super1[Item],tab_alimentos[[#This Row],[Item]],super1[Bairro],mercado17)+SUMIFS(supercb[Qtde],supercb[Item],tab_alimentos[[#This Row],[Item]],supercb[Bairro],mercado17)</f>
        <v>0</v>
      </c>
      <c r="AC196" s="4">
        <f>SUMIFS(super1[Qtde],super1[Item],tab_alimentos[[#This Row],[Item]],super1[Bairro],mercado18)+SUMIFS(supercb[Qtde],supercb[Item],tab_alimentos[[#This Row],[Item]],supercb[Bairro],mercado18)</f>
        <v>0</v>
      </c>
      <c r="AD196" s="4">
        <f>SUMIFS(super1[Qtde],super1[Item],tab_alimentos[[#This Row],[Item]],super1[Bairro],extras)+SUMIFS(supercb[Qtde],supercb[Item],tab_alimentos[[#This Row],[Item]],supercb[Bairro],extras)</f>
        <v>0</v>
      </c>
      <c r="AE196" s="4">
        <f t="shared" si="67"/>
        <v>0</v>
      </c>
      <c r="AF196" s="4">
        <f t="shared" si="68"/>
        <v>0</v>
      </c>
      <c r="AG196" s="6">
        <f t="shared" si="69"/>
        <v>0</v>
      </c>
      <c r="AH196" s="13" t="str">
        <f>higiene[[#This Row],[Item]]</f>
        <v>Perfume (100mL)</v>
      </c>
      <c r="AI196" s="9">
        <f>IFERROR(higiene[[#This Row],[Kg equivalente]],0)</f>
        <v>0</v>
      </c>
      <c r="AJ196" s="9">
        <f>IFERROR(higiene[[#This Row],[Preço por produto]],0)</f>
        <v>38.700000000000003</v>
      </c>
      <c r="AK196" s="4">
        <f>SUMIFS(super1[Qtde],super1[Item],tab_higiene[[#This Row],[Item]],super1[Bairro],mercado1)+SUMIFS(supercb[Qtde],supercb[Item],tab_higiene[[#This Row],[Item]],supercb[Bairro],mercado1)</f>
        <v>0</v>
      </c>
      <c r="AL196" s="4">
        <f>SUMIFS(super1[Qtde],super1[Item],tab_higiene[[#This Row],[Item]],super1[Bairro],mercado2)+SUMIFS(supercb[Qtde],supercb[Item],tab_higiene[[#This Row],[Item]],supercb[Bairro],mercado2)</f>
        <v>0</v>
      </c>
      <c r="AM196" s="4">
        <f>SUMIFS(super1[Qtde],super1[Item],tab_higiene[[#This Row],[Item]],super1[Bairro],mercado3)+SUMIFS(supercb[Qtde],supercb[Item],tab_higiene[[#This Row],[Item]],supercb[Bairro],mercado3)</f>
        <v>0</v>
      </c>
      <c r="AN196" s="4">
        <f>SUMIFS(super1[Qtde],super1[Item],tab_higiene[[#This Row],[Item]],super1[Bairro],mercado4)+SUMIFS(supercb[Qtde],supercb[Item],tab_higiene[[#This Row],[Item]],supercb[Bairro],mercado4)</f>
        <v>0</v>
      </c>
      <c r="AO196" s="4">
        <f>SUMIFS(super1[Qtde],super1[Item],tab_higiene[[#This Row],[Item]],super1[Bairro],mercado5)+SUMIFS(supercb[Qtde],supercb[Item],tab_higiene[[#This Row],[Item]],supercb[Bairro],mercado5)</f>
        <v>0</v>
      </c>
      <c r="AP196" s="4">
        <f>SUMIFS(super1[Qtde],super1[Item],tab_higiene[[#This Row],[Item]],super1[Bairro],mercado6)+SUMIFS(supercb[Qtde],supercb[Item],tab_higiene[[#This Row],[Item]],supercb[Bairro],mercado6)</f>
        <v>0</v>
      </c>
      <c r="AQ196" s="4">
        <f>SUMIFS(super1[Qtde],super1[Item],tab_higiene[[#This Row],[Item]],super1[Bairro],mercado7)+SUMIFS(supercb[Qtde],supercb[Item],tab_higiene[[#This Row],[Item]],supercb[Bairro],mercado7)</f>
        <v>0</v>
      </c>
      <c r="AR196" s="4">
        <f>SUMIFS(super1[Qtde],super1[Item],tab_higiene[[#This Row],[Item]],super1[Bairro],mercado8)+SUMIFS(supercb[Qtde],supercb[Item],tab_higiene[[#This Row],[Item]],supercb[Bairro],mercado8)</f>
        <v>0</v>
      </c>
      <c r="AS196" s="4">
        <f>SUMIFS(super1[Qtde],super1[Item],tab_higiene[[#This Row],[Item]],super1[Bairro],mercado9)+SUMIFS(supercb[Qtde],supercb[Item],tab_higiene[[#This Row],[Item]],supercb[Bairro],mercado9)</f>
        <v>0</v>
      </c>
      <c r="AT196" s="4">
        <f>SUMIFS(super1[Qtde],super1[Item],tab_higiene[[#This Row],[Item]],super1[Bairro],mercado10)+SUMIFS(supercb[Qtde],supercb[Item],tab_higiene[[#This Row],[Item]],supercb[Bairro],mercado10)</f>
        <v>0</v>
      </c>
      <c r="AU196" s="4">
        <f>SUMIFS(super1[Qtde],super1[Item],tab_higiene[[#This Row],[Item]],super1[Bairro],mercado11)+SUMIFS(supercb[Qtde],supercb[Item],tab_higiene[[#This Row],[Item]],supercb[Bairro],mercado11)</f>
        <v>0</v>
      </c>
      <c r="AV196" s="4">
        <f>SUMIFS(super1[Qtde],super1[Item],tab_higiene[[#This Row],[Item]],super1[Bairro],mercado12)+SUMIFS(supercb[Qtde],supercb[Item],tab_higiene[[#This Row],[Item]],supercb[Bairro],mercado12)</f>
        <v>0</v>
      </c>
      <c r="AW196" s="4">
        <f>SUMIFS(super1[Qtde],super1[Item],tab_higiene[[#This Row],[Item]],super1[Bairro],mercado13)+SUMIFS(supercb[Qtde],supercb[Item],tab_higiene[[#This Row],[Item]],supercb[Bairro],mercado13)</f>
        <v>0</v>
      </c>
      <c r="AX196" s="4">
        <f>SUMIFS(super1[Qtde],super1[Item],tab_higiene[[#This Row],[Item]],super1[Bairro],mercado14)+SUMIFS(supercb[Qtde],supercb[Item],tab_higiene[[#This Row],[Item]],supercb[Bairro],mercado14)</f>
        <v>0</v>
      </c>
      <c r="AY196" s="4">
        <f>SUMIFS(super1[Qtde],super1[Item],tab_higiene[[#This Row],[Item]],super1[Bairro],mercado15)+SUMIFS(supercb[Qtde],supercb[Item],tab_higiene[[#This Row],[Item]],supercb[Bairro],mercado15)</f>
        <v>0</v>
      </c>
      <c r="AZ196" s="4">
        <f>SUMIFS(super1[Qtde],super1[Item],tab_higiene[[#This Row],[Item]],super1[Bairro],mercado16)+SUMIFS(supercb[Qtde],supercb[Item],tab_higiene[[#This Row],[Item]],supercb[Bairro],mercado16)</f>
        <v>0</v>
      </c>
      <c r="BA196" s="4">
        <f>SUMIFS(super1[Qtde],super1[Item],tab_higiene[[#This Row],[Item]],super1[Bairro],mercado17)+SUMIFS(supercb[Qtde],supercb[Item],tab_higiene[[#This Row],[Item]],supercb[Bairro],mercado17)</f>
        <v>0</v>
      </c>
      <c r="BB196" s="4">
        <f>SUMIFS(super1[Qtde],super1[Item],tab_higiene[[#This Row],[Item]],super1[Bairro],mercado18)+SUMIFS(supercb[Qtde],supercb[Item],tab_higiene[[#This Row],[Item]],supercb[Bairro],mercado18)</f>
        <v>0</v>
      </c>
      <c r="BC196" s="31">
        <f>SUMIFS(super1[Qtde],super1[Item],tab_higiene[[#This Row],[Item]],super1[Bairro],extras)+SUMIFS(supercb[Qtde],supercb[Item],tab_higiene[[#This Row],[Item]],supercb[Bairro],extras)</f>
        <v>0</v>
      </c>
      <c r="BD196" s="9">
        <f t="shared" si="76"/>
        <v>0</v>
      </c>
      <c r="BE196" s="9">
        <f t="shared" si="77"/>
        <v>0</v>
      </c>
      <c r="BF196" s="18">
        <f t="shared" si="78"/>
        <v>0</v>
      </c>
    </row>
    <row r="197" spans="9:58" ht="15.75" thickBot="1" x14ac:dyDescent="0.3">
      <c r="I197" s="19" t="str">
        <f>alimentos[[#This Row],[Item]]</f>
        <v>Ervilha Sachê (300g)</v>
      </c>
      <c r="J197" s="4">
        <f>IFERROR(alimentos[[#This Row],[kg/embalagem]],0)</f>
        <v>0.3</v>
      </c>
      <c r="K197" s="4">
        <f>IFERROR(alimentos[[#This Row],[Preço]],0)</f>
        <v>3.79</v>
      </c>
      <c r="L197" s="4">
        <f>SUMIFS(super1[Qtde],super1[Item],tab_alimentos[[#This Row],[Item]],super1[Bairro],mercado1)+SUMIFS(supercb[Qtde],supercb[Item],tab_alimentos[[#This Row],[Item]],supercb[Bairro],mercado1)</f>
        <v>0</v>
      </c>
      <c r="M197" s="4">
        <f>SUMIFS(super1[Qtde],super1[Item],tab_alimentos[[#This Row],[Item]],super1[Bairro],mercado2)+SUMIFS(supercb[Qtde],supercb[Item],tab_alimentos[[#This Row],[Item]],supercb[Bairro],mercado2)</f>
        <v>0</v>
      </c>
      <c r="N197" s="4">
        <f>SUMIFS(super1[Qtde],super1[Item],tab_alimentos[[#This Row],[Item]],super1[Bairro],mercado3)+SUMIFS(supercb[Qtde],supercb[Item],tab_alimentos[[#This Row],[Item]],supercb[Bairro],mercado3)</f>
        <v>0</v>
      </c>
      <c r="O197" s="4">
        <f>SUMIFS(super1[Qtde],super1[Item],tab_alimentos[[#This Row],[Item]],super1[Bairro],mercado4)+SUMIFS(supercb[Qtde],supercb[Item],tab_alimentos[[#This Row],[Item]],supercb[Bairro],mercado4)</f>
        <v>0</v>
      </c>
      <c r="P197" s="4">
        <f>SUMIFS(super1[Qtde],super1[Item],tab_alimentos[[#This Row],[Item]],super1[Bairro],mercado5)+SUMIFS(supercb[Qtde],supercb[Item],tab_alimentos[[#This Row],[Item]],supercb[Bairro],mercado5)</f>
        <v>0</v>
      </c>
      <c r="Q197" s="4">
        <f>SUMIFS(super1[Qtde],super1[Item],tab_alimentos[[#This Row],[Item]],super1[Bairro],mercado6)+SUMIFS(supercb[Qtde],supercb[Item],tab_alimentos[[#This Row],[Item]],supercb[Bairro],mercado6)</f>
        <v>0</v>
      </c>
      <c r="R197" s="4">
        <f>SUMIFS(super1[Qtde],super1[Item],tab_alimentos[[#This Row],[Item]],super1[Bairro],mercado7)+SUMIFS(supercb[Qtde],supercb[Item],tab_alimentos[[#This Row],[Item]],supercb[Bairro],mercado7)</f>
        <v>0</v>
      </c>
      <c r="S197" s="4">
        <f>SUMIFS(super1[Qtde],super1[Item],tab_alimentos[[#This Row],[Item]],super1[Bairro],mercado8)+SUMIFS(supercb[Qtde],supercb[Item],tab_alimentos[[#This Row],[Item]],supercb[Bairro],mercado8)</f>
        <v>0</v>
      </c>
      <c r="T197" s="4">
        <f>SUMIFS(super1[Qtde],super1[Item],tab_alimentos[[#This Row],[Item]],super1[Bairro],mercado9)+SUMIFS(supercb[Qtde],supercb[Item],tab_alimentos[[#This Row],[Item]],supercb[Bairro],mercado9)</f>
        <v>0</v>
      </c>
      <c r="U197" s="4">
        <f>SUMIFS(super1[Qtde],super1[Item],tab_alimentos[[#This Row],[Item]],super1[Bairro],mercado10)+SUMIFS(supercb[Qtde],supercb[Item],tab_alimentos[[#This Row],[Item]],supercb[Bairro],mercado10)</f>
        <v>0</v>
      </c>
      <c r="V197" s="4">
        <f>SUMIFS(super1[Qtde],super1[Item],tab_alimentos[[#This Row],[Item]],super1[Bairro],mercado11)+SUMIFS(supercb[Qtde],supercb[Item],tab_alimentos[[#This Row],[Item]],supercb[Bairro],mercado11)</f>
        <v>0</v>
      </c>
      <c r="W197" s="4">
        <f>SUMIFS(super1[Qtde],super1[Item],tab_alimentos[[#This Row],[Item]],super1[Bairro],mercado12)+SUMIFS(supercb[Qtde],supercb[Item],tab_alimentos[[#This Row],[Item]],supercb[Bairro],mercado12)</f>
        <v>0</v>
      </c>
      <c r="X197" s="4">
        <f>SUMIFS(super1[Qtde],super1[Item],tab_alimentos[[#This Row],[Item]],super1[Bairro],mercado13)+SUMIFS(supercb[Qtde],supercb[Item],tab_alimentos[[#This Row],[Item]],supercb[Bairro],mercado13)</f>
        <v>0</v>
      </c>
      <c r="Y197" s="4">
        <f>SUMIFS(super1[Qtde],super1[Item],tab_alimentos[[#This Row],[Item]],super1[Bairro],mercado14)+SUMIFS(supercb[Qtde],supercb[Item],tab_alimentos[[#This Row],[Item]],supercb[Bairro],mercado14)</f>
        <v>0</v>
      </c>
      <c r="Z197" s="4">
        <f>SUMIFS(super1[Qtde],super1[Item],tab_alimentos[[#This Row],[Item]],super1[Bairro],mercado15)+SUMIFS(supercb[Qtde],supercb[Item],tab_alimentos[[#This Row],[Item]],supercb[Bairro],mercado15)</f>
        <v>0</v>
      </c>
      <c r="AA197" s="4">
        <f>SUMIFS(super1[Qtde],super1[Item],tab_alimentos[[#This Row],[Item]],super1[Bairro],mercado16)+SUMIFS(supercb[Qtde],supercb[Item],tab_alimentos[[#This Row],[Item]],supercb[Bairro],mercado16)</f>
        <v>0</v>
      </c>
      <c r="AB197" s="4">
        <f>SUMIFS(super1[Qtde],super1[Item],tab_alimentos[[#This Row],[Item]],super1[Bairro],mercado17)+SUMIFS(supercb[Qtde],supercb[Item],tab_alimentos[[#This Row],[Item]],supercb[Bairro],mercado17)</f>
        <v>0</v>
      </c>
      <c r="AC197" s="4">
        <f>SUMIFS(super1[Qtde],super1[Item],tab_alimentos[[#This Row],[Item]],super1[Bairro],mercado18)+SUMIFS(supercb[Qtde],supercb[Item],tab_alimentos[[#This Row],[Item]],supercb[Bairro],mercado18)</f>
        <v>0</v>
      </c>
      <c r="AD197" s="4">
        <f>SUMIFS(super1[Qtde],super1[Item],tab_alimentos[[#This Row],[Item]],super1[Bairro],extras)+SUMIFS(supercb[Qtde],supercb[Item],tab_alimentos[[#This Row],[Item]],supercb[Bairro],extras)</f>
        <v>0</v>
      </c>
      <c r="AE197" s="4">
        <f t="shared" si="67"/>
        <v>0</v>
      </c>
      <c r="AF197" s="4">
        <f t="shared" si="68"/>
        <v>0</v>
      </c>
      <c r="AG197" s="6">
        <f t="shared" si="69"/>
        <v>0</v>
      </c>
      <c r="AH197" s="13" t="str">
        <f>higiene[[#This Row],[Item]]</f>
        <v>Perfume de Bebê (500 mL)</v>
      </c>
      <c r="AI197" s="9">
        <f>IFERROR(higiene[[#This Row],[Kg equivalente]],0)</f>
        <v>0</v>
      </c>
      <c r="AJ197" s="9">
        <f>IFERROR(higiene[[#This Row],[Preço por produto]],0)</f>
        <v>8.24</v>
      </c>
      <c r="AK197" s="4">
        <f>SUMIFS(super1[Qtde],super1[Item],tab_higiene[[#This Row],[Item]],super1[Bairro],mercado1)+SUMIFS(supercb[Qtde],supercb[Item],tab_higiene[[#This Row],[Item]],supercb[Bairro],mercado1)</f>
        <v>0</v>
      </c>
      <c r="AL197" s="4">
        <f>SUMIFS(super1[Qtde],super1[Item],tab_higiene[[#This Row],[Item]],super1[Bairro],mercado2)+SUMIFS(supercb[Qtde],supercb[Item],tab_higiene[[#This Row],[Item]],supercb[Bairro],mercado2)</f>
        <v>0</v>
      </c>
      <c r="AM197" s="4">
        <f>SUMIFS(super1[Qtde],super1[Item],tab_higiene[[#This Row],[Item]],super1[Bairro],mercado3)+SUMIFS(supercb[Qtde],supercb[Item],tab_higiene[[#This Row],[Item]],supercb[Bairro],mercado3)</f>
        <v>0</v>
      </c>
      <c r="AN197" s="4">
        <f>SUMIFS(super1[Qtde],super1[Item],tab_higiene[[#This Row],[Item]],super1[Bairro],mercado4)+SUMIFS(supercb[Qtde],supercb[Item],tab_higiene[[#This Row],[Item]],supercb[Bairro],mercado4)</f>
        <v>0</v>
      </c>
      <c r="AO197" s="4">
        <f>SUMIFS(super1[Qtde],super1[Item],tab_higiene[[#This Row],[Item]],super1[Bairro],mercado5)+SUMIFS(supercb[Qtde],supercb[Item],tab_higiene[[#This Row],[Item]],supercb[Bairro],mercado5)</f>
        <v>0</v>
      </c>
      <c r="AP197" s="4">
        <f>SUMIFS(super1[Qtde],super1[Item],tab_higiene[[#This Row],[Item]],super1[Bairro],mercado6)+SUMIFS(supercb[Qtde],supercb[Item],tab_higiene[[#This Row],[Item]],supercb[Bairro],mercado6)</f>
        <v>0</v>
      </c>
      <c r="AQ197" s="4">
        <f>SUMIFS(super1[Qtde],super1[Item],tab_higiene[[#This Row],[Item]],super1[Bairro],mercado7)+SUMIFS(supercb[Qtde],supercb[Item],tab_higiene[[#This Row],[Item]],supercb[Bairro],mercado7)</f>
        <v>0</v>
      </c>
      <c r="AR197" s="4">
        <f>SUMIFS(super1[Qtde],super1[Item],tab_higiene[[#This Row],[Item]],super1[Bairro],mercado8)+SUMIFS(supercb[Qtde],supercb[Item],tab_higiene[[#This Row],[Item]],supercb[Bairro],mercado8)</f>
        <v>0</v>
      </c>
      <c r="AS197" s="4">
        <f>SUMIFS(super1[Qtde],super1[Item],tab_higiene[[#This Row],[Item]],super1[Bairro],mercado9)+SUMIFS(supercb[Qtde],supercb[Item],tab_higiene[[#This Row],[Item]],supercb[Bairro],mercado9)</f>
        <v>0</v>
      </c>
      <c r="AT197" s="4">
        <f>SUMIFS(super1[Qtde],super1[Item],tab_higiene[[#This Row],[Item]],super1[Bairro],mercado10)+SUMIFS(supercb[Qtde],supercb[Item],tab_higiene[[#This Row],[Item]],supercb[Bairro],mercado10)</f>
        <v>0</v>
      </c>
      <c r="AU197" s="4">
        <f>SUMIFS(super1[Qtde],super1[Item],tab_higiene[[#This Row],[Item]],super1[Bairro],mercado11)+SUMIFS(supercb[Qtde],supercb[Item],tab_higiene[[#This Row],[Item]],supercb[Bairro],mercado11)</f>
        <v>0</v>
      </c>
      <c r="AV197" s="4">
        <f>SUMIFS(super1[Qtde],super1[Item],tab_higiene[[#This Row],[Item]],super1[Bairro],mercado12)+SUMIFS(supercb[Qtde],supercb[Item],tab_higiene[[#This Row],[Item]],supercb[Bairro],mercado12)</f>
        <v>0</v>
      </c>
      <c r="AW197" s="4">
        <f>SUMIFS(super1[Qtde],super1[Item],tab_higiene[[#This Row],[Item]],super1[Bairro],mercado13)+SUMIFS(supercb[Qtde],supercb[Item],tab_higiene[[#This Row],[Item]],supercb[Bairro],mercado13)</f>
        <v>0</v>
      </c>
      <c r="AX197" s="4">
        <f>SUMIFS(super1[Qtde],super1[Item],tab_higiene[[#This Row],[Item]],super1[Bairro],mercado14)+SUMIFS(supercb[Qtde],supercb[Item],tab_higiene[[#This Row],[Item]],supercb[Bairro],mercado14)</f>
        <v>0</v>
      </c>
      <c r="AY197" s="4">
        <f>SUMIFS(super1[Qtde],super1[Item],tab_higiene[[#This Row],[Item]],super1[Bairro],mercado15)+SUMIFS(supercb[Qtde],supercb[Item],tab_higiene[[#This Row],[Item]],supercb[Bairro],mercado15)</f>
        <v>0</v>
      </c>
      <c r="AZ197" s="4">
        <f>SUMIFS(super1[Qtde],super1[Item],tab_higiene[[#This Row],[Item]],super1[Bairro],mercado16)+SUMIFS(supercb[Qtde],supercb[Item],tab_higiene[[#This Row],[Item]],supercb[Bairro],mercado16)</f>
        <v>0</v>
      </c>
      <c r="BA197" s="4">
        <f>SUMIFS(super1[Qtde],super1[Item],tab_higiene[[#This Row],[Item]],super1[Bairro],mercado17)+SUMIFS(supercb[Qtde],supercb[Item],tab_higiene[[#This Row],[Item]],supercb[Bairro],mercado17)</f>
        <v>0</v>
      </c>
      <c r="BB197" s="4">
        <f>SUMIFS(super1[Qtde],super1[Item],tab_higiene[[#This Row],[Item]],super1[Bairro],mercado18)+SUMIFS(supercb[Qtde],supercb[Item],tab_higiene[[#This Row],[Item]],supercb[Bairro],mercado18)</f>
        <v>0</v>
      </c>
      <c r="BC197" s="31">
        <f>SUMIFS(super1[Qtde],super1[Item],tab_higiene[[#This Row],[Item]],super1[Bairro],extras)+SUMIFS(supercb[Qtde],supercb[Item],tab_higiene[[#This Row],[Item]],supercb[Bairro],extras)</f>
        <v>0</v>
      </c>
      <c r="BD197" s="9">
        <f t="shared" si="76"/>
        <v>0</v>
      </c>
      <c r="BE197" s="9">
        <f t="shared" si="77"/>
        <v>0</v>
      </c>
      <c r="BF197" s="18">
        <f t="shared" si="78"/>
        <v>0</v>
      </c>
    </row>
    <row r="198" spans="9:58" ht="15.75" thickBot="1" x14ac:dyDescent="0.3">
      <c r="I198" s="19" t="str">
        <f>alimentos[[#This Row],[Item]]</f>
        <v>Ervilha Seca (500g)</v>
      </c>
      <c r="J198" s="4">
        <f>IFERROR(alimentos[[#This Row],[kg/embalagem]],0)</f>
        <v>0.5</v>
      </c>
      <c r="K198" s="4">
        <f>IFERROR(alimentos[[#This Row],[Preço]],0)</f>
        <v>7.79</v>
      </c>
      <c r="L198" s="4">
        <f>SUMIFS(super1[Qtde],super1[Item],tab_alimentos[[#This Row],[Item]],super1[Bairro],mercado1)+SUMIFS(supercb[Qtde],supercb[Item],tab_alimentos[[#This Row],[Item]],supercb[Bairro],mercado1)</f>
        <v>0</v>
      </c>
      <c r="M198" s="4">
        <f>SUMIFS(super1[Qtde],super1[Item],tab_alimentos[[#This Row],[Item]],super1[Bairro],mercado2)+SUMIFS(supercb[Qtde],supercb[Item],tab_alimentos[[#This Row],[Item]],supercb[Bairro],mercado2)</f>
        <v>0</v>
      </c>
      <c r="N198" s="4">
        <f>SUMIFS(super1[Qtde],super1[Item],tab_alimentos[[#This Row],[Item]],super1[Bairro],mercado3)+SUMIFS(supercb[Qtde],supercb[Item],tab_alimentos[[#This Row],[Item]],supercb[Bairro],mercado3)</f>
        <v>0</v>
      </c>
      <c r="O198" s="4">
        <f>SUMIFS(super1[Qtde],super1[Item],tab_alimentos[[#This Row],[Item]],super1[Bairro],mercado4)+SUMIFS(supercb[Qtde],supercb[Item],tab_alimentos[[#This Row],[Item]],supercb[Bairro],mercado4)</f>
        <v>0</v>
      </c>
      <c r="P198" s="4">
        <f>SUMIFS(super1[Qtde],super1[Item],tab_alimentos[[#This Row],[Item]],super1[Bairro],mercado5)+SUMIFS(supercb[Qtde],supercb[Item],tab_alimentos[[#This Row],[Item]],supercb[Bairro],mercado5)</f>
        <v>0</v>
      </c>
      <c r="Q198" s="4">
        <f>SUMIFS(super1[Qtde],super1[Item],tab_alimentos[[#This Row],[Item]],super1[Bairro],mercado6)+SUMIFS(supercb[Qtde],supercb[Item],tab_alimentos[[#This Row],[Item]],supercb[Bairro],mercado6)</f>
        <v>0</v>
      </c>
      <c r="R198" s="4">
        <f>SUMIFS(super1[Qtde],super1[Item],tab_alimentos[[#This Row],[Item]],super1[Bairro],mercado7)+SUMIFS(supercb[Qtde],supercb[Item],tab_alimentos[[#This Row],[Item]],supercb[Bairro],mercado7)</f>
        <v>0</v>
      </c>
      <c r="S198" s="4">
        <f>SUMIFS(super1[Qtde],super1[Item],tab_alimentos[[#This Row],[Item]],super1[Bairro],mercado8)+SUMIFS(supercb[Qtde],supercb[Item],tab_alimentos[[#This Row],[Item]],supercb[Bairro],mercado8)</f>
        <v>0</v>
      </c>
      <c r="T198" s="4">
        <f>SUMIFS(super1[Qtde],super1[Item],tab_alimentos[[#This Row],[Item]],super1[Bairro],mercado9)+SUMIFS(supercb[Qtde],supercb[Item],tab_alimentos[[#This Row],[Item]],supercb[Bairro],mercado9)</f>
        <v>0</v>
      </c>
      <c r="U198" s="4">
        <f>SUMIFS(super1[Qtde],super1[Item],tab_alimentos[[#This Row],[Item]],super1[Bairro],mercado10)+SUMIFS(supercb[Qtde],supercb[Item],tab_alimentos[[#This Row],[Item]],supercb[Bairro],mercado10)</f>
        <v>0</v>
      </c>
      <c r="V198" s="4">
        <f>SUMIFS(super1[Qtde],super1[Item],tab_alimentos[[#This Row],[Item]],super1[Bairro],mercado11)+SUMIFS(supercb[Qtde],supercb[Item],tab_alimentos[[#This Row],[Item]],supercb[Bairro],mercado11)</f>
        <v>0</v>
      </c>
      <c r="W198" s="4">
        <f>SUMIFS(super1[Qtde],super1[Item],tab_alimentos[[#This Row],[Item]],super1[Bairro],mercado12)+SUMIFS(supercb[Qtde],supercb[Item],tab_alimentos[[#This Row],[Item]],supercb[Bairro],mercado12)</f>
        <v>0</v>
      </c>
      <c r="X198" s="4">
        <f>SUMIFS(super1[Qtde],super1[Item],tab_alimentos[[#This Row],[Item]],super1[Bairro],mercado13)+SUMIFS(supercb[Qtde],supercb[Item],tab_alimentos[[#This Row],[Item]],supercb[Bairro],mercado13)</f>
        <v>0</v>
      </c>
      <c r="Y198" s="4">
        <f>SUMIFS(super1[Qtde],super1[Item],tab_alimentos[[#This Row],[Item]],super1[Bairro],mercado14)+SUMIFS(supercb[Qtde],supercb[Item],tab_alimentos[[#This Row],[Item]],supercb[Bairro],mercado14)</f>
        <v>0</v>
      </c>
      <c r="Z198" s="4">
        <f>SUMIFS(super1[Qtde],super1[Item],tab_alimentos[[#This Row],[Item]],super1[Bairro],mercado15)+SUMIFS(supercb[Qtde],supercb[Item],tab_alimentos[[#This Row],[Item]],supercb[Bairro],mercado15)</f>
        <v>0</v>
      </c>
      <c r="AA198" s="4">
        <f>SUMIFS(super1[Qtde],super1[Item],tab_alimentos[[#This Row],[Item]],super1[Bairro],mercado16)+SUMIFS(supercb[Qtde],supercb[Item],tab_alimentos[[#This Row],[Item]],supercb[Bairro],mercado16)</f>
        <v>0</v>
      </c>
      <c r="AB198" s="4">
        <f>SUMIFS(super1[Qtde],super1[Item],tab_alimentos[[#This Row],[Item]],super1[Bairro],mercado17)+SUMIFS(supercb[Qtde],supercb[Item],tab_alimentos[[#This Row],[Item]],supercb[Bairro],mercado17)</f>
        <v>0</v>
      </c>
      <c r="AC198" s="4">
        <f>SUMIFS(super1[Qtde],super1[Item],tab_alimentos[[#This Row],[Item]],super1[Bairro],mercado18)+SUMIFS(supercb[Qtde],supercb[Item],tab_alimentos[[#This Row],[Item]],supercb[Bairro],mercado18)</f>
        <v>0</v>
      </c>
      <c r="AD198" s="4">
        <f>SUMIFS(super1[Qtde],super1[Item],tab_alimentos[[#This Row],[Item]],super1[Bairro],extras)+SUMIFS(supercb[Qtde],supercb[Item],tab_alimentos[[#This Row],[Item]],supercb[Bairro],extras)</f>
        <v>0</v>
      </c>
      <c r="AE198" s="4">
        <f t="shared" si="67"/>
        <v>0</v>
      </c>
      <c r="AF198" s="4">
        <f t="shared" si="68"/>
        <v>0</v>
      </c>
      <c r="AG198" s="6">
        <f t="shared" si="69"/>
        <v>0</v>
      </c>
      <c r="AH198" s="13" t="str">
        <f>higiene[[#This Row],[Item]]</f>
        <v>Polvilho Antisséptico (100g)</v>
      </c>
      <c r="AI198" s="9">
        <f>IFERROR(higiene[[#This Row],[Kg equivalente]],0)</f>
        <v>0</v>
      </c>
      <c r="AJ198" s="9">
        <f>IFERROR(higiene[[#This Row],[Preço por produto]],0)</f>
        <v>14.9</v>
      </c>
      <c r="AK198" s="4">
        <f>SUMIFS(super1[Qtde],super1[Item],tab_higiene[[#This Row],[Item]],super1[Bairro],mercado1)+SUMIFS(supercb[Qtde],supercb[Item],tab_higiene[[#This Row],[Item]],supercb[Bairro],mercado1)</f>
        <v>0</v>
      </c>
      <c r="AL198" s="4">
        <f>SUMIFS(super1[Qtde],super1[Item],tab_higiene[[#This Row],[Item]],super1[Bairro],mercado2)+SUMIFS(supercb[Qtde],supercb[Item],tab_higiene[[#This Row],[Item]],supercb[Bairro],mercado2)</f>
        <v>0</v>
      </c>
      <c r="AM198" s="4">
        <f>SUMIFS(super1[Qtde],super1[Item],tab_higiene[[#This Row],[Item]],super1[Bairro],mercado3)+SUMIFS(supercb[Qtde],supercb[Item],tab_higiene[[#This Row],[Item]],supercb[Bairro],mercado3)</f>
        <v>0</v>
      </c>
      <c r="AN198" s="4">
        <f>SUMIFS(super1[Qtde],super1[Item],tab_higiene[[#This Row],[Item]],super1[Bairro],mercado4)+SUMIFS(supercb[Qtde],supercb[Item],tab_higiene[[#This Row],[Item]],supercb[Bairro],mercado4)</f>
        <v>0</v>
      </c>
      <c r="AO198" s="4">
        <f>SUMIFS(super1[Qtde],super1[Item],tab_higiene[[#This Row],[Item]],super1[Bairro],mercado5)+SUMIFS(supercb[Qtde],supercb[Item],tab_higiene[[#This Row],[Item]],supercb[Bairro],mercado5)</f>
        <v>0</v>
      </c>
      <c r="AP198" s="4">
        <f>SUMIFS(super1[Qtde],super1[Item],tab_higiene[[#This Row],[Item]],super1[Bairro],mercado6)+SUMIFS(supercb[Qtde],supercb[Item],tab_higiene[[#This Row],[Item]],supercb[Bairro],mercado6)</f>
        <v>0</v>
      </c>
      <c r="AQ198" s="4">
        <f>SUMIFS(super1[Qtde],super1[Item],tab_higiene[[#This Row],[Item]],super1[Bairro],mercado7)+SUMIFS(supercb[Qtde],supercb[Item],tab_higiene[[#This Row],[Item]],supercb[Bairro],mercado7)</f>
        <v>0</v>
      </c>
      <c r="AR198" s="4">
        <f>SUMIFS(super1[Qtde],super1[Item],tab_higiene[[#This Row],[Item]],super1[Bairro],mercado8)+SUMIFS(supercb[Qtde],supercb[Item],tab_higiene[[#This Row],[Item]],supercb[Bairro],mercado8)</f>
        <v>0</v>
      </c>
      <c r="AS198" s="4">
        <f>SUMIFS(super1[Qtde],super1[Item],tab_higiene[[#This Row],[Item]],super1[Bairro],mercado9)+SUMIFS(supercb[Qtde],supercb[Item],tab_higiene[[#This Row],[Item]],supercb[Bairro],mercado9)</f>
        <v>0</v>
      </c>
      <c r="AT198" s="4">
        <f>SUMIFS(super1[Qtde],super1[Item],tab_higiene[[#This Row],[Item]],super1[Bairro],mercado10)+SUMIFS(supercb[Qtde],supercb[Item],tab_higiene[[#This Row],[Item]],supercb[Bairro],mercado10)</f>
        <v>0</v>
      </c>
      <c r="AU198" s="4">
        <f>SUMIFS(super1[Qtde],super1[Item],tab_higiene[[#This Row],[Item]],super1[Bairro],mercado11)+SUMIFS(supercb[Qtde],supercb[Item],tab_higiene[[#This Row],[Item]],supercb[Bairro],mercado11)</f>
        <v>0</v>
      </c>
      <c r="AV198" s="4">
        <f>SUMIFS(super1[Qtde],super1[Item],tab_higiene[[#This Row],[Item]],super1[Bairro],mercado12)+SUMIFS(supercb[Qtde],supercb[Item],tab_higiene[[#This Row],[Item]],supercb[Bairro],mercado12)</f>
        <v>0</v>
      </c>
      <c r="AW198" s="4">
        <f>SUMIFS(super1[Qtde],super1[Item],tab_higiene[[#This Row],[Item]],super1[Bairro],mercado13)+SUMIFS(supercb[Qtde],supercb[Item],tab_higiene[[#This Row],[Item]],supercb[Bairro],mercado13)</f>
        <v>0</v>
      </c>
      <c r="AX198" s="4">
        <f>SUMIFS(super1[Qtde],super1[Item],tab_higiene[[#This Row],[Item]],super1[Bairro],mercado14)+SUMIFS(supercb[Qtde],supercb[Item],tab_higiene[[#This Row],[Item]],supercb[Bairro],mercado14)</f>
        <v>0</v>
      </c>
      <c r="AY198" s="4">
        <f>SUMIFS(super1[Qtde],super1[Item],tab_higiene[[#This Row],[Item]],super1[Bairro],mercado15)+SUMIFS(supercb[Qtde],supercb[Item],tab_higiene[[#This Row],[Item]],supercb[Bairro],mercado15)</f>
        <v>0</v>
      </c>
      <c r="AZ198" s="4">
        <f>SUMIFS(super1[Qtde],super1[Item],tab_higiene[[#This Row],[Item]],super1[Bairro],mercado16)+SUMIFS(supercb[Qtde],supercb[Item],tab_higiene[[#This Row],[Item]],supercb[Bairro],mercado16)</f>
        <v>0</v>
      </c>
      <c r="BA198" s="4">
        <f>SUMIFS(super1[Qtde],super1[Item],tab_higiene[[#This Row],[Item]],super1[Bairro],mercado17)+SUMIFS(supercb[Qtde],supercb[Item],tab_higiene[[#This Row],[Item]],supercb[Bairro],mercado17)</f>
        <v>0</v>
      </c>
      <c r="BB198" s="4">
        <f>SUMIFS(super1[Qtde],super1[Item],tab_higiene[[#This Row],[Item]],super1[Bairro],mercado18)+SUMIFS(supercb[Qtde],supercb[Item],tab_higiene[[#This Row],[Item]],supercb[Bairro],mercado18)</f>
        <v>0</v>
      </c>
      <c r="BC198" s="31">
        <f>SUMIFS(super1[Qtde],super1[Item],tab_higiene[[#This Row],[Item]],super1[Bairro],extras)+SUMIFS(supercb[Qtde],supercb[Item],tab_higiene[[#This Row],[Item]],supercb[Bairro],extras)</f>
        <v>0</v>
      </c>
      <c r="BD198" s="9">
        <f t="shared" si="76"/>
        <v>0</v>
      </c>
      <c r="BE198" s="9">
        <f t="shared" si="77"/>
        <v>0</v>
      </c>
      <c r="BF198" s="18">
        <f t="shared" si="78"/>
        <v>0</v>
      </c>
    </row>
    <row r="199" spans="9:58" ht="15.75" thickBot="1" x14ac:dyDescent="0.3">
      <c r="I199" s="19" t="str">
        <f>alimentos[[#This Row],[Item]]</f>
        <v>Espumante (660mL)</v>
      </c>
      <c r="J199" s="4">
        <f>IFERROR(alimentos[[#This Row],[kg/embalagem]],0)</f>
        <v>0.66</v>
      </c>
      <c r="K199" s="4">
        <f>IFERROR(alimentos[[#This Row],[Preço]],0)</f>
        <v>15.9</v>
      </c>
      <c r="L199" s="4">
        <f>SUMIFS(super1[Qtde],super1[Item],tab_alimentos[[#This Row],[Item]],super1[Bairro],mercado1)+SUMIFS(supercb[Qtde],supercb[Item],tab_alimentos[[#This Row],[Item]],supercb[Bairro],mercado1)</f>
        <v>0</v>
      </c>
      <c r="M199" s="4">
        <f>SUMIFS(super1[Qtde],super1[Item],tab_alimentos[[#This Row],[Item]],super1[Bairro],mercado2)+SUMIFS(supercb[Qtde],supercb[Item],tab_alimentos[[#This Row],[Item]],supercb[Bairro],mercado2)</f>
        <v>0</v>
      </c>
      <c r="N199" s="4">
        <f>SUMIFS(super1[Qtde],super1[Item],tab_alimentos[[#This Row],[Item]],super1[Bairro],mercado3)+SUMIFS(supercb[Qtde],supercb[Item],tab_alimentos[[#This Row],[Item]],supercb[Bairro],mercado3)</f>
        <v>0</v>
      </c>
      <c r="O199" s="4">
        <f>SUMIFS(super1[Qtde],super1[Item],tab_alimentos[[#This Row],[Item]],super1[Bairro],mercado4)+SUMIFS(supercb[Qtde],supercb[Item],tab_alimentos[[#This Row],[Item]],supercb[Bairro],mercado4)</f>
        <v>0</v>
      </c>
      <c r="P199" s="4">
        <f>SUMIFS(super1[Qtde],super1[Item],tab_alimentos[[#This Row],[Item]],super1[Bairro],mercado5)+SUMIFS(supercb[Qtde],supercb[Item],tab_alimentos[[#This Row],[Item]],supercb[Bairro],mercado5)</f>
        <v>0</v>
      </c>
      <c r="Q199" s="4">
        <f>SUMIFS(super1[Qtde],super1[Item],tab_alimentos[[#This Row],[Item]],super1[Bairro],mercado6)+SUMIFS(supercb[Qtde],supercb[Item],tab_alimentos[[#This Row],[Item]],supercb[Bairro],mercado6)</f>
        <v>0</v>
      </c>
      <c r="R199" s="4">
        <f>SUMIFS(super1[Qtde],super1[Item],tab_alimentos[[#This Row],[Item]],super1[Bairro],mercado7)+SUMIFS(supercb[Qtde],supercb[Item],tab_alimentos[[#This Row],[Item]],supercb[Bairro],mercado7)</f>
        <v>0</v>
      </c>
      <c r="S199" s="4">
        <f>SUMIFS(super1[Qtde],super1[Item],tab_alimentos[[#This Row],[Item]],super1[Bairro],mercado8)+SUMIFS(supercb[Qtde],supercb[Item],tab_alimentos[[#This Row],[Item]],supercb[Bairro],mercado8)</f>
        <v>0</v>
      </c>
      <c r="T199" s="4">
        <f>SUMIFS(super1[Qtde],super1[Item],tab_alimentos[[#This Row],[Item]],super1[Bairro],mercado9)+SUMIFS(supercb[Qtde],supercb[Item],tab_alimentos[[#This Row],[Item]],supercb[Bairro],mercado9)</f>
        <v>0</v>
      </c>
      <c r="U199" s="4">
        <f>SUMIFS(super1[Qtde],super1[Item],tab_alimentos[[#This Row],[Item]],super1[Bairro],mercado10)+SUMIFS(supercb[Qtde],supercb[Item],tab_alimentos[[#This Row],[Item]],supercb[Bairro],mercado10)</f>
        <v>0</v>
      </c>
      <c r="V199" s="4">
        <f>SUMIFS(super1[Qtde],super1[Item],tab_alimentos[[#This Row],[Item]],super1[Bairro],mercado11)+SUMIFS(supercb[Qtde],supercb[Item],tab_alimentos[[#This Row],[Item]],supercb[Bairro],mercado11)</f>
        <v>0</v>
      </c>
      <c r="W199" s="4">
        <f>SUMIFS(super1[Qtde],super1[Item],tab_alimentos[[#This Row],[Item]],super1[Bairro],mercado12)+SUMIFS(supercb[Qtde],supercb[Item],tab_alimentos[[#This Row],[Item]],supercb[Bairro],mercado12)</f>
        <v>0</v>
      </c>
      <c r="X199" s="4">
        <f>SUMIFS(super1[Qtde],super1[Item],tab_alimentos[[#This Row],[Item]],super1[Bairro],mercado13)+SUMIFS(supercb[Qtde],supercb[Item],tab_alimentos[[#This Row],[Item]],supercb[Bairro],mercado13)</f>
        <v>0</v>
      </c>
      <c r="Y199" s="4">
        <f>SUMIFS(super1[Qtde],super1[Item],tab_alimentos[[#This Row],[Item]],super1[Bairro],mercado14)+SUMIFS(supercb[Qtde],supercb[Item],tab_alimentos[[#This Row],[Item]],supercb[Bairro],mercado14)</f>
        <v>0</v>
      </c>
      <c r="Z199" s="4">
        <f>SUMIFS(super1[Qtde],super1[Item],tab_alimentos[[#This Row],[Item]],super1[Bairro],mercado15)+SUMIFS(supercb[Qtde],supercb[Item],tab_alimentos[[#This Row],[Item]],supercb[Bairro],mercado15)</f>
        <v>0</v>
      </c>
      <c r="AA199" s="4">
        <f>SUMIFS(super1[Qtde],super1[Item],tab_alimentos[[#This Row],[Item]],super1[Bairro],mercado16)+SUMIFS(supercb[Qtde],supercb[Item],tab_alimentos[[#This Row],[Item]],supercb[Bairro],mercado16)</f>
        <v>0</v>
      </c>
      <c r="AB199" s="4">
        <f>SUMIFS(super1[Qtde],super1[Item],tab_alimentos[[#This Row],[Item]],super1[Bairro],mercado17)+SUMIFS(supercb[Qtde],supercb[Item],tab_alimentos[[#This Row],[Item]],supercb[Bairro],mercado17)</f>
        <v>0</v>
      </c>
      <c r="AC199" s="4">
        <f>SUMIFS(super1[Qtde],super1[Item],tab_alimentos[[#This Row],[Item]],super1[Bairro],mercado18)+SUMIFS(supercb[Qtde],supercb[Item],tab_alimentos[[#This Row],[Item]],supercb[Bairro],mercado18)</f>
        <v>0</v>
      </c>
      <c r="AD199" s="4">
        <f>SUMIFS(super1[Qtde],super1[Item],tab_alimentos[[#This Row],[Item]],super1[Bairro],extras)+SUMIFS(supercb[Qtde],supercb[Item],tab_alimentos[[#This Row],[Item]],supercb[Bairro],extras)</f>
        <v>0</v>
      </c>
      <c r="AE199" s="4">
        <f t="shared" si="67"/>
        <v>0</v>
      </c>
      <c r="AF199" s="4">
        <f t="shared" si="68"/>
        <v>0</v>
      </c>
      <c r="AG199" s="6">
        <f t="shared" si="69"/>
        <v>0</v>
      </c>
      <c r="AH199" s="13" t="str">
        <f>higiene[[#This Row],[Item]]</f>
        <v>Pregadores (10un)</v>
      </c>
      <c r="AI199" s="9">
        <f>IFERROR(higiene[[#This Row],[Kg equivalente]],0)</f>
        <v>0</v>
      </c>
      <c r="AJ199" s="9">
        <f>IFERROR(higiene[[#This Row],[Preço por produto]],0)</f>
        <v>8.7899999999999991</v>
      </c>
      <c r="AK199" s="4">
        <f>SUMIFS(super1[Qtde],super1[Item],tab_higiene[[#This Row],[Item]],super1[Bairro],mercado1)+SUMIFS(supercb[Qtde],supercb[Item],tab_higiene[[#This Row],[Item]],supercb[Bairro],mercado1)</f>
        <v>0</v>
      </c>
      <c r="AL199" s="4">
        <f>SUMIFS(super1[Qtde],super1[Item],tab_higiene[[#This Row],[Item]],super1[Bairro],mercado2)+SUMIFS(supercb[Qtde],supercb[Item],tab_higiene[[#This Row],[Item]],supercb[Bairro],mercado2)</f>
        <v>0</v>
      </c>
      <c r="AM199" s="4">
        <f>SUMIFS(super1[Qtde],super1[Item],tab_higiene[[#This Row],[Item]],super1[Bairro],mercado3)+SUMIFS(supercb[Qtde],supercb[Item],tab_higiene[[#This Row],[Item]],supercb[Bairro],mercado3)</f>
        <v>0</v>
      </c>
      <c r="AN199" s="4">
        <f>SUMIFS(super1[Qtde],super1[Item],tab_higiene[[#This Row],[Item]],super1[Bairro],mercado4)+SUMIFS(supercb[Qtde],supercb[Item],tab_higiene[[#This Row],[Item]],supercb[Bairro],mercado4)</f>
        <v>0</v>
      </c>
      <c r="AO199" s="4">
        <f>SUMIFS(super1[Qtde],super1[Item],tab_higiene[[#This Row],[Item]],super1[Bairro],mercado5)+SUMIFS(supercb[Qtde],supercb[Item],tab_higiene[[#This Row],[Item]],supercb[Bairro],mercado5)</f>
        <v>0</v>
      </c>
      <c r="AP199" s="4">
        <f>SUMIFS(super1[Qtde],super1[Item],tab_higiene[[#This Row],[Item]],super1[Bairro],mercado6)+SUMIFS(supercb[Qtde],supercb[Item],tab_higiene[[#This Row],[Item]],supercb[Bairro],mercado6)</f>
        <v>0</v>
      </c>
      <c r="AQ199" s="4">
        <f>SUMIFS(super1[Qtde],super1[Item],tab_higiene[[#This Row],[Item]],super1[Bairro],mercado7)+SUMIFS(supercb[Qtde],supercb[Item],tab_higiene[[#This Row],[Item]],supercb[Bairro],mercado7)</f>
        <v>0</v>
      </c>
      <c r="AR199" s="4">
        <f>SUMIFS(super1[Qtde],super1[Item],tab_higiene[[#This Row],[Item]],super1[Bairro],mercado8)+SUMIFS(supercb[Qtde],supercb[Item],tab_higiene[[#This Row],[Item]],supercb[Bairro],mercado8)</f>
        <v>0</v>
      </c>
      <c r="AS199" s="4">
        <f>SUMIFS(super1[Qtde],super1[Item],tab_higiene[[#This Row],[Item]],super1[Bairro],mercado9)+SUMIFS(supercb[Qtde],supercb[Item],tab_higiene[[#This Row],[Item]],supercb[Bairro],mercado9)</f>
        <v>0</v>
      </c>
      <c r="AT199" s="4">
        <f>SUMIFS(super1[Qtde],super1[Item],tab_higiene[[#This Row],[Item]],super1[Bairro],mercado10)+SUMIFS(supercb[Qtde],supercb[Item],tab_higiene[[#This Row],[Item]],supercb[Bairro],mercado10)</f>
        <v>0</v>
      </c>
      <c r="AU199" s="4">
        <f>SUMIFS(super1[Qtde],super1[Item],tab_higiene[[#This Row],[Item]],super1[Bairro],mercado11)+SUMIFS(supercb[Qtde],supercb[Item],tab_higiene[[#This Row],[Item]],supercb[Bairro],mercado11)</f>
        <v>0</v>
      </c>
      <c r="AV199" s="4">
        <f>SUMIFS(super1[Qtde],super1[Item],tab_higiene[[#This Row],[Item]],super1[Bairro],mercado12)+SUMIFS(supercb[Qtde],supercb[Item],tab_higiene[[#This Row],[Item]],supercb[Bairro],mercado12)</f>
        <v>0</v>
      </c>
      <c r="AW199" s="4">
        <f>SUMIFS(super1[Qtde],super1[Item],tab_higiene[[#This Row],[Item]],super1[Bairro],mercado13)+SUMIFS(supercb[Qtde],supercb[Item],tab_higiene[[#This Row],[Item]],supercb[Bairro],mercado13)</f>
        <v>0</v>
      </c>
      <c r="AX199" s="4">
        <f>SUMIFS(super1[Qtde],super1[Item],tab_higiene[[#This Row],[Item]],super1[Bairro],mercado14)+SUMIFS(supercb[Qtde],supercb[Item],tab_higiene[[#This Row],[Item]],supercb[Bairro],mercado14)</f>
        <v>0</v>
      </c>
      <c r="AY199" s="4">
        <f>SUMIFS(super1[Qtde],super1[Item],tab_higiene[[#This Row],[Item]],super1[Bairro],mercado15)+SUMIFS(supercb[Qtde],supercb[Item],tab_higiene[[#This Row],[Item]],supercb[Bairro],mercado15)</f>
        <v>0</v>
      </c>
      <c r="AZ199" s="4">
        <f>SUMIFS(super1[Qtde],super1[Item],tab_higiene[[#This Row],[Item]],super1[Bairro],mercado16)+SUMIFS(supercb[Qtde],supercb[Item],tab_higiene[[#This Row],[Item]],supercb[Bairro],mercado16)</f>
        <v>0</v>
      </c>
      <c r="BA199" s="4">
        <f>SUMIFS(super1[Qtde],super1[Item],tab_higiene[[#This Row],[Item]],super1[Bairro],mercado17)+SUMIFS(supercb[Qtde],supercb[Item],tab_higiene[[#This Row],[Item]],supercb[Bairro],mercado17)</f>
        <v>0</v>
      </c>
      <c r="BB199" s="4">
        <f>SUMIFS(super1[Qtde],super1[Item],tab_higiene[[#This Row],[Item]],super1[Bairro],mercado18)+SUMIFS(supercb[Qtde],supercb[Item],tab_higiene[[#This Row],[Item]],supercb[Bairro],mercado18)</f>
        <v>0</v>
      </c>
      <c r="BC199" s="31">
        <f>SUMIFS(super1[Qtde],super1[Item],tab_higiene[[#This Row],[Item]],super1[Bairro],extras)+SUMIFS(supercb[Qtde],supercb[Item],tab_higiene[[#This Row],[Item]],supercb[Bairro],extras)</f>
        <v>0</v>
      </c>
      <c r="BD199" s="9">
        <f t="shared" si="76"/>
        <v>0</v>
      </c>
      <c r="BE199" s="9">
        <f t="shared" si="77"/>
        <v>0</v>
      </c>
      <c r="BF199" s="18">
        <f t="shared" si="78"/>
        <v>0</v>
      </c>
    </row>
    <row r="200" spans="9:58" ht="15.75" thickBot="1" x14ac:dyDescent="0.3">
      <c r="I200" s="19" t="str">
        <f>alimentos[[#This Row],[Item]]</f>
        <v>Extrato de Tomate (130g)</v>
      </c>
      <c r="J200" s="4">
        <f>IFERROR(alimentos[[#This Row],[kg/embalagem]],0)</f>
        <v>0.13</v>
      </c>
      <c r="K200" s="4">
        <f>IFERROR(alimentos[[#This Row],[Preço]],0)</f>
        <v>1.95</v>
      </c>
      <c r="L200" s="4">
        <f>SUMIFS(super1[Qtde],super1[Item],tab_alimentos[[#This Row],[Item]],super1[Bairro],mercado1)+SUMIFS(supercb[Qtde],supercb[Item],tab_alimentos[[#This Row],[Item]],supercb[Bairro],mercado1)</f>
        <v>0</v>
      </c>
      <c r="M200" s="4">
        <f>SUMIFS(super1[Qtde],super1[Item],tab_alimentos[[#This Row],[Item]],super1[Bairro],mercado2)+SUMIFS(supercb[Qtde],supercb[Item],tab_alimentos[[#This Row],[Item]],supercb[Bairro],mercado2)</f>
        <v>0</v>
      </c>
      <c r="N200" s="4">
        <f>SUMIFS(super1[Qtde],super1[Item],tab_alimentos[[#This Row],[Item]],super1[Bairro],mercado3)+SUMIFS(supercb[Qtde],supercb[Item],tab_alimentos[[#This Row],[Item]],supercb[Bairro],mercado3)</f>
        <v>0</v>
      </c>
      <c r="O200" s="4">
        <f>SUMIFS(super1[Qtde],super1[Item],tab_alimentos[[#This Row],[Item]],super1[Bairro],mercado4)+SUMIFS(supercb[Qtde],supercb[Item],tab_alimentos[[#This Row],[Item]],supercb[Bairro],mercado4)</f>
        <v>0</v>
      </c>
      <c r="P200" s="4">
        <f>SUMIFS(super1[Qtde],super1[Item],tab_alimentos[[#This Row],[Item]],super1[Bairro],mercado5)+SUMIFS(supercb[Qtde],supercb[Item],tab_alimentos[[#This Row],[Item]],supercb[Bairro],mercado5)</f>
        <v>0</v>
      </c>
      <c r="Q200" s="4">
        <f>SUMIFS(super1[Qtde],super1[Item],tab_alimentos[[#This Row],[Item]],super1[Bairro],mercado6)+SUMIFS(supercb[Qtde],supercb[Item],tab_alimentos[[#This Row],[Item]],supercb[Bairro],mercado6)</f>
        <v>0</v>
      </c>
      <c r="R200" s="4">
        <f>SUMIFS(super1[Qtde],super1[Item],tab_alimentos[[#This Row],[Item]],super1[Bairro],mercado7)+SUMIFS(supercb[Qtde],supercb[Item],tab_alimentos[[#This Row],[Item]],supercb[Bairro],mercado7)</f>
        <v>0</v>
      </c>
      <c r="S200" s="4">
        <f>SUMIFS(super1[Qtde],super1[Item],tab_alimentos[[#This Row],[Item]],super1[Bairro],mercado8)+SUMIFS(supercb[Qtde],supercb[Item],tab_alimentos[[#This Row],[Item]],supercb[Bairro],mercado8)</f>
        <v>0</v>
      </c>
      <c r="T200" s="4">
        <f>SUMIFS(super1[Qtde],super1[Item],tab_alimentos[[#This Row],[Item]],super1[Bairro],mercado9)+SUMIFS(supercb[Qtde],supercb[Item],tab_alimentos[[#This Row],[Item]],supercb[Bairro],mercado9)</f>
        <v>0</v>
      </c>
      <c r="U200" s="4">
        <f>SUMIFS(super1[Qtde],super1[Item],tab_alimentos[[#This Row],[Item]],super1[Bairro],mercado10)+SUMIFS(supercb[Qtde],supercb[Item],tab_alimentos[[#This Row],[Item]],supercb[Bairro],mercado10)</f>
        <v>0</v>
      </c>
      <c r="V200" s="4">
        <f>SUMIFS(super1[Qtde],super1[Item],tab_alimentos[[#This Row],[Item]],super1[Bairro],mercado11)+SUMIFS(supercb[Qtde],supercb[Item],tab_alimentos[[#This Row],[Item]],supercb[Bairro],mercado11)</f>
        <v>0</v>
      </c>
      <c r="W200" s="4">
        <f>SUMIFS(super1[Qtde],super1[Item],tab_alimentos[[#This Row],[Item]],super1[Bairro],mercado12)+SUMIFS(supercb[Qtde],supercb[Item],tab_alimentos[[#This Row],[Item]],supercb[Bairro],mercado12)</f>
        <v>0</v>
      </c>
      <c r="X200" s="4">
        <f>SUMIFS(super1[Qtde],super1[Item],tab_alimentos[[#This Row],[Item]],super1[Bairro],mercado13)+SUMIFS(supercb[Qtde],supercb[Item],tab_alimentos[[#This Row],[Item]],supercb[Bairro],mercado13)</f>
        <v>0</v>
      </c>
      <c r="Y200" s="4">
        <f>SUMIFS(super1[Qtde],super1[Item],tab_alimentos[[#This Row],[Item]],super1[Bairro],mercado14)+SUMIFS(supercb[Qtde],supercb[Item],tab_alimentos[[#This Row],[Item]],supercb[Bairro],mercado14)</f>
        <v>0</v>
      </c>
      <c r="Z200" s="4">
        <f>SUMIFS(super1[Qtde],super1[Item],tab_alimentos[[#This Row],[Item]],super1[Bairro],mercado15)+SUMIFS(supercb[Qtde],supercb[Item],tab_alimentos[[#This Row],[Item]],supercb[Bairro],mercado15)</f>
        <v>0</v>
      </c>
      <c r="AA200" s="4">
        <f>SUMIFS(super1[Qtde],super1[Item],tab_alimentos[[#This Row],[Item]],super1[Bairro],mercado16)+SUMIFS(supercb[Qtde],supercb[Item],tab_alimentos[[#This Row],[Item]],supercb[Bairro],mercado16)</f>
        <v>0</v>
      </c>
      <c r="AB200" s="4">
        <f>SUMIFS(super1[Qtde],super1[Item],tab_alimentos[[#This Row],[Item]],super1[Bairro],mercado17)+SUMIFS(supercb[Qtde],supercb[Item],tab_alimentos[[#This Row],[Item]],supercb[Bairro],mercado17)</f>
        <v>0</v>
      </c>
      <c r="AC200" s="4">
        <f>SUMIFS(super1[Qtde],super1[Item],tab_alimentos[[#This Row],[Item]],super1[Bairro],mercado18)+SUMIFS(supercb[Qtde],supercb[Item],tab_alimentos[[#This Row],[Item]],supercb[Bairro],mercado18)</f>
        <v>0</v>
      </c>
      <c r="AD200" s="4">
        <f>SUMIFS(super1[Qtde],super1[Item],tab_alimentos[[#This Row],[Item]],super1[Bairro],extras)+SUMIFS(supercb[Qtde],supercb[Item],tab_alimentos[[#This Row],[Item]],supercb[Bairro],extras)</f>
        <v>0</v>
      </c>
      <c r="AE200" s="4">
        <f t="shared" si="67"/>
        <v>0</v>
      </c>
      <c r="AF200" s="4">
        <f t="shared" si="68"/>
        <v>0</v>
      </c>
      <c r="AG200" s="6">
        <f t="shared" si="69"/>
        <v>0</v>
      </c>
      <c r="AH200" s="13" t="str">
        <f>higiene[[#This Row],[Item]]</f>
        <v>Protetor Solar (400mL)</v>
      </c>
      <c r="AI200" s="9">
        <f>IFERROR(higiene[[#This Row],[Kg equivalente]],0)</f>
        <v>0</v>
      </c>
      <c r="AJ200" s="9">
        <f>IFERROR(higiene[[#This Row],[Preço por produto]],0)</f>
        <v>59.99</v>
      </c>
      <c r="AK200" s="4">
        <f>SUMIFS(super1[Qtde],super1[Item],tab_higiene[[#This Row],[Item]],super1[Bairro],mercado1)+SUMIFS(supercb[Qtde],supercb[Item],tab_higiene[[#This Row],[Item]],supercb[Bairro],mercado1)</f>
        <v>0</v>
      </c>
      <c r="AL200" s="4">
        <f>SUMIFS(super1[Qtde],super1[Item],tab_higiene[[#This Row],[Item]],super1[Bairro],mercado2)+SUMIFS(supercb[Qtde],supercb[Item],tab_higiene[[#This Row],[Item]],supercb[Bairro],mercado2)</f>
        <v>0</v>
      </c>
      <c r="AM200" s="4">
        <f>SUMIFS(super1[Qtde],super1[Item],tab_higiene[[#This Row],[Item]],super1[Bairro],mercado3)+SUMIFS(supercb[Qtde],supercb[Item],tab_higiene[[#This Row],[Item]],supercb[Bairro],mercado3)</f>
        <v>0</v>
      </c>
      <c r="AN200" s="4">
        <f>SUMIFS(super1[Qtde],super1[Item],tab_higiene[[#This Row],[Item]],super1[Bairro],mercado4)+SUMIFS(supercb[Qtde],supercb[Item],tab_higiene[[#This Row],[Item]],supercb[Bairro],mercado4)</f>
        <v>0</v>
      </c>
      <c r="AO200" s="4">
        <f>SUMIFS(super1[Qtde],super1[Item],tab_higiene[[#This Row],[Item]],super1[Bairro],mercado5)+SUMIFS(supercb[Qtde],supercb[Item],tab_higiene[[#This Row],[Item]],supercb[Bairro],mercado5)</f>
        <v>0</v>
      </c>
      <c r="AP200" s="4">
        <f>SUMIFS(super1[Qtde],super1[Item],tab_higiene[[#This Row],[Item]],super1[Bairro],mercado6)+SUMIFS(supercb[Qtde],supercb[Item],tab_higiene[[#This Row],[Item]],supercb[Bairro],mercado6)</f>
        <v>0</v>
      </c>
      <c r="AQ200" s="4">
        <f>SUMIFS(super1[Qtde],super1[Item],tab_higiene[[#This Row],[Item]],super1[Bairro],mercado7)+SUMIFS(supercb[Qtde],supercb[Item],tab_higiene[[#This Row],[Item]],supercb[Bairro],mercado7)</f>
        <v>0</v>
      </c>
      <c r="AR200" s="4">
        <f>SUMIFS(super1[Qtde],super1[Item],tab_higiene[[#This Row],[Item]],super1[Bairro],mercado8)+SUMIFS(supercb[Qtde],supercb[Item],tab_higiene[[#This Row],[Item]],supercb[Bairro],mercado8)</f>
        <v>0</v>
      </c>
      <c r="AS200" s="4">
        <f>SUMIFS(super1[Qtde],super1[Item],tab_higiene[[#This Row],[Item]],super1[Bairro],mercado9)+SUMIFS(supercb[Qtde],supercb[Item],tab_higiene[[#This Row],[Item]],supercb[Bairro],mercado9)</f>
        <v>0</v>
      </c>
      <c r="AT200" s="4">
        <f>SUMIFS(super1[Qtde],super1[Item],tab_higiene[[#This Row],[Item]],super1[Bairro],mercado10)+SUMIFS(supercb[Qtde],supercb[Item],tab_higiene[[#This Row],[Item]],supercb[Bairro],mercado10)</f>
        <v>0</v>
      </c>
      <c r="AU200" s="4">
        <f>SUMIFS(super1[Qtde],super1[Item],tab_higiene[[#This Row],[Item]],super1[Bairro],mercado11)+SUMIFS(supercb[Qtde],supercb[Item],tab_higiene[[#This Row],[Item]],supercb[Bairro],mercado11)</f>
        <v>0</v>
      </c>
      <c r="AV200" s="4">
        <f>SUMIFS(super1[Qtde],super1[Item],tab_higiene[[#This Row],[Item]],super1[Bairro],mercado12)+SUMIFS(supercb[Qtde],supercb[Item],tab_higiene[[#This Row],[Item]],supercb[Bairro],mercado12)</f>
        <v>0</v>
      </c>
      <c r="AW200" s="4">
        <f>SUMIFS(super1[Qtde],super1[Item],tab_higiene[[#This Row],[Item]],super1[Bairro],mercado13)+SUMIFS(supercb[Qtde],supercb[Item],tab_higiene[[#This Row],[Item]],supercb[Bairro],mercado13)</f>
        <v>0</v>
      </c>
      <c r="AX200" s="4">
        <f>SUMIFS(super1[Qtde],super1[Item],tab_higiene[[#This Row],[Item]],super1[Bairro],mercado14)+SUMIFS(supercb[Qtde],supercb[Item],tab_higiene[[#This Row],[Item]],supercb[Bairro],mercado14)</f>
        <v>0</v>
      </c>
      <c r="AY200" s="4">
        <f>SUMIFS(super1[Qtde],super1[Item],tab_higiene[[#This Row],[Item]],super1[Bairro],mercado15)+SUMIFS(supercb[Qtde],supercb[Item],tab_higiene[[#This Row],[Item]],supercb[Bairro],mercado15)</f>
        <v>0</v>
      </c>
      <c r="AZ200" s="4">
        <f>SUMIFS(super1[Qtde],super1[Item],tab_higiene[[#This Row],[Item]],super1[Bairro],mercado16)+SUMIFS(supercb[Qtde],supercb[Item],tab_higiene[[#This Row],[Item]],supercb[Bairro],mercado16)</f>
        <v>0</v>
      </c>
      <c r="BA200" s="4">
        <f>SUMIFS(super1[Qtde],super1[Item],tab_higiene[[#This Row],[Item]],super1[Bairro],mercado17)+SUMIFS(supercb[Qtde],supercb[Item],tab_higiene[[#This Row],[Item]],supercb[Bairro],mercado17)</f>
        <v>0</v>
      </c>
      <c r="BB200" s="4">
        <f>SUMIFS(super1[Qtde],super1[Item],tab_higiene[[#This Row],[Item]],super1[Bairro],mercado18)+SUMIFS(supercb[Qtde],supercb[Item],tab_higiene[[#This Row],[Item]],supercb[Bairro],mercado18)</f>
        <v>0</v>
      </c>
      <c r="BC200" s="31">
        <f>SUMIFS(super1[Qtde],super1[Item],tab_higiene[[#This Row],[Item]],super1[Bairro],extras)+SUMIFS(supercb[Qtde],supercb[Item],tab_higiene[[#This Row],[Item]],supercb[Bairro],extras)</f>
        <v>0</v>
      </c>
      <c r="BD200" s="9">
        <f t="shared" si="76"/>
        <v>0</v>
      </c>
      <c r="BE200" s="9">
        <f t="shared" si="77"/>
        <v>0</v>
      </c>
      <c r="BF200" s="18">
        <f t="shared" si="78"/>
        <v>0</v>
      </c>
    </row>
    <row r="201" spans="9:58" ht="15.75" thickBot="1" x14ac:dyDescent="0.3">
      <c r="I201" s="19" t="str">
        <f>alimentos[[#This Row],[Item]]</f>
        <v>Extrato de Tomate (140g)</v>
      </c>
      <c r="J201" s="4">
        <f>IFERROR(alimentos[[#This Row],[kg/embalagem]],0)</f>
        <v>0.14000000000000001</v>
      </c>
      <c r="K201" s="4">
        <f>IFERROR(alimentos[[#This Row],[Preço]],0)</f>
        <v>3.49</v>
      </c>
      <c r="L201" s="4">
        <f>SUMIFS(super1[Qtde],super1[Item],tab_alimentos[[#This Row],[Item]],super1[Bairro],mercado1)+SUMIFS(supercb[Qtde],supercb[Item],tab_alimentos[[#This Row],[Item]],supercb[Bairro],mercado1)</f>
        <v>0</v>
      </c>
      <c r="M201" s="4">
        <f>SUMIFS(super1[Qtde],super1[Item],tab_alimentos[[#This Row],[Item]],super1[Bairro],mercado2)+SUMIFS(supercb[Qtde],supercb[Item],tab_alimentos[[#This Row],[Item]],supercb[Bairro],mercado2)</f>
        <v>0</v>
      </c>
      <c r="N201" s="4">
        <f>SUMIFS(super1[Qtde],super1[Item],tab_alimentos[[#This Row],[Item]],super1[Bairro],mercado3)+SUMIFS(supercb[Qtde],supercb[Item],tab_alimentos[[#This Row],[Item]],supercb[Bairro],mercado3)</f>
        <v>0</v>
      </c>
      <c r="O201" s="4">
        <f>SUMIFS(super1[Qtde],super1[Item],tab_alimentos[[#This Row],[Item]],super1[Bairro],mercado4)+SUMIFS(supercb[Qtde],supercb[Item],tab_alimentos[[#This Row],[Item]],supercb[Bairro],mercado4)</f>
        <v>0</v>
      </c>
      <c r="P201" s="4">
        <f>SUMIFS(super1[Qtde],super1[Item],tab_alimentos[[#This Row],[Item]],super1[Bairro],mercado5)+SUMIFS(supercb[Qtde],supercb[Item],tab_alimentos[[#This Row],[Item]],supercb[Bairro],mercado5)</f>
        <v>0</v>
      </c>
      <c r="Q201" s="4">
        <f>SUMIFS(super1[Qtde],super1[Item],tab_alimentos[[#This Row],[Item]],super1[Bairro],mercado6)+SUMIFS(supercb[Qtde],supercb[Item],tab_alimentos[[#This Row],[Item]],supercb[Bairro],mercado6)</f>
        <v>0</v>
      </c>
      <c r="R201" s="4">
        <f>SUMIFS(super1[Qtde],super1[Item],tab_alimentos[[#This Row],[Item]],super1[Bairro],mercado7)+SUMIFS(supercb[Qtde],supercb[Item],tab_alimentos[[#This Row],[Item]],supercb[Bairro],mercado7)</f>
        <v>0</v>
      </c>
      <c r="S201" s="4">
        <f>SUMIFS(super1[Qtde],super1[Item],tab_alimentos[[#This Row],[Item]],super1[Bairro],mercado8)+SUMIFS(supercb[Qtde],supercb[Item],tab_alimentos[[#This Row],[Item]],supercb[Bairro],mercado8)</f>
        <v>0</v>
      </c>
      <c r="T201" s="4">
        <f>SUMIFS(super1[Qtde],super1[Item],tab_alimentos[[#This Row],[Item]],super1[Bairro],mercado9)+SUMIFS(supercb[Qtde],supercb[Item],tab_alimentos[[#This Row],[Item]],supercb[Bairro],mercado9)</f>
        <v>0</v>
      </c>
      <c r="U201" s="4">
        <f>SUMIFS(super1[Qtde],super1[Item],tab_alimentos[[#This Row],[Item]],super1[Bairro],mercado10)+SUMIFS(supercb[Qtde],supercb[Item],tab_alimentos[[#This Row],[Item]],supercb[Bairro],mercado10)</f>
        <v>0</v>
      </c>
      <c r="V201" s="4">
        <f>SUMIFS(super1[Qtde],super1[Item],tab_alimentos[[#This Row],[Item]],super1[Bairro],mercado11)+SUMIFS(supercb[Qtde],supercb[Item],tab_alimentos[[#This Row],[Item]],supercb[Bairro],mercado11)</f>
        <v>0</v>
      </c>
      <c r="W201" s="4">
        <f>SUMIFS(super1[Qtde],super1[Item],tab_alimentos[[#This Row],[Item]],super1[Bairro],mercado12)+SUMIFS(supercb[Qtde],supercb[Item],tab_alimentos[[#This Row],[Item]],supercb[Bairro],mercado12)</f>
        <v>0</v>
      </c>
      <c r="X201" s="4">
        <f>SUMIFS(super1[Qtde],super1[Item],tab_alimentos[[#This Row],[Item]],super1[Bairro],mercado13)+SUMIFS(supercb[Qtde],supercb[Item],tab_alimentos[[#This Row],[Item]],supercb[Bairro],mercado13)</f>
        <v>0</v>
      </c>
      <c r="Y201" s="4">
        <f>SUMIFS(super1[Qtde],super1[Item],tab_alimentos[[#This Row],[Item]],super1[Bairro],mercado14)+SUMIFS(supercb[Qtde],supercb[Item],tab_alimentos[[#This Row],[Item]],supercb[Bairro],mercado14)</f>
        <v>0</v>
      </c>
      <c r="Z201" s="4">
        <f>SUMIFS(super1[Qtde],super1[Item],tab_alimentos[[#This Row],[Item]],super1[Bairro],mercado15)+SUMIFS(supercb[Qtde],supercb[Item],tab_alimentos[[#This Row],[Item]],supercb[Bairro],mercado15)</f>
        <v>0</v>
      </c>
      <c r="AA201" s="4">
        <f>SUMIFS(super1[Qtde],super1[Item],tab_alimentos[[#This Row],[Item]],super1[Bairro],mercado16)+SUMIFS(supercb[Qtde],supercb[Item],tab_alimentos[[#This Row],[Item]],supercb[Bairro],mercado16)</f>
        <v>0</v>
      </c>
      <c r="AB201" s="4">
        <f>SUMIFS(super1[Qtde],super1[Item],tab_alimentos[[#This Row],[Item]],super1[Bairro],mercado17)+SUMIFS(supercb[Qtde],supercb[Item],tab_alimentos[[#This Row],[Item]],supercb[Bairro],mercado17)</f>
        <v>0</v>
      </c>
      <c r="AC201" s="4">
        <f>SUMIFS(super1[Qtde],super1[Item],tab_alimentos[[#This Row],[Item]],super1[Bairro],mercado18)+SUMIFS(supercb[Qtde],supercb[Item],tab_alimentos[[#This Row],[Item]],supercb[Bairro],mercado18)</f>
        <v>0</v>
      </c>
      <c r="AD201" s="4">
        <f>SUMIFS(super1[Qtde],super1[Item],tab_alimentos[[#This Row],[Item]],super1[Bairro],extras)+SUMIFS(supercb[Qtde],supercb[Item],tab_alimentos[[#This Row],[Item]],supercb[Bairro],extras)</f>
        <v>0</v>
      </c>
      <c r="AE201" s="4">
        <f t="shared" si="67"/>
        <v>0</v>
      </c>
      <c r="AF201" s="4">
        <f t="shared" si="68"/>
        <v>0</v>
      </c>
      <c r="AG201" s="6">
        <f t="shared" si="69"/>
        <v>0</v>
      </c>
      <c r="AH201" s="13" t="str">
        <f>higiene[[#This Row],[Item]]</f>
        <v>Q</v>
      </c>
      <c r="AI201" s="9">
        <f>IFERROR(higiene[[#This Row],[Kg equivalente]],0)</f>
        <v>0</v>
      </c>
      <c r="AJ201" s="9">
        <f>IFERROR(higiene[[#This Row],[Preço por produto]],0)</f>
        <v>0</v>
      </c>
      <c r="AK201" s="4">
        <f>SUMIFS(super1[Qtde],super1[Item],tab_higiene[[#This Row],[Item]],super1[Bairro],mercado1)+SUMIFS(supercb[Qtde],supercb[Item],tab_higiene[[#This Row],[Item]],supercb[Bairro],mercado1)</f>
        <v>0</v>
      </c>
      <c r="AL201" s="4">
        <f>SUMIFS(super1[Qtde],super1[Item],tab_higiene[[#This Row],[Item]],super1[Bairro],mercado2)+SUMIFS(supercb[Qtde],supercb[Item],tab_higiene[[#This Row],[Item]],supercb[Bairro],mercado2)</f>
        <v>0</v>
      </c>
      <c r="AM201" s="4">
        <f>SUMIFS(super1[Qtde],super1[Item],tab_higiene[[#This Row],[Item]],super1[Bairro],mercado3)+SUMIFS(supercb[Qtde],supercb[Item],tab_higiene[[#This Row],[Item]],supercb[Bairro],mercado3)</f>
        <v>0</v>
      </c>
      <c r="AN201" s="4">
        <f>SUMIFS(super1[Qtde],super1[Item],tab_higiene[[#This Row],[Item]],super1[Bairro],mercado4)+SUMIFS(supercb[Qtde],supercb[Item],tab_higiene[[#This Row],[Item]],supercb[Bairro],mercado4)</f>
        <v>0</v>
      </c>
      <c r="AO201" s="4">
        <f>SUMIFS(super1[Qtde],super1[Item],tab_higiene[[#This Row],[Item]],super1[Bairro],mercado5)+SUMIFS(supercb[Qtde],supercb[Item],tab_higiene[[#This Row],[Item]],supercb[Bairro],mercado5)</f>
        <v>0</v>
      </c>
      <c r="AP201" s="4">
        <f>SUMIFS(super1[Qtde],super1[Item],tab_higiene[[#This Row],[Item]],super1[Bairro],mercado6)+SUMIFS(supercb[Qtde],supercb[Item],tab_higiene[[#This Row],[Item]],supercb[Bairro],mercado6)</f>
        <v>0</v>
      </c>
      <c r="AQ201" s="4">
        <f>SUMIFS(super1[Qtde],super1[Item],tab_higiene[[#This Row],[Item]],super1[Bairro],mercado7)+SUMIFS(supercb[Qtde],supercb[Item],tab_higiene[[#This Row],[Item]],supercb[Bairro],mercado7)</f>
        <v>0</v>
      </c>
      <c r="AR201" s="4">
        <f>SUMIFS(super1[Qtde],super1[Item],tab_higiene[[#This Row],[Item]],super1[Bairro],mercado8)+SUMIFS(supercb[Qtde],supercb[Item],tab_higiene[[#This Row],[Item]],supercb[Bairro],mercado8)</f>
        <v>0</v>
      </c>
      <c r="AS201" s="4">
        <f>SUMIFS(super1[Qtde],super1[Item],tab_higiene[[#This Row],[Item]],super1[Bairro],mercado9)+SUMIFS(supercb[Qtde],supercb[Item],tab_higiene[[#This Row],[Item]],supercb[Bairro],mercado9)</f>
        <v>0</v>
      </c>
      <c r="AT201" s="4">
        <f>SUMIFS(super1[Qtde],super1[Item],tab_higiene[[#This Row],[Item]],super1[Bairro],mercado10)+SUMIFS(supercb[Qtde],supercb[Item],tab_higiene[[#This Row],[Item]],supercb[Bairro],mercado10)</f>
        <v>0</v>
      </c>
      <c r="AU201" s="4">
        <f>SUMIFS(super1[Qtde],super1[Item],tab_higiene[[#This Row],[Item]],super1[Bairro],mercado11)+SUMIFS(supercb[Qtde],supercb[Item],tab_higiene[[#This Row],[Item]],supercb[Bairro],mercado11)</f>
        <v>0</v>
      </c>
      <c r="AV201" s="4">
        <f>SUMIFS(super1[Qtde],super1[Item],tab_higiene[[#This Row],[Item]],super1[Bairro],mercado12)+SUMIFS(supercb[Qtde],supercb[Item],tab_higiene[[#This Row],[Item]],supercb[Bairro],mercado12)</f>
        <v>0</v>
      </c>
      <c r="AW201" s="4">
        <f>SUMIFS(super1[Qtde],super1[Item],tab_higiene[[#This Row],[Item]],super1[Bairro],mercado13)+SUMIFS(supercb[Qtde],supercb[Item],tab_higiene[[#This Row],[Item]],supercb[Bairro],mercado13)</f>
        <v>0</v>
      </c>
      <c r="AX201" s="4">
        <f>SUMIFS(super1[Qtde],super1[Item],tab_higiene[[#This Row],[Item]],super1[Bairro],mercado14)+SUMIFS(supercb[Qtde],supercb[Item],tab_higiene[[#This Row],[Item]],supercb[Bairro],mercado14)</f>
        <v>0</v>
      </c>
      <c r="AY201" s="4">
        <f>SUMIFS(super1[Qtde],super1[Item],tab_higiene[[#This Row],[Item]],super1[Bairro],mercado15)+SUMIFS(supercb[Qtde],supercb[Item],tab_higiene[[#This Row],[Item]],supercb[Bairro],mercado15)</f>
        <v>0</v>
      </c>
      <c r="AZ201" s="4">
        <f>SUMIFS(super1[Qtde],super1[Item],tab_higiene[[#This Row],[Item]],super1[Bairro],mercado16)+SUMIFS(supercb[Qtde],supercb[Item],tab_higiene[[#This Row],[Item]],supercb[Bairro],mercado16)</f>
        <v>0</v>
      </c>
      <c r="BA201" s="4">
        <f>SUMIFS(super1[Qtde],super1[Item],tab_higiene[[#This Row],[Item]],super1[Bairro],mercado17)+SUMIFS(supercb[Qtde],supercb[Item],tab_higiene[[#This Row],[Item]],supercb[Bairro],mercado17)</f>
        <v>0</v>
      </c>
      <c r="BB201" s="4">
        <f>SUMIFS(super1[Qtde],super1[Item],tab_higiene[[#This Row],[Item]],super1[Bairro],mercado18)+SUMIFS(supercb[Qtde],supercb[Item],tab_higiene[[#This Row],[Item]],supercb[Bairro],mercado18)</f>
        <v>0</v>
      </c>
      <c r="BC201" s="31">
        <f>SUMIFS(super1[Qtde],super1[Item],tab_higiene[[#This Row],[Item]],super1[Bairro],extras)+SUMIFS(supercb[Qtde],supercb[Item],tab_higiene[[#This Row],[Item]],supercb[Bairro],extras)</f>
        <v>0</v>
      </c>
      <c r="BD201" s="9">
        <f t="shared" si="76"/>
        <v>0</v>
      </c>
      <c r="BE201" s="9">
        <f t="shared" si="77"/>
        <v>0</v>
      </c>
      <c r="BF201" s="18">
        <f t="shared" si="78"/>
        <v>0</v>
      </c>
    </row>
    <row r="202" spans="9:58" ht="15.75" thickBot="1" x14ac:dyDescent="0.3">
      <c r="I202" s="19" t="str">
        <f>alimentos[[#This Row],[Item]]</f>
        <v>Extrato de Tomate (190g)</v>
      </c>
      <c r="J202" s="4">
        <f>IFERROR(alimentos[[#This Row],[kg/embalagem]],0)</f>
        <v>0.19</v>
      </c>
      <c r="K202" s="4">
        <f>IFERROR(alimentos[[#This Row],[Preço]],0)</f>
        <v>3.98</v>
      </c>
      <c r="L202" s="4">
        <f>SUMIFS(super1[Qtde],super1[Item],tab_alimentos[[#This Row],[Item]],super1[Bairro],mercado1)+SUMIFS(supercb[Qtde],supercb[Item],tab_alimentos[[#This Row],[Item]],supercb[Bairro],mercado1)</f>
        <v>0</v>
      </c>
      <c r="M202" s="4">
        <f>SUMIFS(super1[Qtde],super1[Item],tab_alimentos[[#This Row],[Item]],super1[Bairro],mercado2)+SUMIFS(supercb[Qtde],supercb[Item],tab_alimentos[[#This Row],[Item]],supercb[Bairro],mercado2)</f>
        <v>0</v>
      </c>
      <c r="N202" s="4">
        <f>SUMIFS(super1[Qtde],super1[Item],tab_alimentos[[#This Row],[Item]],super1[Bairro],mercado3)+SUMIFS(supercb[Qtde],supercb[Item],tab_alimentos[[#This Row],[Item]],supercb[Bairro],mercado3)</f>
        <v>0</v>
      </c>
      <c r="O202" s="4">
        <f>SUMIFS(super1[Qtde],super1[Item],tab_alimentos[[#This Row],[Item]],super1[Bairro],mercado4)+SUMIFS(supercb[Qtde],supercb[Item],tab_alimentos[[#This Row],[Item]],supercb[Bairro],mercado4)</f>
        <v>0</v>
      </c>
      <c r="P202" s="4">
        <f>SUMIFS(super1[Qtde],super1[Item],tab_alimentos[[#This Row],[Item]],super1[Bairro],mercado5)+SUMIFS(supercb[Qtde],supercb[Item],tab_alimentos[[#This Row],[Item]],supercb[Bairro],mercado5)</f>
        <v>0</v>
      </c>
      <c r="Q202" s="4">
        <f>SUMIFS(super1[Qtde],super1[Item],tab_alimentos[[#This Row],[Item]],super1[Bairro],mercado6)+SUMIFS(supercb[Qtde],supercb[Item],tab_alimentos[[#This Row],[Item]],supercb[Bairro],mercado6)</f>
        <v>0</v>
      </c>
      <c r="R202" s="4">
        <f>SUMIFS(super1[Qtde],super1[Item],tab_alimentos[[#This Row],[Item]],super1[Bairro],mercado7)+SUMIFS(supercb[Qtde],supercb[Item],tab_alimentos[[#This Row],[Item]],supercb[Bairro],mercado7)</f>
        <v>0</v>
      </c>
      <c r="S202" s="4">
        <f>SUMIFS(super1[Qtde],super1[Item],tab_alimentos[[#This Row],[Item]],super1[Bairro],mercado8)+SUMIFS(supercb[Qtde],supercb[Item],tab_alimentos[[#This Row],[Item]],supercb[Bairro],mercado8)</f>
        <v>0</v>
      </c>
      <c r="T202" s="4">
        <f>SUMIFS(super1[Qtde],super1[Item],tab_alimentos[[#This Row],[Item]],super1[Bairro],mercado9)+SUMIFS(supercb[Qtde],supercb[Item],tab_alimentos[[#This Row],[Item]],supercb[Bairro],mercado9)</f>
        <v>0</v>
      </c>
      <c r="U202" s="4">
        <f>SUMIFS(super1[Qtde],super1[Item],tab_alimentos[[#This Row],[Item]],super1[Bairro],mercado10)+SUMIFS(supercb[Qtde],supercb[Item],tab_alimentos[[#This Row],[Item]],supercb[Bairro],mercado10)</f>
        <v>0</v>
      </c>
      <c r="V202" s="4">
        <f>SUMIFS(super1[Qtde],super1[Item],tab_alimentos[[#This Row],[Item]],super1[Bairro],mercado11)+SUMIFS(supercb[Qtde],supercb[Item],tab_alimentos[[#This Row],[Item]],supercb[Bairro],mercado11)</f>
        <v>0</v>
      </c>
      <c r="W202" s="4">
        <f>SUMIFS(super1[Qtde],super1[Item],tab_alimentos[[#This Row],[Item]],super1[Bairro],mercado12)+SUMIFS(supercb[Qtde],supercb[Item],tab_alimentos[[#This Row],[Item]],supercb[Bairro],mercado12)</f>
        <v>0</v>
      </c>
      <c r="X202" s="4">
        <f>SUMIFS(super1[Qtde],super1[Item],tab_alimentos[[#This Row],[Item]],super1[Bairro],mercado13)+SUMIFS(supercb[Qtde],supercb[Item],tab_alimentos[[#This Row],[Item]],supercb[Bairro],mercado13)</f>
        <v>0</v>
      </c>
      <c r="Y202" s="4">
        <f>SUMIFS(super1[Qtde],super1[Item],tab_alimentos[[#This Row],[Item]],super1[Bairro],mercado14)+SUMIFS(supercb[Qtde],supercb[Item],tab_alimentos[[#This Row],[Item]],supercb[Bairro],mercado14)</f>
        <v>0</v>
      </c>
      <c r="Z202" s="4">
        <f>SUMIFS(super1[Qtde],super1[Item],tab_alimentos[[#This Row],[Item]],super1[Bairro],mercado15)+SUMIFS(supercb[Qtde],supercb[Item],tab_alimentos[[#This Row],[Item]],supercb[Bairro],mercado15)</f>
        <v>0</v>
      </c>
      <c r="AA202" s="4">
        <f>SUMIFS(super1[Qtde],super1[Item],tab_alimentos[[#This Row],[Item]],super1[Bairro],mercado16)+SUMIFS(supercb[Qtde],supercb[Item],tab_alimentos[[#This Row],[Item]],supercb[Bairro],mercado16)</f>
        <v>0</v>
      </c>
      <c r="AB202" s="4">
        <f>SUMIFS(super1[Qtde],super1[Item],tab_alimentos[[#This Row],[Item]],super1[Bairro],mercado17)+SUMIFS(supercb[Qtde],supercb[Item],tab_alimentos[[#This Row],[Item]],supercb[Bairro],mercado17)</f>
        <v>0</v>
      </c>
      <c r="AC202" s="4">
        <f>SUMIFS(super1[Qtde],super1[Item],tab_alimentos[[#This Row],[Item]],super1[Bairro],mercado18)+SUMIFS(supercb[Qtde],supercb[Item],tab_alimentos[[#This Row],[Item]],supercb[Bairro],mercado18)</f>
        <v>0</v>
      </c>
      <c r="AD202" s="4">
        <f>SUMIFS(super1[Qtde],super1[Item],tab_alimentos[[#This Row],[Item]],super1[Bairro],extras)+SUMIFS(supercb[Qtde],supercb[Item],tab_alimentos[[#This Row],[Item]],supercb[Bairro],extras)</f>
        <v>0</v>
      </c>
      <c r="AE202" s="4">
        <f t="shared" si="67"/>
        <v>0</v>
      </c>
      <c r="AF202" s="4">
        <f t="shared" si="68"/>
        <v>0</v>
      </c>
      <c r="AG202" s="6">
        <f t="shared" si="69"/>
        <v>0</v>
      </c>
      <c r="AH202" s="13" t="str">
        <f>higiene[[#This Row],[Item]]</f>
        <v>Querosene (1L)</v>
      </c>
      <c r="AI202" s="9">
        <f>IFERROR(higiene[[#This Row],[Kg equivalente]],0)</f>
        <v>0</v>
      </c>
      <c r="AJ202" s="9">
        <f>IFERROR(higiene[[#This Row],[Preço por produto]],0)</f>
        <v>22.9</v>
      </c>
      <c r="AK202" s="4">
        <f>SUMIFS(super1[Qtde],super1[Item],tab_higiene[[#This Row],[Item]],super1[Bairro],mercado1)+SUMIFS(supercb[Qtde],supercb[Item],tab_higiene[[#This Row],[Item]],supercb[Bairro],mercado1)</f>
        <v>0</v>
      </c>
      <c r="AL202" s="4">
        <f>SUMIFS(super1[Qtde],super1[Item],tab_higiene[[#This Row],[Item]],super1[Bairro],mercado2)+SUMIFS(supercb[Qtde],supercb[Item],tab_higiene[[#This Row],[Item]],supercb[Bairro],mercado2)</f>
        <v>0</v>
      </c>
      <c r="AM202" s="4">
        <f>SUMIFS(super1[Qtde],super1[Item],tab_higiene[[#This Row],[Item]],super1[Bairro],mercado3)+SUMIFS(supercb[Qtde],supercb[Item],tab_higiene[[#This Row],[Item]],supercb[Bairro],mercado3)</f>
        <v>0</v>
      </c>
      <c r="AN202" s="4">
        <f>SUMIFS(super1[Qtde],super1[Item],tab_higiene[[#This Row],[Item]],super1[Bairro],mercado4)+SUMIFS(supercb[Qtde],supercb[Item],tab_higiene[[#This Row],[Item]],supercb[Bairro],mercado4)</f>
        <v>0</v>
      </c>
      <c r="AO202" s="4">
        <f>SUMIFS(super1[Qtde],super1[Item],tab_higiene[[#This Row],[Item]],super1[Bairro],mercado5)+SUMIFS(supercb[Qtde],supercb[Item],tab_higiene[[#This Row],[Item]],supercb[Bairro],mercado5)</f>
        <v>0</v>
      </c>
      <c r="AP202" s="4">
        <f>SUMIFS(super1[Qtde],super1[Item],tab_higiene[[#This Row],[Item]],super1[Bairro],mercado6)+SUMIFS(supercb[Qtde],supercb[Item],tab_higiene[[#This Row],[Item]],supercb[Bairro],mercado6)</f>
        <v>0</v>
      </c>
      <c r="AQ202" s="4">
        <f>SUMIFS(super1[Qtde],super1[Item],tab_higiene[[#This Row],[Item]],super1[Bairro],mercado7)+SUMIFS(supercb[Qtde],supercb[Item],tab_higiene[[#This Row],[Item]],supercb[Bairro],mercado7)</f>
        <v>0</v>
      </c>
      <c r="AR202" s="4">
        <f>SUMIFS(super1[Qtde],super1[Item],tab_higiene[[#This Row],[Item]],super1[Bairro],mercado8)+SUMIFS(supercb[Qtde],supercb[Item],tab_higiene[[#This Row],[Item]],supercb[Bairro],mercado8)</f>
        <v>0</v>
      </c>
      <c r="AS202" s="4">
        <f>SUMIFS(super1[Qtde],super1[Item],tab_higiene[[#This Row],[Item]],super1[Bairro],mercado9)+SUMIFS(supercb[Qtde],supercb[Item],tab_higiene[[#This Row],[Item]],supercb[Bairro],mercado9)</f>
        <v>0</v>
      </c>
      <c r="AT202" s="4">
        <f>SUMIFS(super1[Qtde],super1[Item],tab_higiene[[#This Row],[Item]],super1[Bairro],mercado10)+SUMIFS(supercb[Qtde],supercb[Item],tab_higiene[[#This Row],[Item]],supercb[Bairro],mercado10)</f>
        <v>0</v>
      </c>
      <c r="AU202" s="4">
        <f>SUMIFS(super1[Qtde],super1[Item],tab_higiene[[#This Row],[Item]],super1[Bairro],mercado11)+SUMIFS(supercb[Qtde],supercb[Item],tab_higiene[[#This Row],[Item]],supercb[Bairro],mercado11)</f>
        <v>0</v>
      </c>
      <c r="AV202" s="4">
        <f>SUMIFS(super1[Qtde],super1[Item],tab_higiene[[#This Row],[Item]],super1[Bairro],mercado12)+SUMIFS(supercb[Qtde],supercb[Item],tab_higiene[[#This Row],[Item]],supercb[Bairro],mercado12)</f>
        <v>0</v>
      </c>
      <c r="AW202" s="4">
        <f>SUMIFS(super1[Qtde],super1[Item],tab_higiene[[#This Row],[Item]],super1[Bairro],mercado13)+SUMIFS(supercb[Qtde],supercb[Item],tab_higiene[[#This Row],[Item]],supercb[Bairro],mercado13)</f>
        <v>0</v>
      </c>
      <c r="AX202" s="4">
        <f>SUMIFS(super1[Qtde],super1[Item],tab_higiene[[#This Row],[Item]],super1[Bairro],mercado14)+SUMIFS(supercb[Qtde],supercb[Item],tab_higiene[[#This Row],[Item]],supercb[Bairro],mercado14)</f>
        <v>0</v>
      </c>
      <c r="AY202" s="4">
        <f>SUMIFS(super1[Qtde],super1[Item],tab_higiene[[#This Row],[Item]],super1[Bairro],mercado15)+SUMIFS(supercb[Qtde],supercb[Item],tab_higiene[[#This Row],[Item]],supercb[Bairro],mercado15)</f>
        <v>0</v>
      </c>
      <c r="AZ202" s="4">
        <f>SUMIFS(super1[Qtde],super1[Item],tab_higiene[[#This Row],[Item]],super1[Bairro],mercado16)+SUMIFS(supercb[Qtde],supercb[Item],tab_higiene[[#This Row],[Item]],supercb[Bairro],mercado16)</f>
        <v>0</v>
      </c>
      <c r="BA202" s="4">
        <f>SUMIFS(super1[Qtde],super1[Item],tab_higiene[[#This Row],[Item]],super1[Bairro],mercado17)+SUMIFS(supercb[Qtde],supercb[Item],tab_higiene[[#This Row],[Item]],supercb[Bairro],mercado17)</f>
        <v>0</v>
      </c>
      <c r="BB202" s="4">
        <f>SUMIFS(super1[Qtde],super1[Item],tab_higiene[[#This Row],[Item]],super1[Bairro],mercado18)+SUMIFS(supercb[Qtde],supercb[Item],tab_higiene[[#This Row],[Item]],supercb[Bairro],mercado18)</f>
        <v>0</v>
      </c>
      <c r="BC202" s="31">
        <f>SUMIFS(super1[Qtde],super1[Item],tab_higiene[[#This Row],[Item]],super1[Bairro],extras)+SUMIFS(supercb[Qtde],supercb[Item],tab_higiene[[#This Row],[Item]],supercb[Bairro],extras)</f>
        <v>0</v>
      </c>
      <c r="BD202" s="9">
        <f t="shared" si="76"/>
        <v>0</v>
      </c>
      <c r="BE202" s="9">
        <f t="shared" si="77"/>
        <v>0</v>
      </c>
      <c r="BF202" s="18">
        <f t="shared" si="78"/>
        <v>0</v>
      </c>
    </row>
    <row r="203" spans="9:58" ht="15.75" thickBot="1" x14ac:dyDescent="0.3">
      <c r="I203" s="19" t="str">
        <f>alimentos[[#This Row],[Item]]</f>
        <v>Extrato de Tomate (280g)</v>
      </c>
      <c r="J203" s="4">
        <f>IFERROR(alimentos[[#This Row],[kg/embalagem]],0)</f>
        <v>0.28000000000000003</v>
      </c>
      <c r="K203" s="4">
        <f>IFERROR(alimentos[[#This Row],[Preço]],0)</f>
        <v>4.4800000000000004</v>
      </c>
      <c r="L203" s="4">
        <f>SUMIFS(super1[Qtde],super1[Item],tab_alimentos[[#This Row],[Item]],super1[Bairro],mercado1)+SUMIFS(supercb[Qtde],supercb[Item],tab_alimentos[[#This Row],[Item]],supercb[Bairro],mercado1)</f>
        <v>0</v>
      </c>
      <c r="M203" s="4">
        <f>SUMIFS(super1[Qtde],super1[Item],tab_alimentos[[#This Row],[Item]],super1[Bairro],mercado2)+SUMIFS(supercb[Qtde],supercb[Item],tab_alimentos[[#This Row],[Item]],supercb[Bairro],mercado2)</f>
        <v>0</v>
      </c>
      <c r="N203" s="4">
        <f>SUMIFS(super1[Qtde],super1[Item],tab_alimentos[[#This Row],[Item]],super1[Bairro],mercado3)+SUMIFS(supercb[Qtde],supercb[Item],tab_alimentos[[#This Row],[Item]],supercb[Bairro],mercado3)</f>
        <v>0</v>
      </c>
      <c r="O203" s="4">
        <f>SUMIFS(super1[Qtde],super1[Item],tab_alimentos[[#This Row],[Item]],super1[Bairro],mercado4)+SUMIFS(supercb[Qtde],supercb[Item],tab_alimentos[[#This Row],[Item]],supercb[Bairro],mercado4)</f>
        <v>0</v>
      </c>
      <c r="P203" s="4">
        <f>SUMIFS(super1[Qtde],super1[Item],tab_alimentos[[#This Row],[Item]],super1[Bairro],mercado5)+SUMIFS(supercb[Qtde],supercb[Item],tab_alimentos[[#This Row],[Item]],supercb[Bairro],mercado5)</f>
        <v>0</v>
      </c>
      <c r="Q203" s="4">
        <f>SUMIFS(super1[Qtde],super1[Item],tab_alimentos[[#This Row],[Item]],super1[Bairro],mercado6)+SUMIFS(supercb[Qtde],supercb[Item],tab_alimentos[[#This Row],[Item]],supercb[Bairro],mercado6)</f>
        <v>0</v>
      </c>
      <c r="R203" s="4">
        <f>SUMIFS(super1[Qtde],super1[Item],tab_alimentos[[#This Row],[Item]],super1[Bairro],mercado7)+SUMIFS(supercb[Qtde],supercb[Item],tab_alimentos[[#This Row],[Item]],supercb[Bairro],mercado7)</f>
        <v>0</v>
      </c>
      <c r="S203" s="4">
        <f>SUMIFS(super1[Qtde],super1[Item],tab_alimentos[[#This Row],[Item]],super1[Bairro],mercado8)+SUMIFS(supercb[Qtde],supercb[Item],tab_alimentos[[#This Row],[Item]],supercb[Bairro],mercado8)</f>
        <v>0</v>
      </c>
      <c r="T203" s="4">
        <f>SUMIFS(super1[Qtde],super1[Item],tab_alimentos[[#This Row],[Item]],super1[Bairro],mercado9)+SUMIFS(supercb[Qtde],supercb[Item],tab_alimentos[[#This Row],[Item]],supercb[Bairro],mercado9)</f>
        <v>0</v>
      </c>
      <c r="U203" s="4">
        <f>SUMIFS(super1[Qtde],super1[Item],tab_alimentos[[#This Row],[Item]],super1[Bairro],mercado10)+SUMIFS(supercb[Qtde],supercb[Item],tab_alimentos[[#This Row],[Item]],supercb[Bairro],mercado10)</f>
        <v>0</v>
      </c>
      <c r="V203" s="4">
        <f>SUMIFS(super1[Qtde],super1[Item],tab_alimentos[[#This Row],[Item]],super1[Bairro],mercado11)+SUMIFS(supercb[Qtde],supercb[Item],tab_alimentos[[#This Row],[Item]],supercb[Bairro],mercado11)</f>
        <v>0</v>
      </c>
      <c r="W203" s="4">
        <f>SUMIFS(super1[Qtde],super1[Item],tab_alimentos[[#This Row],[Item]],super1[Bairro],mercado12)+SUMIFS(supercb[Qtde],supercb[Item],tab_alimentos[[#This Row],[Item]],supercb[Bairro],mercado12)</f>
        <v>0</v>
      </c>
      <c r="X203" s="4">
        <f>SUMIFS(super1[Qtde],super1[Item],tab_alimentos[[#This Row],[Item]],super1[Bairro],mercado13)+SUMIFS(supercb[Qtde],supercb[Item],tab_alimentos[[#This Row],[Item]],supercb[Bairro],mercado13)</f>
        <v>0</v>
      </c>
      <c r="Y203" s="4">
        <f>SUMIFS(super1[Qtde],super1[Item],tab_alimentos[[#This Row],[Item]],super1[Bairro],mercado14)+SUMIFS(supercb[Qtde],supercb[Item],tab_alimentos[[#This Row],[Item]],supercb[Bairro],mercado14)</f>
        <v>0</v>
      </c>
      <c r="Z203" s="4">
        <f>SUMIFS(super1[Qtde],super1[Item],tab_alimentos[[#This Row],[Item]],super1[Bairro],mercado15)+SUMIFS(supercb[Qtde],supercb[Item],tab_alimentos[[#This Row],[Item]],supercb[Bairro],mercado15)</f>
        <v>0</v>
      </c>
      <c r="AA203" s="4">
        <f>SUMIFS(super1[Qtde],super1[Item],tab_alimentos[[#This Row],[Item]],super1[Bairro],mercado16)+SUMIFS(supercb[Qtde],supercb[Item],tab_alimentos[[#This Row],[Item]],supercb[Bairro],mercado16)</f>
        <v>0</v>
      </c>
      <c r="AB203" s="4">
        <f>SUMIFS(super1[Qtde],super1[Item],tab_alimentos[[#This Row],[Item]],super1[Bairro],mercado17)+SUMIFS(supercb[Qtde],supercb[Item],tab_alimentos[[#This Row],[Item]],supercb[Bairro],mercado17)</f>
        <v>0</v>
      </c>
      <c r="AC203" s="4">
        <f>SUMIFS(super1[Qtde],super1[Item],tab_alimentos[[#This Row],[Item]],super1[Bairro],mercado18)+SUMIFS(supercb[Qtde],supercb[Item],tab_alimentos[[#This Row],[Item]],supercb[Bairro],mercado18)</f>
        <v>0</v>
      </c>
      <c r="AD203" s="4">
        <f>SUMIFS(super1[Qtde],super1[Item],tab_alimentos[[#This Row],[Item]],super1[Bairro],extras)+SUMIFS(supercb[Qtde],supercb[Item],tab_alimentos[[#This Row],[Item]],supercb[Bairro],extras)</f>
        <v>0</v>
      </c>
      <c r="AE203" s="4">
        <f t="shared" si="67"/>
        <v>0</v>
      </c>
      <c r="AF203" s="4">
        <f t="shared" si="68"/>
        <v>0</v>
      </c>
      <c r="AG203" s="6">
        <f t="shared" si="69"/>
        <v>0</v>
      </c>
      <c r="AH203" s="13" t="str">
        <f>higiene[[#This Row],[Item]]</f>
        <v>Querosene (500mL)</v>
      </c>
      <c r="AI203" s="9">
        <f>IFERROR(higiene[[#This Row],[Kg equivalente]],0)</f>
        <v>0</v>
      </c>
      <c r="AJ203" s="9">
        <f>IFERROR(higiene[[#This Row],[Preço por produto]],0)</f>
        <v>11.9</v>
      </c>
      <c r="AK203" s="4">
        <f>SUMIFS(super1[Qtde],super1[Item],tab_higiene[[#This Row],[Item]],super1[Bairro],mercado1)+SUMIFS(supercb[Qtde],supercb[Item],tab_higiene[[#This Row],[Item]],supercb[Bairro],mercado1)</f>
        <v>0</v>
      </c>
      <c r="AL203" s="4">
        <f>SUMIFS(super1[Qtde],super1[Item],tab_higiene[[#This Row],[Item]],super1[Bairro],mercado2)+SUMIFS(supercb[Qtde],supercb[Item],tab_higiene[[#This Row],[Item]],supercb[Bairro],mercado2)</f>
        <v>0</v>
      </c>
      <c r="AM203" s="4">
        <f>SUMIFS(super1[Qtde],super1[Item],tab_higiene[[#This Row],[Item]],super1[Bairro],mercado3)+SUMIFS(supercb[Qtde],supercb[Item],tab_higiene[[#This Row],[Item]],supercb[Bairro],mercado3)</f>
        <v>0</v>
      </c>
      <c r="AN203" s="4">
        <f>SUMIFS(super1[Qtde],super1[Item],tab_higiene[[#This Row],[Item]],super1[Bairro],mercado4)+SUMIFS(supercb[Qtde],supercb[Item],tab_higiene[[#This Row],[Item]],supercb[Bairro],mercado4)</f>
        <v>0</v>
      </c>
      <c r="AO203" s="4">
        <f>SUMIFS(super1[Qtde],super1[Item],tab_higiene[[#This Row],[Item]],super1[Bairro],mercado5)+SUMIFS(supercb[Qtde],supercb[Item],tab_higiene[[#This Row],[Item]],supercb[Bairro],mercado5)</f>
        <v>0</v>
      </c>
      <c r="AP203" s="4">
        <f>SUMIFS(super1[Qtde],super1[Item],tab_higiene[[#This Row],[Item]],super1[Bairro],mercado6)+SUMIFS(supercb[Qtde],supercb[Item],tab_higiene[[#This Row],[Item]],supercb[Bairro],mercado6)</f>
        <v>0</v>
      </c>
      <c r="AQ203" s="4">
        <f>SUMIFS(super1[Qtde],super1[Item],tab_higiene[[#This Row],[Item]],super1[Bairro],mercado7)+SUMIFS(supercb[Qtde],supercb[Item],tab_higiene[[#This Row],[Item]],supercb[Bairro],mercado7)</f>
        <v>0</v>
      </c>
      <c r="AR203" s="4">
        <f>SUMIFS(super1[Qtde],super1[Item],tab_higiene[[#This Row],[Item]],super1[Bairro],mercado8)+SUMIFS(supercb[Qtde],supercb[Item],tab_higiene[[#This Row],[Item]],supercb[Bairro],mercado8)</f>
        <v>0</v>
      </c>
      <c r="AS203" s="4">
        <f>SUMIFS(super1[Qtde],super1[Item],tab_higiene[[#This Row],[Item]],super1[Bairro],mercado9)+SUMIFS(supercb[Qtde],supercb[Item],tab_higiene[[#This Row],[Item]],supercb[Bairro],mercado9)</f>
        <v>0</v>
      </c>
      <c r="AT203" s="4">
        <f>SUMIFS(super1[Qtde],super1[Item],tab_higiene[[#This Row],[Item]],super1[Bairro],mercado10)+SUMIFS(supercb[Qtde],supercb[Item],tab_higiene[[#This Row],[Item]],supercb[Bairro],mercado10)</f>
        <v>0</v>
      </c>
      <c r="AU203" s="4">
        <f>SUMIFS(super1[Qtde],super1[Item],tab_higiene[[#This Row],[Item]],super1[Bairro],mercado11)+SUMIFS(supercb[Qtde],supercb[Item],tab_higiene[[#This Row],[Item]],supercb[Bairro],mercado11)</f>
        <v>0</v>
      </c>
      <c r="AV203" s="4">
        <f>SUMIFS(super1[Qtde],super1[Item],tab_higiene[[#This Row],[Item]],super1[Bairro],mercado12)+SUMIFS(supercb[Qtde],supercb[Item],tab_higiene[[#This Row],[Item]],supercb[Bairro],mercado12)</f>
        <v>0</v>
      </c>
      <c r="AW203" s="4">
        <f>SUMIFS(super1[Qtde],super1[Item],tab_higiene[[#This Row],[Item]],super1[Bairro],mercado13)+SUMIFS(supercb[Qtde],supercb[Item],tab_higiene[[#This Row],[Item]],supercb[Bairro],mercado13)</f>
        <v>0</v>
      </c>
      <c r="AX203" s="4">
        <f>SUMIFS(super1[Qtde],super1[Item],tab_higiene[[#This Row],[Item]],super1[Bairro],mercado14)+SUMIFS(supercb[Qtde],supercb[Item],tab_higiene[[#This Row],[Item]],supercb[Bairro],mercado14)</f>
        <v>0</v>
      </c>
      <c r="AY203" s="4">
        <f>SUMIFS(super1[Qtde],super1[Item],tab_higiene[[#This Row],[Item]],super1[Bairro],mercado15)+SUMIFS(supercb[Qtde],supercb[Item],tab_higiene[[#This Row],[Item]],supercb[Bairro],mercado15)</f>
        <v>0</v>
      </c>
      <c r="AZ203" s="4">
        <f>SUMIFS(super1[Qtde],super1[Item],tab_higiene[[#This Row],[Item]],super1[Bairro],mercado16)+SUMIFS(supercb[Qtde],supercb[Item],tab_higiene[[#This Row],[Item]],supercb[Bairro],mercado16)</f>
        <v>0</v>
      </c>
      <c r="BA203" s="4">
        <f>SUMIFS(super1[Qtde],super1[Item],tab_higiene[[#This Row],[Item]],super1[Bairro],mercado17)+SUMIFS(supercb[Qtde],supercb[Item],tab_higiene[[#This Row],[Item]],supercb[Bairro],mercado17)</f>
        <v>0</v>
      </c>
      <c r="BB203" s="4">
        <f>SUMIFS(super1[Qtde],super1[Item],tab_higiene[[#This Row],[Item]],super1[Bairro],mercado18)+SUMIFS(supercb[Qtde],supercb[Item],tab_higiene[[#This Row],[Item]],supercb[Bairro],mercado18)</f>
        <v>0</v>
      </c>
      <c r="BC203" s="31">
        <f>SUMIFS(super1[Qtde],super1[Item],tab_higiene[[#This Row],[Item]],super1[Bairro],extras)+SUMIFS(supercb[Qtde],supercb[Item],tab_higiene[[#This Row],[Item]],supercb[Bairro],extras)</f>
        <v>0</v>
      </c>
      <c r="BD203" s="9">
        <f t="shared" si="76"/>
        <v>0</v>
      </c>
      <c r="BE203" s="9">
        <f t="shared" si="77"/>
        <v>0</v>
      </c>
      <c r="BF203" s="18">
        <f t="shared" si="78"/>
        <v>0</v>
      </c>
    </row>
    <row r="204" spans="9:58" ht="15.75" thickBot="1" x14ac:dyDescent="0.3">
      <c r="I204" s="19" t="str">
        <f>alimentos[[#This Row],[Item]]</f>
        <v>Extrato de Tomate (320g)</v>
      </c>
      <c r="J204" s="4">
        <f>IFERROR(alimentos[[#This Row],[kg/embalagem]],0)</f>
        <v>0.32</v>
      </c>
      <c r="K204" s="4">
        <f>IFERROR(alimentos[[#This Row],[Preço]],0)</f>
        <v>3.4</v>
      </c>
      <c r="L204" s="4">
        <f>SUMIFS(super1[Qtde],super1[Item],tab_alimentos[[#This Row],[Item]],super1[Bairro],mercado1)+SUMIFS(supercb[Qtde],supercb[Item],tab_alimentos[[#This Row],[Item]],supercb[Bairro],mercado1)</f>
        <v>0</v>
      </c>
      <c r="M204" s="4">
        <f>SUMIFS(super1[Qtde],super1[Item],tab_alimentos[[#This Row],[Item]],super1[Bairro],mercado2)+SUMIFS(supercb[Qtde],supercb[Item],tab_alimentos[[#This Row],[Item]],supercb[Bairro],mercado2)</f>
        <v>0</v>
      </c>
      <c r="N204" s="4">
        <f>SUMIFS(super1[Qtde],super1[Item],tab_alimentos[[#This Row],[Item]],super1[Bairro],mercado3)+SUMIFS(supercb[Qtde],supercb[Item],tab_alimentos[[#This Row],[Item]],supercb[Bairro],mercado3)</f>
        <v>0</v>
      </c>
      <c r="O204" s="4">
        <f>SUMIFS(super1[Qtde],super1[Item],tab_alimentos[[#This Row],[Item]],super1[Bairro],mercado4)+SUMIFS(supercb[Qtde],supercb[Item],tab_alimentos[[#This Row],[Item]],supercb[Bairro],mercado4)</f>
        <v>0</v>
      </c>
      <c r="P204" s="4">
        <f>SUMIFS(super1[Qtde],super1[Item],tab_alimentos[[#This Row],[Item]],super1[Bairro],mercado5)+SUMIFS(supercb[Qtde],supercb[Item],tab_alimentos[[#This Row],[Item]],supercb[Bairro],mercado5)</f>
        <v>0</v>
      </c>
      <c r="Q204" s="4">
        <f>SUMIFS(super1[Qtde],super1[Item],tab_alimentos[[#This Row],[Item]],super1[Bairro],mercado6)+SUMIFS(supercb[Qtde],supercb[Item],tab_alimentos[[#This Row],[Item]],supercb[Bairro],mercado6)</f>
        <v>0</v>
      </c>
      <c r="R204" s="4">
        <f>SUMIFS(super1[Qtde],super1[Item],tab_alimentos[[#This Row],[Item]],super1[Bairro],mercado7)+SUMIFS(supercb[Qtde],supercb[Item],tab_alimentos[[#This Row],[Item]],supercb[Bairro],mercado7)</f>
        <v>0</v>
      </c>
      <c r="S204" s="4">
        <f>SUMIFS(super1[Qtde],super1[Item],tab_alimentos[[#This Row],[Item]],super1[Bairro],mercado8)+SUMIFS(supercb[Qtde],supercb[Item],tab_alimentos[[#This Row],[Item]],supercb[Bairro],mercado8)</f>
        <v>0</v>
      </c>
      <c r="T204" s="4">
        <f>SUMIFS(super1[Qtde],super1[Item],tab_alimentos[[#This Row],[Item]],super1[Bairro],mercado9)+SUMIFS(supercb[Qtde],supercb[Item],tab_alimentos[[#This Row],[Item]],supercb[Bairro],mercado9)</f>
        <v>0</v>
      </c>
      <c r="U204" s="4">
        <f>SUMIFS(super1[Qtde],super1[Item],tab_alimentos[[#This Row],[Item]],super1[Bairro],mercado10)+SUMIFS(supercb[Qtde],supercb[Item],tab_alimentos[[#This Row],[Item]],supercb[Bairro],mercado10)</f>
        <v>0</v>
      </c>
      <c r="V204" s="4">
        <f>SUMIFS(super1[Qtde],super1[Item],tab_alimentos[[#This Row],[Item]],super1[Bairro],mercado11)+SUMIFS(supercb[Qtde],supercb[Item],tab_alimentos[[#This Row],[Item]],supercb[Bairro],mercado11)</f>
        <v>0</v>
      </c>
      <c r="W204" s="4">
        <f>SUMIFS(super1[Qtde],super1[Item],tab_alimentos[[#This Row],[Item]],super1[Bairro],mercado12)+SUMIFS(supercb[Qtde],supercb[Item],tab_alimentos[[#This Row],[Item]],supercb[Bairro],mercado12)</f>
        <v>0</v>
      </c>
      <c r="X204" s="4">
        <f>SUMIFS(super1[Qtde],super1[Item],tab_alimentos[[#This Row],[Item]],super1[Bairro],mercado13)+SUMIFS(supercb[Qtde],supercb[Item],tab_alimentos[[#This Row],[Item]],supercb[Bairro],mercado13)</f>
        <v>0</v>
      </c>
      <c r="Y204" s="4">
        <f>SUMIFS(super1[Qtde],super1[Item],tab_alimentos[[#This Row],[Item]],super1[Bairro],mercado14)+SUMIFS(supercb[Qtde],supercb[Item],tab_alimentos[[#This Row],[Item]],supercb[Bairro],mercado14)</f>
        <v>0</v>
      </c>
      <c r="Z204" s="4">
        <f>SUMIFS(super1[Qtde],super1[Item],tab_alimentos[[#This Row],[Item]],super1[Bairro],mercado15)+SUMIFS(supercb[Qtde],supercb[Item],tab_alimentos[[#This Row],[Item]],supercb[Bairro],mercado15)</f>
        <v>0</v>
      </c>
      <c r="AA204" s="4">
        <f>SUMIFS(super1[Qtde],super1[Item],tab_alimentos[[#This Row],[Item]],super1[Bairro],mercado16)+SUMIFS(supercb[Qtde],supercb[Item],tab_alimentos[[#This Row],[Item]],supercb[Bairro],mercado16)</f>
        <v>0</v>
      </c>
      <c r="AB204" s="4">
        <f>SUMIFS(super1[Qtde],super1[Item],tab_alimentos[[#This Row],[Item]],super1[Bairro],mercado17)+SUMIFS(supercb[Qtde],supercb[Item],tab_alimentos[[#This Row],[Item]],supercb[Bairro],mercado17)</f>
        <v>0</v>
      </c>
      <c r="AC204" s="4">
        <f>SUMIFS(super1[Qtde],super1[Item],tab_alimentos[[#This Row],[Item]],super1[Bairro],mercado18)+SUMIFS(supercb[Qtde],supercb[Item],tab_alimentos[[#This Row],[Item]],supercb[Bairro],mercado18)</f>
        <v>0</v>
      </c>
      <c r="AD204" s="4">
        <f>SUMIFS(super1[Qtde],super1[Item],tab_alimentos[[#This Row],[Item]],super1[Bairro],extras)+SUMIFS(supercb[Qtde],supercb[Item],tab_alimentos[[#This Row],[Item]],supercb[Bairro],extras)</f>
        <v>0</v>
      </c>
      <c r="AE204" s="4">
        <f t="shared" si="67"/>
        <v>0</v>
      </c>
      <c r="AF204" s="4">
        <f t="shared" si="68"/>
        <v>0</v>
      </c>
      <c r="AG204" s="6">
        <f t="shared" si="69"/>
        <v>0</v>
      </c>
      <c r="AH204" s="13" t="str">
        <f>higiene[[#This Row],[Item]]</f>
        <v>Querosene (900mL)</v>
      </c>
      <c r="AI204" s="9">
        <f>IFERROR(higiene[[#This Row],[Kg equivalente]],0)</f>
        <v>0</v>
      </c>
      <c r="AJ204" s="9">
        <f>IFERROR(higiene[[#This Row],[Preço por produto]],0)</f>
        <v>22.93</v>
      </c>
      <c r="AK204" s="4">
        <f>SUMIFS(super1[Qtde],super1[Item],tab_higiene[[#This Row],[Item]],super1[Bairro],mercado1)+SUMIFS(supercb[Qtde],supercb[Item],tab_higiene[[#This Row],[Item]],supercb[Bairro],mercado1)</f>
        <v>0</v>
      </c>
      <c r="AL204" s="4">
        <f>SUMIFS(super1[Qtde],super1[Item],tab_higiene[[#This Row],[Item]],super1[Bairro],mercado2)+SUMIFS(supercb[Qtde],supercb[Item],tab_higiene[[#This Row],[Item]],supercb[Bairro],mercado2)</f>
        <v>0</v>
      </c>
      <c r="AM204" s="4">
        <f>SUMIFS(super1[Qtde],super1[Item],tab_higiene[[#This Row],[Item]],super1[Bairro],mercado3)+SUMIFS(supercb[Qtde],supercb[Item],tab_higiene[[#This Row],[Item]],supercb[Bairro],mercado3)</f>
        <v>0</v>
      </c>
      <c r="AN204" s="4">
        <f>SUMIFS(super1[Qtde],super1[Item],tab_higiene[[#This Row],[Item]],super1[Bairro],mercado4)+SUMIFS(supercb[Qtde],supercb[Item],tab_higiene[[#This Row],[Item]],supercb[Bairro],mercado4)</f>
        <v>0</v>
      </c>
      <c r="AO204" s="4">
        <f>SUMIFS(super1[Qtde],super1[Item],tab_higiene[[#This Row],[Item]],super1[Bairro],mercado5)+SUMIFS(supercb[Qtde],supercb[Item],tab_higiene[[#This Row],[Item]],supercb[Bairro],mercado5)</f>
        <v>0</v>
      </c>
      <c r="AP204" s="4">
        <f>SUMIFS(super1[Qtde],super1[Item],tab_higiene[[#This Row],[Item]],super1[Bairro],mercado6)+SUMIFS(supercb[Qtde],supercb[Item],tab_higiene[[#This Row],[Item]],supercb[Bairro],mercado6)</f>
        <v>0</v>
      </c>
      <c r="AQ204" s="4">
        <f>SUMIFS(super1[Qtde],super1[Item],tab_higiene[[#This Row],[Item]],super1[Bairro],mercado7)+SUMIFS(supercb[Qtde],supercb[Item],tab_higiene[[#This Row],[Item]],supercb[Bairro],mercado7)</f>
        <v>0</v>
      </c>
      <c r="AR204" s="4">
        <f>SUMIFS(super1[Qtde],super1[Item],tab_higiene[[#This Row],[Item]],super1[Bairro],mercado8)+SUMIFS(supercb[Qtde],supercb[Item],tab_higiene[[#This Row],[Item]],supercb[Bairro],mercado8)</f>
        <v>0</v>
      </c>
      <c r="AS204" s="4">
        <f>SUMIFS(super1[Qtde],super1[Item],tab_higiene[[#This Row],[Item]],super1[Bairro],mercado9)+SUMIFS(supercb[Qtde],supercb[Item],tab_higiene[[#This Row],[Item]],supercb[Bairro],mercado9)</f>
        <v>0</v>
      </c>
      <c r="AT204" s="4">
        <f>SUMIFS(super1[Qtde],super1[Item],tab_higiene[[#This Row],[Item]],super1[Bairro],mercado10)+SUMIFS(supercb[Qtde],supercb[Item],tab_higiene[[#This Row],[Item]],supercb[Bairro],mercado10)</f>
        <v>0</v>
      </c>
      <c r="AU204" s="4">
        <f>SUMIFS(super1[Qtde],super1[Item],tab_higiene[[#This Row],[Item]],super1[Bairro],mercado11)+SUMIFS(supercb[Qtde],supercb[Item],tab_higiene[[#This Row],[Item]],supercb[Bairro],mercado11)</f>
        <v>0</v>
      </c>
      <c r="AV204" s="4">
        <f>SUMIFS(super1[Qtde],super1[Item],tab_higiene[[#This Row],[Item]],super1[Bairro],mercado12)+SUMIFS(supercb[Qtde],supercb[Item],tab_higiene[[#This Row],[Item]],supercb[Bairro],mercado12)</f>
        <v>0</v>
      </c>
      <c r="AW204" s="4">
        <f>SUMIFS(super1[Qtde],super1[Item],tab_higiene[[#This Row],[Item]],super1[Bairro],mercado13)+SUMIFS(supercb[Qtde],supercb[Item],tab_higiene[[#This Row],[Item]],supercb[Bairro],mercado13)</f>
        <v>0</v>
      </c>
      <c r="AX204" s="4">
        <f>SUMIFS(super1[Qtde],super1[Item],tab_higiene[[#This Row],[Item]],super1[Bairro],mercado14)+SUMIFS(supercb[Qtde],supercb[Item],tab_higiene[[#This Row],[Item]],supercb[Bairro],mercado14)</f>
        <v>0</v>
      </c>
      <c r="AY204" s="4">
        <f>SUMIFS(super1[Qtde],super1[Item],tab_higiene[[#This Row],[Item]],super1[Bairro],mercado15)+SUMIFS(supercb[Qtde],supercb[Item],tab_higiene[[#This Row],[Item]],supercb[Bairro],mercado15)</f>
        <v>0</v>
      </c>
      <c r="AZ204" s="4">
        <f>SUMIFS(super1[Qtde],super1[Item],tab_higiene[[#This Row],[Item]],super1[Bairro],mercado16)+SUMIFS(supercb[Qtde],supercb[Item],tab_higiene[[#This Row],[Item]],supercb[Bairro],mercado16)</f>
        <v>0</v>
      </c>
      <c r="BA204" s="4">
        <f>SUMIFS(super1[Qtde],super1[Item],tab_higiene[[#This Row],[Item]],super1[Bairro],mercado17)+SUMIFS(supercb[Qtde],supercb[Item],tab_higiene[[#This Row],[Item]],supercb[Bairro],mercado17)</f>
        <v>0</v>
      </c>
      <c r="BB204" s="4">
        <f>SUMIFS(super1[Qtde],super1[Item],tab_higiene[[#This Row],[Item]],super1[Bairro],mercado18)+SUMIFS(supercb[Qtde],supercb[Item],tab_higiene[[#This Row],[Item]],supercb[Bairro],mercado18)</f>
        <v>0</v>
      </c>
      <c r="BC204" s="31">
        <f>SUMIFS(super1[Qtde],super1[Item],tab_higiene[[#This Row],[Item]],super1[Bairro],extras)+SUMIFS(supercb[Qtde],supercb[Item],tab_higiene[[#This Row],[Item]],supercb[Bairro],extras)</f>
        <v>0</v>
      </c>
      <c r="BD204" s="9">
        <f t="shared" si="76"/>
        <v>0</v>
      </c>
      <c r="BE204" s="9">
        <f t="shared" si="77"/>
        <v>0</v>
      </c>
      <c r="BF204" s="18">
        <f t="shared" si="78"/>
        <v>0</v>
      </c>
    </row>
    <row r="205" spans="9:58" ht="15.75" thickBot="1" x14ac:dyDescent="0.3">
      <c r="I205" s="19" t="str">
        <f>alimentos[[#This Row],[Item]]</f>
        <v>Extrato de Tomate (340g)</v>
      </c>
      <c r="J205" s="4">
        <f>IFERROR(alimentos[[#This Row],[kg/embalagem]],0)</f>
        <v>0.34</v>
      </c>
      <c r="K205" s="4">
        <f>IFERROR(alimentos[[#This Row],[Preço]],0)</f>
        <v>5.63</v>
      </c>
      <c r="L205" s="4">
        <f>SUMIFS(super1[Qtde],super1[Item],tab_alimentos[[#This Row],[Item]],super1[Bairro],mercado1)+SUMIFS(supercb[Qtde],supercb[Item],tab_alimentos[[#This Row],[Item]],supercb[Bairro],mercado1)</f>
        <v>0</v>
      </c>
      <c r="M205" s="4">
        <f>SUMIFS(super1[Qtde],super1[Item],tab_alimentos[[#This Row],[Item]],super1[Bairro],mercado2)+SUMIFS(supercb[Qtde],supercb[Item],tab_alimentos[[#This Row],[Item]],supercb[Bairro],mercado2)</f>
        <v>0</v>
      </c>
      <c r="N205" s="4">
        <f>SUMIFS(super1[Qtde],super1[Item],tab_alimentos[[#This Row],[Item]],super1[Bairro],mercado3)+SUMIFS(supercb[Qtde],supercb[Item],tab_alimentos[[#This Row],[Item]],supercb[Bairro],mercado3)</f>
        <v>0</v>
      </c>
      <c r="O205" s="4">
        <f>SUMIFS(super1[Qtde],super1[Item],tab_alimentos[[#This Row],[Item]],super1[Bairro],mercado4)+SUMIFS(supercb[Qtde],supercb[Item],tab_alimentos[[#This Row],[Item]],supercb[Bairro],mercado4)</f>
        <v>0</v>
      </c>
      <c r="P205" s="4">
        <f>SUMIFS(super1[Qtde],super1[Item],tab_alimentos[[#This Row],[Item]],super1[Bairro],mercado5)+SUMIFS(supercb[Qtde],supercb[Item],tab_alimentos[[#This Row],[Item]],supercb[Bairro],mercado5)</f>
        <v>0</v>
      </c>
      <c r="Q205" s="4">
        <f>SUMIFS(super1[Qtde],super1[Item],tab_alimentos[[#This Row],[Item]],super1[Bairro],mercado6)+SUMIFS(supercb[Qtde],supercb[Item],tab_alimentos[[#This Row],[Item]],supercb[Bairro],mercado6)</f>
        <v>0</v>
      </c>
      <c r="R205" s="4">
        <f>SUMIFS(super1[Qtde],super1[Item],tab_alimentos[[#This Row],[Item]],super1[Bairro],mercado7)+SUMIFS(supercb[Qtde],supercb[Item],tab_alimentos[[#This Row],[Item]],supercb[Bairro],mercado7)</f>
        <v>0</v>
      </c>
      <c r="S205" s="4">
        <f>SUMIFS(super1[Qtde],super1[Item],tab_alimentos[[#This Row],[Item]],super1[Bairro],mercado8)+SUMIFS(supercb[Qtde],supercb[Item],tab_alimentos[[#This Row],[Item]],supercb[Bairro],mercado8)</f>
        <v>0</v>
      </c>
      <c r="T205" s="4">
        <f>SUMIFS(super1[Qtde],super1[Item],tab_alimentos[[#This Row],[Item]],super1[Bairro],mercado9)+SUMIFS(supercb[Qtde],supercb[Item],tab_alimentos[[#This Row],[Item]],supercb[Bairro],mercado9)</f>
        <v>0</v>
      </c>
      <c r="U205" s="4">
        <f>SUMIFS(super1[Qtde],super1[Item],tab_alimentos[[#This Row],[Item]],super1[Bairro],mercado10)+SUMIFS(supercb[Qtde],supercb[Item],tab_alimentos[[#This Row],[Item]],supercb[Bairro],mercado10)</f>
        <v>0</v>
      </c>
      <c r="V205" s="4">
        <f>SUMIFS(super1[Qtde],super1[Item],tab_alimentos[[#This Row],[Item]],super1[Bairro],mercado11)+SUMIFS(supercb[Qtde],supercb[Item],tab_alimentos[[#This Row],[Item]],supercb[Bairro],mercado11)</f>
        <v>0</v>
      </c>
      <c r="W205" s="4">
        <f>SUMIFS(super1[Qtde],super1[Item],tab_alimentos[[#This Row],[Item]],super1[Bairro],mercado12)+SUMIFS(supercb[Qtde],supercb[Item],tab_alimentos[[#This Row],[Item]],supercb[Bairro],mercado12)</f>
        <v>0</v>
      </c>
      <c r="X205" s="4">
        <f>SUMIFS(super1[Qtde],super1[Item],tab_alimentos[[#This Row],[Item]],super1[Bairro],mercado13)+SUMIFS(supercb[Qtde],supercb[Item],tab_alimentos[[#This Row],[Item]],supercb[Bairro],mercado13)</f>
        <v>0</v>
      </c>
      <c r="Y205" s="4">
        <f>SUMIFS(super1[Qtde],super1[Item],tab_alimentos[[#This Row],[Item]],super1[Bairro],mercado14)+SUMIFS(supercb[Qtde],supercb[Item],tab_alimentos[[#This Row],[Item]],supercb[Bairro],mercado14)</f>
        <v>0</v>
      </c>
      <c r="Z205" s="4">
        <f>SUMIFS(super1[Qtde],super1[Item],tab_alimentos[[#This Row],[Item]],super1[Bairro],mercado15)+SUMIFS(supercb[Qtde],supercb[Item],tab_alimentos[[#This Row],[Item]],supercb[Bairro],mercado15)</f>
        <v>0</v>
      </c>
      <c r="AA205" s="4">
        <f>SUMIFS(super1[Qtde],super1[Item],tab_alimentos[[#This Row],[Item]],super1[Bairro],mercado16)+SUMIFS(supercb[Qtde],supercb[Item],tab_alimentos[[#This Row],[Item]],supercb[Bairro],mercado16)</f>
        <v>0</v>
      </c>
      <c r="AB205" s="4">
        <f>SUMIFS(super1[Qtde],super1[Item],tab_alimentos[[#This Row],[Item]],super1[Bairro],mercado17)+SUMIFS(supercb[Qtde],supercb[Item],tab_alimentos[[#This Row],[Item]],supercb[Bairro],mercado17)</f>
        <v>0</v>
      </c>
      <c r="AC205" s="4">
        <f>SUMIFS(super1[Qtde],super1[Item],tab_alimentos[[#This Row],[Item]],super1[Bairro],mercado18)+SUMIFS(supercb[Qtde],supercb[Item],tab_alimentos[[#This Row],[Item]],supercb[Bairro],mercado18)</f>
        <v>0</v>
      </c>
      <c r="AD205" s="4">
        <f>SUMIFS(super1[Qtde],super1[Item],tab_alimentos[[#This Row],[Item]],super1[Bairro],extras)+SUMIFS(supercb[Qtde],supercb[Item],tab_alimentos[[#This Row],[Item]],supercb[Bairro],extras)</f>
        <v>0</v>
      </c>
      <c r="AE205" s="4">
        <f t="shared" ref="AE205:AE211" si="79">SUM(L205:AC205)</f>
        <v>0</v>
      </c>
      <c r="AF205" s="4">
        <f t="shared" ref="AF205:AF211" si="80">IFERROR(AE205*K205,0)</f>
        <v>0</v>
      </c>
      <c r="AG205" s="6">
        <f t="shared" ref="AG205:AG211" si="81">IFERROR(J205*AE205,0)</f>
        <v>0</v>
      </c>
      <c r="AH205" s="13" t="str">
        <f>higiene[[#This Row],[Item]]</f>
        <v>R</v>
      </c>
      <c r="AI205" s="9">
        <f>IFERROR(higiene[[#This Row],[Kg equivalente]],0)</f>
        <v>0</v>
      </c>
      <c r="AJ205" s="9">
        <f>IFERROR(higiene[[#This Row],[Preço por produto]],0)</f>
        <v>0</v>
      </c>
      <c r="AK205" s="4">
        <f>SUMIFS(super1[Qtde],super1[Item],tab_higiene[[#This Row],[Item]],super1[Bairro],mercado1)+SUMIFS(supercb[Qtde],supercb[Item],tab_higiene[[#This Row],[Item]],supercb[Bairro],mercado1)</f>
        <v>0</v>
      </c>
      <c r="AL205" s="4">
        <f>SUMIFS(super1[Qtde],super1[Item],tab_higiene[[#This Row],[Item]],super1[Bairro],mercado2)+SUMIFS(supercb[Qtde],supercb[Item],tab_higiene[[#This Row],[Item]],supercb[Bairro],mercado2)</f>
        <v>0</v>
      </c>
      <c r="AM205" s="4">
        <f>SUMIFS(super1[Qtde],super1[Item],tab_higiene[[#This Row],[Item]],super1[Bairro],mercado3)+SUMIFS(supercb[Qtde],supercb[Item],tab_higiene[[#This Row],[Item]],supercb[Bairro],mercado3)</f>
        <v>0</v>
      </c>
      <c r="AN205" s="4">
        <f>SUMIFS(super1[Qtde],super1[Item],tab_higiene[[#This Row],[Item]],super1[Bairro],mercado4)+SUMIFS(supercb[Qtde],supercb[Item],tab_higiene[[#This Row],[Item]],supercb[Bairro],mercado4)</f>
        <v>0</v>
      </c>
      <c r="AO205" s="4">
        <f>SUMIFS(super1[Qtde],super1[Item],tab_higiene[[#This Row],[Item]],super1[Bairro],mercado5)+SUMIFS(supercb[Qtde],supercb[Item],tab_higiene[[#This Row],[Item]],supercb[Bairro],mercado5)</f>
        <v>0</v>
      </c>
      <c r="AP205" s="4">
        <f>SUMIFS(super1[Qtde],super1[Item],tab_higiene[[#This Row],[Item]],super1[Bairro],mercado6)+SUMIFS(supercb[Qtde],supercb[Item],tab_higiene[[#This Row],[Item]],supercb[Bairro],mercado6)</f>
        <v>0</v>
      </c>
      <c r="AQ205" s="4">
        <f>SUMIFS(super1[Qtde],super1[Item],tab_higiene[[#This Row],[Item]],super1[Bairro],mercado7)+SUMIFS(supercb[Qtde],supercb[Item],tab_higiene[[#This Row],[Item]],supercb[Bairro],mercado7)</f>
        <v>0</v>
      </c>
      <c r="AR205" s="4">
        <f>SUMIFS(super1[Qtde],super1[Item],tab_higiene[[#This Row],[Item]],super1[Bairro],mercado8)+SUMIFS(supercb[Qtde],supercb[Item],tab_higiene[[#This Row],[Item]],supercb[Bairro],mercado8)</f>
        <v>0</v>
      </c>
      <c r="AS205" s="4">
        <f>SUMIFS(super1[Qtde],super1[Item],tab_higiene[[#This Row],[Item]],super1[Bairro],mercado9)+SUMIFS(supercb[Qtde],supercb[Item],tab_higiene[[#This Row],[Item]],supercb[Bairro],mercado9)</f>
        <v>0</v>
      </c>
      <c r="AT205" s="4">
        <f>SUMIFS(super1[Qtde],super1[Item],tab_higiene[[#This Row],[Item]],super1[Bairro],mercado10)+SUMIFS(supercb[Qtde],supercb[Item],tab_higiene[[#This Row],[Item]],supercb[Bairro],mercado10)</f>
        <v>0</v>
      </c>
      <c r="AU205" s="4">
        <f>SUMIFS(super1[Qtde],super1[Item],tab_higiene[[#This Row],[Item]],super1[Bairro],mercado11)+SUMIFS(supercb[Qtde],supercb[Item],tab_higiene[[#This Row],[Item]],supercb[Bairro],mercado11)</f>
        <v>0</v>
      </c>
      <c r="AV205" s="4">
        <f>SUMIFS(super1[Qtde],super1[Item],tab_higiene[[#This Row],[Item]],super1[Bairro],mercado12)+SUMIFS(supercb[Qtde],supercb[Item],tab_higiene[[#This Row],[Item]],supercb[Bairro],mercado12)</f>
        <v>0</v>
      </c>
      <c r="AW205" s="4">
        <f>SUMIFS(super1[Qtde],super1[Item],tab_higiene[[#This Row],[Item]],super1[Bairro],mercado13)+SUMIFS(supercb[Qtde],supercb[Item],tab_higiene[[#This Row],[Item]],supercb[Bairro],mercado13)</f>
        <v>0</v>
      </c>
      <c r="AX205" s="4">
        <f>SUMIFS(super1[Qtde],super1[Item],tab_higiene[[#This Row],[Item]],super1[Bairro],mercado14)+SUMIFS(supercb[Qtde],supercb[Item],tab_higiene[[#This Row],[Item]],supercb[Bairro],mercado14)</f>
        <v>0</v>
      </c>
      <c r="AY205" s="4">
        <f>SUMIFS(super1[Qtde],super1[Item],tab_higiene[[#This Row],[Item]],super1[Bairro],mercado15)+SUMIFS(supercb[Qtde],supercb[Item],tab_higiene[[#This Row],[Item]],supercb[Bairro],mercado15)</f>
        <v>0</v>
      </c>
      <c r="AZ205" s="4">
        <f>SUMIFS(super1[Qtde],super1[Item],tab_higiene[[#This Row],[Item]],super1[Bairro],mercado16)+SUMIFS(supercb[Qtde],supercb[Item],tab_higiene[[#This Row],[Item]],supercb[Bairro],mercado16)</f>
        <v>0</v>
      </c>
      <c r="BA205" s="4">
        <f>SUMIFS(super1[Qtde],super1[Item],tab_higiene[[#This Row],[Item]],super1[Bairro],mercado17)+SUMIFS(supercb[Qtde],supercb[Item],tab_higiene[[#This Row],[Item]],supercb[Bairro],mercado17)</f>
        <v>0</v>
      </c>
      <c r="BB205" s="4">
        <f>SUMIFS(super1[Qtde],super1[Item],tab_higiene[[#This Row],[Item]],super1[Bairro],mercado18)+SUMIFS(supercb[Qtde],supercb[Item],tab_higiene[[#This Row],[Item]],supercb[Bairro],mercado18)</f>
        <v>0</v>
      </c>
      <c r="BC205" s="31">
        <f>SUMIFS(super1[Qtde],super1[Item],tab_higiene[[#This Row],[Item]],super1[Bairro],extras)+SUMIFS(supercb[Qtde],supercb[Item],tab_higiene[[#This Row],[Item]],supercb[Bairro],extras)</f>
        <v>0</v>
      </c>
      <c r="BD205" s="9">
        <f t="shared" si="76"/>
        <v>0</v>
      </c>
      <c r="BE205" s="9">
        <f t="shared" si="77"/>
        <v>0</v>
      </c>
      <c r="BF205" s="18">
        <f t="shared" si="78"/>
        <v>0</v>
      </c>
    </row>
    <row r="206" spans="9:58" ht="15.75" thickBot="1" x14ac:dyDescent="0.3">
      <c r="I206" s="19" t="str">
        <f>alimentos[[#This Row],[Item]]</f>
        <v>Extrato de Tomate (375g)</v>
      </c>
      <c r="J206" s="4">
        <f>IFERROR(alimentos[[#This Row],[kg/embalagem]],0)</f>
        <v>0.375</v>
      </c>
      <c r="K206" s="4">
        <f>IFERROR(alimentos[[#This Row],[Preço]],0)</f>
        <v>11.98</v>
      </c>
      <c r="L206" s="4">
        <f>SUMIFS(super1[Qtde],super1[Item],tab_alimentos[[#This Row],[Item]],super1[Bairro],mercado1)+SUMIFS(supercb[Qtde],supercb[Item],tab_alimentos[[#This Row],[Item]],supercb[Bairro],mercado1)</f>
        <v>0</v>
      </c>
      <c r="M206" s="4">
        <f>SUMIFS(super1[Qtde],super1[Item],tab_alimentos[[#This Row],[Item]],super1[Bairro],mercado2)+SUMIFS(supercb[Qtde],supercb[Item],tab_alimentos[[#This Row],[Item]],supercb[Bairro],mercado2)</f>
        <v>0</v>
      </c>
      <c r="N206" s="4">
        <f>SUMIFS(super1[Qtde],super1[Item],tab_alimentos[[#This Row],[Item]],super1[Bairro],mercado3)+SUMIFS(supercb[Qtde],supercb[Item],tab_alimentos[[#This Row],[Item]],supercb[Bairro],mercado3)</f>
        <v>0</v>
      </c>
      <c r="O206" s="4">
        <f>SUMIFS(super1[Qtde],super1[Item],tab_alimentos[[#This Row],[Item]],super1[Bairro],mercado4)+SUMIFS(supercb[Qtde],supercb[Item],tab_alimentos[[#This Row],[Item]],supercb[Bairro],mercado4)</f>
        <v>0</v>
      </c>
      <c r="P206" s="4">
        <f>SUMIFS(super1[Qtde],super1[Item],tab_alimentos[[#This Row],[Item]],super1[Bairro],mercado5)+SUMIFS(supercb[Qtde],supercb[Item],tab_alimentos[[#This Row],[Item]],supercb[Bairro],mercado5)</f>
        <v>0</v>
      </c>
      <c r="Q206" s="4">
        <f>SUMIFS(super1[Qtde],super1[Item],tab_alimentos[[#This Row],[Item]],super1[Bairro],mercado6)+SUMIFS(supercb[Qtde],supercb[Item],tab_alimentos[[#This Row],[Item]],supercb[Bairro],mercado6)</f>
        <v>0</v>
      </c>
      <c r="R206" s="4">
        <f>SUMIFS(super1[Qtde],super1[Item],tab_alimentos[[#This Row],[Item]],super1[Bairro],mercado7)+SUMIFS(supercb[Qtde],supercb[Item],tab_alimentos[[#This Row],[Item]],supercb[Bairro],mercado7)</f>
        <v>0</v>
      </c>
      <c r="S206" s="4">
        <f>SUMIFS(super1[Qtde],super1[Item],tab_alimentos[[#This Row],[Item]],super1[Bairro],mercado8)+SUMIFS(supercb[Qtde],supercb[Item],tab_alimentos[[#This Row],[Item]],supercb[Bairro],mercado8)</f>
        <v>0</v>
      </c>
      <c r="T206" s="4">
        <f>SUMIFS(super1[Qtde],super1[Item],tab_alimentos[[#This Row],[Item]],super1[Bairro],mercado9)+SUMIFS(supercb[Qtde],supercb[Item],tab_alimentos[[#This Row],[Item]],supercb[Bairro],mercado9)</f>
        <v>0</v>
      </c>
      <c r="U206" s="4">
        <f>SUMIFS(super1[Qtde],super1[Item],tab_alimentos[[#This Row],[Item]],super1[Bairro],mercado10)+SUMIFS(supercb[Qtde],supercb[Item],tab_alimentos[[#This Row],[Item]],supercb[Bairro],mercado10)</f>
        <v>0</v>
      </c>
      <c r="V206" s="4">
        <f>SUMIFS(super1[Qtde],super1[Item],tab_alimentos[[#This Row],[Item]],super1[Bairro],mercado11)+SUMIFS(supercb[Qtde],supercb[Item],tab_alimentos[[#This Row],[Item]],supercb[Bairro],mercado11)</f>
        <v>0</v>
      </c>
      <c r="W206" s="4">
        <f>SUMIFS(super1[Qtde],super1[Item],tab_alimentos[[#This Row],[Item]],super1[Bairro],mercado12)+SUMIFS(supercb[Qtde],supercb[Item],tab_alimentos[[#This Row],[Item]],supercb[Bairro],mercado12)</f>
        <v>0</v>
      </c>
      <c r="X206" s="4">
        <f>SUMIFS(super1[Qtde],super1[Item],tab_alimentos[[#This Row],[Item]],super1[Bairro],mercado13)+SUMIFS(supercb[Qtde],supercb[Item],tab_alimentos[[#This Row],[Item]],supercb[Bairro],mercado13)</f>
        <v>0</v>
      </c>
      <c r="Y206" s="4">
        <f>SUMIFS(super1[Qtde],super1[Item],tab_alimentos[[#This Row],[Item]],super1[Bairro],mercado14)+SUMIFS(supercb[Qtde],supercb[Item],tab_alimentos[[#This Row],[Item]],supercb[Bairro],mercado14)</f>
        <v>0</v>
      </c>
      <c r="Z206" s="4">
        <f>SUMIFS(super1[Qtde],super1[Item],tab_alimentos[[#This Row],[Item]],super1[Bairro],mercado15)+SUMIFS(supercb[Qtde],supercb[Item],tab_alimentos[[#This Row],[Item]],supercb[Bairro],mercado15)</f>
        <v>0</v>
      </c>
      <c r="AA206" s="4">
        <f>SUMIFS(super1[Qtde],super1[Item],tab_alimentos[[#This Row],[Item]],super1[Bairro],mercado16)+SUMIFS(supercb[Qtde],supercb[Item],tab_alimentos[[#This Row],[Item]],supercb[Bairro],mercado16)</f>
        <v>0</v>
      </c>
      <c r="AB206" s="4">
        <f>SUMIFS(super1[Qtde],super1[Item],tab_alimentos[[#This Row],[Item]],super1[Bairro],mercado17)+SUMIFS(supercb[Qtde],supercb[Item],tab_alimentos[[#This Row],[Item]],supercb[Bairro],mercado17)</f>
        <v>0</v>
      </c>
      <c r="AC206" s="4">
        <f>SUMIFS(super1[Qtde],super1[Item],tab_alimentos[[#This Row],[Item]],super1[Bairro],mercado18)+SUMIFS(supercb[Qtde],supercb[Item],tab_alimentos[[#This Row],[Item]],supercb[Bairro],mercado18)</f>
        <v>0</v>
      </c>
      <c r="AD206" s="4">
        <f>SUMIFS(super1[Qtde],super1[Item],tab_alimentos[[#This Row],[Item]],super1[Bairro],extras)+SUMIFS(supercb[Qtde],supercb[Item],tab_alimentos[[#This Row],[Item]],supercb[Bairro],extras)</f>
        <v>0</v>
      </c>
      <c r="AE206" s="4">
        <f t="shared" si="79"/>
        <v>0</v>
      </c>
      <c r="AF206" s="4">
        <f t="shared" si="80"/>
        <v>0</v>
      </c>
      <c r="AG206" s="6">
        <f t="shared" si="81"/>
        <v>0</v>
      </c>
      <c r="AH206" s="13" t="str">
        <f>higiene[[#This Row],[Item]]</f>
        <v>Roupa Íntima Descartável</v>
      </c>
      <c r="AI206" s="9">
        <f>IFERROR(higiene[[#This Row],[Kg equivalente]],0)</f>
        <v>0</v>
      </c>
      <c r="AJ206" s="9">
        <f>IFERROR(higiene[[#This Row],[Preço por produto]],0)</f>
        <v>39.99</v>
      </c>
      <c r="AK206" s="4">
        <f>SUMIFS(super1[Qtde],super1[Item],tab_higiene[[#This Row],[Item]],super1[Bairro],mercado1)+SUMIFS(supercb[Qtde],supercb[Item],tab_higiene[[#This Row],[Item]],supercb[Bairro],mercado1)</f>
        <v>0</v>
      </c>
      <c r="AL206" s="4">
        <f>SUMIFS(super1[Qtde],super1[Item],tab_higiene[[#This Row],[Item]],super1[Bairro],mercado2)+SUMIFS(supercb[Qtde],supercb[Item],tab_higiene[[#This Row],[Item]],supercb[Bairro],mercado2)</f>
        <v>0</v>
      </c>
      <c r="AM206" s="4">
        <f>SUMIFS(super1[Qtde],super1[Item],tab_higiene[[#This Row],[Item]],super1[Bairro],mercado3)+SUMIFS(supercb[Qtde],supercb[Item],tab_higiene[[#This Row],[Item]],supercb[Bairro],mercado3)</f>
        <v>0</v>
      </c>
      <c r="AN206" s="4">
        <f>SUMIFS(super1[Qtde],super1[Item],tab_higiene[[#This Row],[Item]],super1[Bairro],mercado4)+SUMIFS(supercb[Qtde],supercb[Item],tab_higiene[[#This Row],[Item]],supercb[Bairro],mercado4)</f>
        <v>0</v>
      </c>
      <c r="AO206" s="4">
        <f>SUMIFS(super1[Qtde],super1[Item],tab_higiene[[#This Row],[Item]],super1[Bairro],mercado5)+SUMIFS(supercb[Qtde],supercb[Item],tab_higiene[[#This Row],[Item]],supercb[Bairro],mercado5)</f>
        <v>0</v>
      </c>
      <c r="AP206" s="4">
        <f>SUMIFS(super1[Qtde],super1[Item],tab_higiene[[#This Row],[Item]],super1[Bairro],mercado6)+SUMIFS(supercb[Qtde],supercb[Item],tab_higiene[[#This Row],[Item]],supercb[Bairro],mercado6)</f>
        <v>0</v>
      </c>
      <c r="AQ206" s="4">
        <f>SUMIFS(super1[Qtde],super1[Item],tab_higiene[[#This Row],[Item]],super1[Bairro],mercado7)+SUMIFS(supercb[Qtde],supercb[Item],tab_higiene[[#This Row],[Item]],supercb[Bairro],mercado7)</f>
        <v>0</v>
      </c>
      <c r="AR206" s="4">
        <f>SUMIFS(super1[Qtde],super1[Item],tab_higiene[[#This Row],[Item]],super1[Bairro],mercado8)+SUMIFS(supercb[Qtde],supercb[Item],tab_higiene[[#This Row],[Item]],supercb[Bairro],mercado8)</f>
        <v>0</v>
      </c>
      <c r="AS206" s="4">
        <f>SUMIFS(super1[Qtde],super1[Item],tab_higiene[[#This Row],[Item]],super1[Bairro],mercado9)+SUMIFS(supercb[Qtde],supercb[Item],tab_higiene[[#This Row],[Item]],supercb[Bairro],mercado9)</f>
        <v>0</v>
      </c>
      <c r="AT206" s="4">
        <f>SUMIFS(super1[Qtde],super1[Item],tab_higiene[[#This Row],[Item]],super1[Bairro],mercado10)+SUMIFS(supercb[Qtde],supercb[Item],tab_higiene[[#This Row],[Item]],supercb[Bairro],mercado10)</f>
        <v>0</v>
      </c>
      <c r="AU206" s="4">
        <f>SUMIFS(super1[Qtde],super1[Item],tab_higiene[[#This Row],[Item]],super1[Bairro],mercado11)+SUMIFS(supercb[Qtde],supercb[Item],tab_higiene[[#This Row],[Item]],supercb[Bairro],mercado11)</f>
        <v>0</v>
      </c>
      <c r="AV206" s="4">
        <f>SUMIFS(super1[Qtde],super1[Item],tab_higiene[[#This Row],[Item]],super1[Bairro],mercado12)+SUMIFS(supercb[Qtde],supercb[Item],tab_higiene[[#This Row],[Item]],supercb[Bairro],mercado12)</f>
        <v>0</v>
      </c>
      <c r="AW206" s="4">
        <f>SUMIFS(super1[Qtde],super1[Item],tab_higiene[[#This Row],[Item]],super1[Bairro],mercado13)+SUMIFS(supercb[Qtde],supercb[Item],tab_higiene[[#This Row],[Item]],supercb[Bairro],mercado13)</f>
        <v>0</v>
      </c>
      <c r="AX206" s="4">
        <f>SUMIFS(super1[Qtde],super1[Item],tab_higiene[[#This Row],[Item]],super1[Bairro],mercado14)+SUMIFS(supercb[Qtde],supercb[Item],tab_higiene[[#This Row],[Item]],supercb[Bairro],mercado14)</f>
        <v>0</v>
      </c>
      <c r="AY206" s="4">
        <f>SUMIFS(super1[Qtde],super1[Item],tab_higiene[[#This Row],[Item]],super1[Bairro],mercado15)+SUMIFS(supercb[Qtde],supercb[Item],tab_higiene[[#This Row],[Item]],supercb[Bairro],mercado15)</f>
        <v>0</v>
      </c>
      <c r="AZ206" s="4">
        <f>SUMIFS(super1[Qtde],super1[Item],tab_higiene[[#This Row],[Item]],super1[Bairro],mercado16)+SUMIFS(supercb[Qtde],supercb[Item],tab_higiene[[#This Row],[Item]],supercb[Bairro],mercado16)</f>
        <v>0</v>
      </c>
      <c r="BA206" s="4">
        <f>SUMIFS(super1[Qtde],super1[Item],tab_higiene[[#This Row],[Item]],super1[Bairro],mercado17)+SUMIFS(supercb[Qtde],supercb[Item],tab_higiene[[#This Row],[Item]],supercb[Bairro],mercado17)</f>
        <v>0</v>
      </c>
      <c r="BB206" s="4">
        <f>SUMIFS(super1[Qtde],super1[Item],tab_higiene[[#This Row],[Item]],super1[Bairro],mercado18)+SUMIFS(supercb[Qtde],supercb[Item],tab_higiene[[#This Row],[Item]],supercb[Bairro],mercado18)</f>
        <v>0</v>
      </c>
      <c r="BC206" s="31">
        <f>SUMIFS(super1[Qtde],super1[Item],tab_higiene[[#This Row],[Item]],super1[Bairro],extras)+SUMIFS(supercb[Qtde],supercb[Item],tab_higiene[[#This Row],[Item]],supercb[Bairro],extras)</f>
        <v>0</v>
      </c>
      <c r="BD206" s="9">
        <f t="shared" si="76"/>
        <v>0</v>
      </c>
      <c r="BE206" s="9">
        <f t="shared" si="77"/>
        <v>0</v>
      </c>
      <c r="BF206" s="18">
        <f t="shared" si="78"/>
        <v>0</v>
      </c>
    </row>
    <row r="207" spans="9:58" ht="15.75" thickBot="1" x14ac:dyDescent="0.3">
      <c r="I207" s="19" t="str">
        <f>alimentos[[#This Row],[Item]]</f>
        <v>Extrato de Tomate (400g)</v>
      </c>
      <c r="J207" s="4">
        <f>IFERROR(alimentos[[#This Row],[kg/embalagem]],0)</f>
        <v>0.4</v>
      </c>
      <c r="K207" s="4">
        <f>IFERROR(alimentos[[#This Row],[Preço]],0)</f>
        <v>12.78</v>
      </c>
      <c r="L207" s="4">
        <f>SUMIFS(super1[Qtde],super1[Item],tab_alimentos[[#This Row],[Item]],super1[Bairro],mercado1)+SUMIFS(supercb[Qtde],supercb[Item],tab_alimentos[[#This Row],[Item]],supercb[Bairro],mercado1)</f>
        <v>0</v>
      </c>
      <c r="M207" s="4">
        <f>SUMIFS(super1[Qtde],super1[Item],tab_alimentos[[#This Row],[Item]],super1[Bairro],mercado2)+SUMIFS(supercb[Qtde],supercb[Item],tab_alimentos[[#This Row],[Item]],supercb[Bairro],mercado2)</f>
        <v>0</v>
      </c>
      <c r="N207" s="4">
        <f>SUMIFS(super1[Qtde],super1[Item],tab_alimentos[[#This Row],[Item]],super1[Bairro],mercado3)+SUMIFS(supercb[Qtde],supercb[Item],tab_alimentos[[#This Row],[Item]],supercb[Bairro],mercado3)</f>
        <v>0</v>
      </c>
      <c r="O207" s="4">
        <f>SUMIFS(super1[Qtde],super1[Item],tab_alimentos[[#This Row],[Item]],super1[Bairro],mercado4)+SUMIFS(supercb[Qtde],supercb[Item],tab_alimentos[[#This Row],[Item]],supercb[Bairro],mercado4)</f>
        <v>0</v>
      </c>
      <c r="P207" s="4">
        <f>SUMIFS(super1[Qtde],super1[Item],tab_alimentos[[#This Row],[Item]],super1[Bairro],mercado5)+SUMIFS(supercb[Qtde],supercb[Item],tab_alimentos[[#This Row],[Item]],supercb[Bairro],mercado5)</f>
        <v>0</v>
      </c>
      <c r="Q207" s="4">
        <f>SUMIFS(super1[Qtde],super1[Item],tab_alimentos[[#This Row],[Item]],super1[Bairro],mercado6)+SUMIFS(supercb[Qtde],supercb[Item],tab_alimentos[[#This Row],[Item]],supercb[Bairro],mercado6)</f>
        <v>0</v>
      </c>
      <c r="R207" s="4">
        <f>SUMIFS(super1[Qtde],super1[Item],tab_alimentos[[#This Row],[Item]],super1[Bairro],mercado7)+SUMIFS(supercb[Qtde],supercb[Item],tab_alimentos[[#This Row],[Item]],supercb[Bairro],mercado7)</f>
        <v>0</v>
      </c>
      <c r="S207" s="4">
        <f>SUMIFS(super1[Qtde],super1[Item],tab_alimentos[[#This Row],[Item]],super1[Bairro],mercado8)+SUMIFS(supercb[Qtde],supercb[Item],tab_alimentos[[#This Row],[Item]],supercb[Bairro],mercado8)</f>
        <v>0</v>
      </c>
      <c r="T207" s="4">
        <f>SUMIFS(super1[Qtde],super1[Item],tab_alimentos[[#This Row],[Item]],super1[Bairro],mercado9)+SUMIFS(supercb[Qtde],supercb[Item],tab_alimentos[[#This Row],[Item]],supercb[Bairro],mercado9)</f>
        <v>0</v>
      </c>
      <c r="U207" s="4">
        <f>SUMIFS(super1[Qtde],super1[Item],tab_alimentos[[#This Row],[Item]],super1[Bairro],mercado10)+SUMIFS(supercb[Qtde],supercb[Item],tab_alimentos[[#This Row],[Item]],supercb[Bairro],mercado10)</f>
        <v>0</v>
      </c>
      <c r="V207" s="4">
        <f>SUMIFS(super1[Qtde],super1[Item],tab_alimentos[[#This Row],[Item]],super1[Bairro],mercado11)+SUMIFS(supercb[Qtde],supercb[Item],tab_alimentos[[#This Row],[Item]],supercb[Bairro],mercado11)</f>
        <v>0</v>
      </c>
      <c r="W207" s="4">
        <f>SUMIFS(super1[Qtde],super1[Item],tab_alimentos[[#This Row],[Item]],super1[Bairro],mercado12)+SUMIFS(supercb[Qtde],supercb[Item],tab_alimentos[[#This Row],[Item]],supercb[Bairro],mercado12)</f>
        <v>0</v>
      </c>
      <c r="X207" s="4">
        <f>SUMIFS(super1[Qtde],super1[Item],tab_alimentos[[#This Row],[Item]],super1[Bairro],mercado13)+SUMIFS(supercb[Qtde],supercb[Item],tab_alimentos[[#This Row],[Item]],supercb[Bairro],mercado13)</f>
        <v>0</v>
      </c>
      <c r="Y207" s="4">
        <f>SUMIFS(super1[Qtde],super1[Item],tab_alimentos[[#This Row],[Item]],super1[Bairro],mercado14)+SUMIFS(supercb[Qtde],supercb[Item],tab_alimentos[[#This Row],[Item]],supercb[Bairro],mercado14)</f>
        <v>0</v>
      </c>
      <c r="Z207" s="4">
        <f>SUMIFS(super1[Qtde],super1[Item],tab_alimentos[[#This Row],[Item]],super1[Bairro],mercado15)+SUMIFS(supercb[Qtde],supercb[Item],tab_alimentos[[#This Row],[Item]],supercb[Bairro],mercado15)</f>
        <v>0</v>
      </c>
      <c r="AA207" s="4">
        <f>SUMIFS(super1[Qtde],super1[Item],tab_alimentos[[#This Row],[Item]],super1[Bairro],mercado16)+SUMIFS(supercb[Qtde],supercb[Item],tab_alimentos[[#This Row],[Item]],supercb[Bairro],mercado16)</f>
        <v>0</v>
      </c>
      <c r="AB207" s="4">
        <f>SUMIFS(super1[Qtde],super1[Item],tab_alimentos[[#This Row],[Item]],super1[Bairro],mercado17)+SUMIFS(supercb[Qtde],supercb[Item],tab_alimentos[[#This Row],[Item]],supercb[Bairro],mercado17)</f>
        <v>0</v>
      </c>
      <c r="AC207" s="4">
        <f>SUMIFS(super1[Qtde],super1[Item],tab_alimentos[[#This Row],[Item]],super1[Bairro],mercado18)+SUMIFS(supercb[Qtde],supercb[Item],tab_alimentos[[#This Row],[Item]],supercb[Bairro],mercado18)</f>
        <v>0</v>
      </c>
      <c r="AD207" s="4">
        <f>SUMIFS(super1[Qtde],super1[Item],tab_alimentos[[#This Row],[Item]],super1[Bairro],extras)+SUMIFS(supercb[Qtde],supercb[Item],tab_alimentos[[#This Row],[Item]],supercb[Bairro],extras)</f>
        <v>0</v>
      </c>
      <c r="AE207" s="4">
        <f t="shared" si="79"/>
        <v>0</v>
      </c>
      <c r="AF207" s="4">
        <f t="shared" si="80"/>
        <v>0</v>
      </c>
      <c r="AG207" s="6">
        <f t="shared" si="81"/>
        <v>0</v>
      </c>
      <c r="AH207" s="13" t="str">
        <f>higiene[[#This Row],[Item]]</f>
        <v>S</v>
      </c>
      <c r="AI207" s="9">
        <f>IFERROR(higiene[[#This Row],[Kg equivalente]],0)</f>
        <v>0</v>
      </c>
      <c r="AJ207" s="9">
        <f>IFERROR(higiene[[#This Row],[Preço por produto]],0)</f>
        <v>0</v>
      </c>
      <c r="AK207" s="4">
        <f>SUMIFS(super1[Qtde],super1[Item],tab_higiene[[#This Row],[Item]],super1[Bairro],mercado1)+SUMIFS(supercb[Qtde],supercb[Item],tab_higiene[[#This Row],[Item]],supercb[Bairro],mercado1)</f>
        <v>0</v>
      </c>
      <c r="AL207" s="4">
        <f>SUMIFS(super1[Qtde],super1[Item],tab_higiene[[#This Row],[Item]],super1[Bairro],mercado2)+SUMIFS(supercb[Qtde],supercb[Item],tab_higiene[[#This Row],[Item]],supercb[Bairro],mercado2)</f>
        <v>0</v>
      </c>
      <c r="AM207" s="4">
        <f>SUMIFS(super1[Qtde],super1[Item],tab_higiene[[#This Row],[Item]],super1[Bairro],mercado3)+SUMIFS(supercb[Qtde],supercb[Item],tab_higiene[[#This Row],[Item]],supercb[Bairro],mercado3)</f>
        <v>0</v>
      </c>
      <c r="AN207" s="4">
        <f>SUMIFS(super1[Qtde],super1[Item],tab_higiene[[#This Row],[Item]],super1[Bairro],mercado4)+SUMIFS(supercb[Qtde],supercb[Item],tab_higiene[[#This Row],[Item]],supercb[Bairro],mercado4)</f>
        <v>0</v>
      </c>
      <c r="AO207" s="4">
        <f>SUMIFS(super1[Qtde],super1[Item],tab_higiene[[#This Row],[Item]],super1[Bairro],mercado5)+SUMIFS(supercb[Qtde],supercb[Item],tab_higiene[[#This Row],[Item]],supercb[Bairro],mercado5)</f>
        <v>0</v>
      </c>
      <c r="AP207" s="4">
        <f>SUMIFS(super1[Qtde],super1[Item],tab_higiene[[#This Row],[Item]],super1[Bairro],mercado6)+SUMIFS(supercb[Qtde],supercb[Item],tab_higiene[[#This Row],[Item]],supercb[Bairro],mercado6)</f>
        <v>0</v>
      </c>
      <c r="AQ207" s="4">
        <f>SUMIFS(super1[Qtde],super1[Item],tab_higiene[[#This Row],[Item]],super1[Bairro],mercado7)+SUMIFS(supercb[Qtde],supercb[Item],tab_higiene[[#This Row],[Item]],supercb[Bairro],mercado7)</f>
        <v>0</v>
      </c>
      <c r="AR207" s="4">
        <f>SUMIFS(super1[Qtde],super1[Item],tab_higiene[[#This Row],[Item]],super1[Bairro],mercado8)+SUMIFS(supercb[Qtde],supercb[Item],tab_higiene[[#This Row],[Item]],supercb[Bairro],mercado8)</f>
        <v>0</v>
      </c>
      <c r="AS207" s="4">
        <f>SUMIFS(super1[Qtde],super1[Item],tab_higiene[[#This Row],[Item]],super1[Bairro],mercado9)+SUMIFS(supercb[Qtde],supercb[Item],tab_higiene[[#This Row],[Item]],supercb[Bairro],mercado9)</f>
        <v>0</v>
      </c>
      <c r="AT207" s="4">
        <f>SUMIFS(super1[Qtde],super1[Item],tab_higiene[[#This Row],[Item]],super1[Bairro],mercado10)+SUMIFS(supercb[Qtde],supercb[Item],tab_higiene[[#This Row],[Item]],supercb[Bairro],mercado10)</f>
        <v>0</v>
      </c>
      <c r="AU207" s="4">
        <f>SUMIFS(super1[Qtde],super1[Item],tab_higiene[[#This Row],[Item]],super1[Bairro],mercado11)+SUMIFS(supercb[Qtde],supercb[Item],tab_higiene[[#This Row],[Item]],supercb[Bairro],mercado11)</f>
        <v>0</v>
      </c>
      <c r="AV207" s="4">
        <f>SUMIFS(super1[Qtde],super1[Item],tab_higiene[[#This Row],[Item]],super1[Bairro],mercado12)+SUMIFS(supercb[Qtde],supercb[Item],tab_higiene[[#This Row],[Item]],supercb[Bairro],mercado12)</f>
        <v>0</v>
      </c>
      <c r="AW207" s="4">
        <f>SUMIFS(super1[Qtde],super1[Item],tab_higiene[[#This Row],[Item]],super1[Bairro],mercado13)+SUMIFS(supercb[Qtde],supercb[Item],tab_higiene[[#This Row],[Item]],supercb[Bairro],mercado13)</f>
        <v>0</v>
      </c>
      <c r="AX207" s="4">
        <f>SUMIFS(super1[Qtde],super1[Item],tab_higiene[[#This Row],[Item]],super1[Bairro],mercado14)+SUMIFS(supercb[Qtde],supercb[Item],tab_higiene[[#This Row],[Item]],supercb[Bairro],mercado14)</f>
        <v>0</v>
      </c>
      <c r="AY207" s="4">
        <f>SUMIFS(super1[Qtde],super1[Item],tab_higiene[[#This Row],[Item]],super1[Bairro],mercado15)+SUMIFS(supercb[Qtde],supercb[Item],tab_higiene[[#This Row],[Item]],supercb[Bairro],mercado15)</f>
        <v>0</v>
      </c>
      <c r="AZ207" s="4">
        <f>SUMIFS(super1[Qtde],super1[Item],tab_higiene[[#This Row],[Item]],super1[Bairro],mercado16)+SUMIFS(supercb[Qtde],supercb[Item],tab_higiene[[#This Row],[Item]],supercb[Bairro],mercado16)</f>
        <v>0</v>
      </c>
      <c r="BA207" s="4">
        <f>SUMIFS(super1[Qtde],super1[Item],tab_higiene[[#This Row],[Item]],super1[Bairro],mercado17)+SUMIFS(supercb[Qtde],supercb[Item],tab_higiene[[#This Row],[Item]],supercb[Bairro],mercado17)</f>
        <v>0</v>
      </c>
      <c r="BB207" s="4">
        <f>SUMIFS(super1[Qtde],super1[Item],tab_higiene[[#This Row],[Item]],super1[Bairro],mercado18)+SUMIFS(supercb[Qtde],supercb[Item],tab_higiene[[#This Row],[Item]],supercb[Bairro],mercado18)</f>
        <v>0</v>
      </c>
      <c r="BC207" s="31">
        <f>SUMIFS(super1[Qtde],super1[Item],tab_higiene[[#This Row],[Item]],super1[Bairro],extras)+SUMIFS(supercb[Qtde],supercb[Item],tab_higiene[[#This Row],[Item]],supercb[Bairro],extras)</f>
        <v>0</v>
      </c>
      <c r="BD207" s="9">
        <f t="shared" si="76"/>
        <v>0</v>
      </c>
      <c r="BE207" s="9">
        <f t="shared" si="77"/>
        <v>0</v>
      </c>
      <c r="BF207" s="18">
        <f t="shared" si="78"/>
        <v>0</v>
      </c>
    </row>
    <row r="208" spans="9:58" ht="15.75" thickBot="1" x14ac:dyDescent="0.3">
      <c r="I208" s="19" t="str">
        <f>alimentos[[#This Row],[Item]]</f>
        <v>Extrato de Tomate (520g)</v>
      </c>
      <c r="J208" s="4">
        <f>IFERROR(alimentos[[#This Row],[kg/embalagem]],0)</f>
        <v>0.52</v>
      </c>
      <c r="K208" s="4">
        <f>IFERROR(alimentos[[#This Row],[Preço]],0)</f>
        <v>3.29</v>
      </c>
      <c r="L208" s="4">
        <f>SUMIFS(super1[Qtde],super1[Item],tab_alimentos[[#This Row],[Item]],super1[Bairro],mercado1)+SUMIFS(supercb[Qtde],supercb[Item],tab_alimentos[[#This Row],[Item]],supercb[Bairro],mercado1)</f>
        <v>0</v>
      </c>
      <c r="M208" s="4">
        <f>SUMIFS(super1[Qtde],super1[Item],tab_alimentos[[#This Row],[Item]],super1[Bairro],mercado2)+SUMIFS(supercb[Qtde],supercb[Item],tab_alimentos[[#This Row],[Item]],supercb[Bairro],mercado2)</f>
        <v>0</v>
      </c>
      <c r="N208" s="4">
        <f>SUMIFS(super1[Qtde],super1[Item],tab_alimentos[[#This Row],[Item]],super1[Bairro],mercado3)+SUMIFS(supercb[Qtde],supercb[Item],tab_alimentos[[#This Row],[Item]],supercb[Bairro],mercado3)</f>
        <v>0</v>
      </c>
      <c r="O208" s="4">
        <f>SUMIFS(super1[Qtde],super1[Item],tab_alimentos[[#This Row],[Item]],super1[Bairro],mercado4)+SUMIFS(supercb[Qtde],supercb[Item],tab_alimentos[[#This Row],[Item]],supercb[Bairro],mercado4)</f>
        <v>0</v>
      </c>
      <c r="P208" s="4">
        <f>SUMIFS(super1[Qtde],super1[Item],tab_alimentos[[#This Row],[Item]],super1[Bairro],mercado5)+SUMIFS(supercb[Qtde],supercb[Item],tab_alimentos[[#This Row],[Item]],supercb[Bairro],mercado5)</f>
        <v>0</v>
      </c>
      <c r="Q208" s="4">
        <f>SUMIFS(super1[Qtde],super1[Item],tab_alimentos[[#This Row],[Item]],super1[Bairro],mercado6)+SUMIFS(supercb[Qtde],supercb[Item],tab_alimentos[[#This Row],[Item]],supercb[Bairro],mercado6)</f>
        <v>0</v>
      </c>
      <c r="R208" s="4">
        <f>SUMIFS(super1[Qtde],super1[Item],tab_alimentos[[#This Row],[Item]],super1[Bairro],mercado7)+SUMIFS(supercb[Qtde],supercb[Item],tab_alimentos[[#This Row],[Item]],supercb[Bairro],mercado7)</f>
        <v>0</v>
      </c>
      <c r="S208" s="4">
        <f>SUMIFS(super1[Qtde],super1[Item],tab_alimentos[[#This Row],[Item]],super1[Bairro],mercado8)+SUMIFS(supercb[Qtde],supercb[Item],tab_alimentos[[#This Row],[Item]],supercb[Bairro],mercado8)</f>
        <v>0</v>
      </c>
      <c r="T208" s="4">
        <f>SUMIFS(super1[Qtde],super1[Item],tab_alimentos[[#This Row],[Item]],super1[Bairro],mercado9)+SUMIFS(supercb[Qtde],supercb[Item],tab_alimentos[[#This Row],[Item]],supercb[Bairro],mercado9)</f>
        <v>0</v>
      </c>
      <c r="U208" s="4">
        <f>SUMIFS(super1[Qtde],super1[Item],tab_alimentos[[#This Row],[Item]],super1[Bairro],mercado10)+SUMIFS(supercb[Qtde],supercb[Item],tab_alimentos[[#This Row],[Item]],supercb[Bairro],mercado10)</f>
        <v>0</v>
      </c>
      <c r="V208" s="4">
        <f>SUMIFS(super1[Qtde],super1[Item],tab_alimentos[[#This Row],[Item]],super1[Bairro],mercado11)+SUMIFS(supercb[Qtde],supercb[Item],tab_alimentos[[#This Row],[Item]],supercb[Bairro],mercado11)</f>
        <v>0</v>
      </c>
      <c r="W208" s="4">
        <f>SUMIFS(super1[Qtde],super1[Item],tab_alimentos[[#This Row],[Item]],super1[Bairro],mercado12)+SUMIFS(supercb[Qtde],supercb[Item],tab_alimentos[[#This Row],[Item]],supercb[Bairro],mercado12)</f>
        <v>0</v>
      </c>
      <c r="X208" s="4">
        <f>SUMIFS(super1[Qtde],super1[Item],tab_alimentos[[#This Row],[Item]],super1[Bairro],mercado13)+SUMIFS(supercb[Qtde],supercb[Item],tab_alimentos[[#This Row],[Item]],supercb[Bairro],mercado13)</f>
        <v>0</v>
      </c>
      <c r="Y208" s="4">
        <f>SUMIFS(super1[Qtde],super1[Item],tab_alimentos[[#This Row],[Item]],super1[Bairro],mercado14)+SUMIFS(supercb[Qtde],supercb[Item],tab_alimentos[[#This Row],[Item]],supercb[Bairro],mercado14)</f>
        <v>0</v>
      </c>
      <c r="Z208" s="4">
        <f>SUMIFS(super1[Qtde],super1[Item],tab_alimentos[[#This Row],[Item]],super1[Bairro],mercado15)+SUMIFS(supercb[Qtde],supercb[Item],tab_alimentos[[#This Row],[Item]],supercb[Bairro],mercado15)</f>
        <v>0</v>
      </c>
      <c r="AA208" s="4">
        <f>SUMIFS(super1[Qtde],super1[Item],tab_alimentos[[#This Row],[Item]],super1[Bairro],mercado16)+SUMIFS(supercb[Qtde],supercb[Item],tab_alimentos[[#This Row],[Item]],supercb[Bairro],mercado16)</f>
        <v>0</v>
      </c>
      <c r="AB208" s="4">
        <f>SUMIFS(super1[Qtde],super1[Item],tab_alimentos[[#This Row],[Item]],super1[Bairro],mercado17)+SUMIFS(supercb[Qtde],supercb[Item],tab_alimentos[[#This Row],[Item]],supercb[Bairro],mercado17)</f>
        <v>0</v>
      </c>
      <c r="AC208" s="4">
        <f>SUMIFS(super1[Qtde],super1[Item],tab_alimentos[[#This Row],[Item]],super1[Bairro],mercado18)+SUMIFS(supercb[Qtde],supercb[Item],tab_alimentos[[#This Row],[Item]],supercb[Bairro],mercado18)</f>
        <v>0</v>
      </c>
      <c r="AD208" s="4">
        <f>SUMIFS(super1[Qtde],super1[Item],tab_alimentos[[#This Row],[Item]],super1[Bairro],extras)+SUMIFS(supercb[Qtde],supercb[Item],tab_alimentos[[#This Row],[Item]],supercb[Bairro],extras)</f>
        <v>0</v>
      </c>
      <c r="AE208" s="4">
        <f t="shared" si="79"/>
        <v>0</v>
      </c>
      <c r="AF208" s="4">
        <f t="shared" si="80"/>
        <v>0</v>
      </c>
      <c r="AG208" s="6">
        <f t="shared" si="81"/>
        <v>0</v>
      </c>
      <c r="AH208" s="13" t="str">
        <f>higiene[[#This Row],[Item]]</f>
        <v>Sabão em Barra (1un)</v>
      </c>
      <c r="AI208" s="9">
        <f>IFERROR(higiene[[#This Row],[Kg equivalente]],0)</f>
        <v>0</v>
      </c>
      <c r="AJ208" s="9">
        <f>IFERROR(higiene[[#This Row],[Preço por produto]],0)</f>
        <v>3.99</v>
      </c>
      <c r="AK208" s="4">
        <f>SUMIFS(super1[Qtde],super1[Item],tab_higiene[[#This Row],[Item]],super1[Bairro],mercado1)+SUMIFS(supercb[Qtde],supercb[Item],tab_higiene[[#This Row],[Item]],supercb[Bairro],mercado1)</f>
        <v>0</v>
      </c>
      <c r="AL208" s="4">
        <f>SUMIFS(super1[Qtde],super1[Item],tab_higiene[[#This Row],[Item]],super1[Bairro],mercado2)+SUMIFS(supercb[Qtde],supercb[Item],tab_higiene[[#This Row],[Item]],supercb[Bairro],mercado2)</f>
        <v>0</v>
      </c>
      <c r="AM208" s="4">
        <f>SUMIFS(super1[Qtde],super1[Item],tab_higiene[[#This Row],[Item]],super1[Bairro],mercado3)+SUMIFS(supercb[Qtde],supercb[Item],tab_higiene[[#This Row],[Item]],supercb[Bairro],mercado3)</f>
        <v>0</v>
      </c>
      <c r="AN208" s="4">
        <f>SUMIFS(super1[Qtde],super1[Item],tab_higiene[[#This Row],[Item]],super1[Bairro],mercado4)+SUMIFS(supercb[Qtde],supercb[Item],tab_higiene[[#This Row],[Item]],supercb[Bairro],mercado4)</f>
        <v>0</v>
      </c>
      <c r="AO208" s="4">
        <f>SUMIFS(super1[Qtde],super1[Item],tab_higiene[[#This Row],[Item]],super1[Bairro],mercado5)+SUMIFS(supercb[Qtde],supercb[Item],tab_higiene[[#This Row],[Item]],supercb[Bairro],mercado5)</f>
        <v>0</v>
      </c>
      <c r="AP208" s="4">
        <f>SUMIFS(super1[Qtde],super1[Item],tab_higiene[[#This Row],[Item]],super1[Bairro],mercado6)+SUMIFS(supercb[Qtde],supercb[Item],tab_higiene[[#This Row],[Item]],supercb[Bairro],mercado6)</f>
        <v>0</v>
      </c>
      <c r="AQ208" s="4">
        <f>SUMIFS(super1[Qtde],super1[Item],tab_higiene[[#This Row],[Item]],super1[Bairro],mercado7)+SUMIFS(supercb[Qtde],supercb[Item],tab_higiene[[#This Row],[Item]],supercb[Bairro],mercado7)</f>
        <v>0</v>
      </c>
      <c r="AR208" s="4">
        <f>SUMIFS(super1[Qtde],super1[Item],tab_higiene[[#This Row],[Item]],super1[Bairro],mercado8)+SUMIFS(supercb[Qtde],supercb[Item],tab_higiene[[#This Row],[Item]],supercb[Bairro],mercado8)</f>
        <v>0</v>
      </c>
      <c r="AS208" s="4">
        <f>SUMIFS(super1[Qtde],super1[Item],tab_higiene[[#This Row],[Item]],super1[Bairro],mercado9)+SUMIFS(supercb[Qtde],supercb[Item],tab_higiene[[#This Row],[Item]],supercb[Bairro],mercado9)</f>
        <v>0</v>
      </c>
      <c r="AT208" s="4">
        <f>SUMIFS(super1[Qtde],super1[Item],tab_higiene[[#This Row],[Item]],super1[Bairro],mercado10)+SUMIFS(supercb[Qtde],supercb[Item],tab_higiene[[#This Row],[Item]],supercb[Bairro],mercado10)</f>
        <v>0</v>
      </c>
      <c r="AU208" s="4">
        <f>SUMIFS(super1[Qtde],super1[Item],tab_higiene[[#This Row],[Item]],super1[Bairro],mercado11)+SUMIFS(supercb[Qtde],supercb[Item],tab_higiene[[#This Row],[Item]],supercb[Bairro],mercado11)</f>
        <v>0</v>
      </c>
      <c r="AV208" s="4">
        <f>SUMIFS(super1[Qtde],super1[Item],tab_higiene[[#This Row],[Item]],super1[Bairro],mercado12)+SUMIFS(supercb[Qtde],supercb[Item],tab_higiene[[#This Row],[Item]],supercb[Bairro],mercado12)</f>
        <v>0</v>
      </c>
      <c r="AW208" s="4">
        <f>SUMIFS(super1[Qtde],super1[Item],tab_higiene[[#This Row],[Item]],super1[Bairro],mercado13)+SUMIFS(supercb[Qtde],supercb[Item],tab_higiene[[#This Row],[Item]],supercb[Bairro],mercado13)</f>
        <v>0</v>
      </c>
      <c r="AX208" s="4">
        <f>SUMIFS(super1[Qtde],super1[Item],tab_higiene[[#This Row],[Item]],super1[Bairro],mercado14)+SUMIFS(supercb[Qtde],supercb[Item],tab_higiene[[#This Row],[Item]],supercb[Bairro],mercado14)</f>
        <v>0</v>
      </c>
      <c r="AY208" s="4">
        <f>SUMIFS(super1[Qtde],super1[Item],tab_higiene[[#This Row],[Item]],super1[Bairro],mercado15)+SUMIFS(supercb[Qtde],supercb[Item],tab_higiene[[#This Row],[Item]],supercb[Bairro],mercado15)</f>
        <v>0</v>
      </c>
      <c r="AZ208" s="4">
        <f>SUMIFS(super1[Qtde],super1[Item],tab_higiene[[#This Row],[Item]],super1[Bairro],mercado16)+SUMIFS(supercb[Qtde],supercb[Item],tab_higiene[[#This Row],[Item]],supercb[Bairro],mercado16)</f>
        <v>0</v>
      </c>
      <c r="BA208" s="4">
        <f>SUMIFS(super1[Qtde],super1[Item],tab_higiene[[#This Row],[Item]],super1[Bairro],mercado17)+SUMIFS(supercb[Qtde],supercb[Item],tab_higiene[[#This Row],[Item]],supercb[Bairro],mercado17)</f>
        <v>0</v>
      </c>
      <c r="BB208" s="4">
        <f>SUMIFS(super1[Qtde],super1[Item],tab_higiene[[#This Row],[Item]],super1[Bairro],mercado18)+SUMIFS(supercb[Qtde],supercb[Item],tab_higiene[[#This Row],[Item]],supercb[Bairro],mercado18)</f>
        <v>0</v>
      </c>
      <c r="BC208" s="31">
        <f>SUMIFS(super1[Qtde],super1[Item],tab_higiene[[#This Row],[Item]],super1[Bairro],extras)+SUMIFS(supercb[Qtde],supercb[Item],tab_higiene[[#This Row],[Item]],supercb[Bairro],extras)</f>
        <v>0</v>
      </c>
      <c r="BD208" s="9">
        <f t="shared" si="76"/>
        <v>0</v>
      </c>
      <c r="BE208" s="9">
        <f t="shared" si="77"/>
        <v>0</v>
      </c>
      <c r="BF208" s="18">
        <f t="shared" si="78"/>
        <v>0</v>
      </c>
    </row>
    <row r="209" spans="9:58" ht="15.75" thickBot="1" x14ac:dyDescent="0.3">
      <c r="I209" s="19" t="str">
        <f>alimentos[[#This Row],[Item]]</f>
        <v>F</v>
      </c>
      <c r="J209" s="4">
        <f>IFERROR(alimentos[[#This Row],[kg/embalagem]],0)</f>
        <v>0</v>
      </c>
      <c r="K209" s="4">
        <f>IFERROR(alimentos[[#This Row],[Preço]],0)</f>
        <v>0</v>
      </c>
      <c r="L209" s="4">
        <f>SUMIFS(super1[Qtde],super1[Item],tab_alimentos[[#This Row],[Item]],super1[Bairro],mercado1)+SUMIFS(supercb[Qtde],supercb[Item],tab_alimentos[[#This Row],[Item]],supercb[Bairro],mercado1)</f>
        <v>0</v>
      </c>
      <c r="M209" s="4">
        <f>SUMIFS(super1[Qtde],super1[Item],tab_alimentos[[#This Row],[Item]],super1[Bairro],mercado2)+SUMIFS(supercb[Qtde],supercb[Item],tab_alimentos[[#This Row],[Item]],supercb[Bairro],mercado2)</f>
        <v>0</v>
      </c>
      <c r="N209" s="4">
        <f>SUMIFS(super1[Qtde],super1[Item],tab_alimentos[[#This Row],[Item]],super1[Bairro],mercado3)+SUMIFS(supercb[Qtde],supercb[Item],tab_alimentos[[#This Row],[Item]],supercb[Bairro],mercado3)</f>
        <v>0</v>
      </c>
      <c r="O209" s="4">
        <f>SUMIFS(super1[Qtde],super1[Item],tab_alimentos[[#This Row],[Item]],super1[Bairro],mercado4)+SUMIFS(supercb[Qtde],supercb[Item],tab_alimentos[[#This Row],[Item]],supercb[Bairro],mercado4)</f>
        <v>0</v>
      </c>
      <c r="P209" s="4">
        <f>SUMIFS(super1[Qtde],super1[Item],tab_alimentos[[#This Row],[Item]],super1[Bairro],mercado5)+SUMIFS(supercb[Qtde],supercb[Item],tab_alimentos[[#This Row],[Item]],supercb[Bairro],mercado5)</f>
        <v>0</v>
      </c>
      <c r="Q209" s="4">
        <f>SUMIFS(super1[Qtde],super1[Item],tab_alimentos[[#This Row],[Item]],super1[Bairro],mercado6)+SUMIFS(supercb[Qtde],supercb[Item],tab_alimentos[[#This Row],[Item]],supercb[Bairro],mercado6)</f>
        <v>0</v>
      </c>
      <c r="R209" s="4">
        <f>SUMIFS(super1[Qtde],super1[Item],tab_alimentos[[#This Row],[Item]],super1[Bairro],mercado7)+SUMIFS(supercb[Qtde],supercb[Item],tab_alimentos[[#This Row],[Item]],supercb[Bairro],mercado7)</f>
        <v>0</v>
      </c>
      <c r="S209" s="4">
        <f>SUMIFS(super1[Qtde],super1[Item],tab_alimentos[[#This Row],[Item]],super1[Bairro],mercado8)+SUMIFS(supercb[Qtde],supercb[Item],tab_alimentos[[#This Row],[Item]],supercb[Bairro],mercado8)</f>
        <v>0</v>
      </c>
      <c r="T209" s="4">
        <f>SUMIFS(super1[Qtde],super1[Item],tab_alimentos[[#This Row],[Item]],super1[Bairro],mercado9)+SUMIFS(supercb[Qtde],supercb[Item],tab_alimentos[[#This Row],[Item]],supercb[Bairro],mercado9)</f>
        <v>0</v>
      </c>
      <c r="U209" s="4">
        <f>SUMIFS(super1[Qtde],super1[Item],tab_alimentos[[#This Row],[Item]],super1[Bairro],mercado10)+SUMIFS(supercb[Qtde],supercb[Item],tab_alimentos[[#This Row],[Item]],supercb[Bairro],mercado10)</f>
        <v>0</v>
      </c>
      <c r="V209" s="4">
        <f>SUMIFS(super1[Qtde],super1[Item],tab_alimentos[[#This Row],[Item]],super1[Bairro],mercado11)+SUMIFS(supercb[Qtde],supercb[Item],tab_alimentos[[#This Row],[Item]],supercb[Bairro],mercado11)</f>
        <v>0</v>
      </c>
      <c r="W209" s="4">
        <f>SUMIFS(super1[Qtde],super1[Item],tab_alimentos[[#This Row],[Item]],super1[Bairro],mercado12)+SUMIFS(supercb[Qtde],supercb[Item],tab_alimentos[[#This Row],[Item]],supercb[Bairro],mercado12)</f>
        <v>0</v>
      </c>
      <c r="X209" s="4">
        <f>SUMIFS(super1[Qtde],super1[Item],tab_alimentos[[#This Row],[Item]],super1[Bairro],mercado13)+SUMIFS(supercb[Qtde],supercb[Item],tab_alimentos[[#This Row],[Item]],supercb[Bairro],mercado13)</f>
        <v>0</v>
      </c>
      <c r="Y209" s="4">
        <f>SUMIFS(super1[Qtde],super1[Item],tab_alimentos[[#This Row],[Item]],super1[Bairro],mercado14)+SUMIFS(supercb[Qtde],supercb[Item],tab_alimentos[[#This Row],[Item]],supercb[Bairro],mercado14)</f>
        <v>0</v>
      </c>
      <c r="Z209" s="4">
        <f>SUMIFS(super1[Qtde],super1[Item],tab_alimentos[[#This Row],[Item]],super1[Bairro],mercado15)+SUMIFS(supercb[Qtde],supercb[Item],tab_alimentos[[#This Row],[Item]],supercb[Bairro],mercado15)</f>
        <v>0</v>
      </c>
      <c r="AA209" s="4">
        <f>SUMIFS(super1[Qtde],super1[Item],tab_alimentos[[#This Row],[Item]],super1[Bairro],mercado16)+SUMIFS(supercb[Qtde],supercb[Item],tab_alimentos[[#This Row],[Item]],supercb[Bairro],mercado16)</f>
        <v>0</v>
      </c>
      <c r="AB209" s="4">
        <f>SUMIFS(super1[Qtde],super1[Item],tab_alimentos[[#This Row],[Item]],super1[Bairro],mercado17)+SUMIFS(supercb[Qtde],supercb[Item],tab_alimentos[[#This Row],[Item]],supercb[Bairro],mercado17)</f>
        <v>0</v>
      </c>
      <c r="AC209" s="4">
        <f>SUMIFS(super1[Qtde],super1[Item],tab_alimentos[[#This Row],[Item]],super1[Bairro],mercado18)+SUMIFS(supercb[Qtde],supercb[Item],tab_alimentos[[#This Row],[Item]],supercb[Bairro],mercado18)</f>
        <v>0</v>
      </c>
      <c r="AD209" s="4">
        <f>SUMIFS(super1[Qtde],super1[Item],tab_alimentos[[#This Row],[Item]],super1[Bairro],extras)+SUMIFS(supercb[Qtde],supercb[Item],tab_alimentos[[#This Row],[Item]],supercb[Bairro],extras)</f>
        <v>0</v>
      </c>
      <c r="AE209" s="4">
        <f t="shared" si="79"/>
        <v>0</v>
      </c>
      <c r="AF209" s="4">
        <f t="shared" si="80"/>
        <v>0</v>
      </c>
      <c r="AG209" s="6">
        <f t="shared" si="81"/>
        <v>0</v>
      </c>
      <c r="AH209" s="13" t="str">
        <f>higiene[[#This Row],[Item]]</f>
        <v>Sabão em Barra (5un)</v>
      </c>
      <c r="AI209" s="9">
        <f>IFERROR(higiene[[#This Row],[Kg equivalente]],0)</f>
        <v>0</v>
      </c>
      <c r="AJ209" s="9">
        <f>IFERROR(higiene[[#This Row],[Preço por produto]],0)</f>
        <v>11.99</v>
      </c>
      <c r="AK209" s="4">
        <f>SUMIFS(super1[Qtde],super1[Item],tab_higiene[[#This Row],[Item]],super1[Bairro],mercado1)+SUMIFS(supercb[Qtde],supercb[Item],tab_higiene[[#This Row],[Item]],supercb[Bairro],mercado1)</f>
        <v>0</v>
      </c>
      <c r="AL209" s="4">
        <f>SUMIFS(super1[Qtde],super1[Item],tab_higiene[[#This Row],[Item]],super1[Bairro],mercado2)+SUMIFS(supercb[Qtde],supercb[Item],tab_higiene[[#This Row],[Item]],supercb[Bairro],mercado2)</f>
        <v>0</v>
      </c>
      <c r="AM209" s="4">
        <f>SUMIFS(super1[Qtde],super1[Item],tab_higiene[[#This Row],[Item]],super1[Bairro],mercado3)+SUMIFS(supercb[Qtde],supercb[Item],tab_higiene[[#This Row],[Item]],supercb[Bairro],mercado3)</f>
        <v>0</v>
      </c>
      <c r="AN209" s="4">
        <f>SUMIFS(super1[Qtde],super1[Item],tab_higiene[[#This Row],[Item]],super1[Bairro],mercado4)+SUMIFS(supercb[Qtde],supercb[Item],tab_higiene[[#This Row],[Item]],supercb[Bairro],mercado4)</f>
        <v>0</v>
      </c>
      <c r="AO209" s="4">
        <f>SUMIFS(super1[Qtde],super1[Item],tab_higiene[[#This Row],[Item]],super1[Bairro],mercado5)+SUMIFS(supercb[Qtde],supercb[Item],tab_higiene[[#This Row],[Item]],supercb[Bairro],mercado5)</f>
        <v>0</v>
      </c>
      <c r="AP209" s="4">
        <f>SUMIFS(super1[Qtde],super1[Item],tab_higiene[[#This Row],[Item]],super1[Bairro],mercado6)+SUMIFS(supercb[Qtde],supercb[Item],tab_higiene[[#This Row],[Item]],supercb[Bairro],mercado6)</f>
        <v>0</v>
      </c>
      <c r="AQ209" s="4">
        <f>SUMIFS(super1[Qtde],super1[Item],tab_higiene[[#This Row],[Item]],super1[Bairro],mercado7)+SUMIFS(supercb[Qtde],supercb[Item],tab_higiene[[#This Row],[Item]],supercb[Bairro],mercado7)</f>
        <v>0</v>
      </c>
      <c r="AR209" s="4">
        <f>SUMIFS(super1[Qtde],super1[Item],tab_higiene[[#This Row],[Item]],super1[Bairro],mercado8)+SUMIFS(supercb[Qtde],supercb[Item],tab_higiene[[#This Row],[Item]],supercb[Bairro],mercado8)</f>
        <v>0</v>
      </c>
      <c r="AS209" s="4">
        <f>SUMIFS(super1[Qtde],super1[Item],tab_higiene[[#This Row],[Item]],super1[Bairro],mercado9)+SUMIFS(supercb[Qtde],supercb[Item],tab_higiene[[#This Row],[Item]],supercb[Bairro],mercado9)</f>
        <v>0</v>
      </c>
      <c r="AT209" s="4">
        <f>SUMIFS(super1[Qtde],super1[Item],tab_higiene[[#This Row],[Item]],super1[Bairro],mercado10)+SUMIFS(supercb[Qtde],supercb[Item],tab_higiene[[#This Row],[Item]],supercb[Bairro],mercado10)</f>
        <v>0</v>
      </c>
      <c r="AU209" s="4">
        <f>SUMIFS(super1[Qtde],super1[Item],tab_higiene[[#This Row],[Item]],super1[Bairro],mercado11)+SUMIFS(supercb[Qtde],supercb[Item],tab_higiene[[#This Row],[Item]],supercb[Bairro],mercado11)</f>
        <v>0</v>
      </c>
      <c r="AV209" s="4">
        <f>SUMIFS(super1[Qtde],super1[Item],tab_higiene[[#This Row],[Item]],super1[Bairro],mercado12)+SUMIFS(supercb[Qtde],supercb[Item],tab_higiene[[#This Row],[Item]],supercb[Bairro],mercado12)</f>
        <v>0</v>
      </c>
      <c r="AW209" s="4">
        <f>SUMIFS(super1[Qtde],super1[Item],tab_higiene[[#This Row],[Item]],super1[Bairro],mercado13)+SUMIFS(supercb[Qtde],supercb[Item],tab_higiene[[#This Row],[Item]],supercb[Bairro],mercado13)</f>
        <v>0</v>
      </c>
      <c r="AX209" s="4">
        <f>SUMIFS(super1[Qtde],super1[Item],tab_higiene[[#This Row],[Item]],super1[Bairro],mercado14)+SUMIFS(supercb[Qtde],supercb[Item],tab_higiene[[#This Row],[Item]],supercb[Bairro],mercado14)</f>
        <v>0</v>
      </c>
      <c r="AY209" s="4">
        <f>SUMIFS(super1[Qtde],super1[Item],tab_higiene[[#This Row],[Item]],super1[Bairro],mercado15)+SUMIFS(supercb[Qtde],supercb[Item],tab_higiene[[#This Row],[Item]],supercb[Bairro],mercado15)</f>
        <v>0</v>
      </c>
      <c r="AZ209" s="4">
        <f>SUMIFS(super1[Qtde],super1[Item],tab_higiene[[#This Row],[Item]],super1[Bairro],mercado16)+SUMIFS(supercb[Qtde],supercb[Item],tab_higiene[[#This Row],[Item]],supercb[Bairro],mercado16)</f>
        <v>0</v>
      </c>
      <c r="BA209" s="4">
        <f>SUMIFS(super1[Qtde],super1[Item],tab_higiene[[#This Row],[Item]],super1[Bairro],mercado17)+SUMIFS(supercb[Qtde],supercb[Item],tab_higiene[[#This Row],[Item]],supercb[Bairro],mercado17)</f>
        <v>0</v>
      </c>
      <c r="BB209" s="4">
        <f>SUMIFS(super1[Qtde],super1[Item],tab_higiene[[#This Row],[Item]],super1[Bairro],mercado18)+SUMIFS(supercb[Qtde],supercb[Item],tab_higiene[[#This Row],[Item]],supercb[Bairro],mercado18)</f>
        <v>0</v>
      </c>
      <c r="BC209" s="31">
        <f>SUMIFS(super1[Qtde],super1[Item],tab_higiene[[#This Row],[Item]],super1[Bairro],extras)+SUMIFS(supercb[Qtde],supercb[Item],tab_higiene[[#This Row],[Item]],supercb[Bairro],extras)</f>
        <v>0</v>
      </c>
      <c r="BD209" s="9">
        <f t="shared" si="76"/>
        <v>0</v>
      </c>
      <c r="BE209" s="9">
        <f t="shared" si="77"/>
        <v>0</v>
      </c>
      <c r="BF209" s="18">
        <f t="shared" si="78"/>
        <v>0</v>
      </c>
    </row>
    <row r="210" spans="9:58" ht="15.75" thickBot="1" x14ac:dyDescent="0.3">
      <c r="I210" s="19" t="str">
        <f>alimentos[[#This Row],[Item]]</f>
        <v>Farinha de Arroz (1kg)</v>
      </c>
      <c r="J210" s="4">
        <f>IFERROR(alimentos[[#This Row],[kg/embalagem]],0)</f>
        <v>1</v>
      </c>
      <c r="K210" s="4">
        <f>IFERROR(alimentos[[#This Row],[Preço]],0)</f>
        <v>5.28</v>
      </c>
      <c r="L210" s="4">
        <f>SUMIFS(super1[Qtde],super1[Item],tab_alimentos[[#This Row],[Item]],super1[Bairro],mercado1)+SUMIFS(supercb[Qtde],supercb[Item],tab_alimentos[[#This Row],[Item]],supercb[Bairro],mercado1)</f>
        <v>0</v>
      </c>
      <c r="M210" s="4">
        <f>SUMIFS(super1[Qtde],super1[Item],tab_alimentos[[#This Row],[Item]],super1[Bairro],mercado2)+SUMIFS(supercb[Qtde],supercb[Item],tab_alimentos[[#This Row],[Item]],supercb[Bairro],mercado2)</f>
        <v>0</v>
      </c>
      <c r="N210" s="4">
        <f>SUMIFS(super1[Qtde],super1[Item],tab_alimentos[[#This Row],[Item]],super1[Bairro],mercado3)+SUMIFS(supercb[Qtde],supercb[Item],tab_alimentos[[#This Row],[Item]],supercb[Bairro],mercado3)</f>
        <v>0</v>
      </c>
      <c r="O210" s="4">
        <f>SUMIFS(super1[Qtde],super1[Item],tab_alimentos[[#This Row],[Item]],super1[Bairro],mercado4)+SUMIFS(supercb[Qtde],supercb[Item],tab_alimentos[[#This Row],[Item]],supercb[Bairro],mercado4)</f>
        <v>0</v>
      </c>
      <c r="P210" s="4">
        <f>SUMIFS(super1[Qtde],super1[Item],tab_alimentos[[#This Row],[Item]],super1[Bairro],mercado5)+SUMIFS(supercb[Qtde],supercb[Item],tab_alimentos[[#This Row],[Item]],supercb[Bairro],mercado5)</f>
        <v>0</v>
      </c>
      <c r="Q210" s="4">
        <f>SUMIFS(super1[Qtde],super1[Item],tab_alimentos[[#This Row],[Item]],super1[Bairro],mercado6)+SUMIFS(supercb[Qtde],supercb[Item],tab_alimentos[[#This Row],[Item]],supercb[Bairro],mercado6)</f>
        <v>0</v>
      </c>
      <c r="R210" s="4">
        <f>SUMIFS(super1[Qtde],super1[Item],tab_alimentos[[#This Row],[Item]],super1[Bairro],mercado7)+SUMIFS(supercb[Qtde],supercb[Item],tab_alimentos[[#This Row],[Item]],supercb[Bairro],mercado7)</f>
        <v>0</v>
      </c>
      <c r="S210" s="4">
        <f>SUMIFS(super1[Qtde],super1[Item],tab_alimentos[[#This Row],[Item]],super1[Bairro],mercado8)+SUMIFS(supercb[Qtde],supercb[Item],tab_alimentos[[#This Row],[Item]],supercb[Bairro],mercado8)</f>
        <v>0</v>
      </c>
      <c r="T210" s="4">
        <f>SUMIFS(super1[Qtde],super1[Item],tab_alimentos[[#This Row],[Item]],super1[Bairro],mercado9)+SUMIFS(supercb[Qtde],supercb[Item],tab_alimentos[[#This Row],[Item]],supercb[Bairro],mercado9)</f>
        <v>0</v>
      </c>
      <c r="U210" s="4">
        <f>SUMIFS(super1[Qtde],super1[Item],tab_alimentos[[#This Row],[Item]],super1[Bairro],mercado10)+SUMIFS(supercb[Qtde],supercb[Item],tab_alimentos[[#This Row],[Item]],supercb[Bairro],mercado10)</f>
        <v>0</v>
      </c>
      <c r="V210" s="4">
        <f>SUMIFS(super1[Qtde],super1[Item],tab_alimentos[[#This Row],[Item]],super1[Bairro],mercado11)+SUMIFS(supercb[Qtde],supercb[Item],tab_alimentos[[#This Row],[Item]],supercb[Bairro],mercado11)</f>
        <v>0</v>
      </c>
      <c r="W210" s="4">
        <f>SUMIFS(super1[Qtde],super1[Item],tab_alimentos[[#This Row],[Item]],super1[Bairro],mercado12)+SUMIFS(supercb[Qtde],supercb[Item],tab_alimentos[[#This Row],[Item]],supercb[Bairro],mercado12)</f>
        <v>0</v>
      </c>
      <c r="X210" s="4">
        <f>SUMIFS(super1[Qtde],super1[Item],tab_alimentos[[#This Row],[Item]],super1[Bairro],mercado13)+SUMIFS(supercb[Qtde],supercb[Item],tab_alimentos[[#This Row],[Item]],supercb[Bairro],mercado13)</f>
        <v>0</v>
      </c>
      <c r="Y210" s="4">
        <f>SUMIFS(super1[Qtde],super1[Item],tab_alimentos[[#This Row],[Item]],super1[Bairro],mercado14)+SUMIFS(supercb[Qtde],supercb[Item],tab_alimentos[[#This Row],[Item]],supercb[Bairro],mercado14)</f>
        <v>0</v>
      </c>
      <c r="Z210" s="4">
        <f>SUMIFS(super1[Qtde],super1[Item],tab_alimentos[[#This Row],[Item]],super1[Bairro],mercado15)+SUMIFS(supercb[Qtde],supercb[Item],tab_alimentos[[#This Row],[Item]],supercb[Bairro],mercado15)</f>
        <v>0</v>
      </c>
      <c r="AA210" s="4">
        <f>SUMIFS(super1[Qtde],super1[Item],tab_alimentos[[#This Row],[Item]],super1[Bairro],mercado16)+SUMIFS(supercb[Qtde],supercb[Item],tab_alimentos[[#This Row],[Item]],supercb[Bairro],mercado16)</f>
        <v>0</v>
      </c>
      <c r="AB210" s="4">
        <f>SUMIFS(super1[Qtde],super1[Item],tab_alimentos[[#This Row],[Item]],super1[Bairro],mercado17)+SUMIFS(supercb[Qtde],supercb[Item],tab_alimentos[[#This Row],[Item]],supercb[Bairro],mercado17)</f>
        <v>0</v>
      </c>
      <c r="AC210" s="4">
        <f>SUMIFS(super1[Qtde],super1[Item],tab_alimentos[[#This Row],[Item]],super1[Bairro],mercado18)+SUMIFS(supercb[Qtde],supercb[Item],tab_alimentos[[#This Row],[Item]],supercb[Bairro],mercado18)</f>
        <v>0</v>
      </c>
      <c r="AD210" s="4">
        <f>SUMIFS(super1[Qtde],super1[Item],tab_alimentos[[#This Row],[Item]],super1[Bairro],extras)+SUMIFS(supercb[Qtde],supercb[Item],tab_alimentos[[#This Row],[Item]],supercb[Bairro],extras)</f>
        <v>0</v>
      </c>
      <c r="AE210" s="4">
        <f t="shared" si="79"/>
        <v>0</v>
      </c>
      <c r="AF210" s="4">
        <f t="shared" si="80"/>
        <v>0</v>
      </c>
      <c r="AG210" s="6">
        <f t="shared" si="81"/>
        <v>0</v>
      </c>
      <c r="AH210" s="13" t="str">
        <f>higiene[[#This Row],[Item]]</f>
        <v>Sabao em Pó (1,6kg)</v>
      </c>
      <c r="AI210" s="9">
        <f>IFERROR(higiene[[#This Row],[Kg equivalente]],0)</f>
        <v>0</v>
      </c>
      <c r="AJ210" s="9">
        <f>IFERROR(higiene[[#This Row],[Preço por produto]],0)</f>
        <v>11.78</v>
      </c>
      <c r="AK210" s="4">
        <f>SUMIFS(super1[Qtde],super1[Item],tab_higiene[[#This Row],[Item]],super1[Bairro],mercado1)+SUMIFS(supercb[Qtde],supercb[Item],tab_higiene[[#This Row],[Item]],supercb[Bairro],mercado1)</f>
        <v>0</v>
      </c>
      <c r="AL210" s="4">
        <f>SUMIFS(super1[Qtde],super1[Item],tab_higiene[[#This Row],[Item]],super1[Bairro],mercado2)+SUMIFS(supercb[Qtde],supercb[Item],tab_higiene[[#This Row],[Item]],supercb[Bairro],mercado2)</f>
        <v>0</v>
      </c>
      <c r="AM210" s="4">
        <f>SUMIFS(super1[Qtde],super1[Item],tab_higiene[[#This Row],[Item]],super1[Bairro],mercado3)+SUMIFS(supercb[Qtde],supercb[Item],tab_higiene[[#This Row],[Item]],supercb[Bairro],mercado3)</f>
        <v>0</v>
      </c>
      <c r="AN210" s="4">
        <f>SUMIFS(super1[Qtde],super1[Item],tab_higiene[[#This Row],[Item]],super1[Bairro],mercado4)+SUMIFS(supercb[Qtde],supercb[Item],tab_higiene[[#This Row],[Item]],supercb[Bairro],mercado4)</f>
        <v>0</v>
      </c>
      <c r="AO210" s="4">
        <f>SUMIFS(super1[Qtde],super1[Item],tab_higiene[[#This Row],[Item]],super1[Bairro],mercado5)+SUMIFS(supercb[Qtde],supercb[Item],tab_higiene[[#This Row],[Item]],supercb[Bairro],mercado5)</f>
        <v>0</v>
      </c>
      <c r="AP210" s="4">
        <f>SUMIFS(super1[Qtde],super1[Item],tab_higiene[[#This Row],[Item]],super1[Bairro],mercado6)+SUMIFS(supercb[Qtde],supercb[Item],tab_higiene[[#This Row],[Item]],supercb[Bairro],mercado6)</f>
        <v>0</v>
      </c>
      <c r="AQ210" s="4">
        <f>SUMIFS(super1[Qtde],super1[Item],tab_higiene[[#This Row],[Item]],super1[Bairro],mercado7)+SUMIFS(supercb[Qtde],supercb[Item],tab_higiene[[#This Row],[Item]],supercb[Bairro],mercado7)</f>
        <v>0</v>
      </c>
      <c r="AR210" s="4">
        <f>SUMIFS(super1[Qtde],super1[Item],tab_higiene[[#This Row],[Item]],super1[Bairro],mercado8)+SUMIFS(supercb[Qtde],supercb[Item],tab_higiene[[#This Row],[Item]],supercb[Bairro],mercado8)</f>
        <v>0</v>
      </c>
      <c r="AS210" s="4">
        <f>SUMIFS(super1[Qtde],super1[Item],tab_higiene[[#This Row],[Item]],super1[Bairro],mercado9)+SUMIFS(supercb[Qtde],supercb[Item],tab_higiene[[#This Row],[Item]],supercb[Bairro],mercado9)</f>
        <v>0</v>
      </c>
      <c r="AT210" s="4">
        <f>SUMIFS(super1[Qtde],super1[Item],tab_higiene[[#This Row],[Item]],super1[Bairro],mercado10)+SUMIFS(supercb[Qtde],supercb[Item],tab_higiene[[#This Row],[Item]],supercb[Bairro],mercado10)</f>
        <v>0</v>
      </c>
      <c r="AU210" s="4">
        <f>SUMIFS(super1[Qtde],super1[Item],tab_higiene[[#This Row],[Item]],super1[Bairro],mercado11)+SUMIFS(supercb[Qtde],supercb[Item],tab_higiene[[#This Row],[Item]],supercb[Bairro],mercado11)</f>
        <v>0</v>
      </c>
      <c r="AV210" s="4">
        <f>SUMIFS(super1[Qtde],super1[Item],tab_higiene[[#This Row],[Item]],super1[Bairro],mercado12)+SUMIFS(supercb[Qtde],supercb[Item],tab_higiene[[#This Row],[Item]],supercb[Bairro],mercado12)</f>
        <v>0</v>
      </c>
      <c r="AW210" s="4">
        <f>SUMIFS(super1[Qtde],super1[Item],tab_higiene[[#This Row],[Item]],super1[Bairro],mercado13)+SUMIFS(supercb[Qtde],supercb[Item],tab_higiene[[#This Row],[Item]],supercb[Bairro],mercado13)</f>
        <v>0</v>
      </c>
      <c r="AX210" s="4">
        <f>SUMIFS(super1[Qtde],super1[Item],tab_higiene[[#This Row],[Item]],super1[Bairro],mercado14)+SUMIFS(supercb[Qtde],supercb[Item],tab_higiene[[#This Row],[Item]],supercb[Bairro],mercado14)</f>
        <v>0</v>
      </c>
      <c r="AY210" s="4">
        <f>SUMIFS(super1[Qtde],super1[Item],tab_higiene[[#This Row],[Item]],super1[Bairro],mercado15)+SUMIFS(supercb[Qtde],supercb[Item],tab_higiene[[#This Row],[Item]],supercb[Bairro],mercado15)</f>
        <v>0</v>
      </c>
      <c r="AZ210" s="4">
        <f>SUMIFS(super1[Qtde],super1[Item],tab_higiene[[#This Row],[Item]],super1[Bairro],mercado16)+SUMIFS(supercb[Qtde],supercb[Item],tab_higiene[[#This Row],[Item]],supercb[Bairro],mercado16)</f>
        <v>0</v>
      </c>
      <c r="BA210" s="4">
        <f>SUMIFS(super1[Qtde],super1[Item],tab_higiene[[#This Row],[Item]],super1[Bairro],mercado17)+SUMIFS(supercb[Qtde],supercb[Item],tab_higiene[[#This Row],[Item]],supercb[Bairro],mercado17)</f>
        <v>0</v>
      </c>
      <c r="BB210" s="4">
        <f>SUMIFS(super1[Qtde],super1[Item],tab_higiene[[#This Row],[Item]],super1[Bairro],mercado18)+SUMIFS(supercb[Qtde],supercb[Item],tab_higiene[[#This Row],[Item]],supercb[Bairro],mercado18)</f>
        <v>0</v>
      </c>
      <c r="BC210" s="31">
        <f>SUMIFS(super1[Qtde],super1[Item],tab_higiene[[#This Row],[Item]],super1[Bairro],extras)+SUMIFS(supercb[Qtde],supercb[Item],tab_higiene[[#This Row],[Item]],supercb[Bairro],extras)</f>
        <v>0</v>
      </c>
      <c r="BD210" s="9">
        <f t="shared" si="76"/>
        <v>0</v>
      </c>
      <c r="BE210" s="9">
        <f t="shared" si="77"/>
        <v>0</v>
      </c>
      <c r="BF210" s="18">
        <f t="shared" si="78"/>
        <v>0</v>
      </c>
    </row>
    <row r="211" spans="9:58" ht="15.75" thickBot="1" x14ac:dyDescent="0.3">
      <c r="I211" s="19" t="str">
        <f>alimentos[[#This Row],[Item]]</f>
        <v>Farinha de Aveia (170g)</v>
      </c>
      <c r="J211" s="4">
        <f>IFERROR(alimentos[[#This Row],[kg/embalagem]],0)</f>
        <v>0.17</v>
      </c>
      <c r="K211" s="4">
        <f>IFERROR(alimentos[[#This Row],[Preço]],0)</f>
        <v>12.69</v>
      </c>
      <c r="L211" s="4">
        <f>SUMIFS(super1[Qtde],super1[Item],tab_alimentos[[#This Row],[Item]],super1[Bairro],mercado1)+SUMIFS(supercb[Qtde],supercb[Item],tab_alimentos[[#This Row],[Item]],supercb[Bairro],mercado1)</f>
        <v>0</v>
      </c>
      <c r="M211" s="4">
        <f>SUMIFS(super1[Qtde],super1[Item],tab_alimentos[[#This Row],[Item]],super1[Bairro],mercado2)+SUMIFS(supercb[Qtde],supercb[Item],tab_alimentos[[#This Row],[Item]],supercb[Bairro],mercado2)</f>
        <v>0</v>
      </c>
      <c r="N211" s="4">
        <f>SUMIFS(super1[Qtde],super1[Item],tab_alimentos[[#This Row],[Item]],super1[Bairro],mercado3)+SUMIFS(supercb[Qtde],supercb[Item],tab_alimentos[[#This Row],[Item]],supercb[Bairro],mercado3)</f>
        <v>0</v>
      </c>
      <c r="O211" s="4">
        <f>SUMIFS(super1[Qtde],super1[Item],tab_alimentos[[#This Row],[Item]],super1[Bairro],mercado4)+SUMIFS(supercb[Qtde],supercb[Item],tab_alimentos[[#This Row],[Item]],supercb[Bairro],mercado4)</f>
        <v>0</v>
      </c>
      <c r="P211" s="4">
        <f>SUMIFS(super1[Qtde],super1[Item],tab_alimentos[[#This Row],[Item]],super1[Bairro],mercado5)+SUMIFS(supercb[Qtde],supercb[Item],tab_alimentos[[#This Row],[Item]],supercb[Bairro],mercado5)</f>
        <v>0</v>
      </c>
      <c r="Q211" s="4">
        <f>SUMIFS(super1[Qtde],super1[Item],tab_alimentos[[#This Row],[Item]],super1[Bairro],mercado6)+SUMIFS(supercb[Qtde],supercb[Item],tab_alimentos[[#This Row],[Item]],supercb[Bairro],mercado6)</f>
        <v>0</v>
      </c>
      <c r="R211" s="4">
        <f>SUMIFS(super1[Qtde],super1[Item],tab_alimentos[[#This Row],[Item]],super1[Bairro],mercado7)+SUMIFS(supercb[Qtde],supercb[Item],tab_alimentos[[#This Row],[Item]],supercb[Bairro],mercado7)</f>
        <v>0</v>
      </c>
      <c r="S211" s="4">
        <f>SUMIFS(super1[Qtde],super1[Item],tab_alimentos[[#This Row],[Item]],super1[Bairro],mercado8)+SUMIFS(supercb[Qtde],supercb[Item],tab_alimentos[[#This Row],[Item]],supercb[Bairro],mercado8)</f>
        <v>0</v>
      </c>
      <c r="T211" s="4">
        <f>SUMIFS(super1[Qtde],super1[Item],tab_alimentos[[#This Row],[Item]],super1[Bairro],mercado9)+SUMIFS(supercb[Qtde],supercb[Item],tab_alimentos[[#This Row],[Item]],supercb[Bairro],mercado9)</f>
        <v>0</v>
      </c>
      <c r="U211" s="4">
        <f>SUMIFS(super1[Qtde],super1[Item],tab_alimentos[[#This Row],[Item]],super1[Bairro],mercado10)+SUMIFS(supercb[Qtde],supercb[Item],tab_alimentos[[#This Row],[Item]],supercb[Bairro],mercado10)</f>
        <v>0</v>
      </c>
      <c r="V211" s="4">
        <f>SUMIFS(super1[Qtde],super1[Item],tab_alimentos[[#This Row],[Item]],super1[Bairro],mercado11)+SUMIFS(supercb[Qtde],supercb[Item],tab_alimentos[[#This Row],[Item]],supercb[Bairro],mercado11)</f>
        <v>0</v>
      </c>
      <c r="W211" s="4">
        <f>SUMIFS(super1[Qtde],super1[Item],tab_alimentos[[#This Row],[Item]],super1[Bairro],mercado12)+SUMIFS(supercb[Qtde],supercb[Item],tab_alimentos[[#This Row],[Item]],supercb[Bairro],mercado12)</f>
        <v>0</v>
      </c>
      <c r="X211" s="4">
        <f>SUMIFS(super1[Qtde],super1[Item],tab_alimentos[[#This Row],[Item]],super1[Bairro],mercado13)+SUMIFS(supercb[Qtde],supercb[Item],tab_alimentos[[#This Row],[Item]],supercb[Bairro],mercado13)</f>
        <v>0</v>
      </c>
      <c r="Y211" s="4">
        <f>SUMIFS(super1[Qtde],super1[Item],tab_alimentos[[#This Row],[Item]],super1[Bairro],mercado14)+SUMIFS(supercb[Qtde],supercb[Item],tab_alimentos[[#This Row],[Item]],supercb[Bairro],mercado14)</f>
        <v>0</v>
      </c>
      <c r="Z211" s="4">
        <f>SUMIFS(super1[Qtde],super1[Item],tab_alimentos[[#This Row],[Item]],super1[Bairro],mercado15)+SUMIFS(supercb[Qtde],supercb[Item],tab_alimentos[[#This Row],[Item]],supercb[Bairro],mercado15)</f>
        <v>0</v>
      </c>
      <c r="AA211" s="4">
        <f>SUMIFS(super1[Qtde],super1[Item],tab_alimentos[[#This Row],[Item]],super1[Bairro],mercado16)+SUMIFS(supercb[Qtde],supercb[Item],tab_alimentos[[#This Row],[Item]],supercb[Bairro],mercado16)</f>
        <v>0</v>
      </c>
      <c r="AB211" s="4">
        <f>SUMIFS(super1[Qtde],super1[Item],tab_alimentos[[#This Row],[Item]],super1[Bairro],mercado17)+SUMIFS(supercb[Qtde],supercb[Item],tab_alimentos[[#This Row],[Item]],supercb[Bairro],mercado17)</f>
        <v>0</v>
      </c>
      <c r="AC211" s="4">
        <f>SUMIFS(super1[Qtde],super1[Item],tab_alimentos[[#This Row],[Item]],super1[Bairro],mercado18)+SUMIFS(supercb[Qtde],supercb[Item],tab_alimentos[[#This Row],[Item]],supercb[Bairro],mercado18)</f>
        <v>0</v>
      </c>
      <c r="AD211" s="4">
        <f>SUMIFS(super1[Qtde],super1[Item],tab_alimentos[[#This Row],[Item]],super1[Bairro],extras)+SUMIFS(supercb[Qtde],supercb[Item],tab_alimentos[[#This Row],[Item]],supercb[Bairro],extras)</f>
        <v>0</v>
      </c>
      <c r="AE211" s="4">
        <f t="shared" si="79"/>
        <v>0</v>
      </c>
      <c r="AF211" s="4">
        <f t="shared" si="80"/>
        <v>0</v>
      </c>
      <c r="AG211" s="6">
        <f t="shared" si="81"/>
        <v>0</v>
      </c>
      <c r="AH211" s="13" t="str">
        <f>higiene[[#This Row],[Item]]</f>
        <v>Sabão em Pó (1kg)</v>
      </c>
      <c r="AI211" s="9">
        <f>IFERROR(higiene[[#This Row],[Kg equivalente]],0)</f>
        <v>0</v>
      </c>
      <c r="AJ211" s="9">
        <f>IFERROR(higiene[[#This Row],[Preço por produto]],0)</f>
        <v>4.58</v>
      </c>
      <c r="AK211" s="4">
        <f>SUMIFS(super1[Qtde],super1[Item],tab_higiene[[#This Row],[Item]],super1[Bairro],mercado1)+SUMIFS(supercb[Qtde],supercb[Item],tab_higiene[[#This Row],[Item]],supercb[Bairro],mercado1)</f>
        <v>0</v>
      </c>
      <c r="AL211" s="4">
        <f>SUMIFS(super1[Qtde],super1[Item],tab_higiene[[#This Row],[Item]],super1[Bairro],mercado2)+SUMIFS(supercb[Qtde],supercb[Item],tab_higiene[[#This Row],[Item]],supercb[Bairro],mercado2)</f>
        <v>0</v>
      </c>
      <c r="AM211" s="4">
        <f>SUMIFS(super1[Qtde],super1[Item],tab_higiene[[#This Row],[Item]],super1[Bairro],mercado3)+SUMIFS(supercb[Qtde],supercb[Item],tab_higiene[[#This Row],[Item]],supercb[Bairro],mercado3)</f>
        <v>0</v>
      </c>
      <c r="AN211" s="4">
        <f>SUMIFS(super1[Qtde],super1[Item],tab_higiene[[#This Row],[Item]],super1[Bairro],mercado4)+SUMIFS(supercb[Qtde],supercb[Item],tab_higiene[[#This Row],[Item]],supercb[Bairro],mercado4)</f>
        <v>0</v>
      </c>
      <c r="AO211" s="4">
        <f>SUMIFS(super1[Qtde],super1[Item],tab_higiene[[#This Row],[Item]],super1[Bairro],mercado5)+SUMIFS(supercb[Qtde],supercb[Item],tab_higiene[[#This Row],[Item]],supercb[Bairro],mercado5)</f>
        <v>0</v>
      </c>
      <c r="AP211" s="4">
        <f>SUMIFS(super1[Qtde],super1[Item],tab_higiene[[#This Row],[Item]],super1[Bairro],mercado6)+SUMIFS(supercb[Qtde],supercb[Item],tab_higiene[[#This Row],[Item]],supercb[Bairro],mercado6)</f>
        <v>0</v>
      </c>
      <c r="AQ211" s="4">
        <f>SUMIFS(super1[Qtde],super1[Item],tab_higiene[[#This Row],[Item]],super1[Bairro],mercado7)+SUMIFS(supercb[Qtde],supercb[Item],tab_higiene[[#This Row],[Item]],supercb[Bairro],mercado7)</f>
        <v>0</v>
      </c>
      <c r="AR211" s="4">
        <f>SUMIFS(super1[Qtde],super1[Item],tab_higiene[[#This Row],[Item]],super1[Bairro],mercado8)+SUMIFS(supercb[Qtde],supercb[Item],tab_higiene[[#This Row],[Item]],supercb[Bairro],mercado8)</f>
        <v>0</v>
      </c>
      <c r="AS211" s="4">
        <f>SUMIFS(super1[Qtde],super1[Item],tab_higiene[[#This Row],[Item]],super1[Bairro],mercado9)+SUMIFS(supercb[Qtde],supercb[Item],tab_higiene[[#This Row],[Item]],supercb[Bairro],mercado9)</f>
        <v>0</v>
      </c>
      <c r="AT211" s="4">
        <f>SUMIFS(super1[Qtde],super1[Item],tab_higiene[[#This Row],[Item]],super1[Bairro],mercado10)+SUMIFS(supercb[Qtde],supercb[Item],tab_higiene[[#This Row],[Item]],supercb[Bairro],mercado10)</f>
        <v>0</v>
      </c>
      <c r="AU211" s="4">
        <f>SUMIFS(super1[Qtde],super1[Item],tab_higiene[[#This Row],[Item]],super1[Bairro],mercado11)+SUMIFS(supercb[Qtde],supercb[Item],tab_higiene[[#This Row],[Item]],supercb[Bairro],mercado11)</f>
        <v>0</v>
      </c>
      <c r="AV211" s="4">
        <f>SUMIFS(super1[Qtde],super1[Item],tab_higiene[[#This Row],[Item]],super1[Bairro],mercado12)+SUMIFS(supercb[Qtde],supercb[Item],tab_higiene[[#This Row],[Item]],supercb[Bairro],mercado12)</f>
        <v>0</v>
      </c>
      <c r="AW211" s="4">
        <f>SUMIFS(super1[Qtde],super1[Item],tab_higiene[[#This Row],[Item]],super1[Bairro],mercado13)+SUMIFS(supercb[Qtde],supercb[Item],tab_higiene[[#This Row],[Item]],supercb[Bairro],mercado13)</f>
        <v>0</v>
      </c>
      <c r="AX211" s="4">
        <f>SUMIFS(super1[Qtde],super1[Item],tab_higiene[[#This Row],[Item]],super1[Bairro],mercado14)+SUMIFS(supercb[Qtde],supercb[Item],tab_higiene[[#This Row],[Item]],supercb[Bairro],mercado14)</f>
        <v>0</v>
      </c>
      <c r="AY211" s="4">
        <f>SUMIFS(super1[Qtde],super1[Item],tab_higiene[[#This Row],[Item]],super1[Bairro],mercado15)+SUMIFS(supercb[Qtde],supercb[Item],tab_higiene[[#This Row],[Item]],supercb[Bairro],mercado15)</f>
        <v>0</v>
      </c>
      <c r="AZ211" s="4">
        <f>SUMIFS(super1[Qtde],super1[Item],tab_higiene[[#This Row],[Item]],super1[Bairro],mercado16)+SUMIFS(supercb[Qtde],supercb[Item],tab_higiene[[#This Row],[Item]],supercb[Bairro],mercado16)</f>
        <v>0</v>
      </c>
      <c r="BA211" s="4">
        <f>SUMIFS(super1[Qtde],super1[Item],tab_higiene[[#This Row],[Item]],super1[Bairro],mercado17)+SUMIFS(supercb[Qtde],supercb[Item],tab_higiene[[#This Row],[Item]],supercb[Bairro],mercado17)</f>
        <v>0</v>
      </c>
      <c r="BB211" s="4">
        <f>SUMIFS(super1[Qtde],super1[Item],tab_higiene[[#This Row],[Item]],super1[Bairro],mercado18)+SUMIFS(supercb[Qtde],supercb[Item],tab_higiene[[#This Row],[Item]],supercb[Bairro],mercado18)</f>
        <v>0</v>
      </c>
      <c r="BC211" s="31">
        <f>SUMIFS(super1[Qtde],super1[Item],tab_higiene[[#This Row],[Item]],super1[Bairro],extras)+SUMIFS(supercb[Qtde],supercb[Item],tab_higiene[[#This Row],[Item]],supercb[Bairro],extras)</f>
        <v>0</v>
      </c>
      <c r="BD211" s="9">
        <f t="shared" si="76"/>
        <v>0</v>
      </c>
      <c r="BE211" s="9">
        <f t="shared" si="77"/>
        <v>0</v>
      </c>
      <c r="BF211" s="18">
        <f t="shared" si="78"/>
        <v>0</v>
      </c>
    </row>
    <row r="212" spans="9:58" ht="15.75" thickBot="1" x14ac:dyDescent="0.3">
      <c r="I212" s="19" t="str">
        <f>alimentos[[#This Row],[Item]]</f>
        <v>Farinha de Kibe (500g)</v>
      </c>
      <c r="J212" s="4">
        <f>IFERROR(alimentos[[#This Row],[kg/embalagem]],0)</f>
        <v>0.5</v>
      </c>
      <c r="K212" s="4">
        <f>IFERROR(alimentos[[#This Row],[Preço]],0)</f>
        <v>6.19</v>
      </c>
      <c r="L212" s="4">
        <f>SUMIFS(super1[Qtde],super1[Item],tab_alimentos[[#This Row],[Item]],super1[Bairro],mercado1)+SUMIFS(supercb[Qtde],supercb[Item],tab_alimentos[[#This Row],[Item]],supercb[Bairro],mercado1)</f>
        <v>0</v>
      </c>
      <c r="M212" s="4">
        <f>SUMIFS(super1[Qtde],super1[Item],tab_alimentos[[#This Row],[Item]],super1[Bairro],mercado2)+SUMIFS(supercb[Qtde],supercb[Item],tab_alimentos[[#This Row],[Item]],supercb[Bairro],mercado2)</f>
        <v>0</v>
      </c>
      <c r="N212" s="4">
        <f>SUMIFS(super1[Qtde],super1[Item],tab_alimentos[[#This Row],[Item]],super1[Bairro],mercado3)+SUMIFS(supercb[Qtde],supercb[Item],tab_alimentos[[#This Row],[Item]],supercb[Bairro],mercado3)</f>
        <v>0</v>
      </c>
      <c r="O212" s="4">
        <f>SUMIFS(super1[Qtde],super1[Item],tab_alimentos[[#This Row],[Item]],super1[Bairro],mercado4)+SUMIFS(supercb[Qtde],supercb[Item],tab_alimentos[[#This Row],[Item]],supercb[Bairro],mercado4)</f>
        <v>0</v>
      </c>
      <c r="P212" s="4">
        <f>SUMIFS(super1[Qtde],super1[Item],tab_alimentos[[#This Row],[Item]],super1[Bairro],mercado5)+SUMIFS(supercb[Qtde],supercb[Item],tab_alimentos[[#This Row],[Item]],supercb[Bairro],mercado5)</f>
        <v>0</v>
      </c>
      <c r="Q212" s="4">
        <f>SUMIFS(super1[Qtde],super1[Item],tab_alimentos[[#This Row],[Item]],super1[Bairro],mercado6)+SUMIFS(supercb[Qtde],supercb[Item],tab_alimentos[[#This Row],[Item]],supercb[Bairro],mercado6)</f>
        <v>0</v>
      </c>
      <c r="R212" s="4">
        <f>SUMIFS(super1[Qtde],super1[Item],tab_alimentos[[#This Row],[Item]],super1[Bairro],mercado7)+SUMIFS(supercb[Qtde],supercb[Item],tab_alimentos[[#This Row],[Item]],supercb[Bairro],mercado7)</f>
        <v>0</v>
      </c>
      <c r="S212" s="4">
        <f>SUMIFS(super1[Qtde],super1[Item],tab_alimentos[[#This Row],[Item]],super1[Bairro],mercado8)+SUMIFS(supercb[Qtde],supercb[Item],tab_alimentos[[#This Row],[Item]],supercb[Bairro],mercado8)</f>
        <v>0</v>
      </c>
      <c r="T212" s="4">
        <f>SUMIFS(super1[Qtde],super1[Item],tab_alimentos[[#This Row],[Item]],super1[Bairro],mercado9)+SUMIFS(supercb[Qtde],supercb[Item],tab_alimentos[[#This Row],[Item]],supercb[Bairro],mercado9)</f>
        <v>0</v>
      </c>
      <c r="U212" s="4">
        <f>SUMIFS(super1[Qtde],super1[Item],tab_alimentos[[#This Row],[Item]],super1[Bairro],mercado10)+SUMIFS(supercb[Qtde],supercb[Item],tab_alimentos[[#This Row],[Item]],supercb[Bairro],mercado10)</f>
        <v>0</v>
      </c>
      <c r="V212" s="4">
        <f>SUMIFS(super1[Qtde],super1[Item],tab_alimentos[[#This Row],[Item]],super1[Bairro],mercado11)+SUMIFS(supercb[Qtde],supercb[Item],tab_alimentos[[#This Row],[Item]],supercb[Bairro],mercado11)</f>
        <v>0</v>
      </c>
      <c r="W212" s="4">
        <f>SUMIFS(super1[Qtde],super1[Item],tab_alimentos[[#This Row],[Item]],super1[Bairro],mercado12)+SUMIFS(supercb[Qtde],supercb[Item],tab_alimentos[[#This Row],[Item]],supercb[Bairro],mercado12)</f>
        <v>0</v>
      </c>
      <c r="X212" s="4">
        <f>SUMIFS(super1[Qtde],super1[Item],tab_alimentos[[#This Row],[Item]],super1[Bairro],mercado13)+SUMIFS(supercb[Qtde],supercb[Item],tab_alimentos[[#This Row],[Item]],supercb[Bairro],mercado13)</f>
        <v>0</v>
      </c>
      <c r="Y212" s="4">
        <f>SUMIFS(super1[Qtde],super1[Item],tab_alimentos[[#This Row],[Item]],super1[Bairro],mercado14)+SUMIFS(supercb[Qtde],supercb[Item],tab_alimentos[[#This Row],[Item]],supercb[Bairro],mercado14)</f>
        <v>0</v>
      </c>
      <c r="Z212" s="4">
        <f>SUMIFS(super1[Qtde],super1[Item],tab_alimentos[[#This Row],[Item]],super1[Bairro],mercado15)+SUMIFS(supercb[Qtde],supercb[Item],tab_alimentos[[#This Row],[Item]],supercb[Bairro],mercado15)</f>
        <v>0</v>
      </c>
      <c r="AA212" s="4">
        <f>SUMIFS(super1[Qtde],super1[Item],tab_alimentos[[#This Row],[Item]],super1[Bairro],mercado16)+SUMIFS(supercb[Qtde],supercb[Item],tab_alimentos[[#This Row],[Item]],supercb[Bairro],mercado16)</f>
        <v>0</v>
      </c>
      <c r="AB212" s="4">
        <f>SUMIFS(super1[Qtde],super1[Item],tab_alimentos[[#This Row],[Item]],super1[Bairro],mercado17)+SUMIFS(supercb[Qtde],supercb[Item],tab_alimentos[[#This Row],[Item]],supercb[Bairro],mercado17)</f>
        <v>0</v>
      </c>
      <c r="AC212" s="4">
        <f>SUMIFS(super1[Qtde],super1[Item],tab_alimentos[[#This Row],[Item]],super1[Bairro],mercado18)+SUMIFS(supercb[Qtde],supercb[Item],tab_alimentos[[#This Row],[Item]],supercb[Bairro],mercado18)</f>
        <v>0</v>
      </c>
      <c r="AD212" s="4">
        <f>SUMIFS(super1[Qtde],super1[Item],tab_alimentos[[#This Row],[Item]],super1[Bairro],extras)+SUMIFS(supercb[Qtde],supercb[Item],tab_alimentos[[#This Row],[Item]],supercb[Bairro],extras)</f>
        <v>0</v>
      </c>
      <c r="AE212" s="4">
        <f t="shared" ref="AE212:AE275" si="82">SUM(L212:AC212)</f>
        <v>0</v>
      </c>
      <c r="AF212" s="4">
        <f t="shared" ref="AF212:AF275" si="83">IFERROR(AE212*K212,0)</f>
        <v>0</v>
      </c>
      <c r="AG212" s="6">
        <f t="shared" ref="AG212:AG275" si="84">IFERROR(J212*AE212,0)</f>
        <v>0</v>
      </c>
      <c r="AH212" s="13" t="str">
        <f>higiene[[#This Row],[Item]]</f>
        <v>Sabão em Pó (2,8kg)</v>
      </c>
      <c r="AI212" s="9">
        <f>IFERROR(higiene[[#This Row],[Kg equivalente]],0)</f>
        <v>0</v>
      </c>
      <c r="AJ212" s="9">
        <f>IFERROR(higiene[[#This Row],[Preço por produto]],0)</f>
        <v>24.69</v>
      </c>
      <c r="AK212" s="4">
        <f>SUMIFS(super1[Qtde],super1[Item],tab_higiene[[#This Row],[Item]],super1[Bairro],mercado1)+SUMIFS(supercb[Qtde],supercb[Item],tab_higiene[[#This Row],[Item]],supercb[Bairro],mercado1)</f>
        <v>0</v>
      </c>
      <c r="AL212" s="4">
        <f>SUMIFS(super1[Qtde],super1[Item],tab_higiene[[#This Row],[Item]],super1[Bairro],mercado2)+SUMIFS(supercb[Qtde],supercb[Item],tab_higiene[[#This Row],[Item]],supercb[Bairro],mercado2)</f>
        <v>0</v>
      </c>
      <c r="AM212" s="4">
        <f>SUMIFS(super1[Qtde],super1[Item],tab_higiene[[#This Row],[Item]],super1[Bairro],mercado3)+SUMIFS(supercb[Qtde],supercb[Item],tab_higiene[[#This Row],[Item]],supercb[Bairro],mercado3)</f>
        <v>0</v>
      </c>
      <c r="AN212" s="4">
        <f>SUMIFS(super1[Qtde],super1[Item],tab_higiene[[#This Row],[Item]],super1[Bairro],mercado4)+SUMIFS(supercb[Qtde],supercb[Item],tab_higiene[[#This Row],[Item]],supercb[Bairro],mercado4)</f>
        <v>0</v>
      </c>
      <c r="AO212" s="4">
        <f>SUMIFS(super1[Qtde],super1[Item],tab_higiene[[#This Row],[Item]],super1[Bairro],mercado5)+SUMIFS(supercb[Qtde],supercb[Item],tab_higiene[[#This Row],[Item]],supercb[Bairro],mercado5)</f>
        <v>0</v>
      </c>
      <c r="AP212" s="4">
        <f>SUMIFS(super1[Qtde],super1[Item],tab_higiene[[#This Row],[Item]],super1[Bairro],mercado6)+SUMIFS(supercb[Qtde],supercb[Item],tab_higiene[[#This Row],[Item]],supercb[Bairro],mercado6)</f>
        <v>0</v>
      </c>
      <c r="AQ212" s="4">
        <f>SUMIFS(super1[Qtde],super1[Item],tab_higiene[[#This Row],[Item]],super1[Bairro],mercado7)+SUMIFS(supercb[Qtde],supercb[Item],tab_higiene[[#This Row],[Item]],supercb[Bairro],mercado7)</f>
        <v>0</v>
      </c>
      <c r="AR212" s="4">
        <f>SUMIFS(super1[Qtde],super1[Item],tab_higiene[[#This Row],[Item]],super1[Bairro],mercado8)+SUMIFS(supercb[Qtde],supercb[Item],tab_higiene[[#This Row],[Item]],supercb[Bairro],mercado8)</f>
        <v>0</v>
      </c>
      <c r="AS212" s="4">
        <f>SUMIFS(super1[Qtde],super1[Item],tab_higiene[[#This Row],[Item]],super1[Bairro],mercado9)+SUMIFS(supercb[Qtde],supercb[Item],tab_higiene[[#This Row],[Item]],supercb[Bairro],mercado9)</f>
        <v>0</v>
      </c>
      <c r="AT212" s="4">
        <f>SUMIFS(super1[Qtde],super1[Item],tab_higiene[[#This Row],[Item]],super1[Bairro],mercado10)+SUMIFS(supercb[Qtde],supercb[Item],tab_higiene[[#This Row],[Item]],supercb[Bairro],mercado10)</f>
        <v>0</v>
      </c>
      <c r="AU212" s="4">
        <f>SUMIFS(super1[Qtde],super1[Item],tab_higiene[[#This Row],[Item]],super1[Bairro],mercado11)+SUMIFS(supercb[Qtde],supercb[Item],tab_higiene[[#This Row],[Item]],supercb[Bairro],mercado11)</f>
        <v>0</v>
      </c>
      <c r="AV212" s="4">
        <f>SUMIFS(super1[Qtde],super1[Item],tab_higiene[[#This Row],[Item]],super1[Bairro],mercado12)+SUMIFS(supercb[Qtde],supercb[Item],tab_higiene[[#This Row],[Item]],supercb[Bairro],mercado12)</f>
        <v>0</v>
      </c>
      <c r="AW212" s="4">
        <f>SUMIFS(super1[Qtde],super1[Item],tab_higiene[[#This Row],[Item]],super1[Bairro],mercado13)+SUMIFS(supercb[Qtde],supercb[Item],tab_higiene[[#This Row],[Item]],supercb[Bairro],mercado13)</f>
        <v>0</v>
      </c>
      <c r="AX212" s="4">
        <f>SUMIFS(super1[Qtde],super1[Item],tab_higiene[[#This Row],[Item]],super1[Bairro],mercado14)+SUMIFS(supercb[Qtde],supercb[Item],tab_higiene[[#This Row],[Item]],supercb[Bairro],mercado14)</f>
        <v>0</v>
      </c>
      <c r="AY212" s="4">
        <f>SUMIFS(super1[Qtde],super1[Item],tab_higiene[[#This Row],[Item]],super1[Bairro],mercado15)+SUMIFS(supercb[Qtde],supercb[Item],tab_higiene[[#This Row],[Item]],supercb[Bairro],mercado15)</f>
        <v>0</v>
      </c>
      <c r="AZ212" s="4">
        <f>SUMIFS(super1[Qtde],super1[Item],tab_higiene[[#This Row],[Item]],super1[Bairro],mercado16)+SUMIFS(supercb[Qtde],supercb[Item],tab_higiene[[#This Row],[Item]],supercb[Bairro],mercado16)</f>
        <v>0</v>
      </c>
      <c r="BA212" s="4">
        <f>SUMIFS(super1[Qtde],super1[Item],tab_higiene[[#This Row],[Item]],super1[Bairro],mercado17)+SUMIFS(supercb[Qtde],supercb[Item],tab_higiene[[#This Row],[Item]],supercb[Bairro],mercado17)</f>
        <v>0</v>
      </c>
      <c r="BB212" s="4">
        <f>SUMIFS(super1[Qtde],super1[Item],tab_higiene[[#This Row],[Item]],super1[Bairro],mercado18)+SUMIFS(supercb[Qtde],supercb[Item],tab_higiene[[#This Row],[Item]],supercb[Bairro],mercado18)</f>
        <v>0</v>
      </c>
      <c r="BC212" s="31">
        <f>SUMIFS(super1[Qtde],super1[Item],tab_higiene[[#This Row],[Item]],super1[Bairro],extras)+SUMIFS(supercb[Qtde],supercb[Item],tab_higiene[[#This Row],[Item]],supercb[Bairro],extras)</f>
        <v>0</v>
      </c>
      <c r="BD212" s="9">
        <f t="shared" si="76"/>
        <v>0</v>
      </c>
      <c r="BE212" s="9">
        <f t="shared" si="77"/>
        <v>0</v>
      </c>
      <c r="BF212" s="18">
        <f t="shared" si="78"/>
        <v>0</v>
      </c>
    </row>
    <row r="213" spans="9:58" ht="15.75" thickBot="1" x14ac:dyDescent="0.3">
      <c r="I213" s="19" t="str">
        <f>alimentos[[#This Row],[Item]]</f>
        <v>Farinha de Mandioca (1kg)</v>
      </c>
      <c r="J213" s="4">
        <f>IFERROR(alimentos[[#This Row],[kg/embalagem]],0)</f>
        <v>1</v>
      </c>
      <c r="K213" s="4">
        <f>IFERROR(alimentos[[#This Row],[Preço]],0)</f>
        <v>8.49</v>
      </c>
      <c r="L213" s="4">
        <f>SUMIFS(super1[Qtde],super1[Item],tab_alimentos[[#This Row],[Item]],super1[Bairro],mercado1)+SUMIFS(supercb[Qtde],supercb[Item],tab_alimentos[[#This Row],[Item]],supercb[Bairro],mercado1)</f>
        <v>0</v>
      </c>
      <c r="M213" s="4">
        <f>SUMIFS(super1[Qtde],super1[Item],tab_alimentos[[#This Row],[Item]],super1[Bairro],mercado2)+SUMIFS(supercb[Qtde],supercb[Item],tab_alimentos[[#This Row],[Item]],supercb[Bairro],mercado2)</f>
        <v>0</v>
      </c>
      <c r="N213" s="4">
        <f>SUMIFS(super1[Qtde],super1[Item],tab_alimentos[[#This Row],[Item]],super1[Bairro],mercado3)+SUMIFS(supercb[Qtde],supercb[Item],tab_alimentos[[#This Row],[Item]],supercb[Bairro],mercado3)</f>
        <v>0</v>
      </c>
      <c r="O213" s="4">
        <f>SUMIFS(super1[Qtde],super1[Item],tab_alimentos[[#This Row],[Item]],super1[Bairro],mercado4)+SUMIFS(supercb[Qtde],supercb[Item],tab_alimentos[[#This Row],[Item]],supercb[Bairro],mercado4)</f>
        <v>0</v>
      </c>
      <c r="P213" s="4">
        <f>SUMIFS(super1[Qtde],super1[Item],tab_alimentos[[#This Row],[Item]],super1[Bairro],mercado5)+SUMIFS(supercb[Qtde],supercb[Item],tab_alimentos[[#This Row],[Item]],supercb[Bairro],mercado5)</f>
        <v>0</v>
      </c>
      <c r="Q213" s="4">
        <f>SUMIFS(super1[Qtde],super1[Item],tab_alimentos[[#This Row],[Item]],super1[Bairro],mercado6)+SUMIFS(supercb[Qtde],supercb[Item],tab_alimentos[[#This Row],[Item]],supercb[Bairro],mercado6)</f>
        <v>0</v>
      </c>
      <c r="R213" s="4">
        <f>SUMIFS(super1[Qtde],super1[Item],tab_alimentos[[#This Row],[Item]],super1[Bairro],mercado7)+SUMIFS(supercb[Qtde],supercb[Item],tab_alimentos[[#This Row],[Item]],supercb[Bairro],mercado7)</f>
        <v>0</v>
      </c>
      <c r="S213" s="4">
        <f>SUMIFS(super1[Qtde],super1[Item],tab_alimentos[[#This Row],[Item]],super1[Bairro],mercado8)+SUMIFS(supercb[Qtde],supercb[Item],tab_alimentos[[#This Row],[Item]],supercb[Bairro],mercado8)</f>
        <v>0</v>
      </c>
      <c r="T213" s="4">
        <f>SUMIFS(super1[Qtde],super1[Item],tab_alimentos[[#This Row],[Item]],super1[Bairro],mercado9)+SUMIFS(supercb[Qtde],supercb[Item],tab_alimentos[[#This Row],[Item]],supercb[Bairro],mercado9)</f>
        <v>0</v>
      </c>
      <c r="U213" s="4">
        <f>SUMIFS(super1[Qtde],super1[Item],tab_alimentos[[#This Row],[Item]],super1[Bairro],mercado10)+SUMIFS(supercb[Qtde],supercb[Item],tab_alimentos[[#This Row],[Item]],supercb[Bairro],mercado10)</f>
        <v>0</v>
      </c>
      <c r="V213" s="4">
        <f>SUMIFS(super1[Qtde],super1[Item],tab_alimentos[[#This Row],[Item]],super1[Bairro],mercado11)+SUMIFS(supercb[Qtde],supercb[Item],tab_alimentos[[#This Row],[Item]],supercb[Bairro],mercado11)</f>
        <v>0</v>
      </c>
      <c r="W213" s="4">
        <f>SUMIFS(super1[Qtde],super1[Item],tab_alimentos[[#This Row],[Item]],super1[Bairro],mercado12)+SUMIFS(supercb[Qtde],supercb[Item],tab_alimentos[[#This Row],[Item]],supercb[Bairro],mercado12)</f>
        <v>0</v>
      </c>
      <c r="X213" s="4">
        <f>SUMIFS(super1[Qtde],super1[Item],tab_alimentos[[#This Row],[Item]],super1[Bairro],mercado13)+SUMIFS(supercb[Qtde],supercb[Item],tab_alimentos[[#This Row],[Item]],supercb[Bairro],mercado13)</f>
        <v>0</v>
      </c>
      <c r="Y213" s="4">
        <f>SUMIFS(super1[Qtde],super1[Item],tab_alimentos[[#This Row],[Item]],super1[Bairro],mercado14)+SUMIFS(supercb[Qtde],supercb[Item],tab_alimentos[[#This Row],[Item]],supercb[Bairro],mercado14)</f>
        <v>0</v>
      </c>
      <c r="Z213" s="4">
        <f>SUMIFS(super1[Qtde],super1[Item],tab_alimentos[[#This Row],[Item]],super1[Bairro],mercado15)+SUMIFS(supercb[Qtde],supercb[Item],tab_alimentos[[#This Row],[Item]],supercb[Bairro],mercado15)</f>
        <v>0</v>
      </c>
      <c r="AA213" s="4">
        <f>SUMIFS(super1[Qtde],super1[Item],tab_alimentos[[#This Row],[Item]],super1[Bairro],mercado16)+SUMIFS(supercb[Qtde],supercb[Item],tab_alimentos[[#This Row],[Item]],supercb[Bairro],mercado16)</f>
        <v>0</v>
      </c>
      <c r="AB213" s="4">
        <f>SUMIFS(super1[Qtde],super1[Item],tab_alimentos[[#This Row],[Item]],super1[Bairro],mercado17)+SUMIFS(supercb[Qtde],supercb[Item],tab_alimentos[[#This Row],[Item]],supercb[Bairro],mercado17)</f>
        <v>0</v>
      </c>
      <c r="AC213" s="4">
        <f>SUMIFS(super1[Qtde],super1[Item],tab_alimentos[[#This Row],[Item]],super1[Bairro],mercado18)+SUMIFS(supercb[Qtde],supercb[Item],tab_alimentos[[#This Row],[Item]],supercb[Bairro],mercado18)</f>
        <v>0</v>
      </c>
      <c r="AD213" s="4">
        <f>SUMIFS(super1[Qtde],super1[Item],tab_alimentos[[#This Row],[Item]],super1[Bairro],extras)+SUMIFS(supercb[Qtde],supercb[Item],tab_alimentos[[#This Row],[Item]],supercb[Bairro],extras)</f>
        <v>0</v>
      </c>
      <c r="AE213" s="4">
        <f t="shared" si="82"/>
        <v>0</v>
      </c>
      <c r="AF213" s="4">
        <f t="shared" si="83"/>
        <v>0</v>
      </c>
      <c r="AG213" s="6">
        <f t="shared" si="84"/>
        <v>0</v>
      </c>
      <c r="AH213" s="13" t="str">
        <f>higiene[[#This Row],[Item]]</f>
        <v>Sabão em Pó (2kg)</v>
      </c>
      <c r="AI213" s="9">
        <f>IFERROR(higiene[[#This Row],[Kg equivalente]],0)</f>
        <v>0</v>
      </c>
      <c r="AJ213" s="9">
        <f>IFERROR(higiene[[#This Row],[Preço por produto]],0)</f>
        <v>15.99</v>
      </c>
      <c r="AK213" s="4">
        <f>SUMIFS(super1[Qtde],super1[Item],tab_higiene[[#This Row],[Item]],super1[Bairro],mercado1)+SUMIFS(supercb[Qtde],supercb[Item],tab_higiene[[#This Row],[Item]],supercb[Bairro],mercado1)</f>
        <v>0</v>
      </c>
      <c r="AL213" s="4">
        <f>SUMIFS(super1[Qtde],super1[Item],tab_higiene[[#This Row],[Item]],super1[Bairro],mercado2)+SUMIFS(supercb[Qtde],supercb[Item],tab_higiene[[#This Row],[Item]],supercb[Bairro],mercado2)</f>
        <v>0</v>
      </c>
      <c r="AM213" s="4">
        <f>SUMIFS(super1[Qtde],super1[Item],tab_higiene[[#This Row],[Item]],super1[Bairro],mercado3)+SUMIFS(supercb[Qtde],supercb[Item],tab_higiene[[#This Row],[Item]],supercb[Bairro],mercado3)</f>
        <v>0</v>
      </c>
      <c r="AN213" s="4">
        <f>SUMIFS(super1[Qtde],super1[Item],tab_higiene[[#This Row],[Item]],super1[Bairro],mercado4)+SUMIFS(supercb[Qtde],supercb[Item],tab_higiene[[#This Row],[Item]],supercb[Bairro],mercado4)</f>
        <v>0</v>
      </c>
      <c r="AO213" s="4">
        <f>SUMIFS(super1[Qtde],super1[Item],tab_higiene[[#This Row],[Item]],super1[Bairro],mercado5)+SUMIFS(supercb[Qtde],supercb[Item],tab_higiene[[#This Row],[Item]],supercb[Bairro],mercado5)</f>
        <v>0</v>
      </c>
      <c r="AP213" s="4">
        <f>SUMIFS(super1[Qtde],super1[Item],tab_higiene[[#This Row],[Item]],super1[Bairro],mercado6)+SUMIFS(supercb[Qtde],supercb[Item],tab_higiene[[#This Row],[Item]],supercb[Bairro],mercado6)</f>
        <v>0</v>
      </c>
      <c r="AQ213" s="4">
        <f>SUMIFS(super1[Qtde],super1[Item],tab_higiene[[#This Row],[Item]],super1[Bairro],mercado7)+SUMIFS(supercb[Qtde],supercb[Item],tab_higiene[[#This Row],[Item]],supercb[Bairro],mercado7)</f>
        <v>0</v>
      </c>
      <c r="AR213" s="4">
        <f>SUMIFS(super1[Qtde],super1[Item],tab_higiene[[#This Row],[Item]],super1[Bairro],mercado8)+SUMIFS(supercb[Qtde],supercb[Item],tab_higiene[[#This Row],[Item]],supercb[Bairro],mercado8)</f>
        <v>0</v>
      </c>
      <c r="AS213" s="4">
        <f>SUMIFS(super1[Qtde],super1[Item],tab_higiene[[#This Row],[Item]],super1[Bairro],mercado9)+SUMIFS(supercb[Qtde],supercb[Item],tab_higiene[[#This Row],[Item]],supercb[Bairro],mercado9)</f>
        <v>0</v>
      </c>
      <c r="AT213" s="4">
        <f>SUMIFS(super1[Qtde],super1[Item],tab_higiene[[#This Row],[Item]],super1[Bairro],mercado10)+SUMIFS(supercb[Qtde],supercb[Item],tab_higiene[[#This Row],[Item]],supercb[Bairro],mercado10)</f>
        <v>0</v>
      </c>
      <c r="AU213" s="4">
        <f>SUMIFS(super1[Qtde],super1[Item],tab_higiene[[#This Row],[Item]],super1[Bairro],mercado11)+SUMIFS(supercb[Qtde],supercb[Item],tab_higiene[[#This Row],[Item]],supercb[Bairro],mercado11)</f>
        <v>0</v>
      </c>
      <c r="AV213" s="4">
        <f>SUMIFS(super1[Qtde],super1[Item],tab_higiene[[#This Row],[Item]],super1[Bairro],mercado12)+SUMIFS(supercb[Qtde],supercb[Item],tab_higiene[[#This Row],[Item]],supercb[Bairro],mercado12)</f>
        <v>0</v>
      </c>
      <c r="AW213" s="4">
        <f>SUMIFS(super1[Qtde],super1[Item],tab_higiene[[#This Row],[Item]],super1[Bairro],mercado13)+SUMIFS(supercb[Qtde],supercb[Item],tab_higiene[[#This Row],[Item]],supercb[Bairro],mercado13)</f>
        <v>0</v>
      </c>
      <c r="AX213" s="4">
        <f>SUMIFS(super1[Qtde],super1[Item],tab_higiene[[#This Row],[Item]],super1[Bairro],mercado14)+SUMIFS(supercb[Qtde],supercb[Item],tab_higiene[[#This Row],[Item]],supercb[Bairro],mercado14)</f>
        <v>0</v>
      </c>
      <c r="AY213" s="4">
        <f>SUMIFS(super1[Qtde],super1[Item],tab_higiene[[#This Row],[Item]],super1[Bairro],mercado15)+SUMIFS(supercb[Qtde],supercb[Item],tab_higiene[[#This Row],[Item]],supercb[Bairro],mercado15)</f>
        <v>0</v>
      </c>
      <c r="AZ213" s="4">
        <f>SUMIFS(super1[Qtde],super1[Item],tab_higiene[[#This Row],[Item]],super1[Bairro],mercado16)+SUMIFS(supercb[Qtde],supercb[Item],tab_higiene[[#This Row],[Item]],supercb[Bairro],mercado16)</f>
        <v>0</v>
      </c>
      <c r="BA213" s="4">
        <f>SUMIFS(super1[Qtde],super1[Item],tab_higiene[[#This Row],[Item]],super1[Bairro],mercado17)+SUMIFS(supercb[Qtde],supercb[Item],tab_higiene[[#This Row],[Item]],supercb[Bairro],mercado17)</f>
        <v>0</v>
      </c>
      <c r="BB213" s="4">
        <f>SUMIFS(super1[Qtde],super1[Item],tab_higiene[[#This Row],[Item]],super1[Bairro],mercado18)+SUMIFS(supercb[Qtde],supercb[Item],tab_higiene[[#This Row],[Item]],supercb[Bairro],mercado18)</f>
        <v>0</v>
      </c>
      <c r="BC213" s="31">
        <f>SUMIFS(super1[Qtde],super1[Item],tab_higiene[[#This Row],[Item]],super1[Bairro],extras)+SUMIFS(supercb[Qtde],supercb[Item],tab_higiene[[#This Row],[Item]],supercb[Bairro],extras)</f>
        <v>0</v>
      </c>
      <c r="BD213" s="9">
        <f t="shared" si="76"/>
        <v>0</v>
      </c>
      <c r="BE213" s="9">
        <f t="shared" si="77"/>
        <v>0</v>
      </c>
      <c r="BF213" s="18">
        <f t="shared" si="78"/>
        <v>0</v>
      </c>
    </row>
    <row r="214" spans="9:58" ht="15.75" thickBot="1" x14ac:dyDescent="0.3">
      <c r="I214" s="19" t="str">
        <f>alimentos[[#This Row],[Item]]</f>
        <v>Farinha de Mandioca (300g)</v>
      </c>
      <c r="J214" s="4">
        <f>IFERROR(alimentos[[#This Row],[kg/embalagem]],0)</f>
        <v>0.3</v>
      </c>
      <c r="K214" s="4">
        <f>IFERROR(alimentos[[#This Row],[Preço]],0)</f>
        <v>3.69</v>
      </c>
      <c r="L214" s="4">
        <f>SUMIFS(super1[Qtde],super1[Item],tab_alimentos[[#This Row],[Item]],super1[Bairro],mercado1)+SUMIFS(supercb[Qtde],supercb[Item],tab_alimentos[[#This Row],[Item]],supercb[Bairro],mercado1)</f>
        <v>0</v>
      </c>
      <c r="M214" s="4">
        <f>SUMIFS(super1[Qtde],super1[Item],tab_alimentos[[#This Row],[Item]],super1[Bairro],mercado2)+SUMIFS(supercb[Qtde],supercb[Item],tab_alimentos[[#This Row],[Item]],supercb[Bairro],mercado2)</f>
        <v>0</v>
      </c>
      <c r="N214" s="4">
        <f>SUMIFS(super1[Qtde],super1[Item],tab_alimentos[[#This Row],[Item]],super1[Bairro],mercado3)+SUMIFS(supercb[Qtde],supercb[Item],tab_alimentos[[#This Row],[Item]],supercb[Bairro],mercado3)</f>
        <v>0</v>
      </c>
      <c r="O214" s="4">
        <f>SUMIFS(super1[Qtde],super1[Item],tab_alimentos[[#This Row],[Item]],super1[Bairro],mercado4)+SUMIFS(supercb[Qtde],supercb[Item],tab_alimentos[[#This Row],[Item]],supercb[Bairro],mercado4)</f>
        <v>0</v>
      </c>
      <c r="P214" s="4">
        <f>SUMIFS(super1[Qtde],super1[Item],tab_alimentos[[#This Row],[Item]],super1[Bairro],mercado5)+SUMIFS(supercb[Qtde],supercb[Item],tab_alimentos[[#This Row],[Item]],supercb[Bairro],mercado5)</f>
        <v>0</v>
      </c>
      <c r="Q214" s="4">
        <f>SUMIFS(super1[Qtde],super1[Item],tab_alimentos[[#This Row],[Item]],super1[Bairro],mercado6)+SUMIFS(supercb[Qtde],supercb[Item],tab_alimentos[[#This Row],[Item]],supercb[Bairro],mercado6)</f>
        <v>0</v>
      </c>
      <c r="R214" s="4">
        <f>SUMIFS(super1[Qtde],super1[Item],tab_alimentos[[#This Row],[Item]],super1[Bairro],mercado7)+SUMIFS(supercb[Qtde],supercb[Item],tab_alimentos[[#This Row],[Item]],supercb[Bairro],mercado7)</f>
        <v>0</v>
      </c>
      <c r="S214" s="4">
        <f>SUMIFS(super1[Qtde],super1[Item],tab_alimentos[[#This Row],[Item]],super1[Bairro],mercado8)+SUMIFS(supercb[Qtde],supercb[Item],tab_alimentos[[#This Row],[Item]],supercb[Bairro],mercado8)</f>
        <v>0</v>
      </c>
      <c r="T214" s="4">
        <f>SUMIFS(super1[Qtde],super1[Item],tab_alimentos[[#This Row],[Item]],super1[Bairro],mercado9)+SUMIFS(supercb[Qtde],supercb[Item],tab_alimentos[[#This Row],[Item]],supercb[Bairro],mercado9)</f>
        <v>0</v>
      </c>
      <c r="U214" s="4">
        <f>SUMIFS(super1[Qtde],super1[Item],tab_alimentos[[#This Row],[Item]],super1[Bairro],mercado10)+SUMIFS(supercb[Qtde],supercb[Item],tab_alimentos[[#This Row],[Item]],supercb[Bairro],mercado10)</f>
        <v>0</v>
      </c>
      <c r="V214" s="4">
        <f>SUMIFS(super1[Qtde],super1[Item],tab_alimentos[[#This Row],[Item]],super1[Bairro],mercado11)+SUMIFS(supercb[Qtde],supercb[Item],tab_alimentos[[#This Row],[Item]],supercb[Bairro],mercado11)</f>
        <v>0</v>
      </c>
      <c r="W214" s="4">
        <f>SUMIFS(super1[Qtde],super1[Item],tab_alimentos[[#This Row],[Item]],super1[Bairro],mercado12)+SUMIFS(supercb[Qtde],supercb[Item],tab_alimentos[[#This Row],[Item]],supercb[Bairro],mercado12)</f>
        <v>0</v>
      </c>
      <c r="X214" s="4">
        <f>SUMIFS(super1[Qtde],super1[Item],tab_alimentos[[#This Row],[Item]],super1[Bairro],mercado13)+SUMIFS(supercb[Qtde],supercb[Item],tab_alimentos[[#This Row],[Item]],supercb[Bairro],mercado13)</f>
        <v>0</v>
      </c>
      <c r="Y214" s="4">
        <f>SUMIFS(super1[Qtde],super1[Item],tab_alimentos[[#This Row],[Item]],super1[Bairro],mercado14)+SUMIFS(supercb[Qtde],supercb[Item],tab_alimentos[[#This Row],[Item]],supercb[Bairro],mercado14)</f>
        <v>0</v>
      </c>
      <c r="Z214" s="4">
        <f>SUMIFS(super1[Qtde],super1[Item],tab_alimentos[[#This Row],[Item]],super1[Bairro],mercado15)+SUMIFS(supercb[Qtde],supercb[Item],tab_alimentos[[#This Row],[Item]],supercb[Bairro],mercado15)</f>
        <v>0</v>
      </c>
      <c r="AA214" s="4">
        <f>SUMIFS(super1[Qtde],super1[Item],tab_alimentos[[#This Row],[Item]],super1[Bairro],mercado16)+SUMIFS(supercb[Qtde],supercb[Item],tab_alimentos[[#This Row],[Item]],supercb[Bairro],mercado16)</f>
        <v>0</v>
      </c>
      <c r="AB214" s="4">
        <f>SUMIFS(super1[Qtde],super1[Item],tab_alimentos[[#This Row],[Item]],super1[Bairro],mercado17)+SUMIFS(supercb[Qtde],supercb[Item],tab_alimentos[[#This Row],[Item]],supercb[Bairro],mercado17)</f>
        <v>0</v>
      </c>
      <c r="AC214" s="4">
        <f>SUMIFS(super1[Qtde],super1[Item],tab_alimentos[[#This Row],[Item]],super1[Bairro],mercado18)+SUMIFS(supercb[Qtde],supercb[Item],tab_alimentos[[#This Row],[Item]],supercb[Bairro],mercado18)</f>
        <v>0</v>
      </c>
      <c r="AD214" s="4">
        <f>SUMIFS(super1[Qtde],super1[Item],tab_alimentos[[#This Row],[Item]],super1[Bairro],extras)+SUMIFS(supercb[Qtde],supercb[Item],tab_alimentos[[#This Row],[Item]],supercb[Bairro],extras)</f>
        <v>0</v>
      </c>
      <c r="AE214" s="4">
        <f t="shared" si="82"/>
        <v>0</v>
      </c>
      <c r="AF214" s="4">
        <f t="shared" si="83"/>
        <v>0</v>
      </c>
      <c r="AG214" s="6">
        <f t="shared" si="84"/>
        <v>0</v>
      </c>
      <c r="AH214" s="13" t="str">
        <f>higiene[[#This Row],[Item]]</f>
        <v>Sabão em Pó (3kg)</v>
      </c>
      <c r="AI214" s="9">
        <f>IFERROR(higiene[[#This Row],[Kg equivalente]],0)</f>
        <v>0</v>
      </c>
      <c r="AJ214" s="9">
        <f>IFERROR(higiene[[#This Row],[Preço por produto]],0)</f>
        <v>11.6</v>
      </c>
      <c r="AK214" s="4">
        <f>SUMIFS(super1[Qtde],super1[Item],tab_higiene[[#This Row],[Item]],super1[Bairro],mercado1)+SUMIFS(supercb[Qtde],supercb[Item],tab_higiene[[#This Row],[Item]],supercb[Bairro],mercado1)</f>
        <v>0</v>
      </c>
      <c r="AL214" s="4">
        <f>SUMIFS(super1[Qtde],super1[Item],tab_higiene[[#This Row],[Item]],super1[Bairro],mercado2)+SUMIFS(supercb[Qtde],supercb[Item],tab_higiene[[#This Row],[Item]],supercb[Bairro],mercado2)</f>
        <v>0</v>
      </c>
      <c r="AM214" s="4">
        <f>SUMIFS(super1[Qtde],super1[Item],tab_higiene[[#This Row],[Item]],super1[Bairro],mercado3)+SUMIFS(supercb[Qtde],supercb[Item],tab_higiene[[#This Row],[Item]],supercb[Bairro],mercado3)</f>
        <v>0</v>
      </c>
      <c r="AN214" s="4">
        <f>SUMIFS(super1[Qtde],super1[Item],tab_higiene[[#This Row],[Item]],super1[Bairro],mercado4)+SUMIFS(supercb[Qtde],supercb[Item],tab_higiene[[#This Row],[Item]],supercb[Bairro],mercado4)</f>
        <v>0</v>
      </c>
      <c r="AO214" s="4">
        <f>SUMIFS(super1[Qtde],super1[Item],tab_higiene[[#This Row],[Item]],super1[Bairro],mercado5)+SUMIFS(supercb[Qtde],supercb[Item],tab_higiene[[#This Row],[Item]],supercb[Bairro],mercado5)</f>
        <v>0</v>
      </c>
      <c r="AP214" s="4">
        <f>SUMIFS(super1[Qtde],super1[Item],tab_higiene[[#This Row],[Item]],super1[Bairro],mercado6)+SUMIFS(supercb[Qtde],supercb[Item],tab_higiene[[#This Row],[Item]],supercb[Bairro],mercado6)</f>
        <v>0</v>
      </c>
      <c r="AQ214" s="4">
        <f>SUMIFS(super1[Qtde],super1[Item],tab_higiene[[#This Row],[Item]],super1[Bairro],mercado7)+SUMIFS(supercb[Qtde],supercb[Item],tab_higiene[[#This Row],[Item]],supercb[Bairro],mercado7)</f>
        <v>0</v>
      </c>
      <c r="AR214" s="4">
        <f>SUMIFS(super1[Qtde],super1[Item],tab_higiene[[#This Row],[Item]],super1[Bairro],mercado8)+SUMIFS(supercb[Qtde],supercb[Item],tab_higiene[[#This Row],[Item]],supercb[Bairro],mercado8)</f>
        <v>0</v>
      </c>
      <c r="AS214" s="4">
        <f>SUMIFS(super1[Qtde],super1[Item],tab_higiene[[#This Row],[Item]],super1[Bairro],mercado9)+SUMIFS(supercb[Qtde],supercb[Item],tab_higiene[[#This Row],[Item]],supercb[Bairro],mercado9)</f>
        <v>0</v>
      </c>
      <c r="AT214" s="4">
        <f>SUMIFS(super1[Qtde],super1[Item],tab_higiene[[#This Row],[Item]],super1[Bairro],mercado10)+SUMIFS(supercb[Qtde],supercb[Item],tab_higiene[[#This Row],[Item]],supercb[Bairro],mercado10)</f>
        <v>0</v>
      </c>
      <c r="AU214" s="4">
        <f>SUMIFS(super1[Qtde],super1[Item],tab_higiene[[#This Row],[Item]],super1[Bairro],mercado11)+SUMIFS(supercb[Qtde],supercb[Item],tab_higiene[[#This Row],[Item]],supercb[Bairro],mercado11)</f>
        <v>0</v>
      </c>
      <c r="AV214" s="4">
        <f>SUMIFS(super1[Qtde],super1[Item],tab_higiene[[#This Row],[Item]],super1[Bairro],mercado12)+SUMIFS(supercb[Qtde],supercb[Item],tab_higiene[[#This Row],[Item]],supercb[Bairro],mercado12)</f>
        <v>0</v>
      </c>
      <c r="AW214" s="4">
        <f>SUMIFS(super1[Qtde],super1[Item],tab_higiene[[#This Row],[Item]],super1[Bairro],mercado13)+SUMIFS(supercb[Qtde],supercb[Item],tab_higiene[[#This Row],[Item]],supercb[Bairro],mercado13)</f>
        <v>0</v>
      </c>
      <c r="AX214" s="4">
        <f>SUMIFS(super1[Qtde],super1[Item],tab_higiene[[#This Row],[Item]],super1[Bairro],mercado14)+SUMIFS(supercb[Qtde],supercb[Item],tab_higiene[[#This Row],[Item]],supercb[Bairro],mercado14)</f>
        <v>0</v>
      </c>
      <c r="AY214" s="4">
        <f>SUMIFS(super1[Qtde],super1[Item],tab_higiene[[#This Row],[Item]],super1[Bairro],mercado15)+SUMIFS(supercb[Qtde],supercb[Item],tab_higiene[[#This Row],[Item]],supercb[Bairro],mercado15)</f>
        <v>0</v>
      </c>
      <c r="AZ214" s="4">
        <f>SUMIFS(super1[Qtde],super1[Item],tab_higiene[[#This Row],[Item]],super1[Bairro],mercado16)+SUMIFS(supercb[Qtde],supercb[Item],tab_higiene[[#This Row],[Item]],supercb[Bairro],mercado16)</f>
        <v>0</v>
      </c>
      <c r="BA214" s="4">
        <f>SUMIFS(super1[Qtde],super1[Item],tab_higiene[[#This Row],[Item]],super1[Bairro],mercado17)+SUMIFS(supercb[Qtde],supercb[Item],tab_higiene[[#This Row],[Item]],supercb[Bairro],mercado17)</f>
        <v>0</v>
      </c>
      <c r="BB214" s="4">
        <f>SUMIFS(super1[Qtde],super1[Item],tab_higiene[[#This Row],[Item]],super1[Bairro],mercado18)+SUMIFS(supercb[Qtde],supercb[Item],tab_higiene[[#This Row],[Item]],supercb[Bairro],mercado18)</f>
        <v>0</v>
      </c>
      <c r="BC214" s="31">
        <f>SUMIFS(super1[Qtde],super1[Item],tab_higiene[[#This Row],[Item]],super1[Bairro],extras)+SUMIFS(supercb[Qtde],supercb[Item],tab_higiene[[#This Row],[Item]],supercb[Bairro],extras)</f>
        <v>0</v>
      </c>
      <c r="BD214" s="9">
        <f t="shared" si="76"/>
        <v>0</v>
      </c>
      <c r="BE214" s="9">
        <f t="shared" si="77"/>
        <v>0</v>
      </c>
      <c r="BF214" s="18">
        <f t="shared" si="78"/>
        <v>0</v>
      </c>
    </row>
    <row r="215" spans="9:58" ht="15.75" thickBot="1" x14ac:dyDescent="0.3">
      <c r="I215" s="19" t="str">
        <f>alimentos[[#This Row],[Item]]</f>
        <v>Farinha de Mandioca (500g)</v>
      </c>
      <c r="J215" s="4">
        <f>IFERROR(alimentos[[#This Row],[kg/embalagem]],0)</f>
        <v>0.5</v>
      </c>
      <c r="K215" s="4">
        <f>IFERROR(alimentos[[#This Row],[Preço]],0)</f>
        <v>4.6900000000000004</v>
      </c>
      <c r="L215" s="4">
        <f>SUMIFS(super1[Qtde],super1[Item],tab_alimentos[[#This Row],[Item]],super1[Bairro],mercado1)+SUMIFS(supercb[Qtde],supercb[Item],tab_alimentos[[#This Row],[Item]],supercb[Bairro],mercado1)</f>
        <v>0</v>
      </c>
      <c r="M215" s="4">
        <f>SUMIFS(super1[Qtde],super1[Item],tab_alimentos[[#This Row],[Item]],super1[Bairro],mercado2)+SUMIFS(supercb[Qtde],supercb[Item],tab_alimentos[[#This Row],[Item]],supercb[Bairro],mercado2)</f>
        <v>0</v>
      </c>
      <c r="N215" s="4">
        <f>SUMIFS(super1[Qtde],super1[Item],tab_alimentos[[#This Row],[Item]],super1[Bairro],mercado3)+SUMIFS(supercb[Qtde],supercb[Item],tab_alimentos[[#This Row],[Item]],supercb[Bairro],mercado3)</f>
        <v>0</v>
      </c>
      <c r="O215" s="4">
        <f>SUMIFS(super1[Qtde],super1[Item],tab_alimentos[[#This Row],[Item]],super1[Bairro],mercado4)+SUMIFS(supercb[Qtde],supercb[Item],tab_alimentos[[#This Row],[Item]],supercb[Bairro],mercado4)</f>
        <v>0</v>
      </c>
      <c r="P215" s="4">
        <f>SUMIFS(super1[Qtde],super1[Item],tab_alimentos[[#This Row],[Item]],super1[Bairro],mercado5)+SUMIFS(supercb[Qtde],supercb[Item],tab_alimentos[[#This Row],[Item]],supercb[Bairro],mercado5)</f>
        <v>0</v>
      </c>
      <c r="Q215" s="4">
        <f>SUMIFS(super1[Qtde],super1[Item],tab_alimentos[[#This Row],[Item]],super1[Bairro],mercado6)+SUMIFS(supercb[Qtde],supercb[Item],tab_alimentos[[#This Row],[Item]],supercb[Bairro],mercado6)</f>
        <v>0</v>
      </c>
      <c r="R215" s="4">
        <f>SUMIFS(super1[Qtde],super1[Item],tab_alimentos[[#This Row],[Item]],super1[Bairro],mercado7)+SUMIFS(supercb[Qtde],supercb[Item],tab_alimentos[[#This Row],[Item]],supercb[Bairro],mercado7)</f>
        <v>0</v>
      </c>
      <c r="S215" s="4">
        <f>SUMIFS(super1[Qtde],super1[Item],tab_alimentos[[#This Row],[Item]],super1[Bairro],mercado8)+SUMIFS(supercb[Qtde],supercb[Item],tab_alimentos[[#This Row],[Item]],supercb[Bairro],mercado8)</f>
        <v>0</v>
      </c>
      <c r="T215" s="4">
        <f>SUMIFS(super1[Qtde],super1[Item],tab_alimentos[[#This Row],[Item]],super1[Bairro],mercado9)+SUMIFS(supercb[Qtde],supercb[Item],tab_alimentos[[#This Row],[Item]],supercb[Bairro],mercado9)</f>
        <v>0</v>
      </c>
      <c r="U215" s="4">
        <f>SUMIFS(super1[Qtde],super1[Item],tab_alimentos[[#This Row],[Item]],super1[Bairro],mercado10)+SUMIFS(supercb[Qtde],supercb[Item],tab_alimentos[[#This Row],[Item]],supercb[Bairro],mercado10)</f>
        <v>0</v>
      </c>
      <c r="V215" s="4">
        <f>SUMIFS(super1[Qtde],super1[Item],tab_alimentos[[#This Row],[Item]],super1[Bairro],mercado11)+SUMIFS(supercb[Qtde],supercb[Item],tab_alimentos[[#This Row],[Item]],supercb[Bairro],mercado11)</f>
        <v>0</v>
      </c>
      <c r="W215" s="4">
        <f>SUMIFS(super1[Qtde],super1[Item],tab_alimentos[[#This Row],[Item]],super1[Bairro],mercado12)+SUMIFS(supercb[Qtde],supercb[Item],tab_alimentos[[#This Row],[Item]],supercb[Bairro],mercado12)</f>
        <v>0</v>
      </c>
      <c r="X215" s="4">
        <f>SUMIFS(super1[Qtde],super1[Item],tab_alimentos[[#This Row],[Item]],super1[Bairro],mercado13)+SUMIFS(supercb[Qtde],supercb[Item],tab_alimentos[[#This Row],[Item]],supercb[Bairro],mercado13)</f>
        <v>0</v>
      </c>
      <c r="Y215" s="4">
        <f>SUMIFS(super1[Qtde],super1[Item],tab_alimentos[[#This Row],[Item]],super1[Bairro],mercado14)+SUMIFS(supercb[Qtde],supercb[Item],tab_alimentos[[#This Row],[Item]],supercb[Bairro],mercado14)</f>
        <v>0</v>
      </c>
      <c r="Z215" s="4">
        <f>SUMIFS(super1[Qtde],super1[Item],tab_alimentos[[#This Row],[Item]],super1[Bairro],mercado15)+SUMIFS(supercb[Qtde],supercb[Item],tab_alimentos[[#This Row],[Item]],supercb[Bairro],mercado15)</f>
        <v>0</v>
      </c>
      <c r="AA215" s="4">
        <f>SUMIFS(super1[Qtde],super1[Item],tab_alimentos[[#This Row],[Item]],super1[Bairro],mercado16)+SUMIFS(supercb[Qtde],supercb[Item],tab_alimentos[[#This Row],[Item]],supercb[Bairro],mercado16)</f>
        <v>0</v>
      </c>
      <c r="AB215" s="4">
        <f>SUMIFS(super1[Qtde],super1[Item],tab_alimentos[[#This Row],[Item]],super1[Bairro],mercado17)+SUMIFS(supercb[Qtde],supercb[Item],tab_alimentos[[#This Row],[Item]],supercb[Bairro],mercado17)</f>
        <v>0</v>
      </c>
      <c r="AC215" s="4">
        <f>SUMIFS(super1[Qtde],super1[Item],tab_alimentos[[#This Row],[Item]],super1[Bairro],mercado18)+SUMIFS(supercb[Qtde],supercb[Item],tab_alimentos[[#This Row],[Item]],supercb[Bairro],mercado18)</f>
        <v>0</v>
      </c>
      <c r="AD215" s="4">
        <f>SUMIFS(super1[Qtde],super1[Item],tab_alimentos[[#This Row],[Item]],super1[Bairro],extras)+SUMIFS(supercb[Qtde],supercb[Item],tab_alimentos[[#This Row],[Item]],supercb[Bairro],extras)</f>
        <v>0</v>
      </c>
      <c r="AE215" s="4">
        <f t="shared" si="82"/>
        <v>0</v>
      </c>
      <c r="AF215" s="4">
        <f t="shared" si="83"/>
        <v>0</v>
      </c>
      <c r="AG215" s="6">
        <f t="shared" si="84"/>
        <v>0</v>
      </c>
      <c r="AH215" s="13" t="str">
        <f>higiene[[#This Row],[Item]]</f>
        <v>Sabão em Pó (400g)</v>
      </c>
      <c r="AI215" s="9">
        <f>IFERROR(higiene[[#This Row],[Kg equivalente]],0)</f>
        <v>0</v>
      </c>
      <c r="AJ215" s="9">
        <f>IFERROR(higiene[[#This Row],[Preço por produto]],0)</f>
        <v>16.690000000000001</v>
      </c>
      <c r="AK215" s="4">
        <f>SUMIFS(super1[Qtde],super1[Item],tab_higiene[[#This Row],[Item]],super1[Bairro],mercado1)+SUMIFS(supercb[Qtde],supercb[Item],tab_higiene[[#This Row],[Item]],supercb[Bairro],mercado1)</f>
        <v>0</v>
      </c>
      <c r="AL215" s="4">
        <f>SUMIFS(super1[Qtde],super1[Item],tab_higiene[[#This Row],[Item]],super1[Bairro],mercado2)+SUMIFS(supercb[Qtde],supercb[Item],tab_higiene[[#This Row],[Item]],supercb[Bairro],mercado2)</f>
        <v>0</v>
      </c>
      <c r="AM215" s="4">
        <f>SUMIFS(super1[Qtde],super1[Item],tab_higiene[[#This Row],[Item]],super1[Bairro],mercado3)+SUMIFS(supercb[Qtde],supercb[Item],tab_higiene[[#This Row],[Item]],supercb[Bairro],mercado3)</f>
        <v>0</v>
      </c>
      <c r="AN215" s="4">
        <f>SUMIFS(super1[Qtde],super1[Item],tab_higiene[[#This Row],[Item]],super1[Bairro],mercado4)+SUMIFS(supercb[Qtde],supercb[Item],tab_higiene[[#This Row],[Item]],supercb[Bairro],mercado4)</f>
        <v>0</v>
      </c>
      <c r="AO215" s="4">
        <f>SUMIFS(super1[Qtde],super1[Item],tab_higiene[[#This Row],[Item]],super1[Bairro],mercado5)+SUMIFS(supercb[Qtde],supercb[Item],tab_higiene[[#This Row],[Item]],supercb[Bairro],mercado5)</f>
        <v>0</v>
      </c>
      <c r="AP215" s="4">
        <f>SUMIFS(super1[Qtde],super1[Item],tab_higiene[[#This Row],[Item]],super1[Bairro],mercado6)+SUMIFS(supercb[Qtde],supercb[Item],tab_higiene[[#This Row],[Item]],supercb[Bairro],mercado6)</f>
        <v>0</v>
      </c>
      <c r="AQ215" s="4">
        <f>SUMIFS(super1[Qtde],super1[Item],tab_higiene[[#This Row],[Item]],super1[Bairro],mercado7)+SUMIFS(supercb[Qtde],supercb[Item],tab_higiene[[#This Row],[Item]],supercb[Bairro],mercado7)</f>
        <v>0</v>
      </c>
      <c r="AR215" s="4">
        <f>SUMIFS(super1[Qtde],super1[Item],tab_higiene[[#This Row],[Item]],super1[Bairro],mercado8)+SUMIFS(supercb[Qtde],supercb[Item],tab_higiene[[#This Row],[Item]],supercb[Bairro],mercado8)</f>
        <v>0</v>
      </c>
      <c r="AS215" s="4">
        <f>SUMIFS(super1[Qtde],super1[Item],tab_higiene[[#This Row],[Item]],super1[Bairro],mercado9)+SUMIFS(supercb[Qtde],supercb[Item],tab_higiene[[#This Row],[Item]],supercb[Bairro],mercado9)</f>
        <v>0</v>
      </c>
      <c r="AT215" s="4">
        <f>SUMIFS(super1[Qtde],super1[Item],tab_higiene[[#This Row],[Item]],super1[Bairro],mercado10)+SUMIFS(supercb[Qtde],supercb[Item],tab_higiene[[#This Row],[Item]],supercb[Bairro],mercado10)</f>
        <v>0</v>
      </c>
      <c r="AU215" s="4">
        <f>SUMIFS(super1[Qtde],super1[Item],tab_higiene[[#This Row],[Item]],super1[Bairro],mercado11)+SUMIFS(supercb[Qtde],supercb[Item],tab_higiene[[#This Row],[Item]],supercb[Bairro],mercado11)</f>
        <v>0</v>
      </c>
      <c r="AV215" s="4">
        <f>SUMIFS(super1[Qtde],super1[Item],tab_higiene[[#This Row],[Item]],super1[Bairro],mercado12)+SUMIFS(supercb[Qtde],supercb[Item],tab_higiene[[#This Row],[Item]],supercb[Bairro],mercado12)</f>
        <v>0</v>
      </c>
      <c r="AW215" s="4">
        <f>SUMIFS(super1[Qtde],super1[Item],tab_higiene[[#This Row],[Item]],super1[Bairro],mercado13)+SUMIFS(supercb[Qtde],supercb[Item],tab_higiene[[#This Row],[Item]],supercb[Bairro],mercado13)</f>
        <v>0</v>
      </c>
      <c r="AX215" s="4">
        <f>SUMIFS(super1[Qtde],super1[Item],tab_higiene[[#This Row],[Item]],super1[Bairro],mercado14)+SUMIFS(supercb[Qtde],supercb[Item],tab_higiene[[#This Row],[Item]],supercb[Bairro],mercado14)</f>
        <v>0</v>
      </c>
      <c r="AY215" s="4">
        <f>SUMIFS(super1[Qtde],super1[Item],tab_higiene[[#This Row],[Item]],super1[Bairro],mercado15)+SUMIFS(supercb[Qtde],supercb[Item],tab_higiene[[#This Row],[Item]],supercb[Bairro],mercado15)</f>
        <v>0</v>
      </c>
      <c r="AZ215" s="4">
        <f>SUMIFS(super1[Qtde],super1[Item],tab_higiene[[#This Row],[Item]],super1[Bairro],mercado16)+SUMIFS(supercb[Qtde],supercb[Item],tab_higiene[[#This Row],[Item]],supercb[Bairro],mercado16)</f>
        <v>0</v>
      </c>
      <c r="BA215" s="4">
        <f>SUMIFS(super1[Qtde],super1[Item],tab_higiene[[#This Row],[Item]],super1[Bairro],mercado17)+SUMIFS(supercb[Qtde],supercb[Item],tab_higiene[[#This Row],[Item]],supercb[Bairro],mercado17)</f>
        <v>0</v>
      </c>
      <c r="BB215" s="4">
        <f>SUMIFS(super1[Qtde],super1[Item],tab_higiene[[#This Row],[Item]],super1[Bairro],mercado18)+SUMIFS(supercb[Qtde],supercb[Item],tab_higiene[[#This Row],[Item]],supercb[Bairro],mercado18)</f>
        <v>0</v>
      </c>
      <c r="BC215" s="31">
        <f>SUMIFS(super1[Qtde],super1[Item],tab_higiene[[#This Row],[Item]],super1[Bairro],extras)+SUMIFS(supercb[Qtde],supercb[Item],tab_higiene[[#This Row],[Item]],supercb[Bairro],extras)</f>
        <v>0</v>
      </c>
      <c r="BD215" s="9">
        <f t="shared" si="76"/>
        <v>0</v>
      </c>
      <c r="BE215" s="9">
        <f t="shared" si="77"/>
        <v>0</v>
      </c>
      <c r="BF215" s="18">
        <f t="shared" si="78"/>
        <v>0</v>
      </c>
    </row>
    <row r="216" spans="9:58" ht="15.75" thickBot="1" x14ac:dyDescent="0.3">
      <c r="I216" s="19" t="str">
        <f>alimentos[[#This Row],[Item]]</f>
        <v>Farinha de Milho (450g)</v>
      </c>
      <c r="J216" s="4">
        <f>IFERROR(alimentos[[#This Row],[kg/embalagem]],0)</f>
        <v>0.45</v>
      </c>
      <c r="K216" s="4">
        <f>IFERROR(alimentos[[#This Row],[Preço]],0)</f>
        <v>12.4</v>
      </c>
      <c r="L216" s="4">
        <f>SUMIFS(super1[Qtde],super1[Item],tab_alimentos[[#This Row],[Item]],super1[Bairro],mercado1)+SUMIFS(supercb[Qtde],supercb[Item],tab_alimentos[[#This Row],[Item]],supercb[Bairro],mercado1)</f>
        <v>0</v>
      </c>
      <c r="M216" s="4">
        <f>SUMIFS(super1[Qtde],super1[Item],tab_alimentos[[#This Row],[Item]],super1[Bairro],mercado2)+SUMIFS(supercb[Qtde],supercb[Item],tab_alimentos[[#This Row],[Item]],supercb[Bairro],mercado2)</f>
        <v>0</v>
      </c>
      <c r="N216" s="4">
        <f>SUMIFS(super1[Qtde],super1[Item],tab_alimentos[[#This Row],[Item]],super1[Bairro],mercado3)+SUMIFS(supercb[Qtde],supercb[Item],tab_alimentos[[#This Row],[Item]],supercb[Bairro],mercado3)</f>
        <v>0</v>
      </c>
      <c r="O216" s="4">
        <f>SUMIFS(super1[Qtde],super1[Item],tab_alimentos[[#This Row],[Item]],super1[Bairro],mercado4)+SUMIFS(supercb[Qtde],supercb[Item],tab_alimentos[[#This Row],[Item]],supercb[Bairro],mercado4)</f>
        <v>0</v>
      </c>
      <c r="P216" s="4">
        <f>SUMIFS(super1[Qtde],super1[Item],tab_alimentos[[#This Row],[Item]],super1[Bairro],mercado5)+SUMIFS(supercb[Qtde],supercb[Item],tab_alimentos[[#This Row],[Item]],supercb[Bairro],mercado5)</f>
        <v>0</v>
      </c>
      <c r="Q216" s="4">
        <f>SUMIFS(super1[Qtde],super1[Item],tab_alimentos[[#This Row],[Item]],super1[Bairro],mercado6)+SUMIFS(supercb[Qtde],supercb[Item],tab_alimentos[[#This Row],[Item]],supercb[Bairro],mercado6)</f>
        <v>0</v>
      </c>
      <c r="R216" s="4">
        <f>SUMIFS(super1[Qtde],super1[Item],tab_alimentos[[#This Row],[Item]],super1[Bairro],mercado7)+SUMIFS(supercb[Qtde],supercb[Item],tab_alimentos[[#This Row],[Item]],supercb[Bairro],mercado7)</f>
        <v>0</v>
      </c>
      <c r="S216" s="4">
        <f>SUMIFS(super1[Qtde],super1[Item],tab_alimentos[[#This Row],[Item]],super1[Bairro],mercado8)+SUMIFS(supercb[Qtde],supercb[Item],tab_alimentos[[#This Row],[Item]],supercb[Bairro],mercado8)</f>
        <v>0</v>
      </c>
      <c r="T216" s="4">
        <f>SUMIFS(super1[Qtde],super1[Item],tab_alimentos[[#This Row],[Item]],super1[Bairro],mercado9)+SUMIFS(supercb[Qtde],supercb[Item],tab_alimentos[[#This Row],[Item]],supercb[Bairro],mercado9)</f>
        <v>0</v>
      </c>
      <c r="U216" s="4">
        <f>SUMIFS(super1[Qtde],super1[Item],tab_alimentos[[#This Row],[Item]],super1[Bairro],mercado10)+SUMIFS(supercb[Qtde],supercb[Item],tab_alimentos[[#This Row],[Item]],supercb[Bairro],mercado10)</f>
        <v>0</v>
      </c>
      <c r="V216" s="4">
        <f>SUMIFS(super1[Qtde],super1[Item],tab_alimentos[[#This Row],[Item]],super1[Bairro],mercado11)+SUMIFS(supercb[Qtde],supercb[Item],tab_alimentos[[#This Row],[Item]],supercb[Bairro],mercado11)</f>
        <v>0</v>
      </c>
      <c r="W216" s="4">
        <f>SUMIFS(super1[Qtde],super1[Item],tab_alimentos[[#This Row],[Item]],super1[Bairro],mercado12)+SUMIFS(supercb[Qtde],supercb[Item],tab_alimentos[[#This Row],[Item]],supercb[Bairro],mercado12)</f>
        <v>0</v>
      </c>
      <c r="X216" s="4">
        <f>SUMIFS(super1[Qtde],super1[Item],tab_alimentos[[#This Row],[Item]],super1[Bairro],mercado13)+SUMIFS(supercb[Qtde],supercb[Item],tab_alimentos[[#This Row],[Item]],supercb[Bairro],mercado13)</f>
        <v>0</v>
      </c>
      <c r="Y216" s="4">
        <f>SUMIFS(super1[Qtde],super1[Item],tab_alimentos[[#This Row],[Item]],super1[Bairro],mercado14)+SUMIFS(supercb[Qtde],supercb[Item],tab_alimentos[[#This Row],[Item]],supercb[Bairro],mercado14)</f>
        <v>0</v>
      </c>
      <c r="Z216" s="4">
        <f>SUMIFS(super1[Qtde],super1[Item],tab_alimentos[[#This Row],[Item]],super1[Bairro],mercado15)+SUMIFS(supercb[Qtde],supercb[Item],tab_alimentos[[#This Row],[Item]],supercb[Bairro],mercado15)</f>
        <v>0</v>
      </c>
      <c r="AA216" s="4">
        <f>SUMIFS(super1[Qtde],super1[Item],tab_alimentos[[#This Row],[Item]],super1[Bairro],mercado16)+SUMIFS(supercb[Qtde],supercb[Item],tab_alimentos[[#This Row],[Item]],supercb[Bairro],mercado16)</f>
        <v>0</v>
      </c>
      <c r="AB216" s="4">
        <f>SUMIFS(super1[Qtde],super1[Item],tab_alimentos[[#This Row],[Item]],super1[Bairro],mercado17)+SUMIFS(supercb[Qtde],supercb[Item],tab_alimentos[[#This Row],[Item]],supercb[Bairro],mercado17)</f>
        <v>0</v>
      </c>
      <c r="AC216" s="4">
        <f>SUMIFS(super1[Qtde],super1[Item],tab_alimentos[[#This Row],[Item]],super1[Bairro],mercado18)+SUMIFS(supercb[Qtde],supercb[Item],tab_alimentos[[#This Row],[Item]],supercb[Bairro],mercado18)</f>
        <v>0</v>
      </c>
      <c r="AD216" s="4">
        <f>SUMIFS(super1[Qtde],super1[Item],tab_alimentos[[#This Row],[Item]],super1[Bairro],extras)+SUMIFS(supercb[Qtde],supercb[Item],tab_alimentos[[#This Row],[Item]],supercb[Bairro],extras)</f>
        <v>0</v>
      </c>
      <c r="AE216" s="4">
        <f t="shared" si="82"/>
        <v>0</v>
      </c>
      <c r="AF216" s="4">
        <f t="shared" si="83"/>
        <v>0</v>
      </c>
      <c r="AG216" s="6">
        <f t="shared" si="84"/>
        <v>0</v>
      </c>
      <c r="AH216" s="13" t="str">
        <f>higiene[[#This Row],[Item]]</f>
        <v>Sabão em Pó (420g)</v>
      </c>
      <c r="AI216" s="9">
        <f>IFERROR(higiene[[#This Row],[Kg equivalente]],0)</f>
        <v>0</v>
      </c>
      <c r="AJ216" s="9">
        <f>IFERROR(higiene[[#This Row],[Preço por produto]],0)</f>
        <v>8.4499999999999993</v>
      </c>
      <c r="AK216" s="4">
        <f>SUMIFS(super1[Qtde],super1[Item],tab_higiene[[#This Row],[Item]],super1[Bairro],mercado1)+SUMIFS(supercb[Qtde],supercb[Item],tab_higiene[[#This Row],[Item]],supercb[Bairro],mercado1)</f>
        <v>0</v>
      </c>
      <c r="AL216" s="4">
        <f>SUMIFS(super1[Qtde],super1[Item],tab_higiene[[#This Row],[Item]],super1[Bairro],mercado2)+SUMIFS(supercb[Qtde],supercb[Item],tab_higiene[[#This Row],[Item]],supercb[Bairro],mercado2)</f>
        <v>0</v>
      </c>
      <c r="AM216" s="4">
        <f>SUMIFS(super1[Qtde],super1[Item],tab_higiene[[#This Row],[Item]],super1[Bairro],mercado3)+SUMIFS(supercb[Qtde],supercb[Item],tab_higiene[[#This Row],[Item]],supercb[Bairro],mercado3)</f>
        <v>0</v>
      </c>
      <c r="AN216" s="4">
        <f>SUMIFS(super1[Qtde],super1[Item],tab_higiene[[#This Row],[Item]],super1[Bairro],mercado4)+SUMIFS(supercb[Qtde],supercb[Item],tab_higiene[[#This Row],[Item]],supercb[Bairro],mercado4)</f>
        <v>0</v>
      </c>
      <c r="AO216" s="4">
        <f>SUMIFS(super1[Qtde],super1[Item],tab_higiene[[#This Row],[Item]],super1[Bairro],mercado5)+SUMIFS(supercb[Qtde],supercb[Item],tab_higiene[[#This Row],[Item]],supercb[Bairro],mercado5)</f>
        <v>0</v>
      </c>
      <c r="AP216" s="4">
        <f>SUMIFS(super1[Qtde],super1[Item],tab_higiene[[#This Row],[Item]],super1[Bairro],mercado6)+SUMIFS(supercb[Qtde],supercb[Item],tab_higiene[[#This Row],[Item]],supercb[Bairro],mercado6)</f>
        <v>0</v>
      </c>
      <c r="AQ216" s="4">
        <f>SUMIFS(super1[Qtde],super1[Item],tab_higiene[[#This Row],[Item]],super1[Bairro],mercado7)+SUMIFS(supercb[Qtde],supercb[Item],tab_higiene[[#This Row],[Item]],supercb[Bairro],mercado7)</f>
        <v>0</v>
      </c>
      <c r="AR216" s="4">
        <f>SUMIFS(super1[Qtde],super1[Item],tab_higiene[[#This Row],[Item]],super1[Bairro],mercado8)+SUMIFS(supercb[Qtde],supercb[Item],tab_higiene[[#This Row],[Item]],supercb[Bairro],mercado8)</f>
        <v>0</v>
      </c>
      <c r="AS216" s="4">
        <f>SUMIFS(super1[Qtde],super1[Item],tab_higiene[[#This Row],[Item]],super1[Bairro],mercado9)+SUMIFS(supercb[Qtde],supercb[Item],tab_higiene[[#This Row],[Item]],supercb[Bairro],mercado9)</f>
        <v>0</v>
      </c>
      <c r="AT216" s="4">
        <f>SUMIFS(super1[Qtde],super1[Item],tab_higiene[[#This Row],[Item]],super1[Bairro],mercado10)+SUMIFS(supercb[Qtde],supercb[Item],tab_higiene[[#This Row],[Item]],supercb[Bairro],mercado10)</f>
        <v>0</v>
      </c>
      <c r="AU216" s="4">
        <f>SUMIFS(super1[Qtde],super1[Item],tab_higiene[[#This Row],[Item]],super1[Bairro],mercado11)+SUMIFS(supercb[Qtde],supercb[Item],tab_higiene[[#This Row],[Item]],supercb[Bairro],mercado11)</f>
        <v>0</v>
      </c>
      <c r="AV216" s="4">
        <f>SUMIFS(super1[Qtde],super1[Item],tab_higiene[[#This Row],[Item]],super1[Bairro],mercado12)+SUMIFS(supercb[Qtde],supercb[Item],tab_higiene[[#This Row],[Item]],supercb[Bairro],mercado12)</f>
        <v>0</v>
      </c>
      <c r="AW216" s="4">
        <f>SUMIFS(super1[Qtde],super1[Item],tab_higiene[[#This Row],[Item]],super1[Bairro],mercado13)+SUMIFS(supercb[Qtde],supercb[Item],tab_higiene[[#This Row],[Item]],supercb[Bairro],mercado13)</f>
        <v>0</v>
      </c>
      <c r="AX216" s="4">
        <f>SUMIFS(super1[Qtde],super1[Item],tab_higiene[[#This Row],[Item]],super1[Bairro],mercado14)+SUMIFS(supercb[Qtde],supercb[Item],tab_higiene[[#This Row],[Item]],supercb[Bairro],mercado14)</f>
        <v>0</v>
      </c>
      <c r="AY216" s="4">
        <f>SUMIFS(super1[Qtde],super1[Item],tab_higiene[[#This Row],[Item]],super1[Bairro],mercado15)+SUMIFS(supercb[Qtde],supercb[Item],tab_higiene[[#This Row],[Item]],supercb[Bairro],mercado15)</f>
        <v>0</v>
      </c>
      <c r="AZ216" s="4">
        <f>SUMIFS(super1[Qtde],super1[Item],tab_higiene[[#This Row],[Item]],super1[Bairro],mercado16)+SUMIFS(supercb[Qtde],supercb[Item],tab_higiene[[#This Row],[Item]],supercb[Bairro],mercado16)</f>
        <v>0</v>
      </c>
      <c r="BA216" s="4">
        <f>SUMIFS(super1[Qtde],super1[Item],tab_higiene[[#This Row],[Item]],super1[Bairro],mercado17)+SUMIFS(supercb[Qtde],supercb[Item],tab_higiene[[#This Row],[Item]],supercb[Bairro],mercado17)</f>
        <v>0</v>
      </c>
      <c r="BB216" s="4">
        <f>SUMIFS(super1[Qtde],super1[Item],tab_higiene[[#This Row],[Item]],super1[Bairro],mercado18)+SUMIFS(supercb[Qtde],supercb[Item],tab_higiene[[#This Row],[Item]],supercb[Bairro],mercado18)</f>
        <v>0</v>
      </c>
      <c r="BC216" s="31">
        <f>SUMIFS(super1[Qtde],super1[Item],tab_higiene[[#This Row],[Item]],super1[Bairro],extras)+SUMIFS(supercb[Qtde],supercb[Item],tab_higiene[[#This Row],[Item]],supercb[Bairro],extras)</f>
        <v>0</v>
      </c>
      <c r="BD216" s="9">
        <f t="shared" ref="BD216:BD279" si="85">SUM(AK216:BB216)</f>
        <v>0</v>
      </c>
      <c r="BE216" s="9">
        <f t="shared" ref="BE216:BE279" si="86">IFERROR(BD216*AJ216,0)</f>
        <v>0</v>
      </c>
      <c r="BF216" s="18">
        <f t="shared" ref="BF216:BF279" si="87">IFERROR(AI216*BD216,0)</f>
        <v>0</v>
      </c>
    </row>
    <row r="217" spans="9:58" ht="15.75" thickBot="1" x14ac:dyDescent="0.3">
      <c r="I217" s="19" t="str">
        <f>alimentos[[#This Row],[Item]]</f>
        <v>Farinha de Milho (500g)</v>
      </c>
      <c r="J217" s="4">
        <f>IFERROR(alimentos[[#This Row],[kg/embalagem]],0)</f>
        <v>0.5</v>
      </c>
      <c r="K217" s="4">
        <f>IFERROR(alimentos[[#This Row],[Preço]],0)</f>
        <v>5.99</v>
      </c>
      <c r="L217" s="4">
        <f>SUMIFS(super1[Qtde],super1[Item],tab_alimentos[[#This Row],[Item]],super1[Bairro],mercado1)+SUMIFS(supercb[Qtde],supercb[Item],tab_alimentos[[#This Row],[Item]],supercb[Bairro],mercado1)</f>
        <v>0</v>
      </c>
      <c r="M217" s="4">
        <f>SUMIFS(super1[Qtde],super1[Item],tab_alimentos[[#This Row],[Item]],super1[Bairro],mercado2)+SUMIFS(supercb[Qtde],supercb[Item],tab_alimentos[[#This Row],[Item]],supercb[Bairro],mercado2)</f>
        <v>0</v>
      </c>
      <c r="N217" s="4">
        <f>SUMIFS(super1[Qtde],super1[Item],tab_alimentos[[#This Row],[Item]],super1[Bairro],mercado3)+SUMIFS(supercb[Qtde],supercb[Item],tab_alimentos[[#This Row],[Item]],supercb[Bairro],mercado3)</f>
        <v>0</v>
      </c>
      <c r="O217" s="4">
        <f>SUMIFS(super1[Qtde],super1[Item],tab_alimentos[[#This Row],[Item]],super1[Bairro],mercado4)+SUMIFS(supercb[Qtde],supercb[Item],tab_alimentos[[#This Row],[Item]],supercb[Bairro],mercado4)</f>
        <v>0</v>
      </c>
      <c r="P217" s="4">
        <f>SUMIFS(super1[Qtde],super1[Item],tab_alimentos[[#This Row],[Item]],super1[Bairro],mercado5)+SUMIFS(supercb[Qtde],supercb[Item],tab_alimentos[[#This Row],[Item]],supercb[Bairro],mercado5)</f>
        <v>0</v>
      </c>
      <c r="Q217" s="4">
        <f>SUMIFS(super1[Qtde],super1[Item],tab_alimentos[[#This Row],[Item]],super1[Bairro],mercado6)+SUMIFS(supercb[Qtde],supercb[Item],tab_alimentos[[#This Row],[Item]],supercb[Bairro],mercado6)</f>
        <v>0</v>
      </c>
      <c r="R217" s="4">
        <f>SUMIFS(super1[Qtde],super1[Item],tab_alimentos[[#This Row],[Item]],super1[Bairro],mercado7)+SUMIFS(supercb[Qtde],supercb[Item],tab_alimentos[[#This Row],[Item]],supercb[Bairro],mercado7)</f>
        <v>0</v>
      </c>
      <c r="S217" s="4">
        <f>SUMIFS(super1[Qtde],super1[Item],tab_alimentos[[#This Row],[Item]],super1[Bairro],mercado8)+SUMIFS(supercb[Qtde],supercb[Item],tab_alimentos[[#This Row],[Item]],supercb[Bairro],mercado8)</f>
        <v>0</v>
      </c>
      <c r="T217" s="4">
        <f>SUMIFS(super1[Qtde],super1[Item],tab_alimentos[[#This Row],[Item]],super1[Bairro],mercado9)+SUMIFS(supercb[Qtde],supercb[Item],tab_alimentos[[#This Row],[Item]],supercb[Bairro],mercado9)</f>
        <v>0</v>
      </c>
      <c r="U217" s="4">
        <f>SUMIFS(super1[Qtde],super1[Item],tab_alimentos[[#This Row],[Item]],super1[Bairro],mercado10)+SUMIFS(supercb[Qtde],supercb[Item],tab_alimentos[[#This Row],[Item]],supercb[Bairro],mercado10)</f>
        <v>0</v>
      </c>
      <c r="V217" s="4">
        <f>SUMIFS(super1[Qtde],super1[Item],tab_alimentos[[#This Row],[Item]],super1[Bairro],mercado11)+SUMIFS(supercb[Qtde],supercb[Item],tab_alimentos[[#This Row],[Item]],supercb[Bairro],mercado11)</f>
        <v>0</v>
      </c>
      <c r="W217" s="4">
        <f>SUMIFS(super1[Qtde],super1[Item],tab_alimentos[[#This Row],[Item]],super1[Bairro],mercado12)+SUMIFS(supercb[Qtde],supercb[Item],tab_alimentos[[#This Row],[Item]],supercb[Bairro],mercado12)</f>
        <v>0</v>
      </c>
      <c r="X217" s="4">
        <f>SUMIFS(super1[Qtde],super1[Item],tab_alimentos[[#This Row],[Item]],super1[Bairro],mercado13)+SUMIFS(supercb[Qtde],supercb[Item],tab_alimentos[[#This Row],[Item]],supercb[Bairro],mercado13)</f>
        <v>0</v>
      </c>
      <c r="Y217" s="4">
        <f>SUMIFS(super1[Qtde],super1[Item],tab_alimentos[[#This Row],[Item]],super1[Bairro],mercado14)+SUMIFS(supercb[Qtde],supercb[Item],tab_alimentos[[#This Row],[Item]],supercb[Bairro],mercado14)</f>
        <v>0</v>
      </c>
      <c r="Z217" s="4">
        <f>SUMIFS(super1[Qtde],super1[Item],tab_alimentos[[#This Row],[Item]],super1[Bairro],mercado15)+SUMIFS(supercb[Qtde],supercb[Item],tab_alimentos[[#This Row],[Item]],supercb[Bairro],mercado15)</f>
        <v>0</v>
      </c>
      <c r="AA217" s="4">
        <f>SUMIFS(super1[Qtde],super1[Item],tab_alimentos[[#This Row],[Item]],super1[Bairro],mercado16)+SUMIFS(supercb[Qtde],supercb[Item],tab_alimentos[[#This Row],[Item]],supercb[Bairro],mercado16)</f>
        <v>0</v>
      </c>
      <c r="AB217" s="4">
        <f>SUMIFS(super1[Qtde],super1[Item],tab_alimentos[[#This Row],[Item]],super1[Bairro],mercado17)+SUMIFS(supercb[Qtde],supercb[Item],tab_alimentos[[#This Row],[Item]],supercb[Bairro],mercado17)</f>
        <v>0</v>
      </c>
      <c r="AC217" s="4">
        <f>SUMIFS(super1[Qtde],super1[Item],tab_alimentos[[#This Row],[Item]],super1[Bairro],mercado18)+SUMIFS(supercb[Qtde],supercb[Item],tab_alimentos[[#This Row],[Item]],supercb[Bairro],mercado18)</f>
        <v>0</v>
      </c>
      <c r="AD217" s="4">
        <f>SUMIFS(super1[Qtde],super1[Item],tab_alimentos[[#This Row],[Item]],super1[Bairro],extras)+SUMIFS(supercb[Qtde],supercb[Item],tab_alimentos[[#This Row],[Item]],supercb[Bairro],extras)</f>
        <v>0</v>
      </c>
      <c r="AE217" s="4">
        <f t="shared" si="82"/>
        <v>0</v>
      </c>
      <c r="AF217" s="4">
        <f t="shared" si="83"/>
        <v>0</v>
      </c>
      <c r="AG217" s="6">
        <f t="shared" si="84"/>
        <v>0</v>
      </c>
      <c r="AH217" s="13" t="str">
        <f>higiene[[#This Row],[Item]]</f>
        <v>Sabão em Pó (800g)</v>
      </c>
      <c r="AI217" s="9">
        <f>IFERROR(higiene[[#This Row],[Kg equivalente]],0)</f>
        <v>0</v>
      </c>
      <c r="AJ217" s="9">
        <f>IFERROR(higiene[[#This Row],[Preço por produto]],0)</f>
        <v>8</v>
      </c>
      <c r="AK217" s="4">
        <f>SUMIFS(super1[Qtde],super1[Item],tab_higiene[[#This Row],[Item]],super1[Bairro],mercado1)+SUMIFS(supercb[Qtde],supercb[Item],tab_higiene[[#This Row],[Item]],supercb[Bairro],mercado1)</f>
        <v>0</v>
      </c>
      <c r="AL217" s="4">
        <f>SUMIFS(super1[Qtde],super1[Item],tab_higiene[[#This Row],[Item]],super1[Bairro],mercado2)+SUMIFS(supercb[Qtde],supercb[Item],tab_higiene[[#This Row],[Item]],supercb[Bairro],mercado2)</f>
        <v>0</v>
      </c>
      <c r="AM217" s="4">
        <f>SUMIFS(super1[Qtde],super1[Item],tab_higiene[[#This Row],[Item]],super1[Bairro],mercado3)+SUMIFS(supercb[Qtde],supercb[Item],tab_higiene[[#This Row],[Item]],supercb[Bairro],mercado3)</f>
        <v>0</v>
      </c>
      <c r="AN217" s="4">
        <f>SUMIFS(super1[Qtde],super1[Item],tab_higiene[[#This Row],[Item]],super1[Bairro],mercado4)+SUMIFS(supercb[Qtde],supercb[Item],tab_higiene[[#This Row],[Item]],supercb[Bairro],mercado4)</f>
        <v>0</v>
      </c>
      <c r="AO217" s="4">
        <f>SUMIFS(super1[Qtde],super1[Item],tab_higiene[[#This Row],[Item]],super1[Bairro],mercado5)+SUMIFS(supercb[Qtde],supercb[Item],tab_higiene[[#This Row],[Item]],supercb[Bairro],mercado5)</f>
        <v>0</v>
      </c>
      <c r="AP217" s="4">
        <f>SUMIFS(super1[Qtde],super1[Item],tab_higiene[[#This Row],[Item]],super1[Bairro],mercado6)+SUMIFS(supercb[Qtde],supercb[Item],tab_higiene[[#This Row],[Item]],supercb[Bairro],mercado6)</f>
        <v>0</v>
      </c>
      <c r="AQ217" s="4">
        <f>SUMIFS(super1[Qtde],super1[Item],tab_higiene[[#This Row],[Item]],super1[Bairro],mercado7)+SUMIFS(supercb[Qtde],supercb[Item],tab_higiene[[#This Row],[Item]],supercb[Bairro],mercado7)</f>
        <v>0</v>
      </c>
      <c r="AR217" s="4">
        <f>SUMIFS(super1[Qtde],super1[Item],tab_higiene[[#This Row],[Item]],super1[Bairro],mercado8)+SUMIFS(supercb[Qtde],supercb[Item],tab_higiene[[#This Row],[Item]],supercb[Bairro],mercado8)</f>
        <v>0</v>
      </c>
      <c r="AS217" s="4">
        <f>SUMIFS(super1[Qtde],super1[Item],tab_higiene[[#This Row],[Item]],super1[Bairro],mercado9)+SUMIFS(supercb[Qtde],supercb[Item],tab_higiene[[#This Row],[Item]],supercb[Bairro],mercado9)</f>
        <v>0</v>
      </c>
      <c r="AT217" s="4">
        <f>SUMIFS(super1[Qtde],super1[Item],tab_higiene[[#This Row],[Item]],super1[Bairro],mercado10)+SUMIFS(supercb[Qtde],supercb[Item],tab_higiene[[#This Row],[Item]],supercb[Bairro],mercado10)</f>
        <v>0</v>
      </c>
      <c r="AU217" s="4">
        <f>SUMIFS(super1[Qtde],super1[Item],tab_higiene[[#This Row],[Item]],super1[Bairro],mercado11)+SUMIFS(supercb[Qtde],supercb[Item],tab_higiene[[#This Row],[Item]],supercb[Bairro],mercado11)</f>
        <v>0</v>
      </c>
      <c r="AV217" s="4">
        <f>SUMIFS(super1[Qtde],super1[Item],tab_higiene[[#This Row],[Item]],super1[Bairro],mercado12)+SUMIFS(supercb[Qtde],supercb[Item],tab_higiene[[#This Row],[Item]],supercb[Bairro],mercado12)</f>
        <v>0</v>
      </c>
      <c r="AW217" s="4">
        <f>SUMIFS(super1[Qtde],super1[Item],tab_higiene[[#This Row],[Item]],super1[Bairro],mercado13)+SUMIFS(supercb[Qtde],supercb[Item],tab_higiene[[#This Row],[Item]],supercb[Bairro],mercado13)</f>
        <v>0</v>
      </c>
      <c r="AX217" s="4">
        <f>SUMIFS(super1[Qtde],super1[Item],tab_higiene[[#This Row],[Item]],super1[Bairro],mercado14)+SUMIFS(supercb[Qtde],supercb[Item],tab_higiene[[#This Row],[Item]],supercb[Bairro],mercado14)</f>
        <v>0</v>
      </c>
      <c r="AY217" s="4">
        <f>SUMIFS(super1[Qtde],super1[Item],tab_higiene[[#This Row],[Item]],super1[Bairro],mercado15)+SUMIFS(supercb[Qtde],supercb[Item],tab_higiene[[#This Row],[Item]],supercb[Bairro],mercado15)</f>
        <v>0</v>
      </c>
      <c r="AZ217" s="4">
        <f>SUMIFS(super1[Qtde],super1[Item],tab_higiene[[#This Row],[Item]],super1[Bairro],mercado16)+SUMIFS(supercb[Qtde],supercb[Item],tab_higiene[[#This Row],[Item]],supercb[Bairro],mercado16)</f>
        <v>0</v>
      </c>
      <c r="BA217" s="4">
        <f>SUMIFS(super1[Qtde],super1[Item],tab_higiene[[#This Row],[Item]],super1[Bairro],mercado17)+SUMIFS(supercb[Qtde],supercb[Item],tab_higiene[[#This Row],[Item]],supercb[Bairro],mercado17)</f>
        <v>0</v>
      </c>
      <c r="BB217" s="4">
        <f>SUMIFS(super1[Qtde],super1[Item],tab_higiene[[#This Row],[Item]],super1[Bairro],mercado18)+SUMIFS(supercb[Qtde],supercb[Item],tab_higiene[[#This Row],[Item]],supercb[Bairro],mercado18)</f>
        <v>0</v>
      </c>
      <c r="BC217" s="31">
        <f>SUMIFS(super1[Qtde],super1[Item],tab_higiene[[#This Row],[Item]],super1[Bairro],extras)+SUMIFS(supercb[Qtde],supercb[Item],tab_higiene[[#This Row],[Item]],supercb[Bairro],extras)</f>
        <v>0</v>
      </c>
      <c r="BD217" s="9">
        <f t="shared" si="85"/>
        <v>0</v>
      </c>
      <c r="BE217" s="9">
        <f t="shared" si="86"/>
        <v>0</v>
      </c>
      <c r="BF217" s="18">
        <f t="shared" si="87"/>
        <v>0</v>
      </c>
    </row>
    <row r="218" spans="9:58" ht="15.75" thickBot="1" x14ac:dyDescent="0.3">
      <c r="I218" s="19" t="str">
        <f>alimentos[[#This Row],[Item]]</f>
        <v>Farinha de Milho Temperada (350g)</v>
      </c>
      <c r="J218" s="4">
        <f>IFERROR(alimentos[[#This Row],[kg/embalagem]],0)</f>
        <v>0.35</v>
      </c>
      <c r="K218" s="4">
        <f>IFERROR(alimentos[[#This Row],[Preço]],0)</f>
        <v>6.59</v>
      </c>
      <c r="L218" s="4">
        <f>SUMIFS(super1[Qtde],super1[Item],tab_alimentos[[#This Row],[Item]],super1[Bairro],mercado1)+SUMIFS(supercb[Qtde],supercb[Item],tab_alimentos[[#This Row],[Item]],supercb[Bairro],mercado1)</f>
        <v>0</v>
      </c>
      <c r="M218" s="4">
        <f>SUMIFS(super1[Qtde],super1[Item],tab_alimentos[[#This Row],[Item]],super1[Bairro],mercado2)+SUMIFS(supercb[Qtde],supercb[Item],tab_alimentos[[#This Row],[Item]],supercb[Bairro],mercado2)</f>
        <v>0</v>
      </c>
      <c r="N218" s="4">
        <f>SUMIFS(super1[Qtde],super1[Item],tab_alimentos[[#This Row],[Item]],super1[Bairro],mercado3)+SUMIFS(supercb[Qtde],supercb[Item],tab_alimentos[[#This Row],[Item]],supercb[Bairro],mercado3)</f>
        <v>0</v>
      </c>
      <c r="O218" s="4">
        <f>SUMIFS(super1[Qtde],super1[Item],tab_alimentos[[#This Row],[Item]],super1[Bairro],mercado4)+SUMIFS(supercb[Qtde],supercb[Item],tab_alimentos[[#This Row],[Item]],supercb[Bairro],mercado4)</f>
        <v>0</v>
      </c>
      <c r="P218" s="4">
        <f>SUMIFS(super1[Qtde],super1[Item],tab_alimentos[[#This Row],[Item]],super1[Bairro],mercado5)+SUMIFS(supercb[Qtde],supercb[Item],tab_alimentos[[#This Row],[Item]],supercb[Bairro],mercado5)</f>
        <v>0</v>
      </c>
      <c r="Q218" s="4">
        <f>SUMIFS(super1[Qtde],super1[Item],tab_alimentos[[#This Row],[Item]],super1[Bairro],mercado6)+SUMIFS(supercb[Qtde],supercb[Item],tab_alimentos[[#This Row],[Item]],supercb[Bairro],mercado6)</f>
        <v>0</v>
      </c>
      <c r="R218" s="4">
        <f>SUMIFS(super1[Qtde],super1[Item],tab_alimentos[[#This Row],[Item]],super1[Bairro],mercado7)+SUMIFS(supercb[Qtde],supercb[Item],tab_alimentos[[#This Row],[Item]],supercb[Bairro],mercado7)</f>
        <v>0</v>
      </c>
      <c r="S218" s="4">
        <f>SUMIFS(super1[Qtde],super1[Item],tab_alimentos[[#This Row],[Item]],super1[Bairro],mercado8)+SUMIFS(supercb[Qtde],supercb[Item],tab_alimentos[[#This Row],[Item]],supercb[Bairro],mercado8)</f>
        <v>0</v>
      </c>
      <c r="T218" s="4">
        <f>SUMIFS(super1[Qtde],super1[Item],tab_alimentos[[#This Row],[Item]],super1[Bairro],mercado9)+SUMIFS(supercb[Qtde],supercb[Item],tab_alimentos[[#This Row],[Item]],supercb[Bairro],mercado9)</f>
        <v>0</v>
      </c>
      <c r="U218" s="4">
        <f>SUMIFS(super1[Qtde],super1[Item],tab_alimentos[[#This Row],[Item]],super1[Bairro],mercado10)+SUMIFS(supercb[Qtde],supercb[Item],tab_alimentos[[#This Row],[Item]],supercb[Bairro],mercado10)</f>
        <v>0</v>
      </c>
      <c r="V218" s="4">
        <f>SUMIFS(super1[Qtde],super1[Item],tab_alimentos[[#This Row],[Item]],super1[Bairro],mercado11)+SUMIFS(supercb[Qtde],supercb[Item],tab_alimentos[[#This Row],[Item]],supercb[Bairro],mercado11)</f>
        <v>0</v>
      </c>
      <c r="W218" s="4">
        <f>SUMIFS(super1[Qtde],super1[Item],tab_alimentos[[#This Row],[Item]],super1[Bairro],mercado12)+SUMIFS(supercb[Qtde],supercb[Item],tab_alimentos[[#This Row],[Item]],supercb[Bairro],mercado12)</f>
        <v>0</v>
      </c>
      <c r="X218" s="4">
        <f>SUMIFS(super1[Qtde],super1[Item],tab_alimentos[[#This Row],[Item]],super1[Bairro],mercado13)+SUMIFS(supercb[Qtde],supercb[Item],tab_alimentos[[#This Row],[Item]],supercb[Bairro],mercado13)</f>
        <v>0</v>
      </c>
      <c r="Y218" s="4">
        <f>SUMIFS(super1[Qtde],super1[Item],tab_alimentos[[#This Row],[Item]],super1[Bairro],mercado14)+SUMIFS(supercb[Qtde],supercb[Item],tab_alimentos[[#This Row],[Item]],supercb[Bairro],mercado14)</f>
        <v>0</v>
      </c>
      <c r="Z218" s="4">
        <f>SUMIFS(super1[Qtde],super1[Item],tab_alimentos[[#This Row],[Item]],super1[Bairro],mercado15)+SUMIFS(supercb[Qtde],supercb[Item],tab_alimentos[[#This Row],[Item]],supercb[Bairro],mercado15)</f>
        <v>0</v>
      </c>
      <c r="AA218" s="4">
        <f>SUMIFS(super1[Qtde],super1[Item],tab_alimentos[[#This Row],[Item]],super1[Bairro],mercado16)+SUMIFS(supercb[Qtde],supercb[Item],tab_alimentos[[#This Row],[Item]],supercb[Bairro],mercado16)</f>
        <v>0</v>
      </c>
      <c r="AB218" s="4">
        <f>SUMIFS(super1[Qtde],super1[Item],tab_alimentos[[#This Row],[Item]],super1[Bairro],mercado17)+SUMIFS(supercb[Qtde],supercb[Item],tab_alimentos[[#This Row],[Item]],supercb[Bairro],mercado17)</f>
        <v>0</v>
      </c>
      <c r="AC218" s="4">
        <f>SUMIFS(super1[Qtde],super1[Item],tab_alimentos[[#This Row],[Item]],super1[Bairro],mercado18)+SUMIFS(supercb[Qtde],supercb[Item],tab_alimentos[[#This Row],[Item]],supercb[Bairro],mercado18)</f>
        <v>0</v>
      </c>
      <c r="AD218" s="4">
        <f>SUMIFS(super1[Qtde],super1[Item],tab_alimentos[[#This Row],[Item]],super1[Bairro],extras)+SUMIFS(supercb[Qtde],supercb[Item],tab_alimentos[[#This Row],[Item]],supercb[Bairro],extras)</f>
        <v>0</v>
      </c>
      <c r="AE218" s="4">
        <f t="shared" si="82"/>
        <v>0</v>
      </c>
      <c r="AF218" s="4">
        <f t="shared" si="83"/>
        <v>0</v>
      </c>
      <c r="AG218" s="6">
        <f t="shared" si="84"/>
        <v>0</v>
      </c>
      <c r="AH218" s="13" t="str">
        <f>higiene[[#This Row],[Item]]</f>
        <v>Sabão em Pó (850g)</v>
      </c>
      <c r="AI218" s="9">
        <f>IFERROR(higiene[[#This Row],[Kg equivalente]],0)</f>
        <v>0</v>
      </c>
      <c r="AJ218" s="9">
        <f>IFERROR(higiene[[#This Row],[Preço por produto]],0)</f>
        <v>1.29</v>
      </c>
      <c r="AK218" s="4">
        <f>SUMIFS(super1[Qtde],super1[Item],tab_higiene[[#This Row],[Item]],super1[Bairro],mercado1)+SUMIFS(supercb[Qtde],supercb[Item],tab_higiene[[#This Row],[Item]],supercb[Bairro],mercado1)</f>
        <v>0</v>
      </c>
      <c r="AL218" s="4">
        <f>SUMIFS(super1[Qtde],super1[Item],tab_higiene[[#This Row],[Item]],super1[Bairro],mercado2)+SUMIFS(supercb[Qtde],supercb[Item],tab_higiene[[#This Row],[Item]],supercb[Bairro],mercado2)</f>
        <v>0</v>
      </c>
      <c r="AM218" s="4">
        <f>SUMIFS(super1[Qtde],super1[Item],tab_higiene[[#This Row],[Item]],super1[Bairro],mercado3)+SUMIFS(supercb[Qtde],supercb[Item],tab_higiene[[#This Row],[Item]],supercb[Bairro],mercado3)</f>
        <v>0</v>
      </c>
      <c r="AN218" s="4">
        <f>SUMIFS(super1[Qtde],super1[Item],tab_higiene[[#This Row],[Item]],super1[Bairro],mercado4)+SUMIFS(supercb[Qtde],supercb[Item],tab_higiene[[#This Row],[Item]],supercb[Bairro],mercado4)</f>
        <v>0</v>
      </c>
      <c r="AO218" s="4">
        <f>SUMIFS(super1[Qtde],super1[Item],tab_higiene[[#This Row],[Item]],super1[Bairro],mercado5)+SUMIFS(supercb[Qtde],supercb[Item],tab_higiene[[#This Row],[Item]],supercb[Bairro],mercado5)</f>
        <v>0</v>
      </c>
      <c r="AP218" s="4">
        <f>SUMIFS(super1[Qtde],super1[Item],tab_higiene[[#This Row],[Item]],super1[Bairro],mercado6)+SUMIFS(supercb[Qtde],supercb[Item],tab_higiene[[#This Row],[Item]],supercb[Bairro],mercado6)</f>
        <v>0</v>
      </c>
      <c r="AQ218" s="4">
        <f>SUMIFS(super1[Qtde],super1[Item],tab_higiene[[#This Row],[Item]],super1[Bairro],mercado7)+SUMIFS(supercb[Qtde],supercb[Item],tab_higiene[[#This Row],[Item]],supercb[Bairro],mercado7)</f>
        <v>0</v>
      </c>
      <c r="AR218" s="4">
        <f>SUMIFS(super1[Qtde],super1[Item],tab_higiene[[#This Row],[Item]],super1[Bairro],mercado8)+SUMIFS(supercb[Qtde],supercb[Item],tab_higiene[[#This Row],[Item]],supercb[Bairro],mercado8)</f>
        <v>0</v>
      </c>
      <c r="AS218" s="4">
        <f>SUMIFS(super1[Qtde],super1[Item],tab_higiene[[#This Row],[Item]],super1[Bairro],mercado9)+SUMIFS(supercb[Qtde],supercb[Item],tab_higiene[[#This Row],[Item]],supercb[Bairro],mercado9)</f>
        <v>0</v>
      </c>
      <c r="AT218" s="4">
        <f>SUMIFS(super1[Qtde],super1[Item],tab_higiene[[#This Row],[Item]],super1[Bairro],mercado10)+SUMIFS(supercb[Qtde],supercb[Item],tab_higiene[[#This Row],[Item]],supercb[Bairro],mercado10)</f>
        <v>0</v>
      </c>
      <c r="AU218" s="4">
        <f>SUMIFS(super1[Qtde],super1[Item],tab_higiene[[#This Row],[Item]],super1[Bairro],mercado11)+SUMIFS(supercb[Qtde],supercb[Item],tab_higiene[[#This Row],[Item]],supercb[Bairro],mercado11)</f>
        <v>0</v>
      </c>
      <c r="AV218" s="4">
        <f>SUMIFS(super1[Qtde],super1[Item],tab_higiene[[#This Row],[Item]],super1[Bairro],mercado12)+SUMIFS(supercb[Qtde],supercb[Item],tab_higiene[[#This Row],[Item]],supercb[Bairro],mercado12)</f>
        <v>0</v>
      </c>
      <c r="AW218" s="4">
        <f>SUMIFS(super1[Qtde],super1[Item],tab_higiene[[#This Row],[Item]],super1[Bairro],mercado13)+SUMIFS(supercb[Qtde],supercb[Item],tab_higiene[[#This Row],[Item]],supercb[Bairro],mercado13)</f>
        <v>0</v>
      </c>
      <c r="AX218" s="4">
        <f>SUMIFS(super1[Qtde],super1[Item],tab_higiene[[#This Row],[Item]],super1[Bairro],mercado14)+SUMIFS(supercb[Qtde],supercb[Item],tab_higiene[[#This Row],[Item]],supercb[Bairro],mercado14)</f>
        <v>0</v>
      </c>
      <c r="AY218" s="4">
        <f>SUMIFS(super1[Qtde],super1[Item],tab_higiene[[#This Row],[Item]],super1[Bairro],mercado15)+SUMIFS(supercb[Qtde],supercb[Item],tab_higiene[[#This Row],[Item]],supercb[Bairro],mercado15)</f>
        <v>0</v>
      </c>
      <c r="AZ218" s="4">
        <f>SUMIFS(super1[Qtde],super1[Item],tab_higiene[[#This Row],[Item]],super1[Bairro],mercado16)+SUMIFS(supercb[Qtde],supercb[Item],tab_higiene[[#This Row],[Item]],supercb[Bairro],mercado16)</f>
        <v>0</v>
      </c>
      <c r="BA218" s="4">
        <f>SUMIFS(super1[Qtde],super1[Item],tab_higiene[[#This Row],[Item]],super1[Bairro],mercado17)+SUMIFS(supercb[Qtde],supercb[Item],tab_higiene[[#This Row],[Item]],supercb[Bairro],mercado17)</f>
        <v>0</v>
      </c>
      <c r="BB218" s="4">
        <f>SUMIFS(super1[Qtde],super1[Item],tab_higiene[[#This Row],[Item]],super1[Bairro],mercado18)+SUMIFS(supercb[Qtde],supercb[Item],tab_higiene[[#This Row],[Item]],supercb[Bairro],mercado18)</f>
        <v>0</v>
      </c>
      <c r="BC218" s="31">
        <f>SUMIFS(super1[Qtde],super1[Item],tab_higiene[[#This Row],[Item]],super1[Bairro],extras)+SUMIFS(supercb[Qtde],supercb[Item],tab_higiene[[#This Row],[Item]],supercb[Bairro],extras)</f>
        <v>0</v>
      </c>
      <c r="BD218" s="9">
        <f t="shared" si="85"/>
        <v>0</v>
      </c>
      <c r="BE218" s="9">
        <f t="shared" si="86"/>
        <v>0</v>
      </c>
      <c r="BF218" s="18">
        <f t="shared" si="87"/>
        <v>0</v>
      </c>
    </row>
    <row r="219" spans="9:58" ht="15.75" thickBot="1" x14ac:dyDescent="0.3">
      <c r="I219" s="19" t="str">
        <f>alimentos[[#This Row],[Item]]</f>
        <v>Farinha de Rosca (500g)</v>
      </c>
      <c r="J219" s="4">
        <f>IFERROR(alimentos[[#This Row],[kg/embalagem]],0)</f>
        <v>0.5</v>
      </c>
      <c r="K219" s="4">
        <f>IFERROR(alimentos[[#This Row],[Preço]],0)</f>
        <v>5.95</v>
      </c>
      <c r="L219" s="4">
        <f>SUMIFS(super1[Qtde],super1[Item],tab_alimentos[[#This Row],[Item]],super1[Bairro],mercado1)+SUMIFS(supercb[Qtde],supercb[Item],tab_alimentos[[#This Row],[Item]],supercb[Bairro],mercado1)</f>
        <v>0</v>
      </c>
      <c r="M219" s="4">
        <f>SUMIFS(super1[Qtde],super1[Item],tab_alimentos[[#This Row],[Item]],super1[Bairro],mercado2)+SUMIFS(supercb[Qtde],supercb[Item],tab_alimentos[[#This Row],[Item]],supercb[Bairro],mercado2)</f>
        <v>0</v>
      </c>
      <c r="N219" s="4">
        <f>SUMIFS(super1[Qtde],super1[Item],tab_alimentos[[#This Row],[Item]],super1[Bairro],mercado3)+SUMIFS(supercb[Qtde],supercb[Item],tab_alimentos[[#This Row],[Item]],supercb[Bairro],mercado3)</f>
        <v>0</v>
      </c>
      <c r="O219" s="4">
        <f>SUMIFS(super1[Qtde],super1[Item],tab_alimentos[[#This Row],[Item]],super1[Bairro],mercado4)+SUMIFS(supercb[Qtde],supercb[Item],tab_alimentos[[#This Row],[Item]],supercb[Bairro],mercado4)</f>
        <v>0</v>
      </c>
      <c r="P219" s="4">
        <f>SUMIFS(super1[Qtde],super1[Item],tab_alimentos[[#This Row],[Item]],super1[Bairro],mercado5)+SUMIFS(supercb[Qtde],supercb[Item],tab_alimentos[[#This Row],[Item]],supercb[Bairro],mercado5)</f>
        <v>0</v>
      </c>
      <c r="Q219" s="4">
        <f>SUMIFS(super1[Qtde],super1[Item],tab_alimentos[[#This Row],[Item]],super1[Bairro],mercado6)+SUMIFS(supercb[Qtde],supercb[Item],tab_alimentos[[#This Row],[Item]],supercb[Bairro],mercado6)</f>
        <v>0</v>
      </c>
      <c r="R219" s="4">
        <f>SUMIFS(super1[Qtde],super1[Item],tab_alimentos[[#This Row],[Item]],super1[Bairro],mercado7)+SUMIFS(supercb[Qtde],supercb[Item],tab_alimentos[[#This Row],[Item]],supercb[Bairro],mercado7)</f>
        <v>0</v>
      </c>
      <c r="S219" s="4">
        <f>SUMIFS(super1[Qtde],super1[Item],tab_alimentos[[#This Row],[Item]],super1[Bairro],mercado8)+SUMIFS(supercb[Qtde],supercb[Item],tab_alimentos[[#This Row],[Item]],supercb[Bairro],mercado8)</f>
        <v>0</v>
      </c>
      <c r="T219" s="4">
        <f>SUMIFS(super1[Qtde],super1[Item],tab_alimentos[[#This Row],[Item]],super1[Bairro],mercado9)+SUMIFS(supercb[Qtde],supercb[Item],tab_alimentos[[#This Row],[Item]],supercb[Bairro],mercado9)</f>
        <v>0</v>
      </c>
      <c r="U219" s="4">
        <f>SUMIFS(super1[Qtde],super1[Item],tab_alimentos[[#This Row],[Item]],super1[Bairro],mercado10)+SUMIFS(supercb[Qtde],supercb[Item],tab_alimentos[[#This Row],[Item]],supercb[Bairro],mercado10)</f>
        <v>0</v>
      </c>
      <c r="V219" s="4">
        <f>SUMIFS(super1[Qtde],super1[Item],tab_alimentos[[#This Row],[Item]],super1[Bairro],mercado11)+SUMIFS(supercb[Qtde],supercb[Item],tab_alimentos[[#This Row],[Item]],supercb[Bairro],mercado11)</f>
        <v>0</v>
      </c>
      <c r="W219" s="4">
        <f>SUMIFS(super1[Qtde],super1[Item],tab_alimentos[[#This Row],[Item]],super1[Bairro],mercado12)+SUMIFS(supercb[Qtde],supercb[Item],tab_alimentos[[#This Row],[Item]],supercb[Bairro],mercado12)</f>
        <v>0</v>
      </c>
      <c r="X219" s="4">
        <f>SUMIFS(super1[Qtde],super1[Item],tab_alimentos[[#This Row],[Item]],super1[Bairro],mercado13)+SUMIFS(supercb[Qtde],supercb[Item],tab_alimentos[[#This Row],[Item]],supercb[Bairro],mercado13)</f>
        <v>0</v>
      </c>
      <c r="Y219" s="4">
        <f>SUMIFS(super1[Qtde],super1[Item],tab_alimentos[[#This Row],[Item]],super1[Bairro],mercado14)+SUMIFS(supercb[Qtde],supercb[Item],tab_alimentos[[#This Row],[Item]],supercb[Bairro],mercado14)</f>
        <v>0</v>
      </c>
      <c r="Z219" s="4">
        <f>SUMIFS(super1[Qtde],super1[Item],tab_alimentos[[#This Row],[Item]],super1[Bairro],mercado15)+SUMIFS(supercb[Qtde],supercb[Item],tab_alimentos[[#This Row],[Item]],supercb[Bairro],mercado15)</f>
        <v>0</v>
      </c>
      <c r="AA219" s="4">
        <f>SUMIFS(super1[Qtde],super1[Item],tab_alimentos[[#This Row],[Item]],super1[Bairro],mercado16)+SUMIFS(supercb[Qtde],supercb[Item],tab_alimentos[[#This Row],[Item]],supercb[Bairro],mercado16)</f>
        <v>0</v>
      </c>
      <c r="AB219" s="4">
        <f>SUMIFS(super1[Qtde],super1[Item],tab_alimentos[[#This Row],[Item]],super1[Bairro],mercado17)+SUMIFS(supercb[Qtde],supercb[Item],tab_alimentos[[#This Row],[Item]],supercb[Bairro],mercado17)</f>
        <v>0</v>
      </c>
      <c r="AC219" s="4">
        <f>SUMIFS(super1[Qtde],super1[Item],tab_alimentos[[#This Row],[Item]],super1[Bairro],mercado18)+SUMIFS(supercb[Qtde],supercb[Item],tab_alimentos[[#This Row],[Item]],supercb[Bairro],mercado18)</f>
        <v>0</v>
      </c>
      <c r="AD219" s="4">
        <f>SUMIFS(super1[Qtde],super1[Item],tab_alimentos[[#This Row],[Item]],super1[Bairro],extras)+SUMIFS(supercb[Qtde],supercb[Item],tab_alimentos[[#This Row],[Item]],supercb[Bairro],extras)</f>
        <v>0</v>
      </c>
      <c r="AE219" s="4">
        <f t="shared" si="82"/>
        <v>0</v>
      </c>
      <c r="AF219" s="4">
        <f t="shared" si="83"/>
        <v>0</v>
      </c>
      <c r="AG219" s="6">
        <f t="shared" si="84"/>
        <v>0</v>
      </c>
      <c r="AH219" s="13" t="str">
        <f>higiene[[#This Row],[Item]]</f>
        <v>Sabão Líquido (1L)</v>
      </c>
      <c r="AI219" s="9">
        <f>IFERROR(higiene[[#This Row],[Kg equivalente]],0)</f>
        <v>0</v>
      </c>
      <c r="AJ219" s="9">
        <f>IFERROR(higiene[[#This Row],[Preço por produto]],0)</f>
        <v>15.99</v>
      </c>
      <c r="AK219" s="4">
        <f>SUMIFS(super1[Qtde],super1[Item],tab_higiene[[#This Row],[Item]],super1[Bairro],mercado1)+SUMIFS(supercb[Qtde],supercb[Item],tab_higiene[[#This Row],[Item]],supercb[Bairro],mercado1)</f>
        <v>0</v>
      </c>
      <c r="AL219" s="4">
        <f>SUMIFS(super1[Qtde],super1[Item],tab_higiene[[#This Row],[Item]],super1[Bairro],mercado2)+SUMIFS(supercb[Qtde],supercb[Item],tab_higiene[[#This Row],[Item]],supercb[Bairro],mercado2)</f>
        <v>0</v>
      </c>
      <c r="AM219" s="4">
        <f>SUMIFS(super1[Qtde],super1[Item],tab_higiene[[#This Row],[Item]],super1[Bairro],mercado3)+SUMIFS(supercb[Qtde],supercb[Item],tab_higiene[[#This Row],[Item]],supercb[Bairro],mercado3)</f>
        <v>0</v>
      </c>
      <c r="AN219" s="4">
        <f>SUMIFS(super1[Qtde],super1[Item],tab_higiene[[#This Row],[Item]],super1[Bairro],mercado4)+SUMIFS(supercb[Qtde],supercb[Item],tab_higiene[[#This Row],[Item]],supercb[Bairro],mercado4)</f>
        <v>0</v>
      </c>
      <c r="AO219" s="4">
        <f>SUMIFS(super1[Qtde],super1[Item],tab_higiene[[#This Row],[Item]],super1[Bairro],mercado5)+SUMIFS(supercb[Qtde],supercb[Item],tab_higiene[[#This Row],[Item]],supercb[Bairro],mercado5)</f>
        <v>0</v>
      </c>
      <c r="AP219" s="4">
        <f>SUMIFS(super1[Qtde],super1[Item],tab_higiene[[#This Row],[Item]],super1[Bairro],mercado6)+SUMIFS(supercb[Qtde],supercb[Item],tab_higiene[[#This Row],[Item]],supercb[Bairro],mercado6)</f>
        <v>0</v>
      </c>
      <c r="AQ219" s="4">
        <f>SUMIFS(super1[Qtde],super1[Item],tab_higiene[[#This Row],[Item]],super1[Bairro],mercado7)+SUMIFS(supercb[Qtde],supercb[Item],tab_higiene[[#This Row],[Item]],supercb[Bairro],mercado7)</f>
        <v>0</v>
      </c>
      <c r="AR219" s="4">
        <f>SUMIFS(super1[Qtde],super1[Item],tab_higiene[[#This Row],[Item]],super1[Bairro],mercado8)+SUMIFS(supercb[Qtde],supercb[Item],tab_higiene[[#This Row],[Item]],supercb[Bairro],mercado8)</f>
        <v>0</v>
      </c>
      <c r="AS219" s="4">
        <f>SUMIFS(super1[Qtde],super1[Item],tab_higiene[[#This Row],[Item]],super1[Bairro],mercado9)+SUMIFS(supercb[Qtde],supercb[Item],tab_higiene[[#This Row],[Item]],supercb[Bairro],mercado9)</f>
        <v>0</v>
      </c>
      <c r="AT219" s="4">
        <f>SUMIFS(super1[Qtde],super1[Item],tab_higiene[[#This Row],[Item]],super1[Bairro],mercado10)+SUMIFS(supercb[Qtde],supercb[Item],tab_higiene[[#This Row],[Item]],supercb[Bairro],mercado10)</f>
        <v>0</v>
      </c>
      <c r="AU219" s="4">
        <f>SUMIFS(super1[Qtde],super1[Item],tab_higiene[[#This Row],[Item]],super1[Bairro],mercado11)+SUMIFS(supercb[Qtde],supercb[Item],tab_higiene[[#This Row],[Item]],supercb[Bairro],mercado11)</f>
        <v>0</v>
      </c>
      <c r="AV219" s="4">
        <f>SUMIFS(super1[Qtde],super1[Item],tab_higiene[[#This Row],[Item]],super1[Bairro],mercado12)+SUMIFS(supercb[Qtde],supercb[Item],tab_higiene[[#This Row],[Item]],supercb[Bairro],mercado12)</f>
        <v>0</v>
      </c>
      <c r="AW219" s="4">
        <f>SUMIFS(super1[Qtde],super1[Item],tab_higiene[[#This Row],[Item]],super1[Bairro],mercado13)+SUMIFS(supercb[Qtde],supercb[Item],tab_higiene[[#This Row],[Item]],supercb[Bairro],mercado13)</f>
        <v>0</v>
      </c>
      <c r="AX219" s="4">
        <f>SUMIFS(super1[Qtde],super1[Item],tab_higiene[[#This Row],[Item]],super1[Bairro],mercado14)+SUMIFS(supercb[Qtde],supercb[Item],tab_higiene[[#This Row],[Item]],supercb[Bairro],mercado14)</f>
        <v>0</v>
      </c>
      <c r="AY219" s="4">
        <f>SUMIFS(super1[Qtde],super1[Item],tab_higiene[[#This Row],[Item]],super1[Bairro],mercado15)+SUMIFS(supercb[Qtde],supercb[Item],tab_higiene[[#This Row],[Item]],supercb[Bairro],mercado15)</f>
        <v>0</v>
      </c>
      <c r="AZ219" s="4">
        <f>SUMIFS(super1[Qtde],super1[Item],tab_higiene[[#This Row],[Item]],super1[Bairro],mercado16)+SUMIFS(supercb[Qtde],supercb[Item],tab_higiene[[#This Row],[Item]],supercb[Bairro],mercado16)</f>
        <v>0</v>
      </c>
      <c r="BA219" s="4">
        <f>SUMIFS(super1[Qtde],super1[Item],tab_higiene[[#This Row],[Item]],super1[Bairro],mercado17)+SUMIFS(supercb[Qtde],supercb[Item],tab_higiene[[#This Row],[Item]],supercb[Bairro],mercado17)</f>
        <v>0</v>
      </c>
      <c r="BB219" s="4">
        <f>SUMIFS(super1[Qtde],super1[Item],tab_higiene[[#This Row],[Item]],super1[Bairro],mercado18)+SUMIFS(supercb[Qtde],supercb[Item],tab_higiene[[#This Row],[Item]],supercb[Bairro],mercado18)</f>
        <v>0</v>
      </c>
      <c r="BC219" s="31">
        <f>SUMIFS(super1[Qtde],super1[Item],tab_higiene[[#This Row],[Item]],super1[Bairro],extras)+SUMIFS(supercb[Qtde],supercb[Item],tab_higiene[[#This Row],[Item]],supercb[Bairro],extras)</f>
        <v>0</v>
      </c>
      <c r="BD219" s="9">
        <f t="shared" si="85"/>
        <v>0</v>
      </c>
      <c r="BE219" s="9">
        <f t="shared" si="86"/>
        <v>0</v>
      </c>
      <c r="BF219" s="18">
        <f t="shared" si="87"/>
        <v>0</v>
      </c>
    </row>
    <row r="220" spans="9:58" ht="15.75" thickBot="1" x14ac:dyDescent="0.3">
      <c r="I220" s="19" t="str">
        <f>alimentos[[#This Row],[Item]]</f>
        <v>Farinha de Trigo (1kg)</v>
      </c>
      <c r="J220" s="4">
        <f>IFERROR(alimentos[[#This Row],[kg/embalagem]],0)</f>
        <v>1</v>
      </c>
      <c r="K220" s="4">
        <f>IFERROR(alimentos[[#This Row],[Preço]],0)</f>
        <v>5.28</v>
      </c>
      <c r="L220" s="4">
        <f>SUMIFS(super1[Qtde],super1[Item],tab_alimentos[[#This Row],[Item]],super1[Bairro],mercado1)+SUMIFS(supercb[Qtde],supercb[Item],tab_alimentos[[#This Row],[Item]],supercb[Bairro],mercado1)</f>
        <v>0</v>
      </c>
      <c r="M220" s="4">
        <f>SUMIFS(super1[Qtde],super1[Item],tab_alimentos[[#This Row],[Item]],super1[Bairro],mercado2)+SUMIFS(supercb[Qtde],supercb[Item],tab_alimentos[[#This Row],[Item]],supercb[Bairro],mercado2)</f>
        <v>0</v>
      </c>
      <c r="N220" s="4">
        <f>SUMIFS(super1[Qtde],super1[Item],tab_alimentos[[#This Row],[Item]],super1[Bairro],mercado3)+SUMIFS(supercb[Qtde],supercb[Item],tab_alimentos[[#This Row],[Item]],supercb[Bairro],mercado3)</f>
        <v>0</v>
      </c>
      <c r="O220" s="4">
        <f>SUMIFS(super1[Qtde],super1[Item],tab_alimentos[[#This Row],[Item]],super1[Bairro],mercado4)+SUMIFS(supercb[Qtde],supercb[Item],tab_alimentos[[#This Row],[Item]],supercb[Bairro],mercado4)</f>
        <v>0</v>
      </c>
      <c r="P220" s="4">
        <f>SUMIFS(super1[Qtde],super1[Item],tab_alimentos[[#This Row],[Item]],super1[Bairro],mercado5)+SUMIFS(supercb[Qtde],supercb[Item],tab_alimentos[[#This Row],[Item]],supercb[Bairro],mercado5)</f>
        <v>0</v>
      </c>
      <c r="Q220" s="4">
        <f>SUMIFS(super1[Qtde],super1[Item],tab_alimentos[[#This Row],[Item]],super1[Bairro],mercado6)+SUMIFS(supercb[Qtde],supercb[Item],tab_alimentos[[#This Row],[Item]],supercb[Bairro],mercado6)</f>
        <v>0</v>
      </c>
      <c r="R220" s="4">
        <f>SUMIFS(super1[Qtde],super1[Item],tab_alimentos[[#This Row],[Item]],super1[Bairro],mercado7)+SUMIFS(supercb[Qtde],supercb[Item],tab_alimentos[[#This Row],[Item]],supercb[Bairro],mercado7)</f>
        <v>0</v>
      </c>
      <c r="S220" s="4">
        <f>SUMIFS(super1[Qtde],super1[Item],tab_alimentos[[#This Row],[Item]],super1[Bairro],mercado8)+SUMIFS(supercb[Qtde],supercb[Item],tab_alimentos[[#This Row],[Item]],supercb[Bairro],mercado8)</f>
        <v>0</v>
      </c>
      <c r="T220" s="4">
        <f>SUMIFS(super1[Qtde],super1[Item],tab_alimentos[[#This Row],[Item]],super1[Bairro],mercado9)+SUMIFS(supercb[Qtde],supercb[Item],tab_alimentos[[#This Row],[Item]],supercb[Bairro],mercado9)</f>
        <v>0</v>
      </c>
      <c r="U220" s="4">
        <f>SUMIFS(super1[Qtde],super1[Item],tab_alimentos[[#This Row],[Item]],super1[Bairro],mercado10)+SUMIFS(supercb[Qtde],supercb[Item],tab_alimentos[[#This Row],[Item]],supercb[Bairro],mercado10)</f>
        <v>0</v>
      </c>
      <c r="V220" s="4">
        <f>SUMIFS(super1[Qtde],super1[Item],tab_alimentos[[#This Row],[Item]],super1[Bairro],mercado11)+SUMIFS(supercb[Qtde],supercb[Item],tab_alimentos[[#This Row],[Item]],supercb[Bairro],mercado11)</f>
        <v>0</v>
      </c>
      <c r="W220" s="4">
        <f>SUMIFS(super1[Qtde],super1[Item],tab_alimentos[[#This Row],[Item]],super1[Bairro],mercado12)+SUMIFS(supercb[Qtde],supercb[Item],tab_alimentos[[#This Row],[Item]],supercb[Bairro],mercado12)</f>
        <v>0</v>
      </c>
      <c r="X220" s="4">
        <f>SUMIFS(super1[Qtde],super1[Item],tab_alimentos[[#This Row],[Item]],super1[Bairro],mercado13)+SUMIFS(supercb[Qtde],supercb[Item],tab_alimentos[[#This Row],[Item]],supercb[Bairro],mercado13)</f>
        <v>0</v>
      </c>
      <c r="Y220" s="4">
        <f>SUMIFS(super1[Qtde],super1[Item],tab_alimentos[[#This Row],[Item]],super1[Bairro],mercado14)+SUMIFS(supercb[Qtde],supercb[Item],tab_alimentos[[#This Row],[Item]],supercb[Bairro],mercado14)</f>
        <v>0</v>
      </c>
      <c r="Z220" s="4">
        <f>SUMIFS(super1[Qtde],super1[Item],tab_alimentos[[#This Row],[Item]],super1[Bairro],mercado15)+SUMIFS(supercb[Qtde],supercb[Item],tab_alimentos[[#This Row],[Item]],supercb[Bairro],mercado15)</f>
        <v>0</v>
      </c>
      <c r="AA220" s="4">
        <f>SUMIFS(super1[Qtde],super1[Item],tab_alimentos[[#This Row],[Item]],super1[Bairro],mercado16)+SUMIFS(supercb[Qtde],supercb[Item],tab_alimentos[[#This Row],[Item]],supercb[Bairro],mercado16)</f>
        <v>0</v>
      </c>
      <c r="AB220" s="4">
        <f>SUMIFS(super1[Qtde],super1[Item],tab_alimentos[[#This Row],[Item]],super1[Bairro],mercado17)+SUMIFS(supercb[Qtde],supercb[Item],tab_alimentos[[#This Row],[Item]],supercb[Bairro],mercado17)</f>
        <v>0</v>
      </c>
      <c r="AC220" s="4">
        <f>SUMIFS(super1[Qtde],super1[Item],tab_alimentos[[#This Row],[Item]],super1[Bairro],mercado18)+SUMIFS(supercb[Qtde],supercb[Item],tab_alimentos[[#This Row],[Item]],supercb[Bairro],mercado18)</f>
        <v>0</v>
      </c>
      <c r="AD220" s="4">
        <f>SUMIFS(super1[Qtde],super1[Item],tab_alimentos[[#This Row],[Item]],super1[Bairro],extras)+SUMIFS(supercb[Qtde],supercb[Item],tab_alimentos[[#This Row],[Item]],supercb[Bairro],extras)</f>
        <v>0</v>
      </c>
      <c r="AE220" s="4">
        <f t="shared" si="82"/>
        <v>0</v>
      </c>
      <c r="AF220" s="4">
        <f t="shared" si="83"/>
        <v>0</v>
      </c>
      <c r="AG220" s="6">
        <f t="shared" si="84"/>
        <v>0</v>
      </c>
      <c r="AH220" s="13" t="str">
        <f>higiene[[#This Row],[Item]]</f>
        <v>Sabão Líquido (1L)</v>
      </c>
      <c r="AI220" s="9">
        <f>IFERROR(higiene[[#This Row],[Kg equivalente]],0)</f>
        <v>0</v>
      </c>
      <c r="AJ220" s="9">
        <f>IFERROR(higiene[[#This Row],[Preço por produto]],0)</f>
        <v>15.99</v>
      </c>
      <c r="AK220" s="4">
        <f>SUMIFS(super1[Qtde],super1[Item],tab_higiene[[#This Row],[Item]],super1[Bairro],mercado1)+SUMIFS(supercb[Qtde],supercb[Item],tab_higiene[[#This Row],[Item]],supercb[Bairro],mercado1)</f>
        <v>0</v>
      </c>
      <c r="AL220" s="4">
        <f>SUMIFS(super1[Qtde],super1[Item],tab_higiene[[#This Row],[Item]],super1[Bairro],mercado2)+SUMIFS(supercb[Qtde],supercb[Item],tab_higiene[[#This Row],[Item]],supercb[Bairro],mercado2)</f>
        <v>0</v>
      </c>
      <c r="AM220" s="4">
        <f>SUMIFS(super1[Qtde],super1[Item],tab_higiene[[#This Row],[Item]],super1[Bairro],mercado3)+SUMIFS(supercb[Qtde],supercb[Item],tab_higiene[[#This Row],[Item]],supercb[Bairro],mercado3)</f>
        <v>0</v>
      </c>
      <c r="AN220" s="4">
        <f>SUMIFS(super1[Qtde],super1[Item],tab_higiene[[#This Row],[Item]],super1[Bairro],mercado4)+SUMIFS(supercb[Qtde],supercb[Item],tab_higiene[[#This Row],[Item]],supercb[Bairro],mercado4)</f>
        <v>0</v>
      </c>
      <c r="AO220" s="4">
        <f>SUMIFS(super1[Qtde],super1[Item],tab_higiene[[#This Row],[Item]],super1[Bairro],mercado5)+SUMIFS(supercb[Qtde],supercb[Item],tab_higiene[[#This Row],[Item]],supercb[Bairro],mercado5)</f>
        <v>0</v>
      </c>
      <c r="AP220" s="4">
        <f>SUMIFS(super1[Qtde],super1[Item],tab_higiene[[#This Row],[Item]],super1[Bairro],mercado6)+SUMIFS(supercb[Qtde],supercb[Item],tab_higiene[[#This Row],[Item]],supercb[Bairro],mercado6)</f>
        <v>0</v>
      </c>
      <c r="AQ220" s="4">
        <f>SUMIFS(super1[Qtde],super1[Item],tab_higiene[[#This Row],[Item]],super1[Bairro],mercado7)+SUMIFS(supercb[Qtde],supercb[Item],tab_higiene[[#This Row],[Item]],supercb[Bairro],mercado7)</f>
        <v>0</v>
      </c>
      <c r="AR220" s="4">
        <f>SUMIFS(super1[Qtde],super1[Item],tab_higiene[[#This Row],[Item]],super1[Bairro],mercado8)+SUMIFS(supercb[Qtde],supercb[Item],tab_higiene[[#This Row],[Item]],supercb[Bairro],mercado8)</f>
        <v>0</v>
      </c>
      <c r="AS220" s="4">
        <f>SUMIFS(super1[Qtde],super1[Item],tab_higiene[[#This Row],[Item]],super1[Bairro],mercado9)+SUMIFS(supercb[Qtde],supercb[Item],tab_higiene[[#This Row],[Item]],supercb[Bairro],mercado9)</f>
        <v>0</v>
      </c>
      <c r="AT220" s="4">
        <f>SUMIFS(super1[Qtde],super1[Item],tab_higiene[[#This Row],[Item]],super1[Bairro],mercado10)+SUMIFS(supercb[Qtde],supercb[Item],tab_higiene[[#This Row],[Item]],supercb[Bairro],mercado10)</f>
        <v>0</v>
      </c>
      <c r="AU220" s="4">
        <f>SUMIFS(super1[Qtde],super1[Item],tab_higiene[[#This Row],[Item]],super1[Bairro],mercado11)+SUMIFS(supercb[Qtde],supercb[Item],tab_higiene[[#This Row],[Item]],supercb[Bairro],mercado11)</f>
        <v>0</v>
      </c>
      <c r="AV220" s="4">
        <f>SUMIFS(super1[Qtde],super1[Item],tab_higiene[[#This Row],[Item]],super1[Bairro],mercado12)+SUMIFS(supercb[Qtde],supercb[Item],tab_higiene[[#This Row],[Item]],supercb[Bairro],mercado12)</f>
        <v>0</v>
      </c>
      <c r="AW220" s="4">
        <f>SUMIFS(super1[Qtde],super1[Item],tab_higiene[[#This Row],[Item]],super1[Bairro],mercado13)+SUMIFS(supercb[Qtde],supercb[Item],tab_higiene[[#This Row],[Item]],supercb[Bairro],mercado13)</f>
        <v>0</v>
      </c>
      <c r="AX220" s="4">
        <f>SUMIFS(super1[Qtde],super1[Item],tab_higiene[[#This Row],[Item]],super1[Bairro],mercado14)+SUMIFS(supercb[Qtde],supercb[Item],tab_higiene[[#This Row],[Item]],supercb[Bairro],mercado14)</f>
        <v>0</v>
      </c>
      <c r="AY220" s="4">
        <f>SUMIFS(super1[Qtde],super1[Item],tab_higiene[[#This Row],[Item]],super1[Bairro],mercado15)+SUMIFS(supercb[Qtde],supercb[Item],tab_higiene[[#This Row],[Item]],supercb[Bairro],mercado15)</f>
        <v>0</v>
      </c>
      <c r="AZ220" s="4">
        <f>SUMIFS(super1[Qtde],super1[Item],tab_higiene[[#This Row],[Item]],super1[Bairro],mercado16)+SUMIFS(supercb[Qtde],supercb[Item],tab_higiene[[#This Row],[Item]],supercb[Bairro],mercado16)</f>
        <v>0</v>
      </c>
      <c r="BA220" s="4">
        <f>SUMIFS(super1[Qtde],super1[Item],tab_higiene[[#This Row],[Item]],super1[Bairro],mercado17)+SUMIFS(supercb[Qtde],supercb[Item],tab_higiene[[#This Row],[Item]],supercb[Bairro],mercado17)</f>
        <v>0</v>
      </c>
      <c r="BB220" s="4">
        <f>SUMIFS(super1[Qtde],super1[Item],tab_higiene[[#This Row],[Item]],super1[Bairro],mercado18)+SUMIFS(supercb[Qtde],supercb[Item],tab_higiene[[#This Row],[Item]],supercb[Bairro],mercado18)</f>
        <v>0</v>
      </c>
      <c r="BC220" s="31">
        <f>SUMIFS(super1[Qtde],super1[Item],tab_higiene[[#This Row],[Item]],super1[Bairro],extras)+SUMIFS(supercb[Qtde],supercb[Item],tab_higiene[[#This Row],[Item]],supercb[Bairro],extras)</f>
        <v>0</v>
      </c>
      <c r="BD220" s="9">
        <f t="shared" si="85"/>
        <v>0</v>
      </c>
      <c r="BE220" s="9">
        <f t="shared" si="86"/>
        <v>0</v>
      </c>
      <c r="BF220" s="18">
        <f t="shared" si="87"/>
        <v>0</v>
      </c>
    </row>
    <row r="221" spans="9:58" ht="15.75" thickBot="1" x14ac:dyDescent="0.3">
      <c r="I221" s="19" t="str">
        <f>alimentos[[#This Row],[Item]]</f>
        <v>Farinha Láctea (210g)</v>
      </c>
      <c r="J221" s="4">
        <f>IFERROR(alimentos[[#This Row],[kg/embalagem]],0)</f>
        <v>0.21</v>
      </c>
      <c r="K221" s="4">
        <f>IFERROR(alimentos[[#This Row],[Preço]],0)</f>
        <v>8.5299999999999994</v>
      </c>
      <c r="L221" s="4">
        <f>SUMIFS(super1[Qtde],super1[Item],tab_alimentos[[#This Row],[Item]],super1[Bairro],mercado1)+SUMIFS(supercb[Qtde],supercb[Item],tab_alimentos[[#This Row],[Item]],supercb[Bairro],mercado1)</f>
        <v>0</v>
      </c>
      <c r="M221" s="4">
        <f>SUMIFS(super1[Qtde],super1[Item],tab_alimentos[[#This Row],[Item]],super1[Bairro],mercado2)+SUMIFS(supercb[Qtde],supercb[Item],tab_alimentos[[#This Row],[Item]],supercb[Bairro],mercado2)</f>
        <v>0</v>
      </c>
      <c r="N221" s="4">
        <f>SUMIFS(super1[Qtde],super1[Item],tab_alimentos[[#This Row],[Item]],super1[Bairro],mercado3)+SUMIFS(supercb[Qtde],supercb[Item],tab_alimentos[[#This Row],[Item]],supercb[Bairro],mercado3)</f>
        <v>0</v>
      </c>
      <c r="O221" s="4">
        <f>SUMIFS(super1[Qtde],super1[Item],tab_alimentos[[#This Row],[Item]],super1[Bairro],mercado4)+SUMIFS(supercb[Qtde],supercb[Item],tab_alimentos[[#This Row],[Item]],supercb[Bairro],mercado4)</f>
        <v>0</v>
      </c>
      <c r="P221" s="4">
        <f>SUMIFS(super1[Qtde],super1[Item],tab_alimentos[[#This Row],[Item]],super1[Bairro],mercado5)+SUMIFS(supercb[Qtde],supercb[Item],tab_alimentos[[#This Row],[Item]],supercb[Bairro],mercado5)</f>
        <v>0</v>
      </c>
      <c r="Q221" s="4">
        <f>SUMIFS(super1[Qtde],super1[Item],tab_alimentos[[#This Row],[Item]],super1[Bairro],mercado6)+SUMIFS(supercb[Qtde],supercb[Item],tab_alimentos[[#This Row],[Item]],supercb[Bairro],mercado6)</f>
        <v>0</v>
      </c>
      <c r="R221" s="4">
        <f>SUMIFS(super1[Qtde],super1[Item],tab_alimentos[[#This Row],[Item]],super1[Bairro],mercado7)+SUMIFS(supercb[Qtde],supercb[Item],tab_alimentos[[#This Row],[Item]],supercb[Bairro],mercado7)</f>
        <v>0</v>
      </c>
      <c r="S221" s="4">
        <f>SUMIFS(super1[Qtde],super1[Item],tab_alimentos[[#This Row],[Item]],super1[Bairro],mercado8)+SUMIFS(supercb[Qtde],supercb[Item],tab_alimentos[[#This Row],[Item]],supercb[Bairro],mercado8)</f>
        <v>0</v>
      </c>
      <c r="T221" s="4">
        <f>SUMIFS(super1[Qtde],super1[Item],tab_alimentos[[#This Row],[Item]],super1[Bairro],mercado9)+SUMIFS(supercb[Qtde],supercb[Item],tab_alimentos[[#This Row],[Item]],supercb[Bairro],mercado9)</f>
        <v>0</v>
      </c>
      <c r="U221" s="4">
        <f>SUMIFS(super1[Qtde],super1[Item],tab_alimentos[[#This Row],[Item]],super1[Bairro],mercado10)+SUMIFS(supercb[Qtde],supercb[Item],tab_alimentos[[#This Row],[Item]],supercb[Bairro],mercado10)</f>
        <v>0</v>
      </c>
      <c r="V221" s="4">
        <f>SUMIFS(super1[Qtde],super1[Item],tab_alimentos[[#This Row],[Item]],super1[Bairro],mercado11)+SUMIFS(supercb[Qtde],supercb[Item],tab_alimentos[[#This Row],[Item]],supercb[Bairro],mercado11)</f>
        <v>0</v>
      </c>
      <c r="W221" s="4">
        <f>SUMIFS(super1[Qtde],super1[Item],tab_alimentos[[#This Row],[Item]],super1[Bairro],mercado12)+SUMIFS(supercb[Qtde],supercb[Item],tab_alimentos[[#This Row],[Item]],supercb[Bairro],mercado12)</f>
        <v>0</v>
      </c>
      <c r="X221" s="4">
        <f>SUMIFS(super1[Qtde],super1[Item],tab_alimentos[[#This Row],[Item]],super1[Bairro],mercado13)+SUMIFS(supercb[Qtde],supercb[Item],tab_alimentos[[#This Row],[Item]],supercb[Bairro],mercado13)</f>
        <v>0</v>
      </c>
      <c r="Y221" s="4">
        <f>SUMIFS(super1[Qtde],super1[Item],tab_alimentos[[#This Row],[Item]],super1[Bairro],mercado14)+SUMIFS(supercb[Qtde],supercb[Item],tab_alimentos[[#This Row],[Item]],supercb[Bairro],mercado14)</f>
        <v>0</v>
      </c>
      <c r="Z221" s="4">
        <f>SUMIFS(super1[Qtde],super1[Item],tab_alimentos[[#This Row],[Item]],super1[Bairro],mercado15)+SUMIFS(supercb[Qtde],supercb[Item],tab_alimentos[[#This Row],[Item]],supercb[Bairro],mercado15)</f>
        <v>0</v>
      </c>
      <c r="AA221" s="4">
        <f>SUMIFS(super1[Qtde],super1[Item],tab_alimentos[[#This Row],[Item]],super1[Bairro],mercado16)+SUMIFS(supercb[Qtde],supercb[Item],tab_alimentos[[#This Row],[Item]],supercb[Bairro],mercado16)</f>
        <v>0</v>
      </c>
      <c r="AB221" s="4">
        <f>SUMIFS(super1[Qtde],super1[Item],tab_alimentos[[#This Row],[Item]],super1[Bairro],mercado17)+SUMIFS(supercb[Qtde],supercb[Item],tab_alimentos[[#This Row],[Item]],supercb[Bairro],mercado17)</f>
        <v>0</v>
      </c>
      <c r="AC221" s="4">
        <f>SUMIFS(super1[Qtde],super1[Item],tab_alimentos[[#This Row],[Item]],super1[Bairro],mercado18)+SUMIFS(supercb[Qtde],supercb[Item],tab_alimentos[[#This Row],[Item]],supercb[Bairro],mercado18)</f>
        <v>0</v>
      </c>
      <c r="AD221" s="4">
        <f>SUMIFS(super1[Qtde],super1[Item],tab_alimentos[[#This Row],[Item]],super1[Bairro],extras)+SUMIFS(supercb[Qtde],supercb[Item],tab_alimentos[[#This Row],[Item]],supercb[Bairro],extras)</f>
        <v>0</v>
      </c>
      <c r="AE221" s="4">
        <f t="shared" si="82"/>
        <v>0</v>
      </c>
      <c r="AF221" s="4">
        <f t="shared" si="83"/>
        <v>0</v>
      </c>
      <c r="AG221" s="6">
        <f t="shared" si="84"/>
        <v>0</v>
      </c>
      <c r="AH221" s="13" t="str">
        <f>higiene[[#This Row],[Item]]</f>
        <v>Sabão Líquido (2L)</v>
      </c>
      <c r="AI221" s="9">
        <f>IFERROR(higiene[[#This Row],[Kg equivalente]],0)</f>
        <v>0</v>
      </c>
      <c r="AJ221" s="9">
        <f>IFERROR(higiene[[#This Row],[Preço por produto]],0)</f>
        <v>18.170000000000002</v>
      </c>
      <c r="AK221" s="4">
        <f>SUMIFS(super1[Qtde],super1[Item],tab_higiene[[#This Row],[Item]],super1[Bairro],mercado1)+SUMIFS(supercb[Qtde],supercb[Item],tab_higiene[[#This Row],[Item]],supercb[Bairro],mercado1)</f>
        <v>0</v>
      </c>
      <c r="AL221" s="4">
        <f>SUMIFS(super1[Qtde],super1[Item],tab_higiene[[#This Row],[Item]],super1[Bairro],mercado2)+SUMIFS(supercb[Qtde],supercb[Item],tab_higiene[[#This Row],[Item]],supercb[Bairro],mercado2)</f>
        <v>0</v>
      </c>
      <c r="AM221" s="4">
        <f>SUMIFS(super1[Qtde],super1[Item],tab_higiene[[#This Row],[Item]],super1[Bairro],mercado3)+SUMIFS(supercb[Qtde],supercb[Item],tab_higiene[[#This Row],[Item]],supercb[Bairro],mercado3)</f>
        <v>0</v>
      </c>
      <c r="AN221" s="4">
        <f>SUMIFS(super1[Qtde],super1[Item],tab_higiene[[#This Row],[Item]],super1[Bairro],mercado4)+SUMIFS(supercb[Qtde],supercb[Item],tab_higiene[[#This Row],[Item]],supercb[Bairro],mercado4)</f>
        <v>0</v>
      </c>
      <c r="AO221" s="4">
        <f>SUMIFS(super1[Qtde],super1[Item],tab_higiene[[#This Row],[Item]],super1[Bairro],mercado5)+SUMIFS(supercb[Qtde],supercb[Item],tab_higiene[[#This Row],[Item]],supercb[Bairro],mercado5)</f>
        <v>0</v>
      </c>
      <c r="AP221" s="4">
        <f>SUMIFS(super1[Qtde],super1[Item],tab_higiene[[#This Row],[Item]],super1[Bairro],mercado6)+SUMIFS(supercb[Qtde],supercb[Item],tab_higiene[[#This Row],[Item]],supercb[Bairro],mercado6)</f>
        <v>0</v>
      </c>
      <c r="AQ221" s="4">
        <f>SUMIFS(super1[Qtde],super1[Item],tab_higiene[[#This Row],[Item]],super1[Bairro],mercado7)+SUMIFS(supercb[Qtde],supercb[Item],tab_higiene[[#This Row],[Item]],supercb[Bairro],mercado7)</f>
        <v>0</v>
      </c>
      <c r="AR221" s="4">
        <f>SUMIFS(super1[Qtde],super1[Item],tab_higiene[[#This Row],[Item]],super1[Bairro],mercado8)+SUMIFS(supercb[Qtde],supercb[Item],tab_higiene[[#This Row],[Item]],supercb[Bairro],mercado8)</f>
        <v>0</v>
      </c>
      <c r="AS221" s="4">
        <f>SUMIFS(super1[Qtde],super1[Item],tab_higiene[[#This Row],[Item]],super1[Bairro],mercado9)+SUMIFS(supercb[Qtde],supercb[Item],tab_higiene[[#This Row],[Item]],supercb[Bairro],mercado9)</f>
        <v>0</v>
      </c>
      <c r="AT221" s="4">
        <f>SUMIFS(super1[Qtde],super1[Item],tab_higiene[[#This Row],[Item]],super1[Bairro],mercado10)+SUMIFS(supercb[Qtde],supercb[Item],tab_higiene[[#This Row],[Item]],supercb[Bairro],mercado10)</f>
        <v>0</v>
      </c>
      <c r="AU221" s="4">
        <f>SUMIFS(super1[Qtde],super1[Item],tab_higiene[[#This Row],[Item]],super1[Bairro],mercado11)+SUMIFS(supercb[Qtde],supercb[Item],tab_higiene[[#This Row],[Item]],supercb[Bairro],mercado11)</f>
        <v>0</v>
      </c>
      <c r="AV221" s="4">
        <f>SUMIFS(super1[Qtde],super1[Item],tab_higiene[[#This Row],[Item]],super1[Bairro],mercado12)+SUMIFS(supercb[Qtde],supercb[Item],tab_higiene[[#This Row],[Item]],supercb[Bairro],mercado12)</f>
        <v>0</v>
      </c>
      <c r="AW221" s="4">
        <f>SUMIFS(super1[Qtde],super1[Item],tab_higiene[[#This Row],[Item]],super1[Bairro],mercado13)+SUMIFS(supercb[Qtde],supercb[Item],tab_higiene[[#This Row],[Item]],supercb[Bairro],mercado13)</f>
        <v>0</v>
      </c>
      <c r="AX221" s="4">
        <f>SUMIFS(super1[Qtde],super1[Item],tab_higiene[[#This Row],[Item]],super1[Bairro],mercado14)+SUMIFS(supercb[Qtde],supercb[Item],tab_higiene[[#This Row],[Item]],supercb[Bairro],mercado14)</f>
        <v>0</v>
      </c>
      <c r="AY221" s="4">
        <f>SUMIFS(super1[Qtde],super1[Item],tab_higiene[[#This Row],[Item]],super1[Bairro],mercado15)+SUMIFS(supercb[Qtde],supercb[Item],tab_higiene[[#This Row],[Item]],supercb[Bairro],mercado15)</f>
        <v>0</v>
      </c>
      <c r="AZ221" s="4">
        <f>SUMIFS(super1[Qtde],super1[Item],tab_higiene[[#This Row],[Item]],super1[Bairro],mercado16)+SUMIFS(supercb[Qtde],supercb[Item],tab_higiene[[#This Row],[Item]],supercb[Bairro],mercado16)</f>
        <v>0</v>
      </c>
      <c r="BA221" s="4">
        <f>SUMIFS(super1[Qtde],super1[Item],tab_higiene[[#This Row],[Item]],super1[Bairro],mercado17)+SUMIFS(supercb[Qtde],supercb[Item],tab_higiene[[#This Row],[Item]],supercb[Bairro],mercado17)</f>
        <v>0</v>
      </c>
      <c r="BB221" s="4">
        <f>SUMIFS(super1[Qtde],super1[Item],tab_higiene[[#This Row],[Item]],super1[Bairro],mercado18)+SUMIFS(supercb[Qtde],supercb[Item],tab_higiene[[#This Row],[Item]],supercb[Bairro],mercado18)</f>
        <v>0</v>
      </c>
      <c r="BC221" s="31">
        <f>SUMIFS(super1[Qtde],super1[Item],tab_higiene[[#This Row],[Item]],super1[Bairro],extras)+SUMIFS(supercb[Qtde],supercb[Item],tab_higiene[[#This Row],[Item]],supercb[Bairro],extras)</f>
        <v>0</v>
      </c>
      <c r="BD221" s="9">
        <f t="shared" si="85"/>
        <v>0</v>
      </c>
      <c r="BE221" s="9">
        <f t="shared" si="86"/>
        <v>0</v>
      </c>
      <c r="BF221" s="18">
        <f t="shared" si="87"/>
        <v>0</v>
      </c>
    </row>
    <row r="222" spans="9:58" ht="15.75" thickBot="1" x14ac:dyDescent="0.3">
      <c r="I222" s="19" t="str">
        <f>alimentos[[#This Row],[Item]]</f>
        <v>Farinha Láctea (230g)</v>
      </c>
      <c r="J222" s="4">
        <f>IFERROR(alimentos[[#This Row],[kg/embalagem]],0)</f>
        <v>0.23</v>
      </c>
      <c r="K222" s="4">
        <f>IFERROR(alimentos[[#This Row],[Preço]],0)</f>
        <v>5.99</v>
      </c>
      <c r="L222" s="4">
        <f>SUMIFS(super1[Qtde],super1[Item],tab_alimentos[[#This Row],[Item]],super1[Bairro],mercado1)+SUMIFS(supercb[Qtde],supercb[Item],tab_alimentos[[#This Row],[Item]],supercb[Bairro],mercado1)</f>
        <v>0</v>
      </c>
      <c r="M222" s="4">
        <f>SUMIFS(super1[Qtde],super1[Item],tab_alimentos[[#This Row],[Item]],super1[Bairro],mercado2)+SUMIFS(supercb[Qtde],supercb[Item],tab_alimentos[[#This Row],[Item]],supercb[Bairro],mercado2)</f>
        <v>0</v>
      </c>
      <c r="N222" s="4">
        <f>SUMIFS(super1[Qtde],super1[Item],tab_alimentos[[#This Row],[Item]],super1[Bairro],mercado3)+SUMIFS(supercb[Qtde],supercb[Item],tab_alimentos[[#This Row],[Item]],supercb[Bairro],mercado3)</f>
        <v>0</v>
      </c>
      <c r="O222" s="4">
        <f>SUMIFS(super1[Qtde],super1[Item],tab_alimentos[[#This Row],[Item]],super1[Bairro],mercado4)+SUMIFS(supercb[Qtde],supercb[Item],tab_alimentos[[#This Row],[Item]],supercb[Bairro],mercado4)</f>
        <v>0</v>
      </c>
      <c r="P222" s="4">
        <f>SUMIFS(super1[Qtde],super1[Item],tab_alimentos[[#This Row],[Item]],super1[Bairro],mercado5)+SUMIFS(supercb[Qtde],supercb[Item],tab_alimentos[[#This Row],[Item]],supercb[Bairro],mercado5)</f>
        <v>0</v>
      </c>
      <c r="Q222" s="4">
        <f>SUMIFS(super1[Qtde],super1[Item],tab_alimentos[[#This Row],[Item]],super1[Bairro],mercado6)+SUMIFS(supercb[Qtde],supercb[Item],tab_alimentos[[#This Row],[Item]],supercb[Bairro],mercado6)</f>
        <v>0</v>
      </c>
      <c r="R222" s="4">
        <f>SUMIFS(super1[Qtde],super1[Item],tab_alimentos[[#This Row],[Item]],super1[Bairro],mercado7)+SUMIFS(supercb[Qtde],supercb[Item],tab_alimentos[[#This Row],[Item]],supercb[Bairro],mercado7)</f>
        <v>0</v>
      </c>
      <c r="S222" s="4">
        <f>SUMIFS(super1[Qtde],super1[Item],tab_alimentos[[#This Row],[Item]],super1[Bairro],mercado8)+SUMIFS(supercb[Qtde],supercb[Item],tab_alimentos[[#This Row],[Item]],supercb[Bairro],mercado8)</f>
        <v>0</v>
      </c>
      <c r="T222" s="4">
        <f>SUMIFS(super1[Qtde],super1[Item],tab_alimentos[[#This Row],[Item]],super1[Bairro],mercado9)+SUMIFS(supercb[Qtde],supercb[Item],tab_alimentos[[#This Row],[Item]],supercb[Bairro],mercado9)</f>
        <v>0</v>
      </c>
      <c r="U222" s="4">
        <f>SUMIFS(super1[Qtde],super1[Item],tab_alimentos[[#This Row],[Item]],super1[Bairro],mercado10)+SUMIFS(supercb[Qtde],supercb[Item],tab_alimentos[[#This Row],[Item]],supercb[Bairro],mercado10)</f>
        <v>0</v>
      </c>
      <c r="V222" s="4">
        <f>SUMIFS(super1[Qtde],super1[Item],tab_alimentos[[#This Row],[Item]],super1[Bairro],mercado11)+SUMIFS(supercb[Qtde],supercb[Item],tab_alimentos[[#This Row],[Item]],supercb[Bairro],mercado11)</f>
        <v>0</v>
      </c>
      <c r="W222" s="4">
        <f>SUMIFS(super1[Qtde],super1[Item],tab_alimentos[[#This Row],[Item]],super1[Bairro],mercado12)+SUMIFS(supercb[Qtde],supercb[Item],tab_alimentos[[#This Row],[Item]],supercb[Bairro],mercado12)</f>
        <v>0</v>
      </c>
      <c r="X222" s="4">
        <f>SUMIFS(super1[Qtde],super1[Item],tab_alimentos[[#This Row],[Item]],super1[Bairro],mercado13)+SUMIFS(supercb[Qtde],supercb[Item],tab_alimentos[[#This Row],[Item]],supercb[Bairro],mercado13)</f>
        <v>0</v>
      </c>
      <c r="Y222" s="4">
        <f>SUMIFS(super1[Qtde],super1[Item],tab_alimentos[[#This Row],[Item]],super1[Bairro],mercado14)+SUMIFS(supercb[Qtde],supercb[Item],tab_alimentos[[#This Row],[Item]],supercb[Bairro],mercado14)</f>
        <v>0</v>
      </c>
      <c r="Z222" s="4">
        <f>SUMIFS(super1[Qtde],super1[Item],tab_alimentos[[#This Row],[Item]],super1[Bairro],mercado15)+SUMIFS(supercb[Qtde],supercb[Item],tab_alimentos[[#This Row],[Item]],supercb[Bairro],mercado15)</f>
        <v>0</v>
      </c>
      <c r="AA222" s="4">
        <f>SUMIFS(super1[Qtde],super1[Item],tab_alimentos[[#This Row],[Item]],super1[Bairro],mercado16)+SUMIFS(supercb[Qtde],supercb[Item],tab_alimentos[[#This Row],[Item]],supercb[Bairro],mercado16)</f>
        <v>0</v>
      </c>
      <c r="AB222" s="4">
        <f>SUMIFS(super1[Qtde],super1[Item],tab_alimentos[[#This Row],[Item]],super1[Bairro],mercado17)+SUMIFS(supercb[Qtde],supercb[Item],tab_alimentos[[#This Row],[Item]],supercb[Bairro],mercado17)</f>
        <v>0</v>
      </c>
      <c r="AC222" s="4">
        <f>SUMIFS(super1[Qtde],super1[Item],tab_alimentos[[#This Row],[Item]],super1[Bairro],mercado18)+SUMIFS(supercb[Qtde],supercb[Item],tab_alimentos[[#This Row],[Item]],supercb[Bairro],mercado18)</f>
        <v>0</v>
      </c>
      <c r="AD222" s="4">
        <f>SUMIFS(super1[Qtde],super1[Item],tab_alimentos[[#This Row],[Item]],super1[Bairro],extras)+SUMIFS(supercb[Qtde],supercb[Item],tab_alimentos[[#This Row],[Item]],supercb[Bairro],extras)</f>
        <v>0</v>
      </c>
      <c r="AE222" s="4">
        <f t="shared" si="82"/>
        <v>0</v>
      </c>
      <c r="AF222" s="4">
        <f t="shared" si="83"/>
        <v>0</v>
      </c>
      <c r="AG222" s="6">
        <f t="shared" si="84"/>
        <v>0</v>
      </c>
      <c r="AH222" s="13" t="str">
        <f>higiene[[#This Row],[Item]]</f>
        <v>Sabão Líquido (3L)</v>
      </c>
      <c r="AI222" s="9">
        <f>IFERROR(higiene[[#This Row],[Kg equivalente]],0)</f>
        <v>0</v>
      </c>
      <c r="AJ222" s="9">
        <f>IFERROR(higiene[[#This Row],[Preço por produto]],0)</f>
        <v>24.9</v>
      </c>
      <c r="AK222" s="4">
        <f>SUMIFS(super1[Qtde],super1[Item],tab_higiene[[#This Row],[Item]],super1[Bairro],mercado1)+SUMIFS(supercb[Qtde],supercb[Item],tab_higiene[[#This Row],[Item]],supercb[Bairro],mercado1)</f>
        <v>0</v>
      </c>
      <c r="AL222" s="4">
        <f>SUMIFS(super1[Qtde],super1[Item],tab_higiene[[#This Row],[Item]],super1[Bairro],mercado2)+SUMIFS(supercb[Qtde],supercb[Item],tab_higiene[[#This Row],[Item]],supercb[Bairro],mercado2)</f>
        <v>0</v>
      </c>
      <c r="AM222" s="4">
        <f>SUMIFS(super1[Qtde],super1[Item],tab_higiene[[#This Row],[Item]],super1[Bairro],mercado3)+SUMIFS(supercb[Qtde],supercb[Item],tab_higiene[[#This Row],[Item]],supercb[Bairro],mercado3)</f>
        <v>0</v>
      </c>
      <c r="AN222" s="4">
        <f>SUMIFS(super1[Qtde],super1[Item],tab_higiene[[#This Row],[Item]],super1[Bairro],mercado4)+SUMIFS(supercb[Qtde],supercb[Item],tab_higiene[[#This Row],[Item]],supercb[Bairro],mercado4)</f>
        <v>0</v>
      </c>
      <c r="AO222" s="4">
        <f>SUMIFS(super1[Qtde],super1[Item],tab_higiene[[#This Row],[Item]],super1[Bairro],mercado5)+SUMIFS(supercb[Qtde],supercb[Item],tab_higiene[[#This Row],[Item]],supercb[Bairro],mercado5)</f>
        <v>0</v>
      </c>
      <c r="AP222" s="4">
        <f>SUMIFS(super1[Qtde],super1[Item],tab_higiene[[#This Row],[Item]],super1[Bairro],mercado6)+SUMIFS(supercb[Qtde],supercb[Item],tab_higiene[[#This Row],[Item]],supercb[Bairro],mercado6)</f>
        <v>0</v>
      </c>
      <c r="AQ222" s="4">
        <f>SUMIFS(super1[Qtde],super1[Item],tab_higiene[[#This Row],[Item]],super1[Bairro],mercado7)+SUMIFS(supercb[Qtde],supercb[Item],tab_higiene[[#This Row],[Item]],supercb[Bairro],mercado7)</f>
        <v>0</v>
      </c>
      <c r="AR222" s="4">
        <f>SUMIFS(super1[Qtde],super1[Item],tab_higiene[[#This Row],[Item]],super1[Bairro],mercado8)+SUMIFS(supercb[Qtde],supercb[Item],tab_higiene[[#This Row],[Item]],supercb[Bairro],mercado8)</f>
        <v>0</v>
      </c>
      <c r="AS222" s="4">
        <f>SUMIFS(super1[Qtde],super1[Item],tab_higiene[[#This Row],[Item]],super1[Bairro],mercado9)+SUMIFS(supercb[Qtde],supercb[Item],tab_higiene[[#This Row],[Item]],supercb[Bairro],mercado9)</f>
        <v>0</v>
      </c>
      <c r="AT222" s="4">
        <f>SUMIFS(super1[Qtde],super1[Item],tab_higiene[[#This Row],[Item]],super1[Bairro],mercado10)+SUMIFS(supercb[Qtde],supercb[Item],tab_higiene[[#This Row],[Item]],supercb[Bairro],mercado10)</f>
        <v>0</v>
      </c>
      <c r="AU222" s="4">
        <f>SUMIFS(super1[Qtde],super1[Item],tab_higiene[[#This Row],[Item]],super1[Bairro],mercado11)+SUMIFS(supercb[Qtde],supercb[Item],tab_higiene[[#This Row],[Item]],supercb[Bairro],mercado11)</f>
        <v>0</v>
      </c>
      <c r="AV222" s="4">
        <f>SUMIFS(super1[Qtde],super1[Item],tab_higiene[[#This Row],[Item]],super1[Bairro],mercado12)+SUMIFS(supercb[Qtde],supercb[Item],tab_higiene[[#This Row],[Item]],supercb[Bairro],mercado12)</f>
        <v>0</v>
      </c>
      <c r="AW222" s="4">
        <f>SUMIFS(super1[Qtde],super1[Item],tab_higiene[[#This Row],[Item]],super1[Bairro],mercado13)+SUMIFS(supercb[Qtde],supercb[Item],tab_higiene[[#This Row],[Item]],supercb[Bairro],mercado13)</f>
        <v>0</v>
      </c>
      <c r="AX222" s="4">
        <f>SUMIFS(super1[Qtde],super1[Item],tab_higiene[[#This Row],[Item]],super1[Bairro],mercado14)+SUMIFS(supercb[Qtde],supercb[Item],tab_higiene[[#This Row],[Item]],supercb[Bairro],mercado14)</f>
        <v>0</v>
      </c>
      <c r="AY222" s="4">
        <f>SUMIFS(super1[Qtde],super1[Item],tab_higiene[[#This Row],[Item]],super1[Bairro],mercado15)+SUMIFS(supercb[Qtde],supercb[Item],tab_higiene[[#This Row],[Item]],supercb[Bairro],mercado15)</f>
        <v>0</v>
      </c>
      <c r="AZ222" s="4">
        <f>SUMIFS(super1[Qtde],super1[Item],tab_higiene[[#This Row],[Item]],super1[Bairro],mercado16)+SUMIFS(supercb[Qtde],supercb[Item],tab_higiene[[#This Row],[Item]],supercb[Bairro],mercado16)</f>
        <v>0</v>
      </c>
      <c r="BA222" s="4">
        <f>SUMIFS(super1[Qtde],super1[Item],tab_higiene[[#This Row],[Item]],super1[Bairro],mercado17)+SUMIFS(supercb[Qtde],supercb[Item],tab_higiene[[#This Row],[Item]],supercb[Bairro],mercado17)</f>
        <v>0</v>
      </c>
      <c r="BB222" s="4">
        <f>SUMIFS(super1[Qtde],super1[Item],tab_higiene[[#This Row],[Item]],super1[Bairro],mercado18)+SUMIFS(supercb[Qtde],supercb[Item],tab_higiene[[#This Row],[Item]],supercb[Bairro],mercado18)</f>
        <v>0</v>
      </c>
      <c r="BC222" s="31">
        <f>SUMIFS(super1[Qtde],super1[Item],tab_higiene[[#This Row],[Item]],super1[Bairro],extras)+SUMIFS(supercb[Qtde],supercb[Item],tab_higiene[[#This Row],[Item]],supercb[Bairro],extras)</f>
        <v>0</v>
      </c>
      <c r="BD222" s="9">
        <f t="shared" si="85"/>
        <v>0</v>
      </c>
      <c r="BE222" s="9">
        <f t="shared" si="86"/>
        <v>0</v>
      </c>
      <c r="BF222" s="18">
        <f t="shared" si="87"/>
        <v>0</v>
      </c>
    </row>
    <row r="223" spans="9:58" ht="15.75" thickBot="1" x14ac:dyDescent="0.3">
      <c r="I223" s="19" t="str">
        <f>alimentos[[#This Row],[Item]]</f>
        <v>Farofa (150g)</v>
      </c>
      <c r="J223" s="4">
        <f>IFERROR(alimentos[[#This Row],[kg/embalagem]],0)</f>
        <v>0.15</v>
      </c>
      <c r="K223" s="4">
        <f>IFERROR(alimentos[[#This Row],[Preço]],0)</f>
        <v>3.59</v>
      </c>
      <c r="L223" s="4">
        <f>SUMIFS(super1[Qtde],super1[Item],tab_alimentos[[#This Row],[Item]],super1[Bairro],mercado1)+SUMIFS(supercb[Qtde],supercb[Item],tab_alimentos[[#This Row],[Item]],supercb[Bairro],mercado1)</f>
        <v>0</v>
      </c>
      <c r="M223" s="4">
        <f>SUMIFS(super1[Qtde],super1[Item],tab_alimentos[[#This Row],[Item]],super1[Bairro],mercado2)+SUMIFS(supercb[Qtde],supercb[Item],tab_alimentos[[#This Row],[Item]],supercb[Bairro],mercado2)</f>
        <v>0</v>
      </c>
      <c r="N223" s="4">
        <f>SUMIFS(super1[Qtde],super1[Item],tab_alimentos[[#This Row],[Item]],super1[Bairro],mercado3)+SUMIFS(supercb[Qtde],supercb[Item],tab_alimentos[[#This Row],[Item]],supercb[Bairro],mercado3)</f>
        <v>0</v>
      </c>
      <c r="O223" s="4">
        <f>SUMIFS(super1[Qtde],super1[Item],tab_alimentos[[#This Row],[Item]],super1[Bairro],mercado4)+SUMIFS(supercb[Qtde],supercb[Item],tab_alimentos[[#This Row],[Item]],supercb[Bairro],mercado4)</f>
        <v>0</v>
      </c>
      <c r="P223" s="4">
        <f>SUMIFS(super1[Qtde],super1[Item],tab_alimentos[[#This Row],[Item]],super1[Bairro],mercado5)+SUMIFS(supercb[Qtde],supercb[Item],tab_alimentos[[#This Row],[Item]],supercb[Bairro],mercado5)</f>
        <v>0</v>
      </c>
      <c r="Q223" s="4">
        <f>SUMIFS(super1[Qtde],super1[Item],tab_alimentos[[#This Row],[Item]],super1[Bairro],mercado6)+SUMIFS(supercb[Qtde],supercb[Item],tab_alimentos[[#This Row],[Item]],supercb[Bairro],mercado6)</f>
        <v>0</v>
      </c>
      <c r="R223" s="4">
        <f>SUMIFS(super1[Qtde],super1[Item],tab_alimentos[[#This Row],[Item]],super1[Bairro],mercado7)+SUMIFS(supercb[Qtde],supercb[Item],tab_alimentos[[#This Row],[Item]],supercb[Bairro],mercado7)</f>
        <v>0</v>
      </c>
      <c r="S223" s="4">
        <f>SUMIFS(super1[Qtde],super1[Item],tab_alimentos[[#This Row],[Item]],super1[Bairro],mercado8)+SUMIFS(supercb[Qtde],supercb[Item],tab_alimentos[[#This Row],[Item]],supercb[Bairro],mercado8)</f>
        <v>0</v>
      </c>
      <c r="T223" s="4">
        <f>SUMIFS(super1[Qtde],super1[Item],tab_alimentos[[#This Row],[Item]],super1[Bairro],mercado9)+SUMIFS(supercb[Qtde],supercb[Item],tab_alimentos[[#This Row],[Item]],supercb[Bairro],mercado9)</f>
        <v>0</v>
      </c>
      <c r="U223" s="4">
        <f>SUMIFS(super1[Qtde],super1[Item],tab_alimentos[[#This Row],[Item]],super1[Bairro],mercado10)+SUMIFS(supercb[Qtde],supercb[Item],tab_alimentos[[#This Row],[Item]],supercb[Bairro],mercado10)</f>
        <v>0</v>
      </c>
      <c r="V223" s="4">
        <f>SUMIFS(super1[Qtde],super1[Item],tab_alimentos[[#This Row],[Item]],super1[Bairro],mercado11)+SUMIFS(supercb[Qtde],supercb[Item],tab_alimentos[[#This Row],[Item]],supercb[Bairro],mercado11)</f>
        <v>0</v>
      </c>
      <c r="W223" s="4">
        <f>SUMIFS(super1[Qtde],super1[Item],tab_alimentos[[#This Row],[Item]],super1[Bairro],mercado12)+SUMIFS(supercb[Qtde],supercb[Item],tab_alimentos[[#This Row],[Item]],supercb[Bairro],mercado12)</f>
        <v>0</v>
      </c>
      <c r="X223" s="4">
        <f>SUMIFS(super1[Qtde],super1[Item],tab_alimentos[[#This Row],[Item]],super1[Bairro],mercado13)+SUMIFS(supercb[Qtde],supercb[Item],tab_alimentos[[#This Row],[Item]],supercb[Bairro],mercado13)</f>
        <v>0</v>
      </c>
      <c r="Y223" s="4">
        <f>SUMIFS(super1[Qtde],super1[Item],tab_alimentos[[#This Row],[Item]],super1[Bairro],mercado14)+SUMIFS(supercb[Qtde],supercb[Item],tab_alimentos[[#This Row],[Item]],supercb[Bairro],mercado14)</f>
        <v>0</v>
      </c>
      <c r="Z223" s="4">
        <f>SUMIFS(super1[Qtde],super1[Item],tab_alimentos[[#This Row],[Item]],super1[Bairro],mercado15)+SUMIFS(supercb[Qtde],supercb[Item],tab_alimentos[[#This Row],[Item]],supercb[Bairro],mercado15)</f>
        <v>0</v>
      </c>
      <c r="AA223" s="4">
        <f>SUMIFS(super1[Qtde],super1[Item],tab_alimentos[[#This Row],[Item]],super1[Bairro],mercado16)+SUMIFS(supercb[Qtde],supercb[Item],tab_alimentos[[#This Row],[Item]],supercb[Bairro],mercado16)</f>
        <v>0</v>
      </c>
      <c r="AB223" s="4">
        <f>SUMIFS(super1[Qtde],super1[Item],tab_alimentos[[#This Row],[Item]],super1[Bairro],mercado17)+SUMIFS(supercb[Qtde],supercb[Item],tab_alimentos[[#This Row],[Item]],supercb[Bairro],mercado17)</f>
        <v>0</v>
      </c>
      <c r="AC223" s="4">
        <f>SUMIFS(super1[Qtde],super1[Item],tab_alimentos[[#This Row],[Item]],super1[Bairro],mercado18)+SUMIFS(supercb[Qtde],supercb[Item],tab_alimentos[[#This Row],[Item]],supercb[Bairro],mercado18)</f>
        <v>0</v>
      </c>
      <c r="AD223" s="4">
        <f>SUMIFS(super1[Qtde],super1[Item],tab_alimentos[[#This Row],[Item]],super1[Bairro],extras)+SUMIFS(supercb[Qtde],supercb[Item],tab_alimentos[[#This Row],[Item]],supercb[Bairro],extras)</f>
        <v>0</v>
      </c>
      <c r="AE223" s="4">
        <f t="shared" si="82"/>
        <v>0</v>
      </c>
      <c r="AF223" s="4">
        <f t="shared" si="83"/>
        <v>0</v>
      </c>
      <c r="AG223" s="6">
        <f t="shared" si="84"/>
        <v>0</v>
      </c>
      <c r="AH223" s="13" t="str">
        <f>higiene[[#This Row],[Item]]</f>
        <v>Sabão Líquido (450mL)</v>
      </c>
      <c r="AI223" s="9">
        <f>IFERROR(higiene[[#This Row],[Kg equivalente]],0)</f>
        <v>0</v>
      </c>
      <c r="AJ223" s="9">
        <f>IFERROR(higiene[[#This Row],[Preço por produto]],0)</f>
        <v>9.98</v>
      </c>
      <c r="AK223" s="4">
        <f>SUMIFS(super1[Qtde],super1[Item],tab_higiene[[#This Row],[Item]],super1[Bairro],mercado1)+SUMIFS(supercb[Qtde],supercb[Item],tab_higiene[[#This Row],[Item]],supercb[Bairro],mercado1)</f>
        <v>0</v>
      </c>
      <c r="AL223" s="4">
        <f>SUMIFS(super1[Qtde],super1[Item],tab_higiene[[#This Row],[Item]],super1[Bairro],mercado2)+SUMIFS(supercb[Qtde],supercb[Item],tab_higiene[[#This Row],[Item]],supercb[Bairro],mercado2)</f>
        <v>0</v>
      </c>
      <c r="AM223" s="4">
        <f>SUMIFS(super1[Qtde],super1[Item],tab_higiene[[#This Row],[Item]],super1[Bairro],mercado3)+SUMIFS(supercb[Qtde],supercb[Item],tab_higiene[[#This Row],[Item]],supercb[Bairro],mercado3)</f>
        <v>0</v>
      </c>
      <c r="AN223" s="4">
        <f>SUMIFS(super1[Qtde],super1[Item],tab_higiene[[#This Row],[Item]],super1[Bairro],mercado4)+SUMIFS(supercb[Qtde],supercb[Item],tab_higiene[[#This Row],[Item]],supercb[Bairro],mercado4)</f>
        <v>0</v>
      </c>
      <c r="AO223" s="4">
        <f>SUMIFS(super1[Qtde],super1[Item],tab_higiene[[#This Row],[Item]],super1[Bairro],mercado5)+SUMIFS(supercb[Qtde],supercb[Item],tab_higiene[[#This Row],[Item]],supercb[Bairro],mercado5)</f>
        <v>0</v>
      </c>
      <c r="AP223" s="4">
        <f>SUMIFS(super1[Qtde],super1[Item],tab_higiene[[#This Row],[Item]],super1[Bairro],mercado6)+SUMIFS(supercb[Qtde],supercb[Item],tab_higiene[[#This Row],[Item]],supercb[Bairro],mercado6)</f>
        <v>0</v>
      </c>
      <c r="AQ223" s="4">
        <f>SUMIFS(super1[Qtde],super1[Item],tab_higiene[[#This Row],[Item]],super1[Bairro],mercado7)+SUMIFS(supercb[Qtde],supercb[Item],tab_higiene[[#This Row],[Item]],supercb[Bairro],mercado7)</f>
        <v>0</v>
      </c>
      <c r="AR223" s="4">
        <f>SUMIFS(super1[Qtde],super1[Item],tab_higiene[[#This Row],[Item]],super1[Bairro],mercado8)+SUMIFS(supercb[Qtde],supercb[Item],tab_higiene[[#This Row],[Item]],supercb[Bairro],mercado8)</f>
        <v>0</v>
      </c>
      <c r="AS223" s="4">
        <f>SUMIFS(super1[Qtde],super1[Item],tab_higiene[[#This Row],[Item]],super1[Bairro],mercado9)+SUMIFS(supercb[Qtde],supercb[Item],tab_higiene[[#This Row],[Item]],supercb[Bairro],mercado9)</f>
        <v>0</v>
      </c>
      <c r="AT223" s="4">
        <f>SUMIFS(super1[Qtde],super1[Item],tab_higiene[[#This Row],[Item]],super1[Bairro],mercado10)+SUMIFS(supercb[Qtde],supercb[Item],tab_higiene[[#This Row],[Item]],supercb[Bairro],mercado10)</f>
        <v>0</v>
      </c>
      <c r="AU223" s="4">
        <f>SUMIFS(super1[Qtde],super1[Item],tab_higiene[[#This Row],[Item]],super1[Bairro],mercado11)+SUMIFS(supercb[Qtde],supercb[Item],tab_higiene[[#This Row],[Item]],supercb[Bairro],mercado11)</f>
        <v>0</v>
      </c>
      <c r="AV223" s="4">
        <f>SUMIFS(super1[Qtde],super1[Item],tab_higiene[[#This Row],[Item]],super1[Bairro],mercado12)+SUMIFS(supercb[Qtde],supercb[Item],tab_higiene[[#This Row],[Item]],supercb[Bairro],mercado12)</f>
        <v>0</v>
      </c>
      <c r="AW223" s="4">
        <f>SUMIFS(super1[Qtde],super1[Item],tab_higiene[[#This Row],[Item]],super1[Bairro],mercado13)+SUMIFS(supercb[Qtde],supercb[Item],tab_higiene[[#This Row],[Item]],supercb[Bairro],mercado13)</f>
        <v>0</v>
      </c>
      <c r="AX223" s="4">
        <f>SUMIFS(super1[Qtde],super1[Item],tab_higiene[[#This Row],[Item]],super1[Bairro],mercado14)+SUMIFS(supercb[Qtde],supercb[Item],tab_higiene[[#This Row],[Item]],supercb[Bairro],mercado14)</f>
        <v>0</v>
      </c>
      <c r="AY223" s="4">
        <f>SUMIFS(super1[Qtde],super1[Item],tab_higiene[[#This Row],[Item]],super1[Bairro],mercado15)+SUMIFS(supercb[Qtde],supercb[Item],tab_higiene[[#This Row],[Item]],supercb[Bairro],mercado15)</f>
        <v>0</v>
      </c>
      <c r="AZ223" s="4">
        <f>SUMIFS(super1[Qtde],super1[Item],tab_higiene[[#This Row],[Item]],super1[Bairro],mercado16)+SUMIFS(supercb[Qtde],supercb[Item],tab_higiene[[#This Row],[Item]],supercb[Bairro],mercado16)</f>
        <v>0</v>
      </c>
      <c r="BA223" s="4">
        <f>SUMIFS(super1[Qtde],super1[Item],tab_higiene[[#This Row],[Item]],super1[Bairro],mercado17)+SUMIFS(supercb[Qtde],supercb[Item],tab_higiene[[#This Row],[Item]],supercb[Bairro],mercado17)</f>
        <v>0</v>
      </c>
      <c r="BB223" s="4">
        <f>SUMIFS(super1[Qtde],super1[Item],tab_higiene[[#This Row],[Item]],super1[Bairro],mercado18)+SUMIFS(supercb[Qtde],supercb[Item],tab_higiene[[#This Row],[Item]],supercb[Bairro],mercado18)</f>
        <v>0</v>
      </c>
      <c r="BC223" s="31">
        <f>SUMIFS(super1[Qtde],super1[Item],tab_higiene[[#This Row],[Item]],super1[Bairro],extras)+SUMIFS(supercb[Qtde],supercb[Item],tab_higiene[[#This Row],[Item]],supercb[Bairro],extras)</f>
        <v>0</v>
      </c>
      <c r="BD223" s="9">
        <f t="shared" si="85"/>
        <v>0</v>
      </c>
      <c r="BE223" s="9">
        <f t="shared" si="86"/>
        <v>0</v>
      </c>
      <c r="BF223" s="18">
        <f t="shared" si="87"/>
        <v>0</v>
      </c>
    </row>
    <row r="224" spans="9:58" ht="15.75" thickBot="1" x14ac:dyDescent="0.3">
      <c r="I224" s="19" t="str">
        <f>alimentos[[#This Row],[Item]]</f>
        <v>Farofa (200g)</v>
      </c>
      <c r="J224" s="4">
        <f>IFERROR(alimentos[[#This Row],[kg/embalagem]],0)</f>
        <v>0.2</v>
      </c>
      <c r="K224" s="4">
        <f>IFERROR(alimentos[[#This Row],[Preço]],0)</f>
        <v>6.49</v>
      </c>
      <c r="L224" s="4">
        <f>SUMIFS(super1[Qtde],super1[Item],tab_alimentos[[#This Row],[Item]],super1[Bairro],mercado1)+SUMIFS(supercb[Qtde],supercb[Item],tab_alimentos[[#This Row],[Item]],supercb[Bairro],mercado1)</f>
        <v>0</v>
      </c>
      <c r="M224" s="4">
        <f>SUMIFS(super1[Qtde],super1[Item],tab_alimentos[[#This Row],[Item]],super1[Bairro],mercado2)+SUMIFS(supercb[Qtde],supercb[Item],tab_alimentos[[#This Row],[Item]],supercb[Bairro],mercado2)</f>
        <v>0</v>
      </c>
      <c r="N224" s="4">
        <f>SUMIFS(super1[Qtde],super1[Item],tab_alimentos[[#This Row],[Item]],super1[Bairro],mercado3)+SUMIFS(supercb[Qtde],supercb[Item],tab_alimentos[[#This Row],[Item]],supercb[Bairro],mercado3)</f>
        <v>0</v>
      </c>
      <c r="O224" s="4">
        <f>SUMIFS(super1[Qtde],super1[Item],tab_alimentos[[#This Row],[Item]],super1[Bairro],mercado4)+SUMIFS(supercb[Qtde],supercb[Item],tab_alimentos[[#This Row],[Item]],supercb[Bairro],mercado4)</f>
        <v>0</v>
      </c>
      <c r="P224" s="4">
        <f>SUMIFS(super1[Qtde],super1[Item],tab_alimentos[[#This Row],[Item]],super1[Bairro],mercado5)+SUMIFS(supercb[Qtde],supercb[Item],tab_alimentos[[#This Row],[Item]],supercb[Bairro],mercado5)</f>
        <v>0</v>
      </c>
      <c r="Q224" s="4">
        <f>SUMIFS(super1[Qtde],super1[Item],tab_alimentos[[#This Row],[Item]],super1[Bairro],mercado6)+SUMIFS(supercb[Qtde],supercb[Item],tab_alimentos[[#This Row],[Item]],supercb[Bairro],mercado6)</f>
        <v>0</v>
      </c>
      <c r="R224" s="4">
        <f>SUMIFS(super1[Qtde],super1[Item],tab_alimentos[[#This Row],[Item]],super1[Bairro],mercado7)+SUMIFS(supercb[Qtde],supercb[Item],tab_alimentos[[#This Row],[Item]],supercb[Bairro],mercado7)</f>
        <v>0</v>
      </c>
      <c r="S224" s="4">
        <f>SUMIFS(super1[Qtde],super1[Item],tab_alimentos[[#This Row],[Item]],super1[Bairro],mercado8)+SUMIFS(supercb[Qtde],supercb[Item],tab_alimentos[[#This Row],[Item]],supercb[Bairro],mercado8)</f>
        <v>0</v>
      </c>
      <c r="T224" s="4">
        <f>SUMIFS(super1[Qtde],super1[Item],tab_alimentos[[#This Row],[Item]],super1[Bairro],mercado9)+SUMIFS(supercb[Qtde],supercb[Item],tab_alimentos[[#This Row],[Item]],supercb[Bairro],mercado9)</f>
        <v>0</v>
      </c>
      <c r="U224" s="4">
        <f>SUMIFS(super1[Qtde],super1[Item],tab_alimentos[[#This Row],[Item]],super1[Bairro],mercado10)+SUMIFS(supercb[Qtde],supercb[Item],tab_alimentos[[#This Row],[Item]],supercb[Bairro],mercado10)</f>
        <v>0</v>
      </c>
      <c r="V224" s="4">
        <f>SUMIFS(super1[Qtde],super1[Item],tab_alimentos[[#This Row],[Item]],super1[Bairro],mercado11)+SUMIFS(supercb[Qtde],supercb[Item],tab_alimentos[[#This Row],[Item]],supercb[Bairro],mercado11)</f>
        <v>0</v>
      </c>
      <c r="W224" s="4">
        <f>SUMIFS(super1[Qtde],super1[Item],tab_alimentos[[#This Row],[Item]],super1[Bairro],mercado12)+SUMIFS(supercb[Qtde],supercb[Item],tab_alimentos[[#This Row],[Item]],supercb[Bairro],mercado12)</f>
        <v>0</v>
      </c>
      <c r="X224" s="4">
        <f>SUMIFS(super1[Qtde],super1[Item],tab_alimentos[[#This Row],[Item]],super1[Bairro],mercado13)+SUMIFS(supercb[Qtde],supercb[Item],tab_alimentos[[#This Row],[Item]],supercb[Bairro],mercado13)</f>
        <v>0</v>
      </c>
      <c r="Y224" s="4">
        <f>SUMIFS(super1[Qtde],super1[Item],tab_alimentos[[#This Row],[Item]],super1[Bairro],mercado14)+SUMIFS(supercb[Qtde],supercb[Item],tab_alimentos[[#This Row],[Item]],supercb[Bairro],mercado14)</f>
        <v>0</v>
      </c>
      <c r="Z224" s="4">
        <f>SUMIFS(super1[Qtde],super1[Item],tab_alimentos[[#This Row],[Item]],super1[Bairro],mercado15)+SUMIFS(supercb[Qtde],supercb[Item],tab_alimentos[[#This Row],[Item]],supercb[Bairro],mercado15)</f>
        <v>0</v>
      </c>
      <c r="AA224" s="4">
        <f>SUMIFS(super1[Qtde],super1[Item],tab_alimentos[[#This Row],[Item]],super1[Bairro],mercado16)+SUMIFS(supercb[Qtde],supercb[Item],tab_alimentos[[#This Row],[Item]],supercb[Bairro],mercado16)</f>
        <v>0</v>
      </c>
      <c r="AB224" s="4">
        <f>SUMIFS(super1[Qtde],super1[Item],tab_alimentos[[#This Row],[Item]],super1[Bairro],mercado17)+SUMIFS(supercb[Qtde],supercb[Item],tab_alimentos[[#This Row],[Item]],supercb[Bairro],mercado17)</f>
        <v>0</v>
      </c>
      <c r="AC224" s="4">
        <f>SUMIFS(super1[Qtde],super1[Item],tab_alimentos[[#This Row],[Item]],super1[Bairro],mercado18)+SUMIFS(supercb[Qtde],supercb[Item],tab_alimentos[[#This Row],[Item]],supercb[Bairro],mercado18)</f>
        <v>0</v>
      </c>
      <c r="AD224" s="4">
        <f>SUMIFS(super1[Qtde],super1[Item],tab_alimentos[[#This Row],[Item]],super1[Bairro],extras)+SUMIFS(supercb[Qtde],supercb[Item],tab_alimentos[[#This Row],[Item]],supercb[Bairro],extras)</f>
        <v>0</v>
      </c>
      <c r="AE224" s="4">
        <f t="shared" si="82"/>
        <v>0</v>
      </c>
      <c r="AF224" s="4">
        <f t="shared" si="83"/>
        <v>0</v>
      </c>
      <c r="AG224" s="6">
        <f t="shared" si="84"/>
        <v>0</v>
      </c>
      <c r="AH224" s="13" t="str">
        <f>higiene[[#This Row],[Item]]</f>
        <v>Sabão Líquido (5L)</v>
      </c>
      <c r="AI224" s="9">
        <f>IFERROR(higiene[[#This Row],[Kg equivalente]],0)</f>
        <v>0</v>
      </c>
      <c r="AJ224" s="9">
        <f>IFERROR(higiene[[#This Row],[Preço por produto]],0)</f>
        <v>17</v>
      </c>
      <c r="AK224" s="4">
        <f>SUMIFS(super1[Qtde],super1[Item],tab_higiene[[#This Row],[Item]],super1[Bairro],mercado1)+SUMIFS(supercb[Qtde],supercb[Item],tab_higiene[[#This Row],[Item]],supercb[Bairro],mercado1)</f>
        <v>0</v>
      </c>
      <c r="AL224" s="4">
        <f>SUMIFS(super1[Qtde],super1[Item],tab_higiene[[#This Row],[Item]],super1[Bairro],mercado2)+SUMIFS(supercb[Qtde],supercb[Item],tab_higiene[[#This Row],[Item]],supercb[Bairro],mercado2)</f>
        <v>0</v>
      </c>
      <c r="AM224" s="4">
        <f>SUMIFS(super1[Qtde],super1[Item],tab_higiene[[#This Row],[Item]],super1[Bairro],mercado3)+SUMIFS(supercb[Qtde],supercb[Item],tab_higiene[[#This Row],[Item]],supercb[Bairro],mercado3)</f>
        <v>0</v>
      </c>
      <c r="AN224" s="4">
        <f>SUMIFS(super1[Qtde],super1[Item],tab_higiene[[#This Row],[Item]],super1[Bairro],mercado4)+SUMIFS(supercb[Qtde],supercb[Item],tab_higiene[[#This Row],[Item]],supercb[Bairro],mercado4)</f>
        <v>0</v>
      </c>
      <c r="AO224" s="4">
        <f>SUMIFS(super1[Qtde],super1[Item],tab_higiene[[#This Row],[Item]],super1[Bairro],mercado5)+SUMIFS(supercb[Qtde],supercb[Item],tab_higiene[[#This Row],[Item]],supercb[Bairro],mercado5)</f>
        <v>0</v>
      </c>
      <c r="AP224" s="4">
        <f>SUMIFS(super1[Qtde],super1[Item],tab_higiene[[#This Row],[Item]],super1[Bairro],mercado6)+SUMIFS(supercb[Qtde],supercb[Item],tab_higiene[[#This Row],[Item]],supercb[Bairro],mercado6)</f>
        <v>0</v>
      </c>
      <c r="AQ224" s="4">
        <f>SUMIFS(super1[Qtde],super1[Item],tab_higiene[[#This Row],[Item]],super1[Bairro],mercado7)+SUMIFS(supercb[Qtde],supercb[Item],tab_higiene[[#This Row],[Item]],supercb[Bairro],mercado7)</f>
        <v>0</v>
      </c>
      <c r="AR224" s="4">
        <f>SUMIFS(super1[Qtde],super1[Item],tab_higiene[[#This Row],[Item]],super1[Bairro],mercado8)+SUMIFS(supercb[Qtde],supercb[Item],tab_higiene[[#This Row],[Item]],supercb[Bairro],mercado8)</f>
        <v>0</v>
      </c>
      <c r="AS224" s="4">
        <f>SUMIFS(super1[Qtde],super1[Item],tab_higiene[[#This Row],[Item]],super1[Bairro],mercado9)+SUMIFS(supercb[Qtde],supercb[Item],tab_higiene[[#This Row],[Item]],supercb[Bairro],mercado9)</f>
        <v>0</v>
      </c>
      <c r="AT224" s="4">
        <f>SUMIFS(super1[Qtde],super1[Item],tab_higiene[[#This Row],[Item]],super1[Bairro],mercado10)+SUMIFS(supercb[Qtde],supercb[Item],tab_higiene[[#This Row],[Item]],supercb[Bairro],mercado10)</f>
        <v>0</v>
      </c>
      <c r="AU224" s="4">
        <f>SUMIFS(super1[Qtde],super1[Item],tab_higiene[[#This Row],[Item]],super1[Bairro],mercado11)+SUMIFS(supercb[Qtde],supercb[Item],tab_higiene[[#This Row],[Item]],supercb[Bairro],mercado11)</f>
        <v>0</v>
      </c>
      <c r="AV224" s="4">
        <f>SUMIFS(super1[Qtde],super1[Item],tab_higiene[[#This Row],[Item]],super1[Bairro],mercado12)+SUMIFS(supercb[Qtde],supercb[Item],tab_higiene[[#This Row],[Item]],supercb[Bairro],mercado12)</f>
        <v>0</v>
      </c>
      <c r="AW224" s="4">
        <f>SUMIFS(super1[Qtde],super1[Item],tab_higiene[[#This Row],[Item]],super1[Bairro],mercado13)+SUMIFS(supercb[Qtde],supercb[Item],tab_higiene[[#This Row],[Item]],supercb[Bairro],mercado13)</f>
        <v>0</v>
      </c>
      <c r="AX224" s="4">
        <f>SUMIFS(super1[Qtde],super1[Item],tab_higiene[[#This Row],[Item]],super1[Bairro],mercado14)+SUMIFS(supercb[Qtde],supercb[Item],tab_higiene[[#This Row],[Item]],supercb[Bairro],mercado14)</f>
        <v>0</v>
      </c>
      <c r="AY224" s="4">
        <f>SUMIFS(super1[Qtde],super1[Item],tab_higiene[[#This Row],[Item]],super1[Bairro],mercado15)+SUMIFS(supercb[Qtde],supercb[Item],tab_higiene[[#This Row],[Item]],supercb[Bairro],mercado15)</f>
        <v>0</v>
      </c>
      <c r="AZ224" s="4">
        <f>SUMIFS(super1[Qtde],super1[Item],tab_higiene[[#This Row],[Item]],super1[Bairro],mercado16)+SUMIFS(supercb[Qtde],supercb[Item],tab_higiene[[#This Row],[Item]],supercb[Bairro],mercado16)</f>
        <v>0</v>
      </c>
      <c r="BA224" s="4">
        <f>SUMIFS(super1[Qtde],super1[Item],tab_higiene[[#This Row],[Item]],super1[Bairro],mercado17)+SUMIFS(supercb[Qtde],supercb[Item],tab_higiene[[#This Row],[Item]],supercb[Bairro],mercado17)</f>
        <v>0</v>
      </c>
      <c r="BB224" s="4">
        <f>SUMIFS(super1[Qtde],super1[Item],tab_higiene[[#This Row],[Item]],super1[Bairro],mercado18)+SUMIFS(supercb[Qtde],supercb[Item],tab_higiene[[#This Row],[Item]],supercb[Bairro],mercado18)</f>
        <v>0</v>
      </c>
      <c r="BC224" s="31">
        <f>SUMIFS(super1[Qtde],super1[Item],tab_higiene[[#This Row],[Item]],super1[Bairro],extras)+SUMIFS(supercb[Qtde],supercb[Item],tab_higiene[[#This Row],[Item]],supercb[Bairro],extras)</f>
        <v>0</v>
      </c>
      <c r="BD224" s="9">
        <f t="shared" si="85"/>
        <v>0</v>
      </c>
      <c r="BE224" s="9">
        <f t="shared" si="86"/>
        <v>0</v>
      </c>
      <c r="BF224" s="18">
        <f t="shared" si="87"/>
        <v>0</v>
      </c>
    </row>
    <row r="225" spans="9:58" ht="15.75" thickBot="1" x14ac:dyDescent="0.3">
      <c r="I225" s="19" t="str">
        <f>alimentos[[#This Row],[Item]]</f>
        <v>Farofa (250g)</v>
      </c>
      <c r="J225" s="4">
        <f>IFERROR(alimentos[[#This Row],[kg/embalagem]],0)</f>
        <v>0.25</v>
      </c>
      <c r="K225" s="4">
        <f>IFERROR(alimentos[[#This Row],[Preço]],0)</f>
        <v>7.9</v>
      </c>
      <c r="L225" s="4">
        <f>SUMIFS(super1[Qtde],super1[Item],tab_alimentos[[#This Row],[Item]],super1[Bairro],mercado1)+SUMIFS(supercb[Qtde],supercb[Item],tab_alimentos[[#This Row],[Item]],supercb[Bairro],mercado1)</f>
        <v>0</v>
      </c>
      <c r="M225" s="4">
        <f>SUMIFS(super1[Qtde],super1[Item],tab_alimentos[[#This Row],[Item]],super1[Bairro],mercado2)+SUMIFS(supercb[Qtde],supercb[Item],tab_alimentos[[#This Row],[Item]],supercb[Bairro],mercado2)</f>
        <v>0</v>
      </c>
      <c r="N225" s="4">
        <f>SUMIFS(super1[Qtde],super1[Item],tab_alimentos[[#This Row],[Item]],super1[Bairro],mercado3)+SUMIFS(supercb[Qtde],supercb[Item],tab_alimentos[[#This Row],[Item]],supercb[Bairro],mercado3)</f>
        <v>0</v>
      </c>
      <c r="O225" s="4">
        <f>SUMIFS(super1[Qtde],super1[Item],tab_alimentos[[#This Row],[Item]],super1[Bairro],mercado4)+SUMIFS(supercb[Qtde],supercb[Item],tab_alimentos[[#This Row],[Item]],supercb[Bairro],mercado4)</f>
        <v>0</v>
      </c>
      <c r="P225" s="4">
        <f>SUMIFS(super1[Qtde],super1[Item],tab_alimentos[[#This Row],[Item]],super1[Bairro],mercado5)+SUMIFS(supercb[Qtde],supercb[Item],tab_alimentos[[#This Row],[Item]],supercb[Bairro],mercado5)</f>
        <v>0</v>
      </c>
      <c r="Q225" s="4">
        <f>SUMIFS(super1[Qtde],super1[Item],tab_alimentos[[#This Row],[Item]],super1[Bairro],mercado6)+SUMIFS(supercb[Qtde],supercb[Item],tab_alimentos[[#This Row],[Item]],supercb[Bairro],mercado6)</f>
        <v>0</v>
      </c>
      <c r="R225" s="4">
        <f>SUMIFS(super1[Qtde],super1[Item],tab_alimentos[[#This Row],[Item]],super1[Bairro],mercado7)+SUMIFS(supercb[Qtde],supercb[Item],tab_alimentos[[#This Row],[Item]],supercb[Bairro],mercado7)</f>
        <v>0</v>
      </c>
      <c r="S225" s="4">
        <f>SUMIFS(super1[Qtde],super1[Item],tab_alimentos[[#This Row],[Item]],super1[Bairro],mercado8)+SUMIFS(supercb[Qtde],supercb[Item],tab_alimentos[[#This Row],[Item]],supercb[Bairro],mercado8)</f>
        <v>0</v>
      </c>
      <c r="T225" s="4">
        <f>SUMIFS(super1[Qtde],super1[Item],tab_alimentos[[#This Row],[Item]],super1[Bairro],mercado9)+SUMIFS(supercb[Qtde],supercb[Item],tab_alimentos[[#This Row],[Item]],supercb[Bairro],mercado9)</f>
        <v>0</v>
      </c>
      <c r="U225" s="4">
        <f>SUMIFS(super1[Qtde],super1[Item],tab_alimentos[[#This Row],[Item]],super1[Bairro],mercado10)+SUMIFS(supercb[Qtde],supercb[Item],tab_alimentos[[#This Row],[Item]],supercb[Bairro],mercado10)</f>
        <v>0</v>
      </c>
      <c r="V225" s="4">
        <f>SUMIFS(super1[Qtde],super1[Item],tab_alimentos[[#This Row],[Item]],super1[Bairro],mercado11)+SUMIFS(supercb[Qtde],supercb[Item],tab_alimentos[[#This Row],[Item]],supercb[Bairro],mercado11)</f>
        <v>0</v>
      </c>
      <c r="W225" s="4">
        <f>SUMIFS(super1[Qtde],super1[Item],tab_alimentos[[#This Row],[Item]],super1[Bairro],mercado12)+SUMIFS(supercb[Qtde],supercb[Item],tab_alimentos[[#This Row],[Item]],supercb[Bairro],mercado12)</f>
        <v>0</v>
      </c>
      <c r="X225" s="4">
        <f>SUMIFS(super1[Qtde],super1[Item],tab_alimentos[[#This Row],[Item]],super1[Bairro],mercado13)+SUMIFS(supercb[Qtde],supercb[Item],tab_alimentos[[#This Row],[Item]],supercb[Bairro],mercado13)</f>
        <v>0</v>
      </c>
      <c r="Y225" s="4">
        <f>SUMIFS(super1[Qtde],super1[Item],tab_alimentos[[#This Row],[Item]],super1[Bairro],mercado14)+SUMIFS(supercb[Qtde],supercb[Item],tab_alimentos[[#This Row],[Item]],supercb[Bairro],mercado14)</f>
        <v>0</v>
      </c>
      <c r="Z225" s="4">
        <f>SUMIFS(super1[Qtde],super1[Item],tab_alimentos[[#This Row],[Item]],super1[Bairro],mercado15)+SUMIFS(supercb[Qtde],supercb[Item],tab_alimentos[[#This Row],[Item]],supercb[Bairro],mercado15)</f>
        <v>0</v>
      </c>
      <c r="AA225" s="4">
        <f>SUMIFS(super1[Qtde],super1[Item],tab_alimentos[[#This Row],[Item]],super1[Bairro],mercado16)+SUMIFS(supercb[Qtde],supercb[Item],tab_alimentos[[#This Row],[Item]],supercb[Bairro],mercado16)</f>
        <v>0</v>
      </c>
      <c r="AB225" s="4">
        <f>SUMIFS(super1[Qtde],super1[Item],tab_alimentos[[#This Row],[Item]],super1[Bairro],mercado17)+SUMIFS(supercb[Qtde],supercb[Item],tab_alimentos[[#This Row],[Item]],supercb[Bairro],mercado17)</f>
        <v>0</v>
      </c>
      <c r="AC225" s="4">
        <f>SUMIFS(super1[Qtde],super1[Item],tab_alimentos[[#This Row],[Item]],super1[Bairro],mercado18)+SUMIFS(supercb[Qtde],supercb[Item],tab_alimentos[[#This Row],[Item]],supercb[Bairro],mercado18)</f>
        <v>0</v>
      </c>
      <c r="AD225" s="4">
        <f>SUMIFS(super1[Qtde],super1[Item],tab_alimentos[[#This Row],[Item]],super1[Bairro],extras)+SUMIFS(supercb[Qtde],supercb[Item],tab_alimentos[[#This Row],[Item]],supercb[Bairro],extras)</f>
        <v>0</v>
      </c>
      <c r="AE225" s="4">
        <f t="shared" si="82"/>
        <v>0</v>
      </c>
      <c r="AF225" s="4">
        <f t="shared" si="83"/>
        <v>0</v>
      </c>
      <c r="AG225" s="6">
        <f t="shared" si="84"/>
        <v>0</v>
      </c>
      <c r="AH225" s="13" t="str">
        <f>higiene[[#This Row],[Item]]</f>
        <v>Sabonete (100g)</v>
      </c>
      <c r="AI225" s="9">
        <f>IFERROR(higiene[[#This Row],[Kg equivalente]],0)</f>
        <v>0</v>
      </c>
      <c r="AJ225" s="9">
        <f>IFERROR(higiene[[#This Row],[Preço por produto]],0)</f>
        <v>4.95</v>
      </c>
      <c r="AK225" s="4">
        <f>SUMIFS(super1[Qtde],super1[Item],tab_higiene[[#This Row],[Item]],super1[Bairro],mercado1)+SUMIFS(supercb[Qtde],supercb[Item],tab_higiene[[#This Row],[Item]],supercb[Bairro],mercado1)</f>
        <v>0</v>
      </c>
      <c r="AL225" s="4">
        <f>SUMIFS(super1[Qtde],super1[Item],tab_higiene[[#This Row],[Item]],super1[Bairro],mercado2)+SUMIFS(supercb[Qtde],supercb[Item],tab_higiene[[#This Row],[Item]],supercb[Bairro],mercado2)</f>
        <v>0</v>
      </c>
      <c r="AM225" s="4">
        <f>SUMIFS(super1[Qtde],super1[Item],tab_higiene[[#This Row],[Item]],super1[Bairro],mercado3)+SUMIFS(supercb[Qtde],supercb[Item],tab_higiene[[#This Row],[Item]],supercb[Bairro],mercado3)</f>
        <v>0</v>
      </c>
      <c r="AN225" s="4">
        <f>SUMIFS(super1[Qtde],super1[Item],tab_higiene[[#This Row],[Item]],super1[Bairro],mercado4)+SUMIFS(supercb[Qtde],supercb[Item],tab_higiene[[#This Row],[Item]],supercb[Bairro],mercado4)</f>
        <v>0</v>
      </c>
      <c r="AO225" s="4">
        <f>SUMIFS(super1[Qtde],super1[Item],tab_higiene[[#This Row],[Item]],super1[Bairro],mercado5)+SUMIFS(supercb[Qtde],supercb[Item],tab_higiene[[#This Row],[Item]],supercb[Bairro],mercado5)</f>
        <v>0</v>
      </c>
      <c r="AP225" s="4">
        <f>SUMIFS(super1[Qtde],super1[Item],tab_higiene[[#This Row],[Item]],super1[Bairro],mercado6)+SUMIFS(supercb[Qtde],supercb[Item],tab_higiene[[#This Row],[Item]],supercb[Bairro],mercado6)</f>
        <v>0</v>
      </c>
      <c r="AQ225" s="4">
        <f>SUMIFS(super1[Qtde],super1[Item],tab_higiene[[#This Row],[Item]],super1[Bairro],mercado7)+SUMIFS(supercb[Qtde],supercb[Item],tab_higiene[[#This Row],[Item]],supercb[Bairro],mercado7)</f>
        <v>0</v>
      </c>
      <c r="AR225" s="4">
        <f>SUMIFS(super1[Qtde],super1[Item],tab_higiene[[#This Row],[Item]],super1[Bairro],mercado8)+SUMIFS(supercb[Qtde],supercb[Item],tab_higiene[[#This Row],[Item]],supercb[Bairro],mercado8)</f>
        <v>0</v>
      </c>
      <c r="AS225" s="4">
        <f>SUMIFS(super1[Qtde],super1[Item],tab_higiene[[#This Row],[Item]],super1[Bairro],mercado9)+SUMIFS(supercb[Qtde],supercb[Item],tab_higiene[[#This Row],[Item]],supercb[Bairro],mercado9)</f>
        <v>0</v>
      </c>
      <c r="AT225" s="4">
        <f>SUMIFS(super1[Qtde],super1[Item],tab_higiene[[#This Row],[Item]],super1[Bairro],mercado10)+SUMIFS(supercb[Qtde],supercb[Item],tab_higiene[[#This Row],[Item]],supercb[Bairro],mercado10)</f>
        <v>0</v>
      </c>
      <c r="AU225" s="4">
        <f>SUMIFS(super1[Qtde],super1[Item],tab_higiene[[#This Row],[Item]],super1[Bairro],mercado11)+SUMIFS(supercb[Qtde],supercb[Item],tab_higiene[[#This Row],[Item]],supercb[Bairro],mercado11)</f>
        <v>0</v>
      </c>
      <c r="AV225" s="4">
        <f>SUMIFS(super1[Qtde],super1[Item],tab_higiene[[#This Row],[Item]],super1[Bairro],mercado12)+SUMIFS(supercb[Qtde],supercb[Item],tab_higiene[[#This Row],[Item]],supercb[Bairro],mercado12)</f>
        <v>0</v>
      </c>
      <c r="AW225" s="4">
        <f>SUMIFS(super1[Qtde],super1[Item],tab_higiene[[#This Row],[Item]],super1[Bairro],mercado13)+SUMIFS(supercb[Qtde],supercb[Item],tab_higiene[[#This Row],[Item]],supercb[Bairro],mercado13)</f>
        <v>0</v>
      </c>
      <c r="AX225" s="4">
        <f>SUMIFS(super1[Qtde],super1[Item],tab_higiene[[#This Row],[Item]],super1[Bairro],mercado14)+SUMIFS(supercb[Qtde],supercb[Item],tab_higiene[[#This Row],[Item]],supercb[Bairro],mercado14)</f>
        <v>0</v>
      </c>
      <c r="AY225" s="4">
        <f>SUMIFS(super1[Qtde],super1[Item],tab_higiene[[#This Row],[Item]],super1[Bairro],mercado15)+SUMIFS(supercb[Qtde],supercb[Item],tab_higiene[[#This Row],[Item]],supercb[Bairro],mercado15)</f>
        <v>0</v>
      </c>
      <c r="AZ225" s="4">
        <f>SUMIFS(super1[Qtde],super1[Item],tab_higiene[[#This Row],[Item]],super1[Bairro],mercado16)+SUMIFS(supercb[Qtde],supercb[Item],tab_higiene[[#This Row],[Item]],supercb[Bairro],mercado16)</f>
        <v>0</v>
      </c>
      <c r="BA225" s="4">
        <f>SUMIFS(super1[Qtde],super1[Item],tab_higiene[[#This Row],[Item]],super1[Bairro],mercado17)+SUMIFS(supercb[Qtde],supercb[Item],tab_higiene[[#This Row],[Item]],supercb[Bairro],mercado17)</f>
        <v>0</v>
      </c>
      <c r="BB225" s="4">
        <f>SUMIFS(super1[Qtde],super1[Item],tab_higiene[[#This Row],[Item]],super1[Bairro],mercado18)+SUMIFS(supercb[Qtde],supercb[Item],tab_higiene[[#This Row],[Item]],supercb[Bairro],mercado18)</f>
        <v>0</v>
      </c>
      <c r="BC225" s="31">
        <f>SUMIFS(super1[Qtde],super1[Item],tab_higiene[[#This Row],[Item]],super1[Bairro],extras)+SUMIFS(supercb[Qtde],supercb[Item],tab_higiene[[#This Row],[Item]],supercb[Bairro],extras)</f>
        <v>0</v>
      </c>
      <c r="BD225" s="9">
        <f t="shared" si="85"/>
        <v>0</v>
      </c>
      <c r="BE225" s="9">
        <f t="shared" si="86"/>
        <v>0</v>
      </c>
      <c r="BF225" s="18">
        <f t="shared" si="87"/>
        <v>0</v>
      </c>
    </row>
    <row r="226" spans="9:58" ht="15.75" thickBot="1" x14ac:dyDescent="0.3">
      <c r="I226" s="19" t="str">
        <f>alimentos[[#This Row],[Item]]</f>
        <v>Farofa (300g)</v>
      </c>
      <c r="J226" s="4">
        <f>IFERROR(alimentos[[#This Row],[kg/embalagem]],0)</f>
        <v>0.3</v>
      </c>
      <c r="K226" s="4">
        <f>IFERROR(alimentos[[#This Row],[Preço]],0)</f>
        <v>7.99</v>
      </c>
      <c r="L226" s="4">
        <f>SUMIFS(super1[Qtde],super1[Item],tab_alimentos[[#This Row],[Item]],super1[Bairro],mercado1)+SUMIFS(supercb[Qtde],supercb[Item],tab_alimentos[[#This Row],[Item]],supercb[Bairro],mercado1)</f>
        <v>0</v>
      </c>
      <c r="M226" s="4">
        <f>SUMIFS(super1[Qtde],super1[Item],tab_alimentos[[#This Row],[Item]],super1[Bairro],mercado2)+SUMIFS(supercb[Qtde],supercb[Item],tab_alimentos[[#This Row],[Item]],supercb[Bairro],mercado2)</f>
        <v>0</v>
      </c>
      <c r="N226" s="4">
        <f>SUMIFS(super1[Qtde],super1[Item],tab_alimentos[[#This Row],[Item]],super1[Bairro],mercado3)+SUMIFS(supercb[Qtde],supercb[Item],tab_alimentos[[#This Row],[Item]],supercb[Bairro],mercado3)</f>
        <v>0</v>
      </c>
      <c r="O226" s="4">
        <f>SUMIFS(super1[Qtde],super1[Item],tab_alimentos[[#This Row],[Item]],super1[Bairro],mercado4)+SUMIFS(supercb[Qtde],supercb[Item],tab_alimentos[[#This Row],[Item]],supercb[Bairro],mercado4)</f>
        <v>0</v>
      </c>
      <c r="P226" s="4">
        <f>SUMIFS(super1[Qtde],super1[Item],tab_alimentos[[#This Row],[Item]],super1[Bairro],mercado5)+SUMIFS(supercb[Qtde],supercb[Item],tab_alimentos[[#This Row],[Item]],supercb[Bairro],mercado5)</f>
        <v>0</v>
      </c>
      <c r="Q226" s="4">
        <f>SUMIFS(super1[Qtde],super1[Item],tab_alimentos[[#This Row],[Item]],super1[Bairro],mercado6)+SUMIFS(supercb[Qtde],supercb[Item],tab_alimentos[[#This Row],[Item]],supercb[Bairro],mercado6)</f>
        <v>0</v>
      </c>
      <c r="R226" s="4">
        <f>SUMIFS(super1[Qtde],super1[Item],tab_alimentos[[#This Row],[Item]],super1[Bairro],mercado7)+SUMIFS(supercb[Qtde],supercb[Item],tab_alimentos[[#This Row],[Item]],supercb[Bairro],mercado7)</f>
        <v>0</v>
      </c>
      <c r="S226" s="4">
        <f>SUMIFS(super1[Qtde],super1[Item],tab_alimentos[[#This Row],[Item]],super1[Bairro],mercado8)+SUMIFS(supercb[Qtde],supercb[Item],tab_alimentos[[#This Row],[Item]],supercb[Bairro],mercado8)</f>
        <v>0</v>
      </c>
      <c r="T226" s="4">
        <f>SUMIFS(super1[Qtde],super1[Item],tab_alimentos[[#This Row],[Item]],super1[Bairro],mercado9)+SUMIFS(supercb[Qtde],supercb[Item],tab_alimentos[[#This Row],[Item]],supercb[Bairro],mercado9)</f>
        <v>0</v>
      </c>
      <c r="U226" s="4">
        <f>SUMIFS(super1[Qtde],super1[Item],tab_alimentos[[#This Row],[Item]],super1[Bairro],mercado10)+SUMIFS(supercb[Qtde],supercb[Item],tab_alimentos[[#This Row],[Item]],supercb[Bairro],mercado10)</f>
        <v>0</v>
      </c>
      <c r="V226" s="4">
        <f>SUMIFS(super1[Qtde],super1[Item],tab_alimentos[[#This Row],[Item]],super1[Bairro],mercado11)+SUMIFS(supercb[Qtde],supercb[Item],tab_alimentos[[#This Row],[Item]],supercb[Bairro],mercado11)</f>
        <v>0</v>
      </c>
      <c r="W226" s="4">
        <f>SUMIFS(super1[Qtde],super1[Item],tab_alimentos[[#This Row],[Item]],super1[Bairro],mercado12)+SUMIFS(supercb[Qtde],supercb[Item],tab_alimentos[[#This Row],[Item]],supercb[Bairro],mercado12)</f>
        <v>0</v>
      </c>
      <c r="X226" s="4">
        <f>SUMIFS(super1[Qtde],super1[Item],tab_alimentos[[#This Row],[Item]],super1[Bairro],mercado13)+SUMIFS(supercb[Qtde],supercb[Item],tab_alimentos[[#This Row],[Item]],supercb[Bairro],mercado13)</f>
        <v>0</v>
      </c>
      <c r="Y226" s="4">
        <f>SUMIFS(super1[Qtde],super1[Item],tab_alimentos[[#This Row],[Item]],super1[Bairro],mercado14)+SUMIFS(supercb[Qtde],supercb[Item],tab_alimentos[[#This Row],[Item]],supercb[Bairro],mercado14)</f>
        <v>0</v>
      </c>
      <c r="Z226" s="4">
        <f>SUMIFS(super1[Qtde],super1[Item],tab_alimentos[[#This Row],[Item]],super1[Bairro],mercado15)+SUMIFS(supercb[Qtde],supercb[Item],tab_alimentos[[#This Row],[Item]],supercb[Bairro],mercado15)</f>
        <v>0</v>
      </c>
      <c r="AA226" s="4">
        <f>SUMIFS(super1[Qtde],super1[Item],tab_alimentos[[#This Row],[Item]],super1[Bairro],mercado16)+SUMIFS(supercb[Qtde],supercb[Item],tab_alimentos[[#This Row],[Item]],supercb[Bairro],mercado16)</f>
        <v>0</v>
      </c>
      <c r="AB226" s="4">
        <f>SUMIFS(super1[Qtde],super1[Item],tab_alimentos[[#This Row],[Item]],super1[Bairro],mercado17)+SUMIFS(supercb[Qtde],supercb[Item],tab_alimentos[[#This Row],[Item]],supercb[Bairro],mercado17)</f>
        <v>0</v>
      </c>
      <c r="AC226" s="4">
        <f>SUMIFS(super1[Qtde],super1[Item],tab_alimentos[[#This Row],[Item]],super1[Bairro],mercado18)+SUMIFS(supercb[Qtde],supercb[Item],tab_alimentos[[#This Row],[Item]],supercb[Bairro],mercado18)</f>
        <v>0</v>
      </c>
      <c r="AD226" s="4">
        <f>SUMIFS(super1[Qtde],super1[Item],tab_alimentos[[#This Row],[Item]],super1[Bairro],extras)+SUMIFS(supercb[Qtde],supercb[Item],tab_alimentos[[#This Row],[Item]],supercb[Bairro],extras)</f>
        <v>0</v>
      </c>
      <c r="AE226" s="4">
        <f t="shared" si="82"/>
        <v>0</v>
      </c>
      <c r="AF226" s="4">
        <f t="shared" si="83"/>
        <v>0</v>
      </c>
      <c r="AG226" s="6">
        <f t="shared" si="84"/>
        <v>0</v>
      </c>
      <c r="AH226" s="13" t="str">
        <f>higiene[[#This Row],[Item]]</f>
        <v>Sabonete (125g)</v>
      </c>
      <c r="AI226" s="9">
        <f>IFERROR(higiene[[#This Row],[Kg equivalente]],0)</f>
        <v>0</v>
      </c>
      <c r="AJ226" s="9">
        <f>IFERROR(higiene[[#This Row],[Preço por produto]],0)</f>
        <v>3.79</v>
      </c>
      <c r="AK226" s="4">
        <f>SUMIFS(super1[Qtde],super1[Item],tab_higiene[[#This Row],[Item]],super1[Bairro],mercado1)+SUMIFS(supercb[Qtde],supercb[Item],tab_higiene[[#This Row],[Item]],supercb[Bairro],mercado1)</f>
        <v>0</v>
      </c>
      <c r="AL226" s="4">
        <f>SUMIFS(super1[Qtde],super1[Item],tab_higiene[[#This Row],[Item]],super1[Bairro],mercado2)+SUMIFS(supercb[Qtde],supercb[Item],tab_higiene[[#This Row],[Item]],supercb[Bairro],mercado2)</f>
        <v>0</v>
      </c>
      <c r="AM226" s="4">
        <f>SUMIFS(super1[Qtde],super1[Item],tab_higiene[[#This Row],[Item]],super1[Bairro],mercado3)+SUMIFS(supercb[Qtde],supercb[Item],tab_higiene[[#This Row],[Item]],supercb[Bairro],mercado3)</f>
        <v>0</v>
      </c>
      <c r="AN226" s="4">
        <f>SUMIFS(super1[Qtde],super1[Item],tab_higiene[[#This Row],[Item]],super1[Bairro],mercado4)+SUMIFS(supercb[Qtde],supercb[Item],tab_higiene[[#This Row],[Item]],supercb[Bairro],mercado4)</f>
        <v>0</v>
      </c>
      <c r="AO226" s="4">
        <f>SUMIFS(super1[Qtde],super1[Item],tab_higiene[[#This Row],[Item]],super1[Bairro],mercado5)+SUMIFS(supercb[Qtde],supercb[Item],tab_higiene[[#This Row],[Item]],supercb[Bairro],mercado5)</f>
        <v>0</v>
      </c>
      <c r="AP226" s="4">
        <f>SUMIFS(super1[Qtde],super1[Item],tab_higiene[[#This Row],[Item]],super1[Bairro],mercado6)+SUMIFS(supercb[Qtde],supercb[Item],tab_higiene[[#This Row],[Item]],supercb[Bairro],mercado6)</f>
        <v>0</v>
      </c>
      <c r="AQ226" s="4">
        <f>SUMIFS(super1[Qtde],super1[Item],tab_higiene[[#This Row],[Item]],super1[Bairro],mercado7)+SUMIFS(supercb[Qtde],supercb[Item],tab_higiene[[#This Row],[Item]],supercb[Bairro],mercado7)</f>
        <v>0</v>
      </c>
      <c r="AR226" s="4">
        <f>SUMIFS(super1[Qtde],super1[Item],tab_higiene[[#This Row],[Item]],super1[Bairro],mercado8)+SUMIFS(supercb[Qtde],supercb[Item],tab_higiene[[#This Row],[Item]],supercb[Bairro],mercado8)</f>
        <v>0</v>
      </c>
      <c r="AS226" s="4">
        <f>SUMIFS(super1[Qtde],super1[Item],tab_higiene[[#This Row],[Item]],super1[Bairro],mercado9)+SUMIFS(supercb[Qtde],supercb[Item],tab_higiene[[#This Row],[Item]],supercb[Bairro],mercado9)</f>
        <v>0</v>
      </c>
      <c r="AT226" s="4">
        <f>SUMIFS(super1[Qtde],super1[Item],tab_higiene[[#This Row],[Item]],super1[Bairro],mercado10)+SUMIFS(supercb[Qtde],supercb[Item],tab_higiene[[#This Row],[Item]],supercb[Bairro],mercado10)</f>
        <v>0</v>
      </c>
      <c r="AU226" s="4">
        <f>SUMIFS(super1[Qtde],super1[Item],tab_higiene[[#This Row],[Item]],super1[Bairro],mercado11)+SUMIFS(supercb[Qtde],supercb[Item],tab_higiene[[#This Row],[Item]],supercb[Bairro],mercado11)</f>
        <v>0</v>
      </c>
      <c r="AV226" s="4">
        <f>SUMIFS(super1[Qtde],super1[Item],tab_higiene[[#This Row],[Item]],super1[Bairro],mercado12)+SUMIFS(supercb[Qtde],supercb[Item],tab_higiene[[#This Row],[Item]],supercb[Bairro],mercado12)</f>
        <v>0</v>
      </c>
      <c r="AW226" s="4">
        <f>SUMIFS(super1[Qtde],super1[Item],tab_higiene[[#This Row],[Item]],super1[Bairro],mercado13)+SUMIFS(supercb[Qtde],supercb[Item],tab_higiene[[#This Row],[Item]],supercb[Bairro],mercado13)</f>
        <v>0</v>
      </c>
      <c r="AX226" s="4">
        <f>SUMIFS(super1[Qtde],super1[Item],tab_higiene[[#This Row],[Item]],super1[Bairro],mercado14)+SUMIFS(supercb[Qtde],supercb[Item],tab_higiene[[#This Row],[Item]],supercb[Bairro],mercado14)</f>
        <v>0</v>
      </c>
      <c r="AY226" s="4">
        <f>SUMIFS(super1[Qtde],super1[Item],tab_higiene[[#This Row],[Item]],super1[Bairro],mercado15)+SUMIFS(supercb[Qtde],supercb[Item],tab_higiene[[#This Row],[Item]],supercb[Bairro],mercado15)</f>
        <v>0</v>
      </c>
      <c r="AZ226" s="4">
        <f>SUMIFS(super1[Qtde],super1[Item],tab_higiene[[#This Row],[Item]],super1[Bairro],mercado16)+SUMIFS(supercb[Qtde],supercb[Item],tab_higiene[[#This Row],[Item]],supercb[Bairro],mercado16)</f>
        <v>0</v>
      </c>
      <c r="BA226" s="4">
        <f>SUMIFS(super1[Qtde],super1[Item],tab_higiene[[#This Row],[Item]],super1[Bairro],mercado17)+SUMIFS(supercb[Qtde],supercb[Item],tab_higiene[[#This Row],[Item]],supercb[Bairro],mercado17)</f>
        <v>0</v>
      </c>
      <c r="BB226" s="4">
        <f>SUMIFS(super1[Qtde],super1[Item],tab_higiene[[#This Row],[Item]],super1[Bairro],mercado18)+SUMIFS(supercb[Qtde],supercb[Item],tab_higiene[[#This Row],[Item]],supercb[Bairro],mercado18)</f>
        <v>0</v>
      </c>
      <c r="BC226" s="31">
        <f>SUMIFS(super1[Qtde],super1[Item],tab_higiene[[#This Row],[Item]],super1[Bairro],extras)+SUMIFS(supercb[Qtde],supercb[Item],tab_higiene[[#This Row],[Item]],supercb[Bairro],extras)</f>
        <v>0</v>
      </c>
      <c r="BD226" s="9">
        <f t="shared" si="85"/>
        <v>0</v>
      </c>
      <c r="BE226" s="9">
        <f t="shared" si="86"/>
        <v>0</v>
      </c>
      <c r="BF226" s="18">
        <f t="shared" si="87"/>
        <v>0</v>
      </c>
    </row>
    <row r="227" spans="9:58" ht="15.75" thickBot="1" x14ac:dyDescent="0.3">
      <c r="I227" s="19" t="str">
        <f>alimentos[[#This Row],[Item]]</f>
        <v>Farofa (400g)</v>
      </c>
      <c r="J227" s="4">
        <f>IFERROR(alimentos[[#This Row],[kg/embalagem]],0)</f>
        <v>0.4</v>
      </c>
      <c r="K227" s="4">
        <f>IFERROR(alimentos[[#This Row],[Preço]],0)</f>
        <v>2.99</v>
      </c>
      <c r="L227" s="4">
        <f>SUMIFS(super1[Qtde],super1[Item],tab_alimentos[[#This Row],[Item]],super1[Bairro],mercado1)+SUMIFS(supercb[Qtde],supercb[Item],tab_alimentos[[#This Row],[Item]],supercb[Bairro],mercado1)</f>
        <v>0</v>
      </c>
      <c r="M227" s="4">
        <f>SUMIFS(super1[Qtde],super1[Item],tab_alimentos[[#This Row],[Item]],super1[Bairro],mercado2)+SUMIFS(supercb[Qtde],supercb[Item],tab_alimentos[[#This Row],[Item]],supercb[Bairro],mercado2)</f>
        <v>0</v>
      </c>
      <c r="N227" s="4">
        <f>SUMIFS(super1[Qtde],super1[Item],tab_alimentos[[#This Row],[Item]],super1[Bairro],mercado3)+SUMIFS(supercb[Qtde],supercb[Item],tab_alimentos[[#This Row],[Item]],supercb[Bairro],mercado3)</f>
        <v>0</v>
      </c>
      <c r="O227" s="4">
        <f>SUMIFS(super1[Qtde],super1[Item],tab_alimentos[[#This Row],[Item]],super1[Bairro],mercado4)+SUMIFS(supercb[Qtde],supercb[Item],tab_alimentos[[#This Row],[Item]],supercb[Bairro],mercado4)</f>
        <v>0</v>
      </c>
      <c r="P227" s="4">
        <f>SUMIFS(super1[Qtde],super1[Item],tab_alimentos[[#This Row],[Item]],super1[Bairro],mercado5)+SUMIFS(supercb[Qtde],supercb[Item],tab_alimentos[[#This Row],[Item]],supercb[Bairro],mercado5)</f>
        <v>0</v>
      </c>
      <c r="Q227" s="4">
        <f>SUMIFS(super1[Qtde],super1[Item],tab_alimentos[[#This Row],[Item]],super1[Bairro],mercado6)+SUMIFS(supercb[Qtde],supercb[Item],tab_alimentos[[#This Row],[Item]],supercb[Bairro],mercado6)</f>
        <v>0</v>
      </c>
      <c r="R227" s="4">
        <f>SUMIFS(super1[Qtde],super1[Item],tab_alimentos[[#This Row],[Item]],super1[Bairro],mercado7)+SUMIFS(supercb[Qtde],supercb[Item],tab_alimentos[[#This Row],[Item]],supercb[Bairro],mercado7)</f>
        <v>0</v>
      </c>
      <c r="S227" s="4">
        <f>SUMIFS(super1[Qtde],super1[Item],tab_alimentos[[#This Row],[Item]],super1[Bairro],mercado8)+SUMIFS(supercb[Qtde],supercb[Item],tab_alimentos[[#This Row],[Item]],supercb[Bairro],mercado8)</f>
        <v>0</v>
      </c>
      <c r="T227" s="4">
        <f>SUMIFS(super1[Qtde],super1[Item],tab_alimentos[[#This Row],[Item]],super1[Bairro],mercado9)+SUMIFS(supercb[Qtde],supercb[Item],tab_alimentos[[#This Row],[Item]],supercb[Bairro],mercado9)</f>
        <v>0</v>
      </c>
      <c r="U227" s="4">
        <f>SUMIFS(super1[Qtde],super1[Item],tab_alimentos[[#This Row],[Item]],super1[Bairro],mercado10)+SUMIFS(supercb[Qtde],supercb[Item],tab_alimentos[[#This Row],[Item]],supercb[Bairro],mercado10)</f>
        <v>0</v>
      </c>
      <c r="V227" s="4">
        <f>SUMIFS(super1[Qtde],super1[Item],tab_alimentos[[#This Row],[Item]],super1[Bairro],mercado11)+SUMIFS(supercb[Qtde],supercb[Item],tab_alimentos[[#This Row],[Item]],supercb[Bairro],mercado11)</f>
        <v>0</v>
      </c>
      <c r="W227" s="4">
        <f>SUMIFS(super1[Qtde],super1[Item],tab_alimentos[[#This Row],[Item]],super1[Bairro],mercado12)+SUMIFS(supercb[Qtde],supercb[Item],tab_alimentos[[#This Row],[Item]],supercb[Bairro],mercado12)</f>
        <v>0</v>
      </c>
      <c r="X227" s="4">
        <f>SUMIFS(super1[Qtde],super1[Item],tab_alimentos[[#This Row],[Item]],super1[Bairro],mercado13)+SUMIFS(supercb[Qtde],supercb[Item],tab_alimentos[[#This Row],[Item]],supercb[Bairro],mercado13)</f>
        <v>0</v>
      </c>
      <c r="Y227" s="4">
        <f>SUMIFS(super1[Qtde],super1[Item],tab_alimentos[[#This Row],[Item]],super1[Bairro],mercado14)+SUMIFS(supercb[Qtde],supercb[Item],tab_alimentos[[#This Row],[Item]],supercb[Bairro],mercado14)</f>
        <v>0</v>
      </c>
      <c r="Z227" s="4">
        <f>SUMIFS(super1[Qtde],super1[Item],tab_alimentos[[#This Row],[Item]],super1[Bairro],mercado15)+SUMIFS(supercb[Qtde],supercb[Item],tab_alimentos[[#This Row],[Item]],supercb[Bairro],mercado15)</f>
        <v>0</v>
      </c>
      <c r="AA227" s="4">
        <f>SUMIFS(super1[Qtde],super1[Item],tab_alimentos[[#This Row],[Item]],super1[Bairro],mercado16)+SUMIFS(supercb[Qtde],supercb[Item],tab_alimentos[[#This Row],[Item]],supercb[Bairro],mercado16)</f>
        <v>0</v>
      </c>
      <c r="AB227" s="4">
        <f>SUMIFS(super1[Qtde],super1[Item],tab_alimentos[[#This Row],[Item]],super1[Bairro],mercado17)+SUMIFS(supercb[Qtde],supercb[Item],tab_alimentos[[#This Row],[Item]],supercb[Bairro],mercado17)</f>
        <v>0</v>
      </c>
      <c r="AC227" s="4">
        <f>SUMIFS(super1[Qtde],super1[Item],tab_alimentos[[#This Row],[Item]],super1[Bairro],mercado18)+SUMIFS(supercb[Qtde],supercb[Item],tab_alimentos[[#This Row],[Item]],supercb[Bairro],mercado18)</f>
        <v>0</v>
      </c>
      <c r="AD227" s="4">
        <f>SUMIFS(super1[Qtde],super1[Item],tab_alimentos[[#This Row],[Item]],super1[Bairro],extras)+SUMIFS(supercb[Qtde],supercb[Item],tab_alimentos[[#This Row],[Item]],supercb[Bairro],extras)</f>
        <v>0</v>
      </c>
      <c r="AE227" s="4">
        <f t="shared" si="82"/>
        <v>0</v>
      </c>
      <c r="AF227" s="4">
        <f t="shared" si="83"/>
        <v>0</v>
      </c>
      <c r="AG227" s="6">
        <f t="shared" si="84"/>
        <v>0</v>
      </c>
      <c r="AH227" s="13" t="str">
        <f>higiene[[#This Row],[Item]]</f>
        <v>Sabonete (150g)</v>
      </c>
      <c r="AI227" s="9">
        <f>IFERROR(higiene[[#This Row],[Kg equivalente]],0)</f>
        <v>0</v>
      </c>
      <c r="AJ227" s="9">
        <f>IFERROR(higiene[[#This Row],[Preço por produto]],0)</f>
        <v>3.53</v>
      </c>
      <c r="AK227" s="4">
        <f>SUMIFS(super1[Qtde],super1[Item],tab_higiene[[#This Row],[Item]],super1[Bairro],mercado1)+SUMIFS(supercb[Qtde],supercb[Item],tab_higiene[[#This Row],[Item]],supercb[Bairro],mercado1)</f>
        <v>0</v>
      </c>
      <c r="AL227" s="4">
        <f>SUMIFS(super1[Qtde],super1[Item],tab_higiene[[#This Row],[Item]],super1[Bairro],mercado2)+SUMIFS(supercb[Qtde],supercb[Item],tab_higiene[[#This Row],[Item]],supercb[Bairro],mercado2)</f>
        <v>0</v>
      </c>
      <c r="AM227" s="4">
        <f>SUMIFS(super1[Qtde],super1[Item],tab_higiene[[#This Row],[Item]],super1[Bairro],mercado3)+SUMIFS(supercb[Qtde],supercb[Item],tab_higiene[[#This Row],[Item]],supercb[Bairro],mercado3)</f>
        <v>0</v>
      </c>
      <c r="AN227" s="4">
        <f>SUMIFS(super1[Qtde],super1[Item],tab_higiene[[#This Row],[Item]],super1[Bairro],mercado4)+SUMIFS(supercb[Qtde],supercb[Item],tab_higiene[[#This Row],[Item]],supercb[Bairro],mercado4)</f>
        <v>0</v>
      </c>
      <c r="AO227" s="4">
        <f>SUMIFS(super1[Qtde],super1[Item],tab_higiene[[#This Row],[Item]],super1[Bairro],mercado5)+SUMIFS(supercb[Qtde],supercb[Item],tab_higiene[[#This Row],[Item]],supercb[Bairro],mercado5)</f>
        <v>0</v>
      </c>
      <c r="AP227" s="4">
        <f>SUMIFS(super1[Qtde],super1[Item],tab_higiene[[#This Row],[Item]],super1[Bairro],mercado6)+SUMIFS(supercb[Qtde],supercb[Item],tab_higiene[[#This Row],[Item]],supercb[Bairro],mercado6)</f>
        <v>0</v>
      </c>
      <c r="AQ227" s="4">
        <f>SUMIFS(super1[Qtde],super1[Item],tab_higiene[[#This Row],[Item]],super1[Bairro],mercado7)+SUMIFS(supercb[Qtde],supercb[Item],tab_higiene[[#This Row],[Item]],supercb[Bairro],mercado7)</f>
        <v>0</v>
      </c>
      <c r="AR227" s="4">
        <f>SUMIFS(super1[Qtde],super1[Item],tab_higiene[[#This Row],[Item]],super1[Bairro],mercado8)+SUMIFS(supercb[Qtde],supercb[Item],tab_higiene[[#This Row],[Item]],supercb[Bairro],mercado8)</f>
        <v>0</v>
      </c>
      <c r="AS227" s="4">
        <f>SUMIFS(super1[Qtde],super1[Item],tab_higiene[[#This Row],[Item]],super1[Bairro],mercado9)+SUMIFS(supercb[Qtde],supercb[Item],tab_higiene[[#This Row],[Item]],supercb[Bairro],mercado9)</f>
        <v>0</v>
      </c>
      <c r="AT227" s="4">
        <f>SUMIFS(super1[Qtde],super1[Item],tab_higiene[[#This Row],[Item]],super1[Bairro],mercado10)+SUMIFS(supercb[Qtde],supercb[Item],tab_higiene[[#This Row],[Item]],supercb[Bairro],mercado10)</f>
        <v>0</v>
      </c>
      <c r="AU227" s="4">
        <f>SUMIFS(super1[Qtde],super1[Item],tab_higiene[[#This Row],[Item]],super1[Bairro],mercado11)+SUMIFS(supercb[Qtde],supercb[Item],tab_higiene[[#This Row],[Item]],supercb[Bairro],mercado11)</f>
        <v>0</v>
      </c>
      <c r="AV227" s="4">
        <f>SUMIFS(super1[Qtde],super1[Item],tab_higiene[[#This Row],[Item]],super1[Bairro],mercado12)+SUMIFS(supercb[Qtde],supercb[Item],tab_higiene[[#This Row],[Item]],supercb[Bairro],mercado12)</f>
        <v>0</v>
      </c>
      <c r="AW227" s="4">
        <f>SUMIFS(super1[Qtde],super1[Item],tab_higiene[[#This Row],[Item]],super1[Bairro],mercado13)+SUMIFS(supercb[Qtde],supercb[Item],tab_higiene[[#This Row],[Item]],supercb[Bairro],mercado13)</f>
        <v>0</v>
      </c>
      <c r="AX227" s="4">
        <f>SUMIFS(super1[Qtde],super1[Item],tab_higiene[[#This Row],[Item]],super1[Bairro],mercado14)+SUMIFS(supercb[Qtde],supercb[Item],tab_higiene[[#This Row],[Item]],supercb[Bairro],mercado14)</f>
        <v>0</v>
      </c>
      <c r="AY227" s="4">
        <f>SUMIFS(super1[Qtde],super1[Item],tab_higiene[[#This Row],[Item]],super1[Bairro],mercado15)+SUMIFS(supercb[Qtde],supercb[Item],tab_higiene[[#This Row],[Item]],supercb[Bairro],mercado15)</f>
        <v>0</v>
      </c>
      <c r="AZ227" s="4">
        <f>SUMIFS(super1[Qtde],super1[Item],tab_higiene[[#This Row],[Item]],super1[Bairro],mercado16)+SUMIFS(supercb[Qtde],supercb[Item],tab_higiene[[#This Row],[Item]],supercb[Bairro],mercado16)</f>
        <v>0</v>
      </c>
      <c r="BA227" s="4">
        <f>SUMIFS(super1[Qtde],super1[Item],tab_higiene[[#This Row],[Item]],super1[Bairro],mercado17)+SUMIFS(supercb[Qtde],supercb[Item],tab_higiene[[#This Row],[Item]],supercb[Bairro],mercado17)</f>
        <v>0</v>
      </c>
      <c r="BB227" s="4">
        <f>SUMIFS(super1[Qtde],super1[Item],tab_higiene[[#This Row],[Item]],super1[Bairro],mercado18)+SUMIFS(supercb[Qtde],supercb[Item],tab_higiene[[#This Row],[Item]],supercb[Bairro],mercado18)</f>
        <v>0</v>
      </c>
      <c r="BC227" s="31">
        <f>SUMIFS(super1[Qtde],super1[Item],tab_higiene[[#This Row],[Item]],super1[Bairro],extras)+SUMIFS(supercb[Qtde],supercb[Item],tab_higiene[[#This Row],[Item]],supercb[Bairro],extras)</f>
        <v>0</v>
      </c>
      <c r="BD227" s="9">
        <f t="shared" si="85"/>
        <v>0</v>
      </c>
      <c r="BE227" s="9">
        <f t="shared" si="86"/>
        <v>0</v>
      </c>
      <c r="BF227" s="18">
        <f t="shared" si="87"/>
        <v>0</v>
      </c>
    </row>
    <row r="228" spans="9:58" ht="15.75" thickBot="1" x14ac:dyDescent="0.3">
      <c r="I228" s="19" t="str">
        <f>alimentos[[#This Row],[Item]]</f>
        <v>Farofa (500g)</v>
      </c>
      <c r="J228" s="4">
        <f>IFERROR(alimentos[[#This Row],[kg/embalagem]],0)</f>
        <v>0.5</v>
      </c>
      <c r="K228" s="4">
        <f>IFERROR(alimentos[[#This Row],[Preço]],0)</f>
        <v>6.13</v>
      </c>
      <c r="L228" s="4">
        <f>SUMIFS(super1[Qtde],super1[Item],tab_alimentos[[#This Row],[Item]],super1[Bairro],mercado1)+SUMIFS(supercb[Qtde],supercb[Item],tab_alimentos[[#This Row],[Item]],supercb[Bairro],mercado1)</f>
        <v>0</v>
      </c>
      <c r="M228" s="4">
        <f>SUMIFS(super1[Qtde],super1[Item],tab_alimentos[[#This Row],[Item]],super1[Bairro],mercado2)+SUMIFS(supercb[Qtde],supercb[Item],tab_alimentos[[#This Row],[Item]],supercb[Bairro],mercado2)</f>
        <v>0</v>
      </c>
      <c r="N228" s="4">
        <f>SUMIFS(super1[Qtde],super1[Item],tab_alimentos[[#This Row],[Item]],super1[Bairro],mercado3)+SUMIFS(supercb[Qtde],supercb[Item],tab_alimentos[[#This Row],[Item]],supercb[Bairro],mercado3)</f>
        <v>0</v>
      </c>
      <c r="O228" s="4">
        <f>SUMIFS(super1[Qtde],super1[Item],tab_alimentos[[#This Row],[Item]],super1[Bairro],mercado4)+SUMIFS(supercb[Qtde],supercb[Item],tab_alimentos[[#This Row],[Item]],supercb[Bairro],mercado4)</f>
        <v>0</v>
      </c>
      <c r="P228" s="4">
        <f>SUMIFS(super1[Qtde],super1[Item],tab_alimentos[[#This Row],[Item]],super1[Bairro],mercado5)+SUMIFS(supercb[Qtde],supercb[Item],tab_alimentos[[#This Row],[Item]],supercb[Bairro],mercado5)</f>
        <v>0</v>
      </c>
      <c r="Q228" s="4">
        <f>SUMIFS(super1[Qtde],super1[Item],tab_alimentos[[#This Row],[Item]],super1[Bairro],mercado6)+SUMIFS(supercb[Qtde],supercb[Item],tab_alimentos[[#This Row],[Item]],supercb[Bairro],mercado6)</f>
        <v>0</v>
      </c>
      <c r="R228" s="4">
        <f>SUMIFS(super1[Qtde],super1[Item],tab_alimentos[[#This Row],[Item]],super1[Bairro],mercado7)+SUMIFS(supercb[Qtde],supercb[Item],tab_alimentos[[#This Row],[Item]],supercb[Bairro],mercado7)</f>
        <v>0</v>
      </c>
      <c r="S228" s="4">
        <f>SUMIFS(super1[Qtde],super1[Item],tab_alimentos[[#This Row],[Item]],super1[Bairro],mercado8)+SUMIFS(supercb[Qtde],supercb[Item],tab_alimentos[[#This Row],[Item]],supercb[Bairro],mercado8)</f>
        <v>0</v>
      </c>
      <c r="T228" s="4">
        <f>SUMIFS(super1[Qtde],super1[Item],tab_alimentos[[#This Row],[Item]],super1[Bairro],mercado9)+SUMIFS(supercb[Qtde],supercb[Item],tab_alimentos[[#This Row],[Item]],supercb[Bairro],mercado9)</f>
        <v>0</v>
      </c>
      <c r="U228" s="4">
        <f>SUMIFS(super1[Qtde],super1[Item],tab_alimentos[[#This Row],[Item]],super1[Bairro],mercado10)+SUMIFS(supercb[Qtde],supercb[Item],tab_alimentos[[#This Row],[Item]],supercb[Bairro],mercado10)</f>
        <v>0</v>
      </c>
      <c r="V228" s="4">
        <f>SUMIFS(super1[Qtde],super1[Item],tab_alimentos[[#This Row],[Item]],super1[Bairro],mercado11)+SUMIFS(supercb[Qtde],supercb[Item],tab_alimentos[[#This Row],[Item]],supercb[Bairro],mercado11)</f>
        <v>0</v>
      </c>
      <c r="W228" s="4">
        <f>SUMIFS(super1[Qtde],super1[Item],tab_alimentos[[#This Row],[Item]],super1[Bairro],mercado12)+SUMIFS(supercb[Qtde],supercb[Item],tab_alimentos[[#This Row],[Item]],supercb[Bairro],mercado12)</f>
        <v>0</v>
      </c>
      <c r="X228" s="4">
        <f>SUMIFS(super1[Qtde],super1[Item],tab_alimentos[[#This Row],[Item]],super1[Bairro],mercado13)+SUMIFS(supercb[Qtde],supercb[Item],tab_alimentos[[#This Row],[Item]],supercb[Bairro],mercado13)</f>
        <v>0</v>
      </c>
      <c r="Y228" s="4">
        <f>SUMIFS(super1[Qtde],super1[Item],tab_alimentos[[#This Row],[Item]],super1[Bairro],mercado14)+SUMIFS(supercb[Qtde],supercb[Item],tab_alimentos[[#This Row],[Item]],supercb[Bairro],mercado14)</f>
        <v>0</v>
      </c>
      <c r="Z228" s="4">
        <f>SUMIFS(super1[Qtde],super1[Item],tab_alimentos[[#This Row],[Item]],super1[Bairro],mercado15)+SUMIFS(supercb[Qtde],supercb[Item],tab_alimentos[[#This Row],[Item]],supercb[Bairro],mercado15)</f>
        <v>0</v>
      </c>
      <c r="AA228" s="4">
        <f>SUMIFS(super1[Qtde],super1[Item],tab_alimentos[[#This Row],[Item]],super1[Bairro],mercado16)+SUMIFS(supercb[Qtde],supercb[Item],tab_alimentos[[#This Row],[Item]],supercb[Bairro],mercado16)</f>
        <v>0</v>
      </c>
      <c r="AB228" s="4">
        <f>SUMIFS(super1[Qtde],super1[Item],tab_alimentos[[#This Row],[Item]],super1[Bairro],mercado17)+SUMIFS(supercb[Qtde],supercb[Item],tab_alimentos[[#This Row],[Item]],supercb[Bairro],mercado17)</f>
        <v>0</v>
      </c>
      <c r="AC228" s="4">
        <f>SUMIFS(super1[Qtde],super1[Item],tab_alimentos[[#This Row],[Item]],super1[Bairro],mercado18)+SUMIFS(supercb[Qtde],supercb[Item],tab_alimentos[[#This Row],[Item]],supercb[Bairro],mercado18)</f>
        <v>0</v>
      </c>
      <c r="AD228" s="4">
        <f>SUMIFS(super1[Qtde],super1[Item],tab_alimentos[[#This Row],[Item]],super1[Bairro],extras)+SUMIFS(supercb[Qtde],supercb[Item],tab_alimentos[[#This Row],[Item]],supercb[Bairro],extras)</f>
        <v>0</v>
      </c>
      <c r="AE228" s="4">
        <f t="shared" si="82"/>
        <v>0</v>
      </c>
      <c r="AF228" s="4">
        <f t="shared" si="83"/>
        <v>0</v>
      </c>
      <c r="AG228" s="6">
        <f t="shared" si="84"/>
        <v>0</v>
      </c>
      <c r="AH228" s="13" t="str">
        <f>higiene[[#This Row],[Item]]</f>
        <v>Sabonete (180g)</v>
      </c>
      <c r="AI228" s="9">
        <f>IFERROR(higiene[[#This Row],[Kg equivalente]],0)</f>
        <v>0</v>
      </c>
      <c r="AJ228" s="9">
        <f>IFERROR(higiene[[#This Row],[Preço por produto]],0)</f>
        <v>3.29</v>
      </c>
      <c r="AK228" s="4">
        <f>SUMIFS(super1[Qtde],super1[Item],tab_higiene[[#This Row],[Item]],super1[Bairro],mercado1)+SUMIFS(supercb[Qtde],supercb[Item],tab_higiene[[#This Row],[Item]],supercb[Bairro],mercado1)</f>
        <v>0</v>
      </c>
      <c r="AL228" s="4">
        <f>SUMIFS(super1[Qtde],super1[Item],tab_higiene[[#This Row],[Item]],super1[Bairro],mercado2)+SUMIFS(supercb[Qtde],supercb[Item],tab_higiene[[#This Row],[Item]],supercb[Bairro],mercado2)</f>
        <v>0</v>
      </c>
      <c r="AM228" s="4">
        <f>SUMIFS(super1[Qtde],super1[Item],tab_higiene[[#This Row],[Item]],super1[Bairro],mercado3)+SUMIFS(supercb[Qtde],supercb[Item],tab_higiene[[#This Row],[Item]],supercb[Bairro],mercado3)</f>
        <v>0</v>
      </c>
      <c r="AN228" s="4">
        <f>SUMIFS(super1[Qtde],super1[Item],tab_higiene[[#This Row],[Item]],super1[Bairro],mercado4)+SUMIFS(supercb[Qtde],supercb[Item],tab_higiene[[#This Row],[Item]],supercb[Bairro],mercado4)</f>
        <v>0</v>
      </c>
      <c r="AO228" s="4">
        <f>SUMIFS(super1[Qtde],super1[Item],tab_higiene[[#This Row],[Item]],super1[Bairro],mercado5)+SUMIFS(supercb[Qtde],supercb[Item],tab_higiene[[#This Row],[Item]],supercb[Bairro],mercado5)</f>
        <v>0</v>
      </c>
      <c r="AP228" s="4">
        <f>SUMIFS(super1[Qtde],super1[Item],tab_higiene[[#This Row],[Item]],super1[Bairro],mercado6)+SUMIFS(supercb[Qtde],supercb[Item],tab_higiene[[#This Row],[Item]],supercb[Bairro],mercado6)</f>
        <v>0</v>
      </c>
      <c r="AQ228" s="4">
        <f>SUMIFS(super1[Qtde],super1[Item],tab_higiene[[#This Row],[Item]],super1[Bairro],mercado7)+SUMIFS(supercb[Qtde],supercb[Item],tab_higiene[[#This Row],[Item]],supercb[Bairro],mercado7)</f>
        <v>0</v>
      </c>
      <c r="AR228" s="4">
        <f>SUMIFS(super1[Qtde],super1[Item],tab_higiene[[#This Row],[Item]],super1[Bairro],mercado8)+SUMIFS(supercb[Qtde],supercb[Item],tab_higiene[[#This Row],[Item]],supercb[Bairro],mercado8)</f>
        <v>0</v>
      </c>
      <c r="AS228" s="4">
        <f>SUMIFS(super1[Qtde],super1[Item],tab_higiene[[#This Row],[Item]],super1[Bairro],mercado9)+SUMIFS(supercb[Qtde],supercb[Item],tab_higiene[[#This Row],[Item]],supercb[Bairro],mercado9)</f>
        <v>0</v>
      </c>
      <c r="AT228" s="4">
        <f>SUMIFS(super1[Qtde],super1[Item],tab_higiene[[#This Row],[Item]],super1[Bairro],mercado10)+SUMIFS(supercb[Qtde],supercb[Item],tab_higiene[[#This Row],[Item]],supercb[Bairro],mercado10)</f>
        <v>0</v>
      </c>
      <c r="AU228" s="4">
        <f>SUMIFS(super1[Qtde],super1[Item],tab_higiene[[#This Row],[Item]],super1[Bairro],mercado11)+SUMIFS(supercb[Qtde],supercb[Item],tab_higiene[[#This Row],[Item]],supercb[Bairro],mercado11)</f>
        <v>0</v>
      </c>
      <c r="AV228" s="4">
        <f>SUMIFS(super1[Qtde],super1[Item],tab_higiene[[#This Row],[Item]],super1[Bairro],mercado12)+SUMIFS(supercb[Qtde],supercb[Item],tab_higiene[[#This Row],[Item]],supercb[Bairro],mercado12)</f>
        <v>0</v>
      </c>
      <c r="AW228" s="4">
        <f>SUMIFS(super1[Qtde],super1[Item],tab_higiene[[#This Row],[Item]],super1[Bairro],mercado13)+SUMIFS(supercb[Qtde],supercb[Item],tab_higiene[[#This Row],[Item]],supercb[Bairro],mercado13)</f>
        <v>0</v>
      </c>
      <c r="AX228" s="4">
        <f>SUMIFS(super1[Qtde],super1[Item],tab_higiene[[#This Row],[Item]],super1[Bairro],mercado14)+SUMIFS(supercb[Qtde],supercb[Item],tab_higiene[[#This Row],[Item]],supercb[Bairro],mercado14)</f>
        <v>0</v>
      </c>
      <c r="AY228" s="4">
        <f>SUMIFS(super1[Qtde],super1[Item],tab_higiene[[#This Row],[Item]],super1[Bairro],mercado15)+SUMIFS(supercb[Qtde],supercb[Item],tab_higiene[[#This Row],[Item]],supercb[Bairro],mercado15)</f>
        <v>0</v>
      </c>
      <c r="AZ228" s="4">
        <f>SUMIFS(super1[Qtde],super1[Item],tab_higiene[[#This Row],[Item]],super1[Bairro],mercado16)+SUMIFS(supercb[Qtde],supercb[Item],tab_higiene[[#This Row],[Item]],supercb[Bairro],mercado16)</f>
        <v>0</v>
      </c>
      <c r="BA228" s="4">
        <f>SUMIFS(super1[Qtde],super1[Item],tab_higiene[[#This Row],[Item]],super1[Bairro],mercado17)+SUMIFS(supercb[Qtde],supercb[Item],tab_higiene[[#This Row],[Item]],supercb[Bairro],mercado17)</f>
        <v>0</v>
      </c>
      <c r="BB228" s="4">
        <f>SUMIFS(super1[Qtde],super1[Item],tab_higiene[[#This Row],[Item]],super1[Bairro],mercado18)+SUMIFS(supercb[Qtde],supercb[Item],tab_higiene[[#This Row],[Item]],supercb[Bairro],mercado18)</f>
        <v>0</v>
      </c>
      <c r="BC228" s="31">
        <f>SUMIFS(super1[Qtde],super1[Item],tab_higiene[[#This Row],[Item]],super1[Bairro],extras)+SUMIFS(supercb[Qtde],supercb[Item],tab_higiene[[#This Row],[Item]],supercb[Bairro],extras)</f>
        <v>0</v>
      </c>
      <c r="BD228" s="9">
        <f t="shared" si="85"/>
        <v>0</v>
      </c>
      <c r="BE228" s="9">
        <f t="shared" si="86"/>
        <v>0</v>
      </c>
      <c r="BF228" s="18">
        <f t="shared" si="87"/>
        <v>0</v>
      </c>
    </row>
    <row r="229" spans="9:58" ht="15.75" thickBot="1" x14ac:dyDescent="0.3">
      <c r="I229" s="19" t="str">
        <f>alimentos[[#This Row],[Item]]</f>
        <v>Farofa de Mandioca (250g)</v>
      </c>
      <c r="J229" s="4">
        <f>IFERROR(alimentos[[#This Row],[kg/embalagem]],0)</f>
        <v>0.25</v>
      </c>
      <c r="K229" s="4">
        <f>IFERROR(alimentos[[#This Row],[Preço]],0)</f>
        <v>4.0999999999999996</v>
      </c>
      <c r="L229" s="4">
        <f>SUMIFS(super1[Qtde],super1[Item],tab_alimentos[[#This Row],[Item]],super1[Bairro],mercado1)+SUMIFS(supercb[Qtde],supercb[Item],tab_alimentos[[#This Row],[Item]],supercb[Bairro],mercado1)</f>
        <v>0</v>
      </c>
      <c r="M229" s="4">
        <f>SUMIFS(super1[Qtde],super1[Item],tab_alimentos[[#This Row],[Item]],super1[Bairro],mercado2)+SUMIFS(supercb[Qtde],supercb[Item],tab_alimentos[[#This Row],[Item]],supercb[Bairro],mercado2)</f>
        <v>0</v>
      </c>
      <c r="N229" s="4">
        <f>SUMIFS(super1[Qtde],super1[Item],tab_alimentos[[#This Row],[Item]],super1[Bairro],mercado3)+SUMIFS(supercb[Qtde],supercb[Item],tab_alimentos[[#This Row],[Item]],supercb[Bairro],mercado3)</f>
        <v>0</v>
      </c>
      <c r="O229" s="4">
        <f>SUMIFS(super1[Qtde],super1[Item],tab_alimentos[[#This Row],[Item]],super1[Bairro],mercado4)+SUMIFS(supercb[Qtde],supercb[Item],tab_alimentos[[#This Row],[Item]],supercb[Bairro],mercado4)</f>
        <v>0</v>
      </c>
      <c r="P229" s="4">
        <f>SUMIFS(super1[Qtde],super1[Item],tab_alimentos[[#This Row],[Item]],super1[Bairro],mercado5)+SUMIFS(supercb[Qtde],supercb[Item],tab_alimentos[[#This Row],[Item]],supercb[Bairro],mercado5)</f>
        <v>0</v>
      </c>
      <c r="Q229" s="4">
        <f>SUMIFS(super1[Qtde],super1[Item],tab_alimentos[[#This Row],[Item]],super1[Bairro],mercado6)+SUMIFS(supercb[Qtde],supercb[Item],tab_alimentos[[#This Row],[Item]],supercb[Bairro],mercado6)</f>
        <v>0</v>
      </c>
      <c r="R229" s="4">
        <f>SUMIFS(super1[Qtde],super1[Item],tab_alimentos[[#This Row],[Item]],super1[Bairro],mercado7)+SUMIFS(supercb[Qtde],supercb[Item],tab_alimentos[[#This Row],[Item]],supercb[Bairro],mercado7)</f>
        <v>0</v>
      </c>
      <c r="S229" s="4">
        <f>SUMIFS(super1[Qtde],super1[Item],tab_alimentos[[#This Row],[Item]],super1[Bairro],mercado8)+SUMIFS(supercb[Qtde],supercb[Item],tab_alimentos[[#This Row],[Item]],supercb[Bairro],mercado8)</f>
        <v>0</v>
      </c>
      <c r="T229" s="4">
        <f>SUMIFS(super1[Qtde],super1[Item],tab_alimentos[[#This Row],[Item]],super1[Bairro],mercado9)+SUMIFS(supercb[Qtde],supercb[Item],tab_alimentos[[#This Row],[Item]],supercb[Bairro],mercado9)</f>
        <v>0</v>
      </c>
      <c r="U229" s="4">
        <f>SUMIFS(super1[Qtde],super1[Item],tab_alimentos[[#This Row],[Item]],super1[Bairro],mercado10)+SUMIFS(supercb[Qtde],supercb[Item],tab_alimentos[[#This Row],[Item]],supercb[Bairro],mercado10)</f>
        <v>0</v>
      </c>
      <c r="V229" s="4">
        <f>SUMIFS(super1[Qtde],super1[Item],tab_alimentos[[#This Row],[Item]],super1[Bairro],mercado11)+SUMIFS(supercb[Qtde],supercb[Item],tab_alimentos[[#This Row],[Item]],supercb[Bairro],mercado11)</f>
        <v>0</v>
      </c>
      <c r="W229" s="4">
        <f>SUMIFS(super1[Qtde],super1[Item],tab_alimentos[[#This Row],[Item]],super1[Bairro],mercado12)+SUMIFS(supercb[Qtde],supercb[Item],tab_alimentos[[#This Row],[Item]],supercb[Bairro],mercado12)</f>
        <v>0</v>
      </c>
      <c r="X229" s="4">
        <f>SUMIFS(super1[Qtde],super1[Item],tab_alimentos[[#This Row],[Item]],super1[Bairro],mercado13)+SUMIFS(supercb[Qtde],supercb[Item],tab_alimentos[[#This Row],[Item]],supercb[Bairro],mercado13)</f>
        <v>0</v>
      </c>
      <c r="Y229" s="4">
        <f>SUMIFS(super1[Qtde],super1[Item],tab_alimentos[[#This Row],[Item]],super1[Bairro],mercado14)+SUMIFS(supercb[Qtde],supercb[Item],tab_alimentos[[#This Row],[Item]],supercb[Bairro],mercado14)</f>
        <v>0</v>
      </c>
      <c r="Z229" s="4">
        <f>SUMIFS(super1[Qtde],super1[Item],tab_alimentos[[#This Row],[Item]],super1[Bairro],mercado15)+SUMIFS(supercb[Qtde],supercb[Item],tab_alimentos[[#This Row],[Item]],supercb[Bairro],mercado15)</f>
        <v>0</v>
      </c>
      <c r="AA229" s="4">
        <f>SUMIFS(super1[Qtde],super1[Item],tab_alimentos[[#This Row],[Item]],super1[Bairro],mercado16)+SUMIFS(supercb[Qtde],supercb[Item],tab_alimentos[[#This Row],[Item]],supercb[Bairro],mercado16)</f>
        <v>0</v>
      </c>
      <c r="AB229" s="4">
        <f>SUMIFS(super1[Qtde],super1[Item],tab_alimentos[[#This Row],[Item]],super1[Bairro],mercado17)+SUMIFS(supercb[Qtde],supercb[Item],tab_alimentos[[#This Row],[Item]],supercb[Bairro],mercado17)</f>
        <v>0</v>
      </c>
      <c r="AC229" s="4">
        <f>SUMIFS(super1[Qtde],super1[Item],tab_alimentos[[#This Row],[Item]],super1[Bairro],mercado18)+SUMIFS(supercb[Qtde],supercb[Item],tab_alimentos[[#This Row],[Item]],supercb[Bairro],mercado18)</f>
        <v>0</v>
      </c>
      <c r="AD229" s="4">
        <f>SUMIFS(super1[Qtde],super1[Item],tab_alimentos[[#This Row],[Item]],super1[Bairro],extras)+SUMIFS(supercb[Qtde],supercb[Item],tab_alimentos[[#This Row],[Item]],supercb[Bairro],extras)</f>
        <v>0</v>
      </c>
      <c r="AE229" s="4">
        <f t="shared" si="82"/>
        <v>0</v>
      </c>
      <c r="AF229" s="4">
        <f t="shared" si="83"/>
        <v>0</v>
      </c>
      <c r="AG229" s="6">
        <f t="shared" si="84"/>
        <v>0</v>
      </c>
      <c r="AH229" s="13" t="str">
        <f>higiene[[#This Row],[Item]]</f>
        <v>Sabonete (200g)</v>
      </c>
      <c r="AI229" s="9">
        <f>IFERROR(higiene[[#This Row],[Kg equivalente]],0)</f>
        <v>0</v>
      </c>
      <c r="AJ229" s="9">
        <f>IFERROR(higiene[[#This Row],[Preço por produto]],0)</f>
        <v>4.3</v>
      </c>
      <c r="AK229" s="4">
        <f>SUMIFS(super1[Qtde],super1[Item],tab_higiene[[#This Row],[Item]],super1[Bairro],mercado1)+SUMIFS(supercb[Qtde],supercb[Item],tab_higiene[[#This Row],[Item]],supercb[Bairro],mercado1)</f>
        <v>0</v>
      </c>
      <c r="AL229" s="4">
        <f>SUMIFS(super1[Qtde],super1[Item],tab_higiene[[#This Row],[Item]],super1[Bairro],mercado2)+SUMIFS(supercb[Qtde],supercb[Item],tab_higiene[[#This Row],[Item]],supercb[Bairro],mercado2)</f>
        <v>0</v>
      </c>
      <c r="AM229" s="4">
        <f>SUMIFS(super1[Qtde],super1[Item],tab_higiene[[#This Row],[Item]],super1[Bairro],mercado3)+SUMIFS(supercb[Qtde],supercb[Item],tab_higiene[[#This Row],[Item]],supercb[Bairro],mercado3)</f>
        <v>0</v>
      </c>
      <c r="AN229" s="4">
        <f>SUMIFS(super1[Qtde],super1[Item],tab_higiene[[#This Row],[Item]],super1[Bairro],mercado4)+SUMIFS(supercb[Qtde],supercb[Item],tab_higiene[[#This Row],[Item]],supercb[Bairro],mercado4)</f>
        <v>0</v>
      </c>
      <c r="AO229" s="4">
        <f>SUMIFS(super1[Qtde],super1[Item],tab_higiene[[#This Row],[Item]],super1[Bairro],mercado5)+SUMIFS(supercb[Qtde],supercb[Item],tab_higiene[[#This Row],[Item]],supercb[Bairro],mercado5)</f>
        <v>0</v>
      </c>
      <c r="AP229" s="4">
        <f>SUMIFS(super1[Qtde],super1[Item],tab_higiene[[#This Row],[Item]],super1[Bairro],mercado6)+SUMIFS(supercb[Qtde],supercb[Item],tab_higiene[[#This Row],[Item]],supercb[Bairro],mercado6)</f>
        <v>0</v>
      </c>
      <c r="AQ229" s="4">
        <f>SUMIFS(super1[Qtde],super1[Item],tab_higiene[[#This Row],[Item]],super1[Bairro],mercado7)+SUMIFS(supercb[Qtde],supercb[Item],tab_higiene[[#This Row],[Item]],supercb[Bairro],mercado7)</f>
        <v>0</v>
      </c>
      <c r="AR229" s="4">
        <f>SUMIFS(super1[Qtde],super1[Item],tab_higiene[[#This Row],[Item]],super1[Bairro],mercado8)+SUMIFS(supercb[Qtde],supercb[Item],tab_higiene[[#This Row],[Item]],supercb[Bairro],mercado8)</f>
        <v>0</v>
      </c>
      <c r="AS229" s="4">
        <f>SUMIFS(super1[Qtde],super1[Item],tab_higiene[[#This Row],[Item]],super1[Bairro],mercado9)+SUMIFS(supercb[Qtde],supercb[Item],tab_higiene[[#This Row],[Item]],supercb[Bairro],mercado9)</f>
        <v>0</v>
      </c>
      <c r="AT229" s="4">
        <f>SUMIFS(super1[Qtde],super1[Item],tab_higiene[[#This Row],[Item]],super1[Bairro],mercado10)+SUMIFS(supercb[Qtde],supercb[Item],tab_higiene[[#This Row],[Item]],supercb[Bairro],mercado10)</f>
        <v>0</v>
      </c>
      <c r="AU229" s="4">
        <f>SUMIFS(super1[Qtde],super1[Item],tab_higiene[[#This Row],[Item]],super1[Bairro],mercado11)+SUMIFS(supercb[Qtde],supercb[Item],tab_higiene[[#This Row],[Item]],supercb[Bairro],mercado11)</f>
        <v>0</v>
      </c>
      <c r="AV229" s="4">
        <f>SUMIFS(super1[Qtde],super1[Item],tab_higiene[[#This Row],[Item]],super1[Bairro],mercado12)+SUMIFS(supercb[Qtde],supercb[Item],tab_higiene[[#This Row],[Item]],supercb[Bairro],mercado12)</f>
        <v>0</v>
      </c>
      <c r="AW229" s="4">
        <f>SUMIFS(super1[Qtde],super1[Item],tab_higiene[[#This Row],[Item]],super1[Bairro],mercado13)+SUMIFS(supercb[Qtde],supercb[Item],tab_higiene[[#This Row],[Item]],supercb[Bairro],mercado13)</f>
        <v>0</v>
      </c>
      <c r="AX229" s="4">
        <f>SUMIFS(super1[Qtde],super1[Item],tab_higiene[[#This Row],[Item]],super1[Bairro],mercado14)+SUMIFS(supercb[Qtde],supercb[Item],tab_higiene[[#This Row],[Item]],supercb[Bairro],mercado14)</f>
        <v>0</v>
      </c>
      <c r="AY229" s="4">
        <f>SUMIFS(super1[Qtde],super1[Item],tab_higiene[[#This Row],[Item]],super1[Bairro],mercado15)+SUMIFS(supercb[Qtde],supercb[Item],tab_higiene[[#This Row],[Item]],supercb[Bairro],mercado15)</f>
        <v>0</v>
      </c>
      <c r="AZ229" s="4">
        <f>SUMIFS(super1[Qtde],super1[Item],tab_higiene[[#This Row],[Item]],super1[Bairro],mercado16)+SUMIFS(supercb[Qtde],supercb[Item],tab_higiene[[#This Row],[Item]],supercb[Bairro],mercado16)</f>
        <v>0</v>
      </c>
      <c r="BA229" s="4">
        <f>SUMIFS(super1[Qtde],super1[Item],tab_higiene[[#This Row],[Item]],super1[Bairro],mercado17)+SUMIFS(supercb[Qtde],supercb[Item],tab_higiene[[#This Row],[Item]],supercb[Bairro],mercado17)</f>
        <v>0</v>
      </c>
      <c r="BB229" s="4">
        <f>SUMIFS(super1[Qtde],super1[Item],tab_higiene[[#This Row],[Item]],super1[Bairro],mercado18)+SUMIFS(supercb[Qtde],supercb[Item],tab_higiene[[#This Row],[Item]],supercb[Bairro],mercado18)</f>
        <v>0</v>
      </c>
      <c r="BC229" s="31">
        <f>SUMIFS(super1[Qtde],super1[Item],tab_higiene[[#This Row],[Item]],super1[Bairro],extras)+SUMIFS(supercb[Qtde],supercb[Item],tab_higiene[[#This Row],[Item]],supercb[Bairro],extras)</f>
        <v>0</v>
      </c>
      <c r="BD229" s="9">
        <f t="shared" si="85"/>
        <v>0</v>
      </c>
      <c r="BE229" s="9">
        <f t="shared" si="86"/>
        <v>0</v>
      </c>
      <c r="BF229" s="18">
        <f t="shared" si="87"/>
        <v>0</v>
      </c>
    </row>
    <row r="230" spans="9:58" ht="15.75" thickBot="1" x14ac:dyDescent="0.3">
      <c r="I230" s="19" t="str">
        <f>alimentos[[#This Row],[Item]]</f>
        <v>Farofa de Mandioca (400g)</v>
      </c>
      <c r="J230" s="4">
        <f>IFERROR(alimentos[[#This Row],[kg/embalagem]],0)</f>
        <v>0.4</v>
      </c>
      <c r="K230" s="4">
        <f>IFERROR(alimentos[[#This Row],[Preço]],0)</f>
        <v>8.99</v>
      </c>
      <c r="L230" s="4">
        <f>SUMIFS(super1[Qtde],super1[Item],tab_alimentos[[#This Row],[Item]],super1[Bairro],mercado1)+SUMIFS(supercb[Qtde],supercb[Item],tab_alimentos[[#This Row],[Item]],supercb[Bairro],mercado1)</f>
        <v>0</v>
      </c>
      <c r="M230" s="4">
        <f>SUMIFS(super1[Qtde],super1[Item],tab_alimentos[[#This Row],[Item]],super1[Bairro],mercado2)+SUMIFS(supercb[Qtde],supercb[Item],tab_alimentos[[#This Row],[Item]],supercb[Bairro],mercado2)</f>
        <v>0</v>
      </c>
      <c r="N230" s="4">
        <f>SUMIFS(super1[Qtde],super1[Item],tab_alimentos[[#This Row],[Item]],super1[Bairro],mercado3)+SUMIFS(supercb[Qtde],supercb[Item],tab_alimentos[[#This Row],[Item]],supercb[Bairro],mercado3)</f>
        <v>0</v>
      </c>
      <c r="O230" s="4">
        <f>SUMIFS(super1[Qtde],super1[Item],tab_alimentos[[#This Row],[Item]],super1[Bairro],mercado4)+SUMIFS(supercb[Qtde],supercb[Item],tab_alimentos[[#This Row],[Item]],supercb[Bairro],mercado4)</f>
        <v>0</v>
      </c>
      <c r="P230" s="4">
        <f>SUMIFS(super1[Qtde],super1[Item],tab_alimentos[[#This Row],[Item]],super1[Bairro],mercado5)+SUMIFS(supercb[Qtde],supercb[Item],tab_alimentos[[#This Row],[Item]],supercb[Bairro],mercado5)</f>
        <v>0</v>
      </c>
      <c r="Q230" s="4">
        <f>SUMIFS(super1[Qtde],super1[Item],tab_alimentos[[#This Row],[Item]],super1[Bairro],mercado6)+SUMIFS(supercb[Qtde],supercb[Item],tab_alimentos[[#This Row],[Item]],supercb[Bairro],mercado6)</f>
        <v>0</v>
      </c>
      <c r="R230" s="4">
        <f>SUMIFS(super1[Qtde],super1[Item],tab_alimentos[[#This Row],[Item]],super1[Bairro],mercado7)+SUMIFS(supercb[Qtde],supercb[Item],tab_alimentos[[#This Row],[Item]],supercb[Bairro],mercado7)</f>
        <v>0</v>
      </c>
      <c r="S230" s="4">
        <f>SUMIFS(super1[Qtde],super1[Item],tab_alimentos[[#This Row],[Item]],super1[Bairro],mercado8)+SUMIFS(supercb[Qtde],supercb[Item],tab_alimentos[[#This Row],[Item]],supercb[Bairro],mercado8)</f>
        <v>0</v>
      </c>
      <c r="T230" s="4">
        <f>SUMIFS(super1[Qtde],super1[Item],tab_alimentos[[#This Row],[Item]],super1[Bairro],mercado9)+SUMIFS(supercb[Qtde],supercb[Item],tab_alimentos[[#This Row],[Item]],supercb[Bairro],mercado9)</f>
        <v>0</v>
      </c>
      <c r="U230" s="4">
        <f>SUMIFS(super1[Qtde],super1[Item],tab_alimentos[[#This Row],[Item]],super1[Bairro],mercado10)+SUMIFS(supercb[Qtde],supercb[Item],tab_alimentos[[#This Row],[Item]],supercb[Bairro],mercado10)</f>
        <v>0</v>
      </c>
      <c r="V230" s="4">
        <f>SUMIFS(super1[Qtde],super1[Item],tab_alimentos[[#This Row],[Item]],super1[Bairro],mercado11)+SUMIFS(supercb[Qtde],supercb[Item],tab_alimentos[[#This Row],[Item]],supercb[Bairro],mercado11)</f>
        <v>0</v>
      </c>
      <c r="W230" s="4">
        <f>SUMIFS(super1[Qtde],super1[Item],tab_alimentos[[#This Row],[Item]],super1[Bairro],mercado12)+SUMIFS(supercb[Qtde],supercb[Item],tab_alimentos[[#This Row],[Item]],supercb[Bairro],mercado12)</f>
        <v>0</v>
      </c>
      <c r="X230" s="4">
        <f>SUMIFS(super1[Qtde],super1[Item],tab_alimentos[[#This Row],[Item]],super1[Bairro],mercado13)+SUMIFS(supercb[Qtde],supercb[Item],tab_alimentos[[#This Row],[Item]],supercb[Bairro],mercado13)</f>
        <v>0</v>
      </c>
      <c r="Y230" s="4">
        <f>SUMIFS(super1[Qtde],super1[Item],tab_alimentos[[#This Row],[Item]],super1[Bairro],mercado14)+SUMIFS(supercb[Qtde],supercb[Item],tab_alimentos[[#This Row],[Item]],supercb[Bairro],mercado14)</f>
        <v>0</v>
      </c>
      <c r="Z230" s="4">
        <f>SUMIFS(super1[Qtde],super1[Item],tab_alimentos[[#This Row],[Item]],super1[Bairro],mercado15)+SUMIFS(supercb[Qtde],supercb[Item],tab_alimentos[[#This Row],[Item]],supercb[Bairro],mercado15)</f>
        <v>0</v>
      </c>
      <c r="AA230" s="4">
        <f>SUMIFS(super1[Qtde],super1[Item],tab_alimentos[[#This Row],[Item]],super1[Bairro],mercado16)+SUMIFS(supercb[Qtde],supercb[Item],tab_alimentos[[#This Row],[Item]],supercb[Bairro],mercado16)</f>
        <v>0</v>
      </c>
      <c r="AB230" s="4">
        <f>SUMIFS(super1[Qtde],super1[Item],tab_alimentos[[#This Row],[Item]],super1[Bairro],mercado17)+SUMIFS(supercb[Qtde],supercb[Item],tab_alimentos[[#This Row],[Item]],supercb[Bairro],mercado17)</f>
        <v>0</v>
      </c>
      <c r="AC230" s="4">
        <f>SUMIFS(super1[Qtde],super1[Item],tab_alimentos[[#This Row],[Item]],super1[Bairro],mercado18)+SUMIFS(supercb[Qtde],supercb[Item],tab_alimentos[[#This Row],[Item]],supercb[Bairro],mercado18)</f>
        <v>0</v>
      </c>
      <c r="AD230" s="4">
        <f>SUMIFS(super1[Qtde],super1[Item],tab_alimentos[[#This Row],[Item]],super1[Bairro],extras)+SUMIFS(supercb[Qtde],supercb[Item],tab_alimentos[[#This Row],[Item]],supercb[Bairro],extras)</f>
        <v>0</v>
      </c>
      <c r="AE230" s="4">
        <f t="shared" si="82"/>
        <v>0</v>
      </c>
      <c r="AF230" s="4">
        <f t="shared" si="83"/>
        <v>0</v>
      </c>
      <c r="AG230" s="6">
        <f t="shared" si="84"/>
        <v>0</v>
      </c>
      <c r="AH230" s="13" t="str">
        <f>higiene[[#This Row],[Item]]</f>
        <v>Sabonete (3un)</v>
      </c>
      <c r="AI230" s="9">
        <f>IFERROR(higiene[[#This Row],[Kg equivalente]],0)</f>
        <v>0</v>
      </c>
      <c r="AJ230" s="9">
        <f>IFERROR(higiene[[#This Row],[Preço por produto]],0)</f>
        <v>16.989999999999998</v>
      </c>
      <c r="AK230" s="4">
        <f>SUMIFS(super1[Qtde],super1[Item],tab_higiene[[#This Row],[Item]],super1[Bairro],mercado1)+SUMIFS(supercb[Qtde],supercb[Item],tab_higiene[[#This Row],[Item]],supercb[Bairro],mercado1)</f>
        <v>0</v>
      </c>
      <c r="AL230" s="4">
        <f>SUMIFS(super1[Qtde],super1[Item],tab_higiene[[#This Row],[Item]],super1[Bairro],mercado2)+SUMIFS(supercb[Qtde],supercb[Item],tab_higiene[[#This Row],[Item]],supercb[Bairro],mercado2)</f>
        <v>0</v>
      </c>
      <c r="AM230" s="4">
        <f>SUMIFS(super1[Qtde],super1[Item],tab_higiene[[#This Row],[Item]],super1[Bairro],mercado3)+SUMIFS(supercb[Qtde],supercb[Item],tab_higiene[[#This Row],[Item]],supercb[Bairro],mercado3)</f>
        <v>0</v>
      </c>
      <c r="AN230" s="4">
        <f>SUMIFS(super1[Qtde],super1[Item],tab_higiene[[#This Row],[Item]],super1[Bairro],mercado4)+SUMIFS(supercb[Qtde],supercb[Item],tab_higiene[[#This Row],[Item]],supercb[Bairro],mercado4)</f>
        <v>0</v>
      </c>
      <c r="AO230" s="4">
        <f>SUMIFS(super1[Qtde],super1[Item],tab_higiene[[#This Row],[Item]],super1[Bairro],mercado5)+SUMIFS(supercb[Qtde],supercb[Item],tab_higiene[[#This Row],[Item]],supercb[Bairro],mercado5)</f>
        <v>0</v>
      </c>
      <c r="AP230" s="4">
        <f>SUMIFS(super1[Qtde],super1[Item],tab_higiene[[#This Row],[Item]],super1[Bairro],mercado6)+SUMIFS(supercb[Qtde],supercb[Item],tab_higiene[[#This Row],[Item]],supercb[Bairro],mercado6)</f>
        <v>0</v>
      </c>
      <c r="AQ230" s="4">
        <f>SUMIFS(super1[Qtde],super1[Item],tab_higiene[[#This Row],[Item]],super1[Bairro],mercado7)+SUMIFS(supercb[Qtde],supercb[Item],tab_higiene[[#This Row],[Item]],supercb[Bairro],mercado7)</f>
        <v>0</v>
      </c>
      <c r="AR230" s="4">
        <f>SUMIFS(super1[Qtde],super1[Item],tab_higiene[[#This Row],[Item]],super1[Bairro],mercado8)+SUMIFS(supercb[Qtde],supercb[Item],tab_higiene[[#This Row],[Item]],supercb[Bairro],mercado8)</f>
        <v>0</v>
      </c>
      <c r="AS230" s="4">
        <f>SUMIFS(super1[Qtde],super1[Item],tab_higiene[[#This Row],[Item]],super1[Bairro],mercado9)+SUMIFS(supercb[Qtde],supercb[Item],tab_higiene[[#This Row],[Item]],supercb[Bairro],mercado9)</f>
        <v>0</v>
      </c>
      <c r="AT230" s="4">
        <f>SUMIFS(super1[Qtde],super1[Item],tab_higiene[[#This Row],[Item]],super1[Bairro],mercado10)+SUMIFS(supercb[Qtde],supercb[Item],tab_higiene[[#This Row],[Item]],supercb[Bairro],mercado10)</f>
        <v>0</v>
      </c>
      <c r="AU230" s="4">
        <f>SUMIFS(super1[Qtde],super1[Item],tab_higiene[[#This Row],[Item]],super1[Bairro],mercado11)+SUMIFS(supercb[Qtde],supercb[Item],tab_higiene[[#This Row],[Item]],supercb[Bairro],mercado11)</f>
        <v>0</v>
      </c>
      <c r="AV230" s="4">
        <f>SUMIFS(super1[Qtde],super1[Item],tab_higiene[[#This Row],[Item]],super1[Bairro],mercado12)+SUMIFS(supercb[Qtde],supercb[Item],tab_higiene[[#This Row],[Item]],supercb[Bairro],mercado12)</f>
        <v>0</v>
      </c>
      <c r="AW230" s="4">
        <f>SUMIFS(super1[Qtde],super1[Item],tab_higiene[[#This Row],[Item]],super1[Bairro],mercado13)+SUMIFS(supercb[Qtde],supercb[Item],tab_higiene[[#This Row],[Item]],supercb[Bairro],mercado13)</f>
        <v>0</v>
      </c>
      <c r="AX230" s="4">
        <f>SUMIFS(super1[Qtde],super1[Item],tab_higiene[[#This Row],[Item]],super1[Bairro],mercado14)+SUMIFS(supercb[Qtde],supercb[Item],tab_higiene[[#This Row],[Item]],supercb[Bairro],mercado14)</f>
        <v>0</v>
      </c>
      <c r="AY230" s="4">
        <f>SUMIFS(super1[Qtde],super1[Item],tab_higiene[[#This Row],[Item]],super1[Bairro],mercado15)+SUMIFS(supercb[Qtde],supercb[Item],tab_higiene[[#This Row],[Item]],supercb[Bairro],mercado15)</f>
        <v>0</v>
      </c>
      <c r="AZ230" s="4">
        <f>SUMIFS(super1[Qtde],super1[Item],tab_higiene[[#This Row],[Item]],super1[Bairro],mercado16)+SUMIFS(supercb[Qtde],supercb[Item],tab_higiene[[#This Row],[Item]],supercb[Bairro],mercado16)</f>
        <v>0</v>
      </c>
      <c r="BA230" s="4">
        <f>SUMIFS(super1[Qtde],super1[Item],tab_higiene[[#This Row],[Item]],super1[Bairro],mercado17)+SUMIFS(supercb[Qtde],supercb[Item],tab_higiene[[#This Row],[Item]],supercb[Bairro],mercado17)</f>
        <v>0</v>
      </c>
      <c r="BB230" s="4">
        <f>SUMIFS(super1[Qtde],super1[Item],tab_higiene[[#This Row],[Item]],super1[Bairro],mercado18)+SUMIFS(supercb[Qtde],supercb[Item],tab_higiene[[#This Row],[Item]],supercb[Bairro],mercado18)</f>
        <v>0</v>
      </c>
      <c r="BC230" s="31">
        <f>SUMIFS(super1[Qtde],super1[Item],tab_higiene[[#This Row],[Item]],super1[Bairro],extras)+SUMIFS(supercb[Qtde],supercb[Item],tab_higiene[[#This Row],[Item]],supercb[Bairro],extras)</f>
        <v>0</v>
      </c>
      <c r="BD230" s="9">
        <f t="shared" si="85"/>
        <v>0</v>
      </c>
      <c r="BE230" s="9">
        <f t="shared" si="86"/>
        <v>0</v>
      </c>
      <c r="BF230" s="18">
        <f t="shared" si="87"/>
        <v>0</v>
      </c>
    </row>
    <row r="231" spans="9:58" ht="15.75" thickBot="1" x14ac:dyDescent="0.3">
      <c r="I231" s="19" t="str">
        <f>alimentos[[#This Row],[Item]]</f>
        <v>Feijão (1kg)</v>
      </c>
      <c r="J231" s="4">
        <f>IFERROR(alimentos[[#This Row],[kg/embalagem]],0)</f>
        <v>1</v>
      </c>
      <c r="K231" s="4">
        <f>IFERROR(alimentos[[#This Row],[Preço]],0)</f>
        <v>7.99</v>
      </c>
      <c r="L231" s="4">
        <f>SUMIFS(super1[Qtde],super1[Item],tab_alimentos[[#This Row],[Item]],super1[Bairro],mercado1)+SUMIFS(supercb[Qtde],supercb[Item],tab_alimentos[[#This Row],[Item]],supercb[Bairro],mercado1)</f>
        <v>0</v>
      </c>
      <c r="M231" s="4">
        <f>SUMIFS(super1[Qtde],super1[Item],tab_alimentos[[#This Row],[Item]],super1[Bairro],mercado2)+SUMIFS(supercb[Qtde],supercb[Item],tab_alimentos[[#This Row],[Item]],supercb[Bairro],mercado2)</f>
        <v>0</v>
      </c>
      <c r="N231" s="4">
        <f>SUMIFS(super1[Qtde],super1[Item],tab_alimentos[[#This Row],[Item]],super1[Bairro],mercado3)+SUMIFS(supercb[Qtde],supercb[Item],tab_alimentos[[#This Row],[Item]],supercb[Bairro],mercado3)</f>
        <v>0</v>
      </c>
      <c r="O231" s="4">
        <f>SUMIFS(super1[Qtde],super1[Item],tab_alimentos[[#This Row],[Item]],super1[Bairro],mercado4)+SUMIFS(supercb[Qtde],supercb[Item],tab_alimentos[[#This Row],[Item]],supercb[Bairro],mercado4)</f>
        <v>0</v>
      </c>
      <c r="P231" s="4">
        <f>SUMIFS(super1[Qtde],super1[Item],tab_alimentos[[#This Row],[Item]],super1[Bairro],mercado5)+SUMIFS(supercb[Qtde],supercb[Item],tab_alimentos[[#This Row],[Item]],supercb[Bairro],mercado5)</f>
        <v>0</v>
      </c>
      <c r="Q231" s="4">
        <f>SUMIFS(super1[Qtde],super1[Item],tab_alimentos[[#This Row],[Item]],super1[Bairro],mercado6)+SUMIFS(supercb[Qtde],supercb[Item],tab_alimentos[[#This Row],[Item]],supercb[Bairro],mercado6)</f>
        <v>0</v>
      </c>
      <c r="R231" s="4">
        <f>SUMIFS(super1[Qtde],super1[Item],tab_alimentos[[#This Row],[Item]],super1[Bairro],mercado7)+SUMIFS(supercb[Qtde],supercb[Item],tab_alimentos[[#This Row],[Item]],supercb[Bairro],mercado7)</f>
        <v>0</v>
      </c>
      <c r="S231" s="4">
        <f>SUMIFS(super1[Qtde],super1[Item],tab_alimentos[[#This Row],[Item]],super1[Bairro],mercado8)+SUMIFS(supercb[Qtde],supercb[Item],tab_alimentos[[#This Row],[Item]],supercb[Bairro],mercado8)</f>
        <v>0</v>
      </c>
      <c r="T231" s="4">
        <f>SUMIFS(super1[Qtde],super1[Item],tab_alimentos[[#This Row],[Item]],super1[Bairro],mercado9)+SUMIFS(supercb[Qtde],supercb[Item],tab_alimentos[[#This Row],[Item]],supercb[Bairro],mercado9)</f>
        <v>0</v>
      </c>
      <c r="U231" s="4">
        <f>SUMIFS(super1[Qtde],super1[Item],tab_alimentos[[#This Row],[Item]],super1[Bairro],mercado10)+SUMIFS(supercb[Qtde],supercb[Item],tab_alimentos[[#This Row],[Item]],supercb[Bairro],mercado10)</f>
        <v>0</v>
      </c>
      <c r="V231" s="4">
        <f>SUMIFS(super1[Qtde],super1[Item],tab_alimentos[[#This Row],[Item]],super1[Bairro],mercado11)+SUMIFS(supercb[Qtde],supercb[Item],tab_alimentos[[#This Row],[Item]],supercb[Bairro],mercado11)</f>
        <v>0</v>
      </c>
      <c r="W231" s="4">
        <f>SUMIFS(super1[Qtde],super1[Item],tab_alimentos[[#This Row],[Item]],super1[Bairro],mercado12)+SUMIFS(supercb[Qtde],supercb[Item],tab_alimentos[[#This Row],[Item]],supercb[Bairro],mercado12)</f>
        <v>0</v>
      </c>
      <c r="X231" s="4">
        <f>SUMIFS(super1[Qtde],super1[Item],tab_alimentos[[#This Row],[Item]],super1[Bairro],mercado13)+SUMIFS(supercb[Qtde],supercb[Item],tab_alimentos[[#This Row],[Item]],supercb[Bairro],mercado13)</f>
        <v>0</v>
      </c>
      <c r="Y231" s="4">
        <f>SUMIFS(super1[Qtde],super1[Item],tab_alimentos[[#This Row],[Item]],super1[Bairro],mercado14)+SUMIFS(supercb[Qtde],supercb[Item],tab_alimentos[[#This Row],[Item]],supercb[Bairro],mercado14)</f>
        <v>0</v>
      </c>
      <c r="Z231" s="4">
        <f>SUMIFS(super1[Qtde],super1[Item],tab_alimentos[[#This Row],[Item]],super1[Bairro],mercado15)+SUMIFS(supercb[Qtde],supercb[Item],tab_alimentos[[#This Row],[Item]],supercb[Bairro],mercado15)</f>
        <v>0</v>
      </c>
      <c r="AA231" s="4">
        <f>SUMIFS(super1[Qtde],super1[Item],tab_alimentos[[#This Row],[Item]],super1[Bairro],mercado16)+SUMIFS(supercb[Qtde],supercb[Item],tab_alimentos[[#This Row],[Item]],supercb[Bairro],mercado16)</f>
        <v>0</v>
      </c>
      <c r="AB231" s="4">
        <f>SUMIFS(super1[Qtde],super1[Item],tab_alimentos[[#This Row],[Item]],super1[Bairro],mercado17)+SUMIFS(supercb[Qtde],supercb[Item],tab_alimentos[[#This Row],[Item]],supercb[Bairro],mercado17)</f>
        <v>0</v>
      </c>
      <c r="AC231" s="4">
        <f>SUMIFS(super1[Qtde],super1[Item],tab_alimentos[[#This Row],[Item]],super1[Bairro],mercado18)+SUMIFS(supercb[Qtde],supercb[Item],tab_alimentos[[#This Row],[Item]],supercb[Bairro],mercado18)</f>
        <v>0</v>
      </c>
      <c r="AD231" s="4">
        <f>SUMIFS(super1[Qtde],super1[Item],tab_alimentos[[#This Row],[Item]],super1[Bairro],extras)+SUMIFS(supercb[Qtde],supercb[Item],tab_alimentos[[#This Row],[Item]],supercb[Bairro],extras)</f>
        <v>0</v>
      </c>
      <c r="AE231" s="4">
        <f t="shared" si="82"/>
        <v>0</v>
      </c>
      <c r="AF231" s="4">
        <f t="shared" si="83"/>
        <v>0</v>
      </c>
      <c r="AG231" s="6">
        <f t="shared" si="84"/>
        <v>0</v>
      </c>
      <c r="AH231" s="13" t="str">
        <f>higiene[[#This Row],[Item]]</f>
        <v>Sabonete (4un)</v>
      </c>
      <c r="AI231" s="9">
        <f>IFERROR(higiene[[#This Row],[Kg equivalente]],0)</f>
        <v>0</v>
      </c>
      <c r="AJ231" s="9">
        <f>IFERROR(higiene[[#This Row],[Preço por produto]],0)</f>
        <v>18.920000000000002</v>
      </c>
      <c r="AK231" s="4">
        <f>SUMIFS(super1[Qtde],super1[Item],tab_higiene[[#This Row],[Item]],super1[Bairro],mercado1)+SUMIFS(supercb[Qtde],supercb[Item],tab_higiene[[#This Row],[Item]],supercb[Bairro],mercado1)</f>
        <v>0</v>
      </c>
      <c r="AL231" s="4">
        <f>SUMIFS(super1[Qtde],super1[Item],tab_higiene[[#This Row],[Item]],super1[Bairro],mercado2)+SUMIFS(supercb[Qtde],supercb[Item],tab_higiene[[#This Row],[Item]],supercb[Bairro],mercado2)</f>
        <v>0</v>
      </c>
      <c r="AM231" s="4">
        <f>SUMIFS(super1[Qtde],super1[Item],tab_higiene[[#This Row],[Item]],super1[Bairro],mercado3)+SUMIFS(supercb[Qtde],supercb[Item],tab_higiene[[#This Row],[Item]],supercb[Bairro],mercado3)</f>
        <v>0</v>
      </c>
      <c r="AN231" s="4">
        <f>SUMIFS(super1[Qtde],super1[Item],tab_higiene[[#This Row],[Item]],super1[Bairro],mercado4)+SUMIFS(supercb[Qtde],supercb[Item],tab_higiene[[#This Row],[Item]],supercb[Bairro],mercado4)</f>
        <v>0</v>
      </c>
      <c r="AO231" s="4">
        <f>SUMIFS(super1[Qtde],super1[Item],tab_higiene[[#This Row],[Item]],super1[Bairro],mercado5)+SUMIFS(supercb[Qtde],supercb[Item],tab_higiene[[#This Row],[Item]],supercb[Bairro],mercado5)</f>
        <v>0</v>
      </c>
      <c r="AP231" s="4">
        <f>SUMIFS(super1[Qtde],super1[Item],tab_higiene[[#This Row],[Item]],super1[Bairro],mercado6)+SUMIFS(supercb[Qtde],supercb[Item],tab_higiene[[#This Row],[Item]],supercb[Bairro],mercado6)</f>
        <v>0</v>
      </c>
      <c r="AQ231" s="4">
        <f>SUMIFS(super1[Qtde],super1[Item],tab_higiene[[#This Row],[Item]],super1[Bairro],mercado7)+SUMIFS(supercb[Qtde],supercb[Item],tab_higiene[[#This Row],[Item]],supercb[Bairro],mercado7)</f>
        <v>0</v>
      </c>
      <c r="AR231" s="4">
        <f>SUMIFS(super1[Qtde],super1[Item],tab_higiene[[#This Row],[Item]],super1[Bairro],mercado8)+SUMIFS(supercb[Qtde],supercb[Item],tab_higiene[[#This Row],[Item]],supercb[Bairro],mercado8)</f>
        <v>0</v>
      </c>
      <c r="AS231" s="4">
        <f>SUMIFS(super1[Qtde],super1[Item],tab_higiene[[#This Row],[Item]],super1[Bairro],mercado9)+SUMIFS(supercb[Qtde],supercb[Item],tab_higiene[[#This Row],[Item]],supercb[Bairro],mercado9)</f>
        <v>0</v>
      </c>
      <c r="AT231" s="4">
        <f>SUMIFS(super1[Qtde],super1[Item],tab_higiene[[#This Row],[Item]],super1[Bairro],mercado10)+SUMIFS(supercb[Qtde],supercb[Item],tab_higiene[[#This Row],[Item]],supercb[Bairro],mercado10)</f>
        <v>0</v>
      </c>
      <c r="AU231" s="4">
        <f>SUMIFS(super1[Qtde],super1[Item],tab_higiene[[#This Row],[Item]],super1[Bairro],mercado11)+SUMIFS(supercb[Qtde],supercb[Item],tab_higiene[[#This Row],[Item]],supercb[Bairro],mercado11)</f>
        <v>0</v>
      </c>
      <c r="AV231" s="4">
        <f>SUMIFS(super1[Qtde],super1[Item],tab_higiene[[#This Row],[Item]],super1[Bairro],mercado12)+SUMIFS(supercb[Qtde],supercb[Item],tab_higiene[[#This Row],[Item]],supercb[Bairro],mercado12)</f>
        <v>0</v>
      </c>
      <c r="AW231" s="4">
        <f>SUMIFS(super1[Qtde],super1[Item],tab_higiene[[#This Row],[Item]],super1[Bairro],mercado13)+SUMIFS(supercb[Qtde],supercb[Item],tab_higiene[[#This Row],[Item]],supercb[Bairro],mercado13)</f>
        <v>0</v>
      </c>
      <c r="AX231" s="4">
        <f>SUMIFS(super1[Qtde],super1[Item],tab_higiene[[#This Row],[Item]],super1[Bairro],mercado14)+SUMIFS(supercb[Qtde],supercb[Item],tab_higiene[[#This Row],[Item]],supercb[Bairro],mercado14)</f>
        <v>0</v>
      </c>
      <c r="AY231" s="4">
        <f>SUMIFS(super1[Qtde],super1[Item],tab_higiene[[#This Row],[Item]],super1[Bairro],mercado15)+SUMIFS(supercb[Qtde],supercb[Item],tab_higiene[[#This Row],[Item]],supercb[Bairro],mercado15)</f>
        <v>0</v>
      </c>
      <c r="AZ231" s="4">
        <f>SUMIFS(super1[Qtde],super1[Item],tab_higiene[[#This Row],[Item]],super1[Bairro],mercado16)+SUMIFS(supercb[Qtde],supercb[Item],tab_higiene[[#This Row],[Item]],supercb[Bairro],mercado16)</f>
        <v>0</v>
      </c>
      <c r="BA231" s="4">
        <f>SUMIFS(super1[Qtde],super1[Item],tab_higiene[[#This Row],[Item]],super1[Bairro],mercado17)+SUMIFS(supercb[Qtde],supercb[Item],tab_higiene[[#This Row],[Item]],supercb[Bairro],mercado17)</f>
        <v>0</v>
      </c>
      <c r="BB231" s="4">
        <f>SUMIFS(super1[Qtde],super1[Item],tab_higiene[[#This Row],[Item]],super1[Bairro],mercado18)+SUMIFS(supercb[Qtde],supercb[Item],tab_higiene[[#This Row],[Item]],supercb[Bairro],mercado18)</f>
        <v>0</v>
      </c>
      <c r="BC231" s="31">
        <f>SUMIFS(super1[Qtde],super1[Item],tab_higiene[[#This Row],[Item]],super1[Bairro],extras)+SUMIFS(supercb[Qtde],supercb[Item],tab_higiene[[#This Row],[Item]],supercb[Bairro],extras)</f>
        <v>0</v>
      </c>
      <c r="BD231" s="9">
        <f t="shared" si="85"/>
        <v>0</v>
      </c>
      <c r="BE231" s="9">
        <f t="shared" si="86"/>
        <v>0</v>
      </c>
      <c r="BF231" s="18">
        <f t="shared" si="87"/>
        <v>0</v>
      </c>
    </row>
    <row r="232" spans="9:58" ht="15.75" thickBot="1" x14ac:dyDescent="0.3">
      <c r="I232" s="19" t="str">
        <f>alimentos[[#This Row],[Item]]</f>
        <v>Feijão (2kg)</v>
      </c>
      <c r="J232" s="4">
        <f>IFERROR(alimentos[[#This Row],[kg/embalagem]],0)</f>
        <v>2</v>
      </c>
      <c r="K232" s="4">
        <f>IFERROR(alimentos[[#This Row],[Preço]],0)</f>
        <v>13.86</v>
      </c>
      <c r="L232" s="4">
        <f>SUMIFS(super1[Qtde],super1[Item],tab_alimentos[[#This Row],[Item]],super1[Bairro],mercado1)+SUMIFS(supercb[Qtde],supercb[Item],tab_alimentos[[#This Row],[Item]],supercb[Bairro],mercado1)</f>
        <v>0</v>
      </c>
      <c r="M232" s="4">
        <f>SUMIFS(super1[Qtde],super1[Item],tab_alimentos[[#This Row],[Item]],super1[Bairro],mercado2)+SUMIFS(supercb[Qtde],supercb[Item],tab_alimentos[[#This Row],[Item]],supercb[Bairro],mercado2)</f>
        <v>0</v>
      </c>
      <c r="N232" s="4">
        <f>SUMIFS(super1[Qtde],super1[Item],tab_alimentos[[#This Row],[Item]],super1[Bairro],mercado3)+SUMIFS(supercb[Qtde],supercb[Item],tab_alimentos[[#This Row],[Item]],supercb[Bairro],mercado3)</f>
        <v>0</v>
      </c>
      <c r="O232" s="4">
        <f>SUMIFS(super1[Qtde],super1[Item],tab_alimentos[[#This Row],[Item]],super1[Bairro],mercado4)+SUMIFS(supercb[Qtde],supercb[Item],tab_alimentos[[#This Row],[Item]],supercb[Bairro],mercado4)</f>
        <v>0</v>
      </c>
      <c r="P232" s="4">
        <f>SUMIFS(super1[Qtde],super1[Item],tab_alimentos[[#This Row],[Item]],super1[Bairro],mercado5)+SUMIFS(supercb[Qtde],supercb[Item],tab_alimentos[[#This Row],[Item]],supercb[Bairro],mercado5)</f>
        <v>0</v>
      </c>
      <c r="Q232" s="4">
        <f>SUMIFS(super1[Qtde],super1[Item],tab_alimentos[[#This Row],[Item]],super1[Bairro],mercado6)+SUMIFS(supercb[Qtde],supercb[Item],tab_alimentos[[#This Row],[Item]],supercb[Bairro],mercado6)</f>
        <v>0</v>
      </c>
      <c r="R232" s="4">
        <f>SUMIFS(super1[Qtde],super1[Item],tab_alimentos[[#This Row],[Item]],super1[Bairro],mercado7)+SUMIFS(supercb[Qtde],supercb[Item],tab_alimentos[[#This Row],[Item]],supercb[Bairro],mercado7)</f>
        <v>0</v>
      </c>
      <c r="S232" s="4">
        <f>SUMIFS(super1[Qtde],super1[Item],tab_alimentos[[#This Row],[Item]],super1[Bairro],mercado8)+SUMIFS(supercb[Qtde],supercb[Item],tab_alimentos[[#This Row],[Item]],supercb[Bairro],mercado8)</f>
        <v>0</v>
      </c>
      <c r="T232" s="4">
        <f>SUMIFS(super1[Qtde],super1[Item],tab_alimentos[[#This Row],[Item]],super1[Bairro],mercado9)+SUMIFS(supercb[Qtde],supercb[Item],tab_alimentos[[#This Row],[Item]],supercb[Bairro],mercado9)</f>
        <v>0</v>
      </c>
      <c r="U232" s="4">
        <f>SUMIFS(super1[Qtde],super1[Item],tab_alimentos[[#This Row],[Item]],super1[Bairro],mercado10)+SUMIFS(supercb[Qtde],supercb[Item],tab_alimentos[[#This Row],[Item]],supercb[Bairro],mercado10)</f>
        <v>0</v>
      </c>
      <c r="V232" s="4">
        <f>SUMIFS(super1[Qtde],super1[Item],tab_alimentos[[#This Row],[Item]],super1[Bairro],mercado11)+SUMIFS(supercb[Qtde],supercb[Item],tab_alimentos[[#This Row],[Item]],supercb[Bairro],mercado11)</f>
        <v>0</v>
      </c>
      <c r="W232" s="4">
        <f>SUMIFS(super1[Qtde],super1[Item],tab_alimentos[[#This Row],[Item]],super1[Bairro],mercado12)+SUMIFS(supercb[Qtde],supercb[Item],tab_alimentos[[#This Row],[Item]],supercb[Bairro],mercado12)</f>
        <v>0</v>
      </c>
      <c r="X232" s="4">
        <f>SUMIFS(super1[Qtde],super1[Item],tab_alimentos[[#This Row],[Item]],super1[Bairro],mercado13)+SUMIFS(supercb[Qtde],supercb[Item],tab_alimentos[[#This Row],[Item]],supercb[Bairro],mercado13)</f>
        <v>0</v>
      </c>
      <c r="Y232" s="4">
        <f>SUMIFS(super1[Qtde],super1[Item],tab_alimentos[[#This Row],[Item]],super1[Bairro],mercado14)+SUMIFS(supercb[Qtde],supercb[Item],tab_alimentos[[#This Row],[Item]],supercb[Bairro],mercado14)</f>
        <v>0</v>
      </c>
      <c r="Z232" s="4">
        <f>SUMIFS(super1[Qtde],super1[Item],tab_alimentos[[#This Row],[Item]],super1[Bairro],mercado15)+SUMIFS(supercb[Qtde],supercb[Item],tab_alimentos[[#This Row],[Item]],supercb[Bairro],mercado15)</f>
        <v>0</v>
      </c>
      <c r="AA232" s="4">
        <f>SUMIFS(super1[Qtde],super1[Item],tab_alimentos[[#This Row],[Item]],super1[Bairro],mercado16)+SUMIFS(supercb[Qtde],supercb[Item],tab_alimentos[[#This Row],[Item]],supercb[Bairro],mercado16)</f>
        <v>0</v>
      </c>
      <c r="AB232" s="4">
        <f>SUMIFS(super1[Qtde],super1[Item],tab_alimentos[[#This Row],[Item]],super1[Bairro],mercado17)+SUMIFS(supercb[Qtde],supercb[Item],tab_alimentos[[#This Row],[Item]],supercb[Bairro],mercado17)</f>
        <v>0</v>
      </c>
      <c r="AC232" s="4">
        <f>SUMIFS(super1[Qtde],super1[Item],tab_alimentos[[#This Row],[Item]],super1[Bairro],mercado18)+SUMIFS(supercb[Qtde],supercb[Item],tab_alimentos[[#This Row],[Item]],supercb[Bairro],mercado18)</f>
        <v>0</v>
      </c>
      <c r="AD232" s="4">
        <f>SUMIFS(super1[Qtde],super1[Item],tab_alimentos[[#This Row],[Item]],super1[Bairro],extras)+SUMIFS(supercb[Qtde],supercb[Item],tab_alimentos[[#This Row],[Item]],supercb[Bairro],extras)</f>
        <v>0</v>
      </c>
      <c r="AE232" s="4">
        <f t="shared" si="82"/>
        <v>0</v>
      </c>
      <c r="AF232" s="4">
        <f t="shared" si="83"/>
        <v>0</v>
      </c>
      <c r="AG232" s="6">
        <f t="shared" si="84"/>
        <v>0</v>
      </c>
      <c r="AH232" s="13" t="str">
        <f>higiene[[#This Row],[Item]]</f>
        <v>Sabonete (6un)</v>
      </c>
      <c r="AI232" s="9">
        <f>IFERROR(higiene[[#This Row],[Kg equivalente]],0)</f>
        <v>0</v>
      </c>
      <c r="AJ232" s="9">
        <f>IFERROR(higiene[[#This Row],[Preço por produto]],0)</f>
        <v>16.59</v>
      </c>
      <c r="AK232" s="4">
        <f>SUMIFS(super1[Qtde],super1[Item],tab_higiene[[#This Row],[Item]],super1[Bairro],mercado1)+SUMIFS(supercb[Qtde],supercb[Item],tab_higiene[[#This Row],[Item]],supercb[Bairro],mercado1)</f>
        <v>0</v>
      </c>
      <c r="AL232" s="4">
        <f>SUMIFS(super1[Qtde],super1[Item],tab_higiene[[#This Row],[Item]],super1[Bairro],mercado2)+SUMIFS(supercb[Qtde],supercb[Item],tab_higiene[[#This Row],[Item]],supercb[Bairro],mercado2)</f>
        <v>0</v>
      </c>
      <c r="AM232" s="4">
        <f>SUMIFS(super1[Qtde],super1[Item],tab_higiene[[#This Row],[Item]],super1[Bairro],mercado3)+SUMIFS(supercb[Qtde],supercb[Item],tab_higiene[[#This Row],[Item]],supercb[Bairro],mercado3)</f>
        <v>0</v>
      </c>
      <c r="AN232" s="4">
        <f>SUMIFS(super1[Qtde],super1[Item],tab_higiene[[#This Row],[Item]],super1[Bairro],mercado4)+SUMIFS(supercb[Qtde],supercb[Item],tab_higiene[[#This Row],[Item]],supercb[Bairro],mercado4)</f>
        <v>0</v>
      </c>
      <c r="AO232" s="4">
        <f>SUMIFS(super1[Qtde],super1[Item],tab_higiene[[#This Row],[Item]],super1[Bairro],mercado5)+SUMIFS(supercb[Qtde],supercb[Item],tab_higiene[[#This Row],[Item]],supercb[Bairro],mercado5)</f>
        <v>0</v>
      </c>
      <c r="AP232" s="4">
        <f>SUMIFS(super1[Qtde],super1[Item],tab_higiene[[#This Row],[Item]],super1[Bairro],mercado6)+SUMIFS(supercb[Qtde],supercb[Item],tab_higiene[[#This Row],[Item]],supercb[Bairro],mercado6)</f>
        <v>0</v>
      </c>
      <c r="AQ232" s="4">
        <f>SUMIFS(super1[Qtde],super1[Item],tab_higiene[[#This Row],[Item]],super1[Bairro],mercado7)+SUMIFS(supercb[Qtde],supercb[Item],tab_higiene[[#This Row],[Item]],supercb[Bairro],mercado7)</f>
        <v>0</v>
      </c>
      <c r="AR232" s="4">
        <f>SUMIFS(super1[Qtde],super1[Item],tab_higiene[[#This Row],[Item]],super1[Bairro],mercado8)+SUMIFS(supercb[Qtde],supercb[Item],tab_higiene[[#This Row],[Item]],supercb[Bairro],mercado8)</f>
        <v>0</v>
      </c>
      <c r="AS232" s="4">
        <f>SUMIFS(super1[Qtde],super1[Item],tab_higiene[[#This Row],[Item]],super1[Bairro],mercado9)+SUMIFS(supercb[Qtde],supercb[Item],tab_higiene[[#This Row],[Item]],supercb[Bairro],mercado9)</f>
        <v>0</v>
      </c>
      <c r="AT232" s="4">
        <f>SUMIFS(super1[Qtde],super1[Item],tab_higiene[[#This Row],[Item]],super1[Bairro],mercado10)+SUMIFS(supercb[Qtde],supercb[Item],tab_higiene[[#This Row],[Item]],supercb[Bairro],mercado10)</f>
        <v>0</v>
      </c>
      <c r="AU232" s="4">
        <f>SUMIFS(super1[Qtde],super1[Item],tab_higiene[[#This Row],[Item]],super1[Bairro],mercado11)+SUMIFS(supercb[Qtde],supercb[Item],tab_higiene[[#This Row],[Item]],supercb[Bairro],mercado11)</f>
        <v>0</v>
      </c>
      <c r="AV232" s="4">
        <f>SUMIFS(super1[Qtde],super1[Item],tab_higiene[[#This Row],[Item]],super1[Bairro],mercado12)+SUMIFS(supercb[Qtde],supercb[Item],tab_higiene[[#This Row],[Item]],supercb[Bairro],mercado12)</f>
        <v>0</v>
      </c>
      <c r="AW232" s="4">
        <f>SUMIFS(super1[Qtde],super1[Item],tab_higiene[[#This Row],[Item]],super1[Bairro],mercado13)+SUMIFS(supercb[Qtde],supercb[Item],tab_higiene[[#This Row],[Item]],supercb[Bairro],mercado13)</f>
        <v>0</v>
      </c>
      <c r="AX232" s="4">
        <f>SUMIFS(super1[Qtde],super1[Item],tab_higiene[[#This Row],[Item]],super1[Bairro],mercado14)+SUMIFS(supercb[Qtde],supercb[Item],tab_higiene[[#This Row],[Item]],supercb[Bairro],mercado14)</f>
        <v>0</v>
      </c>
      <c r="AY232" s="4">
        <f>SUMIFS(super1[Qtde],super1[Item],tab_higiene[[#This Row],[Item]],super1[Bairro],mercado15)+SUMIFS(supercb[Qtde],supercb[Item],tab_higiene[[#This Row],[Item]],supercb[Bairro],mercado15)</f>
        <v>0</v>
      </c>
      <c r="AZ232" s="4">
        <f>SUMIFS(super1[Qtde],super1[Item],tab_higiene[[#This Row],[Item]],super1[Bairro],mercado16)+SUMIFS(supercb[Qtde],supercb[Item],tab_higiene[[#This Row],[Item]],supercb[Bairro],mercado16)</f>
        <v>0</v>
      </c>
      <c r="BA232" s="4">
        <f>SUMIFS(super1[Qtde],super1[Item],tab_higiene[[#This Row],[Item]],super1[Bairro],mercado17)+SUMIFS(supercb[Qtde],supercb[Item],tab_higiene[[#This Row],[Item]],supercb[Bairro],mercado17)</f>
        <v>0</v>
      </c>
      <c r="BB232" s="4">
        <f>SUMIFS(super1[Qtde],super1[Item],tab_higiene[[#This Row],[Item]],super1[Bairro],mercado18)+SUMIFS(supercb[Qtde],supercb[Item],tab_higiene[[#This Row],[Item]],supercb[Bairro],mercado18)</f>
        <v>0</v>
      </c>
      <c r="BC232" s="31">
        <f>SUMIFS(super1[Qtde],super1[Item],tab_higiene[[#This Row],[Item]],super1[Bairro],extras)+SUMIFS(supercb[Qtde],supercb[Item],tab_higiene[[#This Row],[Item]],supercb[Bairro],extras)</f>
        <v>0</v>
      </c>
      <c r="BD232" s="9">
        <f t="shared" si="85"/>
        <v>0</v>
      </c>
      <c r="BE232" s="9">
        <f t="shared" si="86"/>
        <v>0</v>
      </c>
      <c r="BF232" s="18">
        <f t="shared" si="87"/>
        <v>0</v>
      </c>
    </row>
    <row r="233" spans="9:58" ht="15.75" thickBot="1" x14ac:dyDescent="0.3">
      <c r="I233" s="19" t="str">
        <f>alimentos[[#This Row],[Item]]</f>
        <v>Feijão (500g)</v>
      </c>
      <c r="J233" s="4">
        <f>IFERROR(alimentos[[#This Row],[kg/embalagem]],0)</f>
        <v>0.5</v>
      </c>
      <c r="K233" s="4">
        <f>IFERROR(alimentos[[#This Row],[Preço]],0)</f>
        <v>6.28</v>
      </c>
      <c r="L233" s="4">
        <f>SUMIFS(super1[Qtde],super1[Item],tab_alimentos[[#This Row],[Item]],super1[Bairro],mercado1)+SUMIFS(supercb[Qtde],supercb[Item],tab_alimentos[[#This Row],[Item]],supercb[Bairro],mercado1)</f>
        <v>0</v>
      </c>
      <c r="M233" s="4">
        <f>SUMIFS(super1[Qtde],super1[Item],tab_alimentos[[#This Row],[Item]],super1[Bairro],mercado2)+SUMIFS(supercb[Qtde],supercb[Item],tab_alimentos[[#This Row],[Item]],supercb[Bairro],mercado2)</f>
        <v>0</v>
      </c>
      <c r="N233" s="4">
        <f>SUMIFS(super1[Qtde],super1[Item],tab_alimentos[[#This Row],[Item]],super1[Bairro],mercado3)+SUMIFS(supercb[Qtde],supercb[Item],tab_alimentos[[#This Row],[Item]],supercb[Bairro],mercado3)</f>
        <v>0</v>
      </c>
      <c r="O233" s="4">
        <f>SUMIFS(super1[Qtde],super1[Item],tab_alimentos[[#This Row],[Item]],super1[Bairro],mercado4)+SUMIFS(supercb[Qtde],supercb[Item],tab_alimentos[[#This Row],[Item]],supercb[Bairro],mercado4)</f>
        <v>0</v>
      </c>
      <c r="P233" s="4">
        <f>SUMIFS(super1[Qtde],super1[Item],tab_alimentos[[#This Row],[Item]],super1[Bairro],mercado5)+SUMIFS(supercb[Qtde],supercb[Item],tab_alimentos[[#This Row],[Item]],supercb[Bairro],mercado5)</f>
        <v>0</v>
      </c>
      <c r="Q233" s="4">
        <f>SUMIFS(super1[Qtde],super1[Item],tab_alimentos[[#This Row],[Item]],super1[Bairro],mercado6)+SUMIFS(supercb[Qtde],supercb[Item],tab_alimentos[[#This Row],[Item]],supercb[Bairro],mercado6)</f>
        <v>0</v>
      </c>
      <c r="R233" s="4">
        <f>SUMIFS(super1[Qtde],super1[Item],tab_alimentos[[#This Row],[Item]],super1[Bairro],mercado7)+SUMIFS(supercb[Qtde],supercb[Item],tab_alimentos[[#This Row],[Item]],supercb[Bairro],mercado7)</f>
        <v>0</v>
      </c>
      <c r="S233" s="4">
        <f>SUMIFS(super1[Qtde],super1[Item],tab_alimentos[[#This Row],[Item]],super1[Bairro],mercado8)+SUMIFS(supercb[Qtde],supercb[Item],tab_alimentos[[#This Row],[Item]],supercb[Bairro],mercado8)</f>
        <v>0</v>
      </c>
      <c r="T233" s="4">
        <f>SUMIFS(super1[Qtde],super1[Item],tab_alimentos[[#This Row],[Item]],super1[Bairro],mercado9)+SUMIFS(supercb[Qtde],supercb[Item],tab_alimentos[[#This Row],[Item]],supercb[Bairro],mercado9)</f>
        <v>0</v>
      </c>
      <c r="U233" s="4">
        <f>SUMIFS(super1[Qtde],super1[Item],tab_alimentos[[#This Row],[Item]],super1[Bairro],mercado10)+SUMIFS(supercb[Qtde],supercb[Item],tab_alimentos[[#This Row],[Item]],supercb[Bairro],mercado10)</f>
        <v>0</v>
      </c>
      <c r="V233" s="4">
        <f>SUMIFS(super1[Qtde],super1[Item],tab_alimentos[[#This Row],[Item]],super1[Bairro],mercado11)+SUMIFS(supercb[Qtde],supercb[Item],tab_alimentos[[#This Row],[Item]],supercb[Bairro],mercado11)</f>
        <v>0</v>
      </c>
      <c r="W233" s="4">
        <f>SUMIFS(super1[Qtde],super1[Item],tab_alimentos[[#This Row],[Item]],super1[Bairro],mercado12)+SUMIFS(supercb[Qtde],supercb[Item],tab_alimentos[[#This Row],[Item]],supercb[Bairro],mercado12)</f>
        <v>0</v>
      </c>
      <c r="X233" s="4">
        <f>SUMIFS(super1[Qtde],super1[Item],tab_alimentos[[#This Row],[Item]],super1[Bairro],mercado13)+SUMIFS(supercb[Qtde],supercb[Item],tab_alimentos[[#This Row],[Item]],supercb[Bairro],mercado13)</f>
        <v>0</v>
      </c>
      <c r="Y233" s="4">
        <f>SUMIFS(super1[Qtde],super1[Item],tab_alimentos[[#This Row],[Item]],super1[Bairro],mercado14)+SUMIFS(supercb[Qtde],supercb[Item],tab_alimentos[[#This Row],[Item]],supercb[Bairro],mercado14)</f>
        <v>0</v>
      </c>
      <c r="Z233" s="4">
        <f>SUMIFS(super1[Qtde],super1[Item],tab_alimentos[[#This Row],[Item]],super1[Bairro],mercado15)+SUMIFS(supercb[Qtde],supercb[Item],tab_alimentos[[#This Row],[Item]],supercb[Bairro],mercado15)</f>
        <v>0</v>
      </c>
      <c r="AA233" s="4">
        <f>SUMIFS(super1[Qtde],super1[Item],tab_alimentos[[#This Row],[Item]],super1[Bairro],mercado16)+SUMIFS(supercb[Qtde],supercb[Item],tab_alimentos[[#This Row],[Item]],supercb[Bairro],mercado16)</f>
        <v>0</v>
      </c>
      <c r="AB233" s="4">
        <f>SUMIFS(super1[Qtde],super1[Item],tab_alimentos[[#This Row],[Item]],super1[Bairro],mercado17)+SUMIFS(supercb[Qtde],supercb[Item],tab_alimentos[[#This Row],[Item]],supercb[Bairro],mercado17)</f>
        <v>0</v>
      </c>
      <c r="AC233" s="4">
        <f>SUMIFS(super1[Qtde],super1[Item],tab_alimentos[[#This Row],[Item]],super1[Bairro],mercado18)+SUMIFS(supercb[Qtde],supercb[Item],tab_alimentos[[#This Row],[Item]],supercb[Bairro],mercado18)</f>
        <v>0</v>
      </c>
      <c r="AD233" s="4">
        <f>SUMIFS(super1[Qtde],super1[Item],tab_alimentos[[#This Row],[Item]],super1[Bairro],extras)+SUMIFS(supercb[Qtde],supercb[Item],tab_alimentos[[#This Row],[Item]],supercb[Bairro],extras)</f>
        <v>0</v>
      </c>
      <c r="AE233" s="4">
        <f t="shared" si="82"/>
        <v>0</v>
      </c>
      <c r="AF233" s="4">
        <f t="shared" si="83"/>
        <v>0</v>
      </c>
      <c r="AG233" s="6">
        <f t="shared" si="84"/>
        <v>0</v>
      </c>
      <c r="AH233" s="13" t="str">
        <f>higiene[[#This Row],[Item]]</f>
        <v>Sabonete (75g)</v>
      </c>
      <c r="AI233" s="9">
        <f>IFERROR(higiene[[#This Row],[Kg equivalente]],0)</f>
        <v>0</v>
      </c>
      <c r="AJ233" s="9">
        <f>IFERROR(higiene[[#This Row],[Preço por produto]],0)</f>
        <v>2.59</v>
      </c>
      <c r="AK233" s="4">
        <f>SUMIFS(super1[Qtde],super1[Item],tab_higiene[[#This Row],[Item]],super1[Bairro],mercado1)+SUMIFS(supercb[Qtde],supercb[Item],tab_higiene[[#This Row],[Item]],supercb[Bairro],mercado1)</f>
        <v>0</v>
      </c>
      <c r="AL233" s="4">
        <f>SUMIFS(super1[Qtde],super1[Item],tab_higiene[[#This Row],[Item]],super1[Bairro],mercado2)+SUMIFS(supercb[Qtde],supercb[Item],tab_higiene[[#This Row],[Item]],supercb[Bairro],mercado2)</f>
        <v>0</v>
      </c>
      <c r="AM233" s="4">
        <f>SUMIFS(super1[Qtde],super1[Item],tab_higiene[[#This Row],[Item]],super1[Bairro],mercado3)+SUMIFS(supercb[Qtde],supercb[Item],tab_higiene[[#This Row],[Item]],supercb[Bairro],mercado3)</f>
        <v>0</v>
      </c>
      <c r="AN233" s="4">
        <f>SUMIFS(super1[Qtde],super1[Item],tab_higiene[[#This Row],[Item]],super1[Bairro],mercado4)+SUMIFS(supercb[Qtde],supercb[Item],tab_higiene[[#This Row],[Item]],supercb[Bairro],mercado4)</f>
        <v>0</v>
      </c>
      <c r="AO233" s="4">
        <f>SUMIFS(super1[Qtde],super1[Item],tab_higiene[[#This Row],[Item]],super1[Bairro],mercado5)+SUMIFS(supercb[Qtde],supercb[Item],tab_higiene[[#This Row],[Item]],supercb[Bairro],mercado5)</f>
        <v>0</v>
      </c>
      <c r="AP233" s="4">
        <f>SUMIFS(super1[Qtde],super1[Item],tab_higiene[[#This Row],[Item]],super1[Bairro],mercado6)+SUMIFS(supercb[Qtde],supercb[Item],tab_higiene[[#This Row],[Item]],supercb[Bairro],mercado6)</f>
        <v>0</v>
      </c>
      <c r="AQ233" s="4">
        <f>SUMIFS(super1[Qtde],super1[Item],tab_higiene[[#This Row],[Item]],super1[Bairro],mercado7)+SUMIFS(supercb[Qtde],supercb[Item],tab_higiene[[#This Row],[Item]],supercb[Bairro],mercado7)</f>
        <v>0</v>
      </c>
      <c r="AR233" s="4">
        <f>SUMIFS(super1[Qtde],super1[Item],tab_higiene[[#This Row],[Item]],super1[Bairro],mercado8)+SUMIFS(supercb[Qtde],supercb[Item],tab_higiene[[#This Row],[Item]],supercb[Bairro],mercado8)</f>
        <v>0</v>
      </c>
      <c r="AS233" s="4">
        <f>SUMIFS(super1[Qtde],super1[Item],tab_higiene[[#This Row],[Item]],super1[Bairro],mercado9)+SUMIFS(supercb[Qtde],supercb[Item],tab_higiene[[#This Row],[Item]],supercb[Bairro],mercado9)</f>
        <v>0</v>
      </c>
      <c r="AT233" s="4">
        <f>SUMIFS(super1[Qtde],super1[Item],tab_higiene[[#This Row],[Item]],super1[Bairro],mercado10)+SUMIFS(supercb[Qtde],supercb[Item],tab_higiene[[#This Row],[Item]],supercb[Bairro],mercado10)</f>
        <v>0</v>
      </c>
      <c r="AU233" s="4">
        <f>SUMIFS(super1[Qtde],super1[Item],tab_higiene[[#This Row],[Item]],super1[Bairro],mercado11)+SUMIFS(supercb[Qtde],supercb[Item],tab_higiene[[#This Row],[Item]],supercb[Bairro],mercado11)</f>
        <v>0</v>
      </c>
      <c r="AV233" s="4">
        <f>SUMIFS(super1[Qtde],super1[Item],tab_higiene[[#This Row],[Item]],super1[Bairro],mercado12)+SUMIFS(supercb[Qtde],supercb[Item],tab_higiene[[#This Row],[Item]],supercb[Bairro],mercado12)</f>
        <v>0</v>
      </c>
      <c r="AW233" s="4">
        <f>SUMIFS(super1[Qtde],super1[Item],tab_higiene[[#This Row],[Item]],super1[Bairro],mercado13)+SUMIFS(supercb[Qtde],supercb[Item],tab_higiene[[#This Row],[Item]],supercb[Bairro],mercado13)</f>
        <v>0</v>
      </c>
      <c r="AX233" s="4">
        <f>SUMIFS(super1[Qtde],super1[Item],tab_higiene[[#This Row],[Item]],super1[Bairro],mercado14)+SUMIFS(supercb[Qtde],supercb[Item],tab_higiene[[#This Row],[Item]],supercb[Bairro],mercado14)</f>
        <v>0</v>
      </c>
      <c r="AY233" s="4">
        <f>SUMIFS(super1[Qtde],super1[Item],tab_higiene[[#This Row],[Item]],super1[Bairro],mercado15)+SUMIFS(supercb[Qtde],supercb[Item],tab_higiene[[#This Row],[Item]],supercb[Bairro],mercado15)</f>
        <v>0</v>
      </c>
      <c r="AZ233" s="4">
        <f>SUMIFS(super1[Qtde],super1[Item],tab_higiene[[#This Row],[Item]],super1[Bairro],mercado16)+SUMIFS(supercb[Qtde],supercb[Item],tab_higiene[[#This Row],[Item]],supercb[Bairro],mercado16)</f>
        <v>0</v>
      </c>
      <c r="BA233" s="4">
        <f>SUMIFS(super1[Qtde],super1[Item],tab_higiene[[#This Row],[Item]],super1[Bairro],mercado17)+SUMIFS(supercb[Qtde],supercb[Item],tab_higiene[[#This Row],[Item]],supercb[Bairro],mercado17)</f>
        <v>0</v>
      </c>
      <c r="BB233" s="4">
        <f>SUMIFS(super1[Qtde],super1[Item],tab_higiene[[#This Row],[Item]],super1[Bairro],mercado18)+SUMIFS(supercb[Qtde],supercb[Item],tab_higiene[[#This Row],[Item]],supercb[Bairro],mercado18)</f>
        <v>0</v>
      </c>
      <c r="BC233" s="31">
        <f>SUMIFS(super1[Qtde],super1[Item],tab_higiene[[#This Row],[Item]],super1[Bairro],extras)+SUMIFS(supercb[Qtde],supercb[Item],tab_higiene[[#This Row],[Item]],supercb[Bairro],extras)</f>
        <v>0</v>
      </c>
      <c r="BD233" s="9">
        <f t="shared" si="85"/>
        <v>0</v>
      </c>
      <c r="BE233" s="9">
        <f t="shared" si="86"/>
        <v>0</v>
      </c>
      <c r="BF233" s="18">
        <f t="shared" si="87"/>
        <v>0</v>
      </c>
    </row>
    <row r="234" spans="9:58" ht="15.75" thickBot="1" x14ac:dyDescent="0.3">
      <c r="I234" s="19" t="str">
        <f>alimentos[[#This Row],[Item]]</f>
        <v>Feijão de Caixa (380g)</v>
      </c>
      <c r="J234" s="4">
        <f>IFERROR(alimentos[[#This Row],[kg/embalagem]],0)</f>
        <v>0.38</v>
      </c>
      <c r="K234" s="4">
        <f>IFERROR(alimentos[[#This Row],[Preço]],0)</f>
        <v>6.85</v>
      </c>
      <c r="L234" s="4">
        <f>SUMIFS(super1[Qtde],super1[Item],tab_alimentos[[#This Row],[Item]],super1[Bairro],mercado1)+SUMIFS(supercb[Qtde],supercb[Item],tab_alimentos[[#This Row],[Item]],supercb[Bairro],mercado1)</f>
        <v>0</v>
      </c>
      <c r="M234" s="4">
        <f>SUMIFS(super1[Qtde],super1[Item],tab_alimentos[[#This Row],[Item]],super1[Bairro],mercado2)+SUMIFS(supercb[Qtde],supercb[Item],tab_alimentos[[#This Row],[Item]],supercb[Bairro],mercado2)</f>
        <v>0</v>
      </c>
      <c r="N234" s="4">
        <f>SUMIFS(super1[Qtde],super1[Item],tab_alimentos[[#This Row],[Item]],super1[Bairro],mercado3)+SUMIFS(supercb[Qtde],supercb[Item],tab_alimentos[[#This Row],[Item]],supercb[Bairro],mercado3)</f>
        <v>0</v>
      </c>
      <c r="O234" s="4">
        <f>SUMIFS(super1[Qtde],super1[Item],tab_alimentos[[#This Row],[Item]],super1[Bairro],mercado4)+SUMIFS(supercb[Qtde],supercb[Item],tab_alimentos[[#This Row],[Item]],supercb[Bairro],mercado4)</f>
        <v>0</v>
      </c>
      <c r="P234" s="4">
        <f>SUMIFS(super1[Qtde],super1[Item],tab_alimentos[[#This Row],[Item]],super1[Bairro],mercado5)+SUMIFS(supercb[Qtde],supercb[Item],tab_alimentos[[#This Row],[Item]],supercb[Bairro],mercado5)</f>
        <v>0</v>
      </c>
      <c r="Q234" s="4">
        <f>SUMIFS(super1[Qtde],super1[Item],tab_alimentos[[#This Row],[Item]],super1[Bairro],mercado6)+SUMIFS(supercb[Qtde],supercb[Item],tab_alimentos[[#This Row],[Item]],supercb[Bairro],mercado6)</f>
        <v>0</v>
      </c>
      <c r="R234" s="4">
        <f>SUMIFS(super1[Qtde],super1[Item],tab_alimentos[[#This Row],[Item]],super1[Bairro],mercado7)+SUMIFS(supercb[Qtde],supercb[Item],tab_alimentos[[#This Row],[Item]],supercb[Bairro],mercado7)</f>
        <v>0</v>
      </c>
      <c r="S234" s="4">
        <f>SUMIFS(super1[Qtde],super1[Item],tab_alimentos[[#This Row],[Item]],super1[Bairro],mercado8)+SUMIFS(supercb[Qtde],supercb[Item],tab_alimentos[[#This Row],[Item]],supercb[Bairro],mercado8)</f>
        <v>0</v>
      </c>
      <c r="T234" s="4">
        <f>SUMIFS(super1[Qtde],super1[Item],tab_alimentos[[#This Row],[Item]],super1[Bairro],mercado9)+SUMIFS(supercb[Qtde],supercb[Item],tab_alimentos[[#This Row],[Item]],supercb[Bairro],mercado9)</f>
        <v>0</v>
      </c>
      <c r="U234" s="4">
        <f>SUMIFS(super1[Qtde],super1[Item],tab_alimentos[[#This Row],[Item]],super1[Bairro],mercado10)+SUMIFS(supercb[Qtde],supercb[Item],tab_alimentos[[#This Row],[Item]],supercb[Bairro],mercado10)</f>
        <v>0</v>
      </c>
      <c r="V234" s="4">
        <f>SUMIFS(super1[Qtde],super1[Item],tab_alimentos[[#This Row],[Item]],super1[Bairro],mercado11)+SUMIFS(supercb[Qtde],supercb[Item],tab_alimentos[[#This Row],[Item]],supercb[Bairro],mercado11)</f>
        <v>0</v>
      </c>
      <c r="W234" s="4">
        <f>SUMIFS(super1[Qtde],super1[Item],tab_alimentos[[#This Row],[Item]],super1[Bairro],mercado12)+SUMIFS(supercb[Qtde],supercb[Item],tab_alimentos[[#This Row],[Item]],supercb[Bairro],mercado12)</f>
        <v>0</v>
      </c>
      <c r="X234" s="4">
        <f>SUMIFS(super1[Qtde],super1[Item],tab_alimentos[[#This Row],[Item]],super1[Bairro],mercado13)+SUMIFS(supercb[Qtde],supercb[Item],tab_alimentos[[#This Row],[Item]],supercb[Bairro],mercado13)</f>
        <v>0</v>
      </c>
      <c r="Y234" s="4">
        <f>SUMIFS(super1[Qtde],super1[Item],tab_alimentos[[#This Row],[Item]],super1[Bairro],mercado14)+SUMIFS(supercb[Qtde],supercb[Item],tab_alimentos[[#This Row],[Item]],supercb[Bairro],mercado14)</f>
        <v>0</v>
      </c>
      <c r="Z234" s="4">
        <f>SUMIFS(super1[Qtde],super1[Item],tab_alimentos[[#This Row],[Item]],super1[Bairro],mercado15)+SUMIFS(supercb[Qtde],supercb[Item],tab_alimentos[[#This Row],[Item]],supercb[Bairro],mercado15)</f>
        <v>0</v>
      </c>
      <c r="AA234" s="4">
        <f>SUMIFS(super1[Qtde],super1[Item],tab_alimentos[[#This Row],[Item]],super1[Bairro],mercado16)+SUMIFS(supercb[Qtde],supercb[Item],tab_alimentos[[#This Row],[Item]],supercb[Bairro],mercado16)</f>
        <v>0</v>
      </c>
      <c r="AB234" s="4">
        <f>SUMIFS(super1[Qtde],super1[Item],tab_alimentos[[#This Row],[Item]],super1[Bairro],mercado17)+SUMIFS(supercb[Qtde],supercb[Item],tab_alimentos[[#This Row],[Item]],supercb[Bairro],mercado17)</f>
        <v>0</v>
      </c>
      <c r="AC234" s="4">
        <f>SUMIFS(super1[Qtde],super1[Item],tab_alimentos[[#This Row],[Item]],super1[Bairro],mercado18)+SUMIFS(supercb[Qtde],supercb[Item],tab_alimentos[[#This Row],[Item]],supercb[Bairro],mercado18)</f>
        <v>0</v>
      </c>
      <c r="AD234" s="4">
        <f>SUMIFS(super1[Qtde],super1[Item],tab_alimentos[[#This Row],[Item]],super1[Bairro],extras)+SUMIFS(supercb[Qtde],supercb[Item],tab_alimentos[[#This Row],[Item]],supercb[Bairro],extras)</f>
        <v>0</v>
      </c>
      <c r="AE234" s="4">
        <f t="shared" si="82"/>
        <v>0</v>
      </c>
      <c r="AF234" s="4">
        <f t="shared" si="83"/>
        <v>0</v>
      </c>
      <c r="AG234" s="6">
        <f t="shared" si="84"/>
        <v>0</v>
      </c>
      <c r="AH234" s="13" t="str">
        <f>higiene[[#This Row],[Item]]</f>
        <v>Sabonete (80g)</v>
      </c>
      <c r="AI234" s="9">
        <f>IFERROR(higiene[[#This Row],[Kg equivalente]],0)</f>
        <v>0</v>
      </c>
      <c r="AJ234" s="9">
        <f>IFERROR(higiene[[#This Row],[Preço por produto]],0)</f>
        <v>1.0900000000000001</v>
      </c>
      <c r="AK234" s="4">
        <f>SUMIFS(super1[Qtde],super1[Item],tab_higiene[[#This Row],[Item]],super1[Bairro],mercado1)+SUMIFS(supercb[Qtde],supercb[Item],tab_higiene[[#This Row],[Item]],supercb[Bairro],mercado1)</f>
        <v>0</v>
      </c>
      <c r="AL234" s="4">
        <f>SUMIFS(super1[Qtde],super1[Item],tab_higiene[[#This Row],[Item]],super1[Bairro],mercado2)+SUMIFS(supercb[Qtde],supercb[Item],tab_higiene[[#This Row],[Item]],supercb[Bairro],mercado2)</f>
        <v>0</v>
      </c>
      <c r="AM234" s="4">
        <f>SUMIFS(super1[Qtde],super1[Item],tab_higiene[[#This Row],[Item]],super1[Bairro],mercado3)+SUMIFS(supercb[Qtde],supercb[Item],tab_higiene[[#This Row],[Item]],supercb[Bairro],mercado3)</f>
        <v>0</v>
      </c>
      <c r="AN234" s="4">
        <f>SUMIFS(super1[Qtde],super1[Item],tab_higiene[[#This Row],[Item]],super1[Bairro],mercado4)+SUMIFS(supercb[Qtde],supercb[Item],tab_higiene[[#This Row],[Item]],supercb[Bairro],mercado4)</f>
        <v>0</v>
      </c>
      <c r="AO234" s="4">
        <f>SUMIFS(super1[Qtde],super1[Item],tab_higiene[[#This Row],[Item]],super1[Bairro],mercado5)+SUMIFS(supercb[Qtde],supercb[Item],tab_higiene[[#This Row],[Item]],supercb[Bairro],mercado5)</f>
        <v>0</v>
      </c>
      <c r="AP234" s="4">
        <f>SUMIFS(super1[Qtde],super1[Item],tab_higiene[[#This Row],[Item]],super1[Bairro],mercado6)+SUMIFS(supercb[Qtde],supercb[Item],tab_higiene[[#This Row],[Item]],supercb[Bairro],mercado6)</f>
        <v>0</v>
      </c>
      <c r="AQ234" s="4">
        <f>SUMIFS(super1[Qtde],super1[Item],tab_higiene[[#This Row],[Item]],super1[Bairro],mercado7)+SUMIFS(supercb[Qtde],supercb[Item],tab_higiene[[#This Row],[Item]],supercb[Bairro],mercado7)</f>
        <v>0</v>
      </c>
      <c r="AR234" s="4">
        <f>SUMIFS(super1[Qtde],super1[Item],tab_higiene[[#This Row],[Item]],super1[Bairro],mercado8)+SUMIFS(supercb[Qtde],supercb[Item],tab_higiene[[#This Row],[Item]],supercb[Bairro],mercado8)</f>
        <v>0</v>
      </c>
      <c r="AS234" s="4">
        <f>SUMIFS(super1[Qtde],super1[Item],tab_higiene[[#This Row],[Item]],super1[Bairro],mercado9)+SUMIFS(supercb[Qtde],supercb[Item],tab_higiene[[#This Row],[Item]],supercb[Bairro],mercado9)</f>
        <v>0</v>
      </c>
      <c r="AT234" s="4">
        <f>SUMIFS(super1[Qtde],super1[Item],tab_higiene[[#This Row],[Item]],super1[Bairro],mercado10)+SUMIFS(supercb[Qtde],supercb[Item],tab_higiene[[#This Row],[Item]],supercb[Bairro],mercado10)</f>
        <v>0</v>
      </c>
      <c r="AU234" s="4">
        <f>SUMIFS(super1[Qtde],super1[Item],tab_higiene[[#This Row],[Item]],super1[Bairro],mercado11)+SUMIFS(supercb[Qtde],supercb[Item],tab_higiene[[#This Row],[Item]],supercb[Bairro],mercado11)</f>
        <v>0</v>
      </c>
      <c r="AV234" s="4">
        <f>SUMIFS(super1[Qtde],super1[Item],tab_higiene[[#This Row],[Item]],super1[Bairro],mercado12)+SUMIFS(supercb[Qtde],supercb[Item],tab_higiene[[#This Row],[Item]],supercb[Bairro],mercado12)</f>
        <v>0</v>
      </c>
      <c r="AW234" s="4">
        <f>SUMIFS(super1[Qtde],super1[Item],tab_higiene[[#This Row],[Item]],super1[Bairro],mercado13)+SUMIFS(supercb[Qtde],supercb[Item],tab_higiene[[#This Row],[Item]],supercb[Bairro],mercado13)</f>
        <v>0</v>
      </c>
      <c r="AX234" s="4">
        <f>SUMIFS(super1[Qtde],super1[Item],tab_higiene[[#This Row],[Item]],super1[Bairro],mercado14)+SUMIFS(supercb[Qtde],supercb[Item],tab_higiene[[#This Row],[Item]],supercb[Bairro],mercado14)</f>
        <v>0</v>
      </c>
      <c r="AY234" s="4">
        <f>SUMIFS(super1[Qtde],super1[Item],tab_higiene[[#This Row],[Item]],super1[Bairro],mercado15)+SUMIFS(supercb[Qtde],supercb[Item],tab_higiene[[#This Row],[Item]],supercb[Bairro],mercado15)</f>
        <v>0</v>
      </c>
      <c r="AZ234" s="4">
        <f>SUMIFS(super1[Qtde],super1[Item],tab_higiene[[#This Row],[Item]],super1[Bairro],mercado16)+SUMIFS(supercb[Qtde],supercb[Item],tab_higiene[[#This Row],[Item]],supercb[Bairro],mercado16)</f>
        <v>0</v>
      </c>
      <c r="BA234" s="4">
        <f>SUMIFS(super1[Qtde],super1[Item],tab_higiene[[#This Row],[Item]],super1[Bairro],mercado17)+SUMIFS(supercb[Qtde],supercb[Item],tab_higiene[[#This Row],[Item]],supercb[Bairro],mercado17)</f>
        <v>0</v>
      </c>
      <c r="BB234" s="4">
        <f>SUMIFS(super1[Qtde],super1[Item],tab_higiene[[#This Row],[Item]],super1[Bairro],mercado18)+SUMIFS(supercb[Qtde],supercb[Item],tab_higiene[[#This Row],[Item]],supercb[Bairro],mercado18)</f>
        <v>0</v>
      </c>
      <c r="BC234" s="31">
        <f>SUMIFS(super1[Qtde],super1[Item],tab_higiene[[#This Row],[Item]],super1[Bairro],extras)+SUMIFS(supercb[Qtde],supercb[Item],tab_higiene[[#This Row],[Item]],supercb[Bairro],extras)</f>
        <v>0</v>
      </c>
      <c r="BD234" s="9">
        <f t="shared" si="85"/>
        <v>0</v>
      </c>
      <c r="BE234" s="9">
        <f t="shared" si="86"/>
        <v>0</v>
      </c>
      <c r="BF234" s="18">
        <f t="shared" si="87"/>
        <v>0</v>
      </c>
    </row>
    <row r="235" spans="9:58" ht="15.75" thickBot="1" x14ac:dyDescent="0.3">
      <c r="I235" s="19" t="str">
        <f>alimentos[[#This Row],[Item]]</f>
        <v>Feijão de Caixa (490g)</v>
      </c>
      <c r="J235" s="4">
        <f>IFERROR(alimentos[[#This Row],[kg/embalagem]],0)</f>
        <v>0.49</v>
      </c>
      <c r="K235" s="4">
        <f>IFERROR(alimentos[[#This Row],[Preço]],0)</f>
        <v>9.99</v>
      </c>
      <c r="L235" s="4">
        <f>SUMIFS(super1[Qtde],super1[Item],tab_alimentos[[#This Row],[Item]],super1[Bairro],mercado1)+SUMIFS(supercb[Qtde],supercb[Item],tab_alimentos[[#This Row],[Item]],supercb[Bairro],mercado1)</f>
        <v>0</v>
      </c>
      <c r="M235" s="4">
        <f>SUMIFS(super1[Qtde],super1[Item],tab_alimentos[[#This Row],[Item]],super1[Bairro],mercado2)+SUMIFS(supercb[Qtde],supercb[Item],tab_alimentos[[#This Row],[Item]],supercb[Bairro],mercado2)</f>
        <v>0</v>
      </c>
      <c r="N235" s="4">
        <f>SUMIFS(super1[Qtde],super1[Item],tab_alimentos[[#This Row],[Item]],super1[Bairro],mercado3)+SUMIFS(supercb[Qtde],supercb[Item],tab_alimentos[[#This Row],[Item]],supercb[Bairro],mercado3)</f>
        <v>0</v>
      </c>
      <c r="O235" s="4">
        <f>SUMIFS(super1[Qtde],super1[Item],tab_alimentos[[#This Row],[Item]],super1[Bairro],mercado4)+SUMIFS(supercb[Qtde],supercb[Item],tab_alimentos[[#This Row],[Item]],supercb[Bairro],mercado4)</f>
        <v>0</v>
      </c>
      <c r="P235" s="4">
        <f>SUMIFS(super1[Qtde],super1[Item],tab_alimentos[[#This Row],[Item]],super1[Bairro],mercado5)+SUMIFS(supercb[Qtde],supercb[Item],tab_alimentos[[#This Row],[Item]],supercb[Bairro],mercado5)</f>
        <v>0</v>
      </c>
      <c r="Q235" s="4">
        <f>SUMIFS(super1[Qtde],super1[Item],tab_alimentos[[#This Row],[Item]],super1[Bairro],mercado6)+SUMIFS(supercb[Qtde],supercb[Item],tab_alimentos[[#This Row],[Item]],supercb[Bairro],mercado6)</f>
        <v>0</v>
      </c>
      <c r="R235" s="4">
        <f>SUMIFS(super1[Qtde],super1[Item],tab_alimentos[[#This Row],[Item]],super1[Bairro],mercado7)+SUMIFS(supercb[Qtde],supercb[Item],tab_alimentos[[#This Row],[Item]],supercb[Bairro],mercado7)</f>
        <v>0</v>
      </c>
      <c r="S235" s="4">
        <f>SUMIFS(super1[Qtde],super1[Item],tab_alimentos[[#This Row],[Item]],super1[Bairro],mercado8)+SUMIFS(supercb[Qtde],supercb[Item],tab_alimentos[[#This Row],[Item]],supercb[Bairro],mercado8)</f>
        <v>0</v>
      </c>
      <c r="T235" s="4">
        <f>SUMIFS(super1[Qtde],super1[Item],tab_alimentos[[#This Row],[Item]],super1[Bairro],mercado9)+SUMIFS(supercb[Qtde],supercb[Item],tab_alimentos[[#This Row],[Item]],supercb[Bairro],mercado9)</f>
        <v>0</v>
      </c>
      <c r="U235" s="4">
        <f>SUMIFS(super1[Qtde],super1[Item],tab_alimentos[[#This Row],[Item]],super1[Bairro],mercado10)+SUMIFS(supercb[Qtde],supercb[Item],tab_alimentos[[#This Row],[Item]],supercb[Bairro],mercado10)</f>
        <v>0</v>
      </c>
      <c r="V235" s="4">
        <f>SUMIFS(super1[Qtde],super1[Item],tab_alimentos[[#This Row],[Item]],super1[Bairro],mercado11)+SUMIFS(supercb[Qtde],supercb[Item],tab_alimentos[[#This Row],[Item]],supercb[Bairro],mercado11)</f>
        <v>0</v>
      </c>
      <c r="W235" s="4">
        <f>SUMIFS(super1[Qtde],super1[Item],tab_alimentos[[#This Row],[Item]],super1[Bairro],mercado12)+SUMIFS(supercb[Qtde],supercb[Item],tab_alimentos[[#This Row],[Item]],supercb[Bairro],mercado12)</f>
        <v>0</v>
      </c>
      <c r="X235" s="4">
        <f>SUMIFS(super1[Qtde],super1[Item],tab_alimentos[[#This Row],[Item]],super1[Bairro],mercado13)+SUMIFS(supercb[Qtde],supercb[Item],tab_alimentos[[#This Row],[Item]],supercb[Bairro],mercado13)</f>
        <v>0</v>
      </c>
      <c r="Y235" s="4">
        <f>SUMIFS(super1[Qtde],super1[Item],tab_alimentos[[#This Row],[Item]],super1[Bairro],mercado14)+SUMIFS(supercb[Qtde],supercb[Item],tab_alimentos[[#This Row],[Item]],supercb[Bairro],mercado14)</f>
        <v>0</v>
      </c>
      <c r="Z235" s="4">
        <f>SUMIFS(super1[Qtde],super1[Item],tab_alimentos[[#This Row],[Item]],super1[Bairro],mercado15)+SUMIFS(supercb[Qtde],supercb[Item],tab_alimentos[[#This Row],[Item]],supercb[Bairro],mercado15)</f>
        <v>0</v>
      </c>
      <c r="AA235" s="4">
        <f>SUMIFS(super1[Qtde],super1[Item],tab_alimentos[[#This Row],[Item]],super1[Bairro],mercado16)+SUMIFS(supercb[Qtde],supercb[Item],tab_alimentos[[#This Row],[Item]],supercb[Bairro],mercado16)</f>
        <v>0</v>
      </c>
      <c r="AB235" s="4">
        <f>SUMIFS(super1[Qtde],super1[Item],tab_alimentos[[#This Row],[Item]],super1[Bairro],mercado17)+SUMIFS(supercb[Qtde],supercb[Item],tab_alimentos[[#This Row],[Item]],supercb[Bairro],mercado17)</f>
        <v>0</v>
      </c>
      <c r="AC235" s="4">
        <f>SUMIFS(super1[Qtde],super1[Item],tab_alimentos[[#This Row],[Item]],super1[Bairro],mercado18)+SUMIFS(supercb[Qtde],supercb[Item],tab_alimentos[[#This Row],[Item]],supercb[Bairro],mercado18)</f>
        <v>0</v>
      </c>
      <c r="AD235" s="4">
        <f>SUMIFS(super1[Qtde],super1[Item],tab_alimentos[[#This Row],[Item]],super1[Bairro],extras)+SUMIFS(supercb[Qtde],supercb[Item],tab_alimentos[[#This Row],[Item]],supercb[Bairro],extras)</f>
        <v>0</v>
      </c>
      <c r="AE235" s="4">
        <f t="shared" si="82"/>
        <v>0</v>
      </c>
      <c r="AF235" s="4">
        <f t="shared" si="83"/>
        <v>0</v>
      </c>
      <c r="AG235" s="6">
        <f t="shared" si="84"/>
        <v>0</v>
      </c>
      <c r="AH235" s="13" t="str">
        <f>higiene[[#This Row],[Item]]</f>
        <v>Sabonete (84g)</v>
      </c>
      <c r="AI235" s="9">
        <f>IFERROR(higiene[[#This Row],[Kg equivalente]],0)</f>
        <v>0</v>
      </c>
      <c r="AJ235" s="9">
        <f>IFERROR(higiene[[#This Row],[Preço por produto]],0)</f>
        <v>1.69</v>
      </c>
      <c r="AK235" s="4">
        <f>SUMIFS(super1[Qtde],super1[Item],tab_higiene[[#This Row],[Item]],super1[Bairro],mercado1)+SUMIFS(supercb[Qtde],supercb[Item],tab_higiene[[#This Row],[Item]],supercb[Bairro],mercado1)</f>
        <v>0</v>
      </c>
      <c r="AL235" s="4">
        <f>SUMIFS(super1[Qtde],super1[Item],tab_higiene[[#This Row],[Item]],super1[Bairro],mercado2)+SUMIFS(supercb[Qtde],supercb[Item],tab_higiene[[#This Row],[Item]],supercb[Bairro],mercado2)</f>
        <v>0</v>
      </c>
      <c r="AM235" s="4">
        <f>SUMIFS(super1[Qtde],super1[Item],tab_higiene[[#This Row],[Item]],super1[Bairro],mercado3)+SUMIFS(supercb[Qtde],supercb[Item],tab_higiene[[#This Row],[Item]],supercb[Bairro],mercado3)</f>
        <v>0</v>
      </c>
      <c r="AN235" s="4">
        <f>SUMIFS(super1[Qtde],super1[Item],tab_higiene[[#This Row],[Item]],super1[Bairro],mercado4)+SUMIFS(supercb[Qtde],supercb[Item],tab_higiene[[#This Row],[Item]],supercb[Bairro],mercado4)</f>
        <v>0</v>
      </c>
      <c r="AO235" s="4">
        <f>SUMIFS(super1[Qtde],super1[Item],tab_higiene[[#This Row],[Item]],super1[Bairro],mercado5)+SUMIFS(supercb[Qtde],supercb[Item],tab_higiene[[#This Row],[Item]],supercb[Bairro],mercado5)</f>
        <v>0</v>
      </c>
      <c r="AP235" s="4">
        <f>SUMIFS(super1[Qtde],super1[Item],tab_higiene[[#This Row],[Item]],super1[Bairro],mercado6)+SUMIFS(supercb[Qtde],supercb[Item],tab_higiene[[#This Row],[Item]],supercb[Bairro],mercado6)</f>
        <v>0</v>
      </c>
      <c r="AQ235" s="4">
        <f>SUMIFS(super1[Qtde],super1[Item],tab_higiene[[#This Row],[Item]],super1[Bairro],mercado7)+SUMIFS(supercb[Qtde],supercb[Item],tab_higiene[[#This Row],[Item]],supercb[Bairro],mercado7)</f>
        <v>0</v>
      </c>
      <c r="AR235" s="4">
        <f>SUMIFS(super1[Qtde],super1[Item],tab_higiene[[#This Row],[Item]],super1[Bairro],mercado8)+SUMIFS(supercb[Qtde],supercb[Item],tab_higiene[[#This Row],[Item]],supercb[Bairro],mercado8)</f>
        <v>0</v>
      </c>
      <c r="AS235" s="4">
        <f>SUMIFS(super1[Qtde],super1[Item],tab_higiene[[#This Row],[Item]],super1[Bairro],mercado9)+SUMIFS(supercb[Qtde],supercb[Item],tab_higiene[[#This Row],[Item]],supercb[Bairro],mercado9)</f>
        <v>0</v>
      </c>
      <c r="AT235" s="4">
        <f>SUMIFS(super1[Qtde],super1[Item],tab_higiene[[#This Row],[Item]],super1[Bairro],mercado10)+SUMIFS(supercb[Qtde],supercb[Item],tab_higiene[[#This Row],[Item]],supercb[Bairro],mercado10)</f>
        <v>0</v>
      </c>
      <c r="AU235" s="4">
        <f>SUMIFS(super1[Qtde],super1[Item],tab_higiene[[#This Row],[Item]],super1[Bairro],mercado11)+SUMIFS(supercb[Qtde],supercb[Item],tab_higiene[[#This Row],[Item]],supercb[Bairro],mercado11)</f>
        <v>0</v>
      </c>
      <c r="AV235" s="4">
        <f>SUMIFS(super1[Qtde],super1[Item],tab_higiene[[#This Row],[Item]],super1[Bairro],mercado12)+SUMIFS(supercb[Qtde],supercb[Item],tab_higiene[[#This Row],[Item]],supercb[Bairro],mercado12)</f>
        <v>0</v>
      </c>
      <c r="AW235" s="4">
        <f>SUMIFS(super1[Qtde],super1[Item],tab_higiene[[#This Row],[Item]],super1[Bairro],mercado13)+SUMIFS(supercb[Qtde],supercb[Item],tab_higiene[[#This Row],[Item]],supercb[Bairro],mercado13)</f>
        <v>0</v>
      </c>
      <c r="AX235" s="4">
        <f>SUMIFS(super1[Qtde],super1[Item],tab_higiene[[#This Row],[Item]],super1[Bairro],mercado14)+SUMIFS(supercb[Qtde],supercb[Item],tab_higiene[[#This Row],[Item]],supercb[Bairro],mercado14)</f>
        <v>0</v>
      </c>
      <c r="AY235" s="4">
        <f>SUMIFS(super1[Qtde],super1[Item],tab_higiene[[#This Row],[Item]],super1[Bairro],mercado15)+SUMIFS(supercb[Qtde],supercb[Item],tab_higiene[[#This Row],[Item]],supercb[Bairro],mercado15)</f>
        <v>0</v>
      </c>
      <c r="AZ235" s="4">
        <f>SUMIFS(super1[Qtde],super1[Item],tab_higiene[[#This Row],[Item]],super1[Bairro],mercado16)+SUMIFS(supercb[Qtde],supercb[Item],tab_higiene[[#This Row],[Item]],supercb[Bairro],mercado16)</f>
        <v>0</v>
      </c>
      <c r="BA235" s="4">
        <f>SUMIFS(super1[Qtde],super1[Item],tab_higiene[[#This Row],[Item]],super1[Bairro],mercado17)+SUMIFS(supercb[Qtde],supercb[Item],tab_higiene[[#This Row],[Item]],supercb[Bairro],mercado17)</f>
        <v>0</v>
      </c>
      <c r="BB235" s="4">
        <f>SUMIFS(super1[Qtde],super1[Item],tab_higiene[[#This Row],[Item]],super1[Bairro],mercado18)+SUMIFS(supercb[Qtde],supercb[Item],tab_higiene[[#This Row],[Item]],supercb[Bairro],mercado18)</f>
        <v>0</v>
      </c>
      <c r="BC235" s="31">
        <f>SUMIFS(super1[Qtde],super1[Item],tab_higiene[[#This Row],[Item]],super1[Bairro],extras)+SUMIFS(supercb[Qtde],supercb[Item],tab_higiene[[#This Row],[Item]],supercb[Bairro],extras)</f>
        <v>0</v>
      </c>
      <c r="BD235" s="9">
        <f t="shared" si="85"/>
        <v>0</v>
      </c>
      <c r="BE235" s="9">
        <f t="shared" si="86"/>
        <v>0</v>
      </c>
      <c r="BF235" s="18">
        <f t="shared" si="87"/>
        <v>0</v>
      </c>
    </row>
    <row r="236" spans="9:58" ht="15.75" thickBot="1" x14ac:dyDescent="0.3">
      <c r="I236" s="19" t="str">
        <f>alimentos[[#This Row],[Item]]</f>
        <v>Feijoada (430g)</v>
      </c>
      <c r="J236" s="4">
        <f>IFERROR(alimentos[[#This Row],[kg/embalagem]],0)</f>
        <v>0.43</v>
      </c>
      <c r="K236" s="4">
        <f>IFERROR(alimentos[[#This Row],[Preço]],0)</f>
        <v>11.6</v>
      </c>
      <c r="L236" s="4">
        <f>SUMIFS(super1[Qtde],super1[Item],tab_alimentos[[#This Row],[Item]],super1[Bairro],mercado1)+SUMIFS(supercb[Qtde],supercb[Item],tab_alimentos[[#This Row],[Item]],supercb[Bairro],mercado1)</f>
        <v>0</v>
      </c>
      <c r="M236" s="4">
        <f>SUMIFS(super1[Qtde],super1[Item],tab_alimentos[[#This Row],[Item]],super1[Bairro],mercado2)+SUMIFS(supercb[Qtde],supercb[Item],tab_alimentos[[#This Row],[Item]],supercb[Bairro],mercado2)</f>
        <v>0</v>
      </c>
      <c r="N236" s="4">
        <f>SUMIFS(super1[Qtde],super1[Item],tab_alimentos[[#This Row],[Item]],super1[Bairro],mercado3)+SUMIFS(supercb[Qtde],supercb[Item],tab_alimentos[[#This Row],[Item]],supercb[Bairro],mercado3)</f>
        <v>0</v>
      </c>
      <c r="O236" s="4">
        <f>SUMIFS(super1[Qtde],super1[Item],tab_alimentos[[#This Row],[Item]],super1[Bairro],mercado4)+SUMIFS(supercb[Qtde],supercb[Item],tab_alimentos[[#This Row],[Item]],supercb[Bairro],mercado4)</f>
        <v>0</v>
      </c>
      <c r="P236" s="4">
        <f>SUMIFS(super1[Qtde],super1[Item],tab_alimentos[[#This Row],[Item]],super1[Bairro],mercado5)+SUMIFS(supercb[Qtde],supercb[Item],tab_alimentos[[#This Row],[Item]],supercb[Bairro],mercado5)</f>
        <v>0</v>
      </c>
      <c r="Q236" s="4">
        <f>SUMIFS(super1[Qtde],super1[Item],tab_alimentos[[#This Row],[Item]],super1[Bairro],mercado6)+SUMIFS(supercb[Qtde],supercb[Item],tab_alimentos[[#This Row],[Item]],supercb[Bairro],mercado6)</f>
        <v>0</v>
      </c>
      <c r="R236" s="4">
        <f>SUMIFS(super1[Qtde],super1[Item],tab_alimentos[[#This Row],[Item]],super1[Bairro],mercado7)+SUMIFS(supercb[Qtde],supercb[Item],tab_alimentos[[#This Row],[Item]],supercb[Bairro],mercado7)</f>
        <v>0</v>
      </c>
      <c r="S236" s="4">
        <f>SUMIFS(super1[Qtde],super1[Item],tab_alimentos[[#This Row],[Item]],super1[Bairro],mercado8)+SUMIFS(supercb[Qtde],supercb[Item],tab_alimentos[[#This Row],[Item]],supercb[Bairro],mercado8)</f>
        <v>0</v>
      </c>
      <c r="T236" s="4">
        <f>SUMIFS(super1[Qtde],super1[Item],tab_alimentos[[#This Row],[Item]],super1[Bairro],mercado9)+SUMIFS(supercb[Qtde],supercb[Item],tab_alimentos[[#This Row],[Item]],supercb[Bairro],mercado9)</f>
        <v>0</v>
      </c>
      <c r="U236" s="4">
        <f>SUMIFS(super1[Qtde],super1[Item],tab_alimentos[[#This Row],[Item]],super1[Bairro],mercado10)+SUMIFS(supercb[Qtde],supercb[Item],tab_alimentos[[#This Row],[Item]],supercb[Bairro],mercado10)</f>
        <v>0</v>
      </c>
      <c r="V236" s="4">
        <f>SUMIFS(super1[Qtde],super1[Item],tab_alimentos[[#This Row],[Item]],super1[Bairro],mercado11)+SUMIFS(supercb[Qtde],supercb[Item],tab_alimentos[[#This Row],[Item]],supercb[Bairro],mercado11)</f>
        <v>0</v>
      </c>
      <c r="W236" s="4">
        <f>SUMIFS(super1[Qtde],super1[Item],tab_alimentos[[#This Row],[Item]],super1[Bairro],mercado12)+SUMIFS(supercb[Qtde],supercb[Item],tab_alimentos[[#This Row],[Item]],supercb[Bairro],mercado12)</f>
        <v>0</v>
      </c>
      <c r="X236" s="4">
        <f>SUMIFS(super1[Qtde],super1[Item],tab_alimentos[[#This Row],[Item]],super1[Bairro],mercado13)+SUMIFS(supercb[Qtde],supercb[Item],tab_alimentos[[#This Row],[Item]],supercb[Bairro],mercado13)</f>
        <v>0</v>
      </c>
      <c r="Y236" s="4">
        <f>SUMIFS(super1[Qtde],super1[Item],tab_alimentos[[#This Row],[Item]],super1[Bairro],mercado14)+SUMIFS(supercb[Qtde],supercb[Item],tab_alimentos[[#This Row],[Item]],supercb[Bairro],mercado14)</f>
        <v>0</v>
      </c>
      <c r="Z236" s="4">
        <f>SUMIFS(super1[Qtde],super1[Item],tab_alimentos[[#This Row],[Item]],super1[Bairro],mercado15)+SUMIFS(supercb[Qtde],supercb[Item],tab_alimentos[[#This Row],[Item]],supercb[Bairro],mercado15)</f>
        <v>0</v>
      </c>
      <c r="AA236" s="4">
        <f>SUMIFS(super1[Qtde],super1[Item],tab_alimentos[[#This Row],[Item]],super1[Bairro],mercado16)+SUMIFS(supercb[Qtde],supercb[Item],tab_alimentos[[#This Row],[Item]],supercb[Bairro],mercado16)</f>
        <v>0</v>
      </c>
      <c r="AB236" s="4">
        <f>SUMIFS(super1[Qtde],super1[Item],tab_alimentos[[#This Row],[Item]],super1[Bairro],mercado17)+SUMIFS(supercb[Qtde],supercb[Item],tab_alimentos[[#This Row],[Item]],supercb[Bairro],mercado17)</f>
        <v>0</v>
      </c>
      <c r="AC236" s="4">
        <f>SUMIFS(super1[Qtde],super1[Item],tab_alimentos[[#This Row],[Item]],super1[Bairro],mercado18)+SUMIFS(supercb[Qtde],supercb[Item],tab_alimentos[[#This Row],[Item]],supercb[Bairro],mercado18)</f>
        <v>0</v>
      </c>
      <c r="AD236" s="4">
        <f>SUMIFS(super1[Qtde],super1[Item],tab_alimentos[[#This Row],[Item]],super1[Bairro],extras)+SUMIFS(supercb[Qtde],supercb[Item],tab_alimentos[[#This Row],[Item]],supercb[Bairro],extras)</f>
        <v>0</v>
      </c>
      <c r="AE236" s="4">
        <f t="shared" si="82"/>
        <v>0</v>
      </c>
      <c r="AF236" s="4">
        <f t="shared" si="83"/>
        <v>0</v>
      </c>
      <c r="AG236" s="6">
        <f t="shared" si="84"/>
        <v>0</v>
      </c>
      <c r="AH236" s="13" t="str">
        <f>higiene[[#This Row],[Item]]</f>
        <v>Sabonete (85g)</v>
      </c>
      <c r="AI236" s="9">
        <f>IFERROR(higiene[[#This Row],[Kg equivalente]],0)</f>
        <v>0</v>
      </c>
      <c r="AJ236" s="9">
        <f>IFERROR(higiene[[#This Row],[Preço por produto]],0)</f>
        <v>1.35</v>
      </c>
      <c r="AK236" s="4">
        <f>SUMIFS(super1[Qtde],super1[Item],tab_higiene[[#This Row],[Item]],super1[Bairro],mercado1)+SUMIFS(supercb[Qtde],supercb[Item],tab_higiene[[#This Row],[Item]],supercb[Bairro],mercado1)</f>
        <v>0</v>
      </c>
      <c r="AL236" s="4">
        <f>SUMIFS(super1[Qtde],super1[Item],tab_higiene[[#This Row],[Item]],super1[Bairro],mercado2)+SUMIFS(supercb[Qtde],supercb[Item],tab_higiene[[#This Row],[Item]],supercb[Bairro],mercado2)</f>
        <v>0</v>
      </c>
      <c r="AM236" s="4">
        <f>SUMIFS(super1[Qtde],super1[Item],tab_higiene[[#This Row],[Item]],super1[Bairro],mercado3)+SUMIFS(supercb[Qtde],supercb[Item],tab_higiene[[#This Row],[Item]],supercb[Bairro],mercado3)</f>
        <v>0</v>
      </c>
      <c r="AN236" s="4">
        <f>SUMIFS(super1[Qtde],super1[Item],tab_higiene[[#This Row],[Item]],super1[Bairro],mercado4)+SUMIFS(supercb[Qtde],supercb[Item],tab_higiene[[#This Row],[Item]],supercb[Bairro],mercado4)</f>
        <v>0</v>
      </c>
      <c r="AO236" s="4">
        <f>SUMIFS(super1[Qtde],super1[Item],tab_higiene[[#This Row],[Item]],super1[Bairro],mercado5)+SUMIFS(supercb[Qtde],supercb[Item],tab_higiene[[#This Row],[Item]],supercb[Bairro],mercado5)</f>
        <v>0</v>
      </c>
      <c r="AP236" s="4">
        <f>SUMIFS(super1[Qtde],super1[Item],tab_higiene[[#This Row],[Item]],super1[Bairro],mercado6)+SUMIFS(supercb[Qtde],supercb[Item],tab_higiene[[#This Row],[Item]],supercb[Bairro],mercado6)</f>
        <v>0</v>
      </c>
      <c r="AQ236" s="4">
        <f>SUMIFS(super1[Qtde],super1[Item],tab_higiene[[#This Row],[Item]],super1[Bairro],mercado7)+SUMIFS(supercb[Qtde],supercb[Item],tab_higiene[[#This Row],[Item]],supercb[Bairro],mercado7)</f>
        <v>0</v>
      </c>
      <c r="AR236" s="4">
        <f>SUMIFS(super1[Qtde],super1[Item],tab_higiene[[#This Row],[Item]],super1[Bairro],mercado8)+SUMIFS(supercb[Qtde],supercb[Item],tab_higiene[[#This Row],[Item]],supercb[Bairro],mercado8)</f>
        <v>0</v>
      </c>
      <c r="AS236" s="4">
        <f>SUMIFS(super1[Qtde],super1[Item],tab_higiene[[#This Row],[Item]],super1[Bairro],mercado9)+SUMIFS(supercb[Qtde],supercb[Item],tab_higiene[[#This Row],[Item]],supercb[Bairro],mercado9)</f>
        <v>0</v>
      </c>
      <c r="AT236" s="4">
        <f>SUMIFS(super1[Qtde],super1[Item],tab_higiene[[#This Row],[Item]],super1[Bairro],mercado10)+SUMIFS(supercb[Qtde],supercb[Item],tab_higiene[[#This Row],[Item]],supercb[Bairro],mercado10)</f>
        <v>0</v>
      </c>
      <c r="AU236" s="4">
        <f>SUMIFS(super1[Qtde],super1[Item],tab_higiene[[#This Row],[Item]],super1[Bairro],mercado11)+SUMIFS(supercb[Qtde],supercb[Item],tab_higiene[[#This Row],[Item]],supercb[Bairro],mercado11)</f>
        <v>0</v>
      </c>
      <c r="AV236" s="4">
        <f>SUMIFS(super1[Qtde],super1[Item],tab_higiene[[#This Row],[Item]],super1[Bairro],mercado12)+SUMIFS(supercb[Qtde],supercb[Item],tab_higiene[[#This Row],[Item]],supercb[Bairro],mercado12)</f>
        <v>0</v>
      </c>
      <c r="AW236" s="4">
        <f>SUMIFS(super1[Qtde],super1[Item],tab_higiene[[#This Row],[Item]],super1[Bairro],mercado13)+SUMIFS(supercb[Qtde],supercb[Item],tab_higiene[[#This Row],[Item]],supercb[Bairro],mercado13)</f>
        <v>0</v>
      </c>
      <c r="AX236" s="4">
        <f>SUMIFS(super1[Qtde],super1[Item],tab_higiene[[#This Row],[Item]],super1[Bairro],mercado14)+SUMIFS(supercb[Qtde],supercb[Item],tab_higiene[[#This Row],[Item]],supercb[Bairro],mercado14)</f>
        <v>0</v>
      </c>
      <c r="AY236" s="4">
        <f>SUMIFS(super1[Qtde],super1[Item],tab_higiene[[#This Row],[Item]],super1[Bairro],mercado15)+SUMIFS(supercb[Qtde],supercb[Item],tab_higiene[[#This Row],[Item]],supercb[Bairro],mercado15)</f>
        <v>0</v>
      </c>
      <c r="AZ236" s="4">
        <f>SUMIFS(super1[Qtde],super1[Item],tab_higiene[[#This Row],[Item]],super1[Bairro],mercado16)+SUMIFS(supercb[Qtde],supercb[Item],tab_higiene[[#This Row],[Item]],supercb[Bairro],mercado16)</f>
        <v>0</v>
      </c>
      <c r="BA236" s="4">
        <f>SUMIFS(super1[Qtde],super1[Item],tab_higiene[[#This Row],[Item]],super1[Bairro],mercado17)+SUMIFS(supercb[Qtde],supercb[Item],tab_higiene[[#This Row],[Item]],supercb[Bairro],mercado17)</f>
        <v>0</v>
      </c>
      <c r="BB236" s="4">
        <f>SUMIFS(super1[Qtde],super1[Item],tab_higiene[[#This Row],[Item]],super1[Bairro],mercado18)+SUMIFS(supercb[Qtde],supercb[Item],tab_higiene[[#This Row],[Item]],supercb[Bairro],mercado18)</f>
        <v>0</v>
      </c>
      <c r="BC236" s="31">
        <f>SUMIFS(super1[Qtde],super1[Item],tab_higiene[[#This Row],[Item]],super1[Bairro],extras)+SUMIFS(supercb[Qtde],supercb[Item],tab_higiene[[#This Row],[Item]],supercb[Bairro],extras)</f>
        <v>0</v>
      </c>
      <c r="BD236" s="9">
        <f t="shared" si="85"/>
        <v>0</v>
      </c>
      <c r="BE236" s="9">
        <f t="shared" si="86"/>
        <v>0</v>
      </c>
      <c r="BF236" s="18">
        <f t="shared" si="87"/>
        <v>0</v>
      </c>
    </row>
    <row r="237" spans="9:58" ht="15.75" thickBot="1" x14ac:dyDescent="0.3">
      <c r="I237" s="19" t="str">
        <f>alimentos[[#This Row],[Item]]</f>
        <v>Feijoada Enlatada (830g)</v>
      </c>
      <c r="J237" s="4">
        <f>IFERROR(alimentos[[#This Row],[kg/embalagem]],0)</f>
        <v>0.83</v>
      </c>
      <c r="K237" s="4">
        <f>IFERROR(alimentos[[#This Row],[Preço]],0)</f>
        <v>22.7</v>
      </c>
      <c r="L237" s="4">
        <f>SUMIFS(super1[Qtde],super1[Item],tab_alimentos[[#This Row],[Item]],super1[Bairro],mercado1)+SUMIFS(supercb[Qtde],supercb[Item],tab_alimentos[[#This Row],[Item]],supercb[Bairro],mercado1)</f>
        <v>0</v>
      </c>
      <c r="M237" s="4">
        <f>SUMIFS(super1[Qtde],super1[Item],tab_alimentos[[#This Row],[Item]],super1[Bairro],mercado2)+SUMIFS(supercb[Qtde],supercb[Item],tab_alimentos[[#This Row],[Item]],supercb[Bairro],mercado2)</f>
        <v>0</v>
      </c>
      <c r="N237" s="4">
        <f>SUMIFS(super1[Qtde],super1[Item],tab_alimentos[[#This Row],[Item]],super1[Bairro],mercado3)+SUMIFS(supercb[Qtde],supercb[Item],tab_alimentos[[#This Row],[Item]],supercb[Bairro],mercado3)</f>
        <v>0</v>
      </c>
      <c r="O237" s="4">
        <f>SUMIFS(super1[Qtde],super1[Item],tab_alimentos[[#This Row],[Item]],super1[Bairro],mercado4)+SUMIFS(supercb[Qtde],supercb[Item],tab_alimentos[[#This Row],[Item]],supercb[Bairro],mercado4)</f>
        <v>0</v>
      </c>
      <c r="P237" s="4">
        <f>SUMIFS(super1[Qtde],super1[Item],tab_alimentos[[#This Row],[Item]],super1[Bairro],mercado5)+SUMIFS(supercb[Qtde],supercb[Item],tab_alimentos[[#This Row],[Item]],supercb[Bairro],mercado5)</f>
        <v>0</v>
      </c>
      <c r="Q237" s="4">
        <f>SUMIFS(super1[Qtde],super1[Item],tab_alimentos[[#This Row],[Item]],super1[Bairro],mercado6)+SUMIFS(supercb[Qtde],supercb[Item],tab_alimentos[[#This Row],[Item]],supercb[Bairro],mercado6)</f>
        <v>0</v>
      </c>
      <c r="R237" s="4">
        <f>SUMIFS(super1[Qtde],super1[Item],tab_alimentos[[#This Row],[Item]],super1[Bairro],mercado7)+SUMIFS(supercb[Qtde],supercb[Item],tab_alimentos[[#This Row],[Item]],supercb[Bairro],mercado7)</f>
        <v>0</v>
      </c>
      <c r="S237" s="4">
        <f>SUMIFS(super1[Qtde],super1[Item],tab_alimentos[[#This Row],[Item]],super1[Bairro],mercado8)+SUMIFS(supercb[Qtde],supercb[Item],tab_alimentos[[#This Row],[Item]],supercb[Bairro],mercado8)</f>
        <v>0</v>
      </c>
      <c r="T237" s="4">
        <f>SUMIFS(super1[Qtde],super1[Item],tab_alimentos[[#This Row],[Item]],super1[Bairro],mercado9)+SUMIFS(supercb[Qtde],supercb[Item],tab_alimentos[[#This Row],[Item]],supercb[Bairro],mercado9)</f>
        <v>0</v>
      </c>
      <c r="U237" s="4">
        <f>SUMIFS(super1[Qtde],super1[Item],tab_alimentos[[#This Row],[Item]],super1[Bairro],mercado10)+SUMIFS(supercb[Qtde],supercb[Item],tab_alimentos[[#This Row],[Item]],supercb[Bairro],mercado10)</f>
        <v>0</v>
      </c>
      <c r="V237" s="4">
        <f>SUMIFS(super1[Qtde],super1[Item],tab_alimentos[[#This Row],[Item]],super1[Bairro],mercado11)+SUMIFS(supercb[Qtde],supercb[Item],tab_alimentos[[#This Row],[Item]],supercb[Bairro],mercado11)</f>
        <v>0</v>
      </c>
      <c r="W237" s="4">
        <f>SUMIFS(super1[Qtde],super1[Item],tab_alimentos[[#This Row],[Item]],super1[Bairro],mercado12)+SUMIFS(supercb[Qtde],supercb[Item],tab_alimentos[[#This Row],[Item]],supercb[Bairro],mercado12)</f>
        <v>0</v>
      </c>
      <c r="X237" s="4">
        <f>SUMIFS(super1[Qtde],super1[Item],tab_alimentos[[#This Row],[Item]],super1[Bairro],mercado13)+SUMIFS(supercb[Qtde],supercb[Item],tab_alimentos[[#This Row],[Item]],supercb[Bairro],mercado13)</f>
        <v>0</v>
      </c>
      <c r="Y237" s="4">
        <f>SUMIFS(super1[Qtde],super1[Item],tab_alimentos[[#This Row],[Item]],super1[Bairro],mercado14)+SUMIFS(supercb[Qtde],supercb[Item],tab_alimentos[[#This Row],[Item]],supercb[Bairro],mercado14)</f>
        <v>0</v>
      </c>
      <c r="Z237" s="4">
        <f>SUMIFS(super1[Qtde],super1[Item],tab_alimentos[[#This Row],[Item]],super1[Bairro],mercado15)+SUMIFS(supercb[Qtde],supercb[Item],tab_alimentos[[#This Row],[Item]],supercb[Bairro],mercado15)</f>
        <v>0</v>
      </c>
      <c r="AA237" s="4">
        <f>SUMIFS(super1[Qtde],super1[Item],tab_alimentos[[#This Row],[Item]],super1[Bairro],mercado16)+SUMIFS(supercb[Qtde],supercb[Item],tab_alimentos[[#This Row],[Item]],supercb[Bairro],mercado16)</f>
        <v>0</v>
      </c>
      <c r="AB237" s="4">
        <f>SUMIFS(super1[Qtde],super1[Item],tab_alimentos[[#This Row],[Item]],super1[Bairro],mercado17)+SUMIFS(supercb[Qtde],supercb[Item],tab_alimentos[[#This Row],[Item]],supercb[Bairro],mercado17)</f>
        <v>0</v>
      </c>
      <c r="AC237" s="4">
        <f>SUMIFS(super1[Qtde],super1[Item],tab_alimentos[[#This Row],[Item]],super1[Bairro],mercado18)+SUMIFS(supercb[Qtde],supercb[Item],tab_alimentos[[#This Row],[Item]],supercb[Bairro],mercado18)</f>
        <v>0</v>
      </c>
      <c r="AD237" s="4">
        <f>SUMIFS(super1[Qtde],super1[Item],tab_alimentos[[#This Row],[Item]],super1[Bairro],extras)+SUMIFS(supercb[Qtde],supercb[Item],tab_alimentos[[#This Row],[Item]],supercb[Bairro],extras)</f>
        <v>0</v>
      </c>
      <c r="AE237" s="4">
        <f t="shared" si="82"/>
        <v>0</v>
      </c>
      <c r="AF237" s="4">
        <f t="shared" si="83"/>
        <v>0</v>
      </c>
      <c r="AG237" s="6">
        <f t="shared" si="84"/>
        <v>0</v>
      </c>
      <c r="AH237" s="13" t="str">
        <f>higiene[[#This Row],[Item]]</f>
        <v>Sabonete (8un)</v>
      </c>
      <c r="AI237" s="9">
        <f>IFERROR(higiene[[#This Row],[Kg equivalente]],0)</f>
        <v>0</v>
      </c>
      <c r="AJ237" s="9">
        <f>IFERROR(higiene[[#This Row],[Preço por produto]],0)</f>
        <v>16.09</v>
      </c>
      <c r="AK237" s="4">
        <f>SUMIFS(super1[Qtde],super1[Item],tab_higiene[[#This Row],[Item]],super1[Bairro],mercado1)+SUMIFS(supercb[Qtde],supercb[Item],tab_higiene[[#This Row],[Item]],supercb[Bairro],mercado1)</f>
        <v>0</v>
      </c>
      <c r="AL237" s="4">
        <f>SUMIFS(super1[Qtde],super1[Item],tab_higiene[[#This Row],[Item]],super1[Bairro],mercado2)+SUMIFS(supercb[Qtde],supercb[Item],tab_higiene[[#This Row],[Item]],supercb[Bairro],mercado2)</f>
        <v>0</v>
      </c>
      <c r="AM237" s="4">
        <f>SUMIFS(super1[Qtde],super1[Item],tab_higiene[[#This Row],[Item]],super1[Bairro],mercado3)+SUMIFS(supercb[Qtde],supercb[Item],tab_higiene[[#This Row],[Item]],supercb[Bairro],mercado3)</f>
        <v>0</v>
      </c>
      <c r="AN237" s="4">
        <f>SUMIFS(super1[Qtde],super1[Item],tab_higiene[[#This Row],[Item]],super1[Bairro],mercado4)+SUMIFS(supercb[Qtde],supercb[Item],tab_higiene[[#This Row],[Item]],supercb[Bairro],mercado4)</f>
        <v>0</v>
      </c>
      <c r="AO237" s="4">
        <f>SUMIFS(super1[Qtde],super1[Item],tab_higiene[[#This Row],[Item]],super1[Bairro],mercado5)+SUMIFS(supercb[Qtde],supercb[Item],tab_higiene[[#This Row],[Item]],supercb[Bairro],mercado5)</f>
        <v>0</v>
      </c>
      <c r="AP237" s="4">
        <f>SUMIFS(super1[Qtde],super1[Item],tab_higiene[[#This Row],[Item]],super1[Bairro],mercado6)+SUMIFS(supercb[Qtde],supercb[Item],tab_higiene[[#This Row],[Item]],supercb[Bairro],mercado6)</f>
        <v>0</v>
      </c>
      <c r="AQ237" s="4">
        <f>SUMIFS(super1[Qtde],super1[Item],tab_higiene[[#This Row],[Item]],super1[Bairro],mercado7)+SUMIFS(supercb[Qtde],supercb[Item],tab_higiene[[#This Row],[Item]],supercb[Bairro],mercado7)</f>
        <v>0</v>
      </c>
      <c r="AR237" s="4">
        <f>SUMIFS(super1[Qtde],super1[Item],tab_higiene[[#This Row],[Item]],super1[Bairro],mercado8)+SUMIFS(supercb[Qtde],supercb[Item],tab_higiene[[#This Row],[Item]],supercb[Bairro],mercado8)</f>
        <v>0</v>
      </c>
      <c r="AS237" s="4">
        <f>SUMIFS(super1[Qtde],super1[Item],tab_higiene[[#This Row],[Item]],super1[Bairro],mercado9)+SUMIFS(supercb[Qtde],supercb[Item],tab_higiene[[#This Row],[Item]],supercb[Bairro],mercado9)</f>
        <v>0</v>
      </c>
      <c r="AT237" s="4">
        <f>SUMIFS(super1[Qtde],super1[Item],tab_higiene[[#This Row],[Item]],super1[Bairro],mercado10)+SUMIFS(supercb[Qtde],supercb[Item],tab_higiene[[#This Row],[Item]],supercb[Bairro],mercado10)</f>
        <v>0</v>
      </c>
      <c r="AU237" s="4">
        <f>SUMIFS(super1[Qtde],super1[Item],tab_higiene[[#This Row],[Item]],super1[Bairro],mercado11)+SUMIFS(supercb[Qtde],supercb[Item],tab_higiene[[#This Row],[Item]],supercb[Bairro],mercado11)</f>
        <v>0</v>
      </c>
      <c r="AV237" s="4">
        <f>SUMIFS(super1[Qtde],super1[Item],tab_higiene[[#This Row],[Item]],super1[Bairro],mercado12)+SUMIFS(supercb[Qtde],supercb[Item],tab_higiene[[#This Row],[Item]],supercb[Bairro],mercado12)</f>
        <v>0</v>
      </c>
      <c r="AW237" s="4">
        <f>SUMIFS(super1[Qtde],super1[Item],tab_higiene[[#This Row],[Item]],super1[Bairro],mercado13)+SUMIFS(supercb[Qtde],supercb[Item],tab_higiene[[#This Row],[Item]],supercb[Bairro],mercado13)</f>
        <v>0</v>
      </c>
      <c r="AX237" s="4">
        <f>SUMIFS(super1[Qtde],super1[Item],tab_higiene[[#This Row],[Item]],super1[Bairro],mercado14)+SUMIFS(supercb[Qtde],supercb[Item],tab_higiene[[#This Row],[Item]],supercb[Bairro],mercado14)</f>
        <v>0</v>
      </c>
      <c r="AY237" s="4">
        <f>SUMIFS(super1[Qtde],super1[Item],tab_higiene[[#This Row],[Item]],super1[Bairro],mercado15)+SUMIFS(supercb[Qtde],supercb[Item],tab_higiene[[#This Row],[Item]],supercb[Bairro],mercado15)</f>
        <v>0</v>
      </c>
      <c r="AZ237" s="4">
        <f>SUMIFS(super1[Qtde],super1[Item],tab_higiene[[#This Row],[Item]],super1[Bairro],mercado16)+SUMIFS(supercb[Qtde],supercb[Item],tab_higiene[[#This Row],[Item]],supercb[Bairro],mercado16)</f>
        <v>0</v>
      </c>
      <c r="BA237" s="4">
        <f>SUMIFS(super1[Qtde],super1[Item],tab_higiene[[#This Row],[Item]],super1[Bairro],mercado17)+SUMIFS(supercb[Qtde],supercb[Item],tab_higiene[[#This Row],[Item]],supercb[Bairro],mercado17)</f>
        <v>0</v>
      </c>
      <c r="BB237" s="4">
        <f>SUMIFS(super1[Qtde],super1[Item],tab_higiene[[#This Row],[Item]],super1[Bairro],mercado18)+SUMIFS(supercb[Qtde],supercb[Item],tab_higiene[[#This Row],[Item]],supercb[Bairro],mercado18)</f>
        <v>0</v>
      </c>
      <c r="BC237" s="31">
        <f>SUMIFS(super1[Qtde],super1[Item],tab_higiene[[#This Row],[Item]],super1[Bairro],extras)+SUMIFS(supercb[Qtde],supercb[Item],tab_higiene[[#This Row],[Item]],supercb[Bairro],extras)</f>
        <v>0</v>
      </c>
      <c r="BD237" s="9">
        <f t="shared" si="85"/>
        <v>0</v>
      </c>
      <c r="BE237" s="9">
        <f t="shared" si="86"/>
        <v>0</v>
      </c>
      <c r="BF237" s="18">
        <f t="shared" si="87"/>
        <v>0</v>
      </c>
    </row>
    <row r="238" spans="9:58" ht="15.75" thickBot="1" x14ac:dyDescent="0.3">
      <c r="I238" s="19" t="str">
        <f>alimentos[[#This Row],[Item]]</f>
        <v>Fermento (100g)</v>
      </c>
      <c r="J238" s="4">
        <f>IFERROR(alimentos[[#This Row],[kg/embalagem]],0)</f>
        <v>0.1</v>
      </c>
      <c r="K238" s="4">
        <f>IFERROR(alimentos[[#This Row],[Preço]],0)</f>
        <v>2.99</v>
      </c>
      <c r="L238" s="4">
        <f>SUMIFS(super1[Qtde],super1[Item],tab_alimentos[[#This Row],[Item]],super1[Bairro],mercado1)+SUMIFS(supercb[Qtde],supercb[Item],tab_alimentos[[#This Row],[Item]],supercb[Bairro],mercado1)</f>
        <v>0</v>
      </c>
      <c r="M238" s="4">
        <f>SUMIFS(super1[Qtde],super1[Item],tab_alimentos[[#This Row],[Item]],super1[Bairro],mercado2)+SUMIFS(supercb[Qtde],supercb[Item],tab_alimentos[[#This Row],[Item]],supercb[Bairro],mercado2)</f>
        <v>0</v>
      </c>
      <c r="N238" s="4">
        <f>SUMIFS(super1[Qtde],super1[Item],tab_alimentos[[#This Row],[Item]],super1[Bairro],mercado3)+SUMIFS(supercb[Qtde],supercb[Item],tab_alimentos[[#This Row],[Item]],supercb[Bairro],mercado3)</f>
        <v>0</v>
      </c>
      <c r="O238" s="4">
        <f>SUMIFS(super1[Qtde],super1[Item],tab_alimentos[[#This Row],[Item]],super1[Bairro],mercado4)+SUMIFS(supercb[Qtde],supercb[Item],tab_alimentos[[#This Row],[Item]],supercb[Bairro],mercado4)</f>
        <v>0</v>
      </c>
      <c r="P238" s="4">
        <f>SUMIFS(super1[Qtde],super1[Item],tab_alimentos[[#This Row],[Item]],super1[Bairro],mercado5)+SUMIFS(supercb[Qtde],supercb[Item],tab_alimentos[[#This Row],[Item]],supercb[Bairro],mercado5)</f>
        <v>0</v>
      </c>
      <c r="Q238" s="4">
        <f>SUMIFS(super1[Qtde],super1[Item],tab_alimentos[[#This Row],[Item]],super1[Bairro],mercado6)+SUMIFS(supercb[Qtde],supercb[Item],tab_alimentos[[#This Row],[Item]],supercb[Bairro],mercado6)</f>
        <v>0</v>
      </c>
      <c r="R238" s="4">
        <f>SUMIFS(super1[Qtde],super1[Item],tab_alimentos[[#This Row],[Item]],super1[Bairro],mercado7)+SUMIFS(supercb[Qtde],supercb[Item],tab_alimentos[[#This Row],[Item]],supercb[Bairro],mercado7)</f>
        <v>0</v>
      </c>
      <c r="S238" s="4">
        <f>SUMIFS(super1[Qtde],super1[Item],tab_alimentos[[#This Row],[Item]],super1[Bairro],mercado8)+SUMIFS(supercb[Qtde],supercb[Item],tab_alimentos[[#This Row],[Item]],supercb[Bairro],mercado8)</f>
        <v>0</v>
      </c>
      <c r="T238" s="4">
        <f>SUMIFS(super1[Qtde],super1[Item],tab_alimentos[[#This Row],[Item]],super1[Bairro],mercado9)+SUMIFS(supercb[Qtde],supercb[Item],tab_alimentos[[#This Row],[Item]],supercb[Bairro],mercado9)</f>
        <v>0</v>
      </c>
      <c r="U238" s="4">
        <f>SUMIFS(super1[Qtde],super1[Item],tab_alimentos[[#This Row],[Item]],super1[Bairro],mercado10)+SUMIFS(supercb[Qtde],supercb[Item],tab_alimentos[[#This Row],[Item]],supercb[Bairro],mercado10)</f>
        <v>0</v>
      </c>
      <c r="V238" s="4">
        <f>SUMIFS(super1[Qtde],super1[Item],tab_alimentos[[#This Row],[Item]],super1[Bairro],mercado11)+SUMIFS(supercb[Qtde],supercb[Item],tab_alimentos[[#This Row],[Item]],supercb[Bairro],mercado11)</f>
        <v>0</v>
      </c>
      <c r="W238" s="4">
        <f>SUMIFS(super1[Qtde],super1[Item],tab_alimentos[[#This Row],[Item]],super1[Bairro],mercado12)+SUMIFS(supercb[Qtde],supercb[Item],tab_alimentos[[#This Row],[Item]],supercb[Bairro],mercado12)</f>
        <v>0</v>
      </c>
      <c r="X238" s="4">
        <f>SUMIFS(super1[Qtde],super1[Item],tab_alimentos[[#This Row],[Item]],super1[Bairro],mercado13)+SUMIFS(supercb[Qtde],supercb[Item],tab_alimentos[[#This Row],[Item]],supercb[Bairro],mercado13)</f>
        <v>0</v>
      </c>
      <c r="Y238" s="4">
        <f>SUMIFS(super1[Qtde],super1[Item],tab_alimentos[[#This Row],[Item]],super1[Bairro],mercado14)+SUMIFS(supercb[Qtde],supercb[Item],tab_alimentos[[#This Row],[Item]],supercb[Bairro],mercado14)</f>
        <v>0</v>
      </c>
      <c r="Z238" s="4">
        <f>SUMIFS(super1[Qtde],super1[Item],tab_alimentos[[#This Row],[Item]],super1[Bairro],mercado15)+SUMIFS(supercb[Qtde],supercb[Item],tab_alimentos[[#This Row],[Item]],supercb[Bairro],mercado15)</f>
        <v>0</v>
      </c>
      <c r="AA238" s="4">
        <f>SUMIFS(super1[Qtde],super1[Item],tab_alimentos[[#This Row],[Item]],super1[Bairro],mercado16)+SUMIFS(supercb[Qtde],supercb[Item],tab_alimentos[[#This Row],[Item]],supercb[Bairro],mercado16)</f>
        <v>0</v>
      </c>
      <c r="AB238" s="4">
        <f>SUMIFS(super1[Qtde],super1[Item],tab_alimentos[[#This Row],[Item]],super1[Bairro],mercado17)+SUMIFS(supercb[Qtde],supercb[Item],tab_alimentos[[#This Row],[Item]],supercb[Bairro],mercado17)</f>
        <v>0</v>
      </c>
      <c r="AC238" s="4">
        <f>SUMIFS(super1[Qtde],super1[Item],tab_alimentos[[#This Row],[Item]],super1[Bairro],mercado18)+SUMIFS(supercb[Qtde],supercb[Item],tab_alimentos[[#This Row],[Item]],supercb[Bairro],mercado18)</f>
        <v>0</v>
      </c>
      <c r="AD238" s="4">
        <f>SUMIFS(super1[Qtde],super1[Item],tab_alimentos[[#This Row],[Item]],super1[Bairro],extras)+SUMIFS(supercb[Qtde],supercb[Item],tab_alimentos[[#This Row],[Item]],supercb[Bairro],extras)</f>
        <v>0</v>
      </c>
      <c r="AE238" s="4">
        <f t="shared" si="82"/>
        <v>0</v>
      </c>
      <c r="AF238" s="4">
        <f t="shared" si="83"/>
        <v>0</v>
      </c>
      <c r="AG238" s="6">
        <f t="shared" si="84"/>
        <v>0</v>
      </c>
      <c r="AH238" s="13" t="str">
        <f>higiene[[#This Row],[Item]]</f>
        <v>Sabonete (90g)</v>
      </c>
      <c r="AI238" s="9">
        <f>IFERROR(higiene[[#This Row],[Kg equivalente]],0)</f>
        <v>0</v>
      </c>
      <c r="AJ238" s="9">
        <f>IFERROR(higiene[[#This Row],[Preço por produto]],0)</f>
        <v>1.2</v>
      </c>
      <c r="AK238" s="4">
        <f>SUMIFS(super1[Qtde],super1[Item],tab_higiene[[#This Row],[Item]],super1[Bairro],mercado1)+SUMIFS(supercb[Qtde],supercb[Item],tab_higiene[[#This Row],[Item]],supercb[Bairro],mercado1)</f>
        <v>0</v>
      </c>
      <c r="AL238" s="4">
        <f>SUMIFS(super1[Qtde],super1[Item],tab_higiene[[#This Row],[Item]],super1[Bairro],mercado2)+SUMIFS(supercb[Qtde],supercb[Item],tab_higiene[[#This Row],[Item]],supercb[Bairro],mercado2)</f>
        <v>0</v>
      </c>
      <c r="AM238" s="4">
        <f>SUMIFS(super1[Qtde],super1[Item],tab_higiene[[#This Row],[Item]],super1[Bairro],mercado3)+SUMIFS(supercb[Qtde],supercb[Item],tab_higiene[[#This Row],[Item]],supercb[Bairro],mercado3)</f>
        <v>0</v>
      </c>
      <c r="AN238" s="4">
        <f>SUMIFS(super1[Qtde],super1[Item],tab_higiene[[#This Row],[Item]],super1[Bairro],mercado4)+SUMIFS(supercb[Qtde],supercb[Item],tab_higiene[[#This Row],[Item]],supercb[Bairro],mercado4)</f>
        <v>0</v>
      </c>
      <c r="AO238" s="4">
        <f>SUMIFS(super1[Qtde],super1[Item],tab_higiene[[#This Row],[Item]],super1[Bairro],mercado5)+SUMIFS(supercb[Qtde],supercb[Item],tab_higiene[[#This Row],[Item]],supercb[Bairro],mercado5)</f>
        <v>0</v>
      </c>
      <c r="AP238" s="4">
        <f>SUMIFS(super1[Qtde],super1[Item],tab_higiene[[#This Row],[Item]],super1[Bairro],mercado6)+SUMIFS(supercb[Qtde],supercb[Item],tab_higiene[[#This Row],[Item]],supercb[Bairro],mercado6)</f>
        <v>0</v>
      </c>
      <c r="AQ238" s="4">
        <f>SUMIFS(super1[Qtde],super1[Item],tab_higiene[[#This Row],[Item]],super1[Bairro],mercado7)+SUMIFS(supercb[Qtde],supercb[Item],tab_higiene[[#This Row],[Item]],supercb[Bairro],mercado7)</f>
        <v>0</v>
      </c>
      <c r="AR238" s="4">
        <f>SUMIFS(super1[Qtde],super1[Item],tab_higiene[[#This Row],[Item]],super1[Bairro],mercado8)+SUMIFS(supercb[Qtde],supercb[Item],tab_higiene[[#This Row],[Item]],supercb[Bairro],mercado8)</f>
        <v>0</v>
      </c>
      <c r="AS238" s="4">
        <f>SUMIFS(super1[Qtde],super1[Item],tab_higiene[[#This Row],[Item]],super1[Bairro],mercado9)+SUMIFS(supercb[Qtde],supercb[Item],tab_higiene[[#This Row],[Item]],supercb[Bairro],mercado9)</f>
        <v>0</v>
      </c>
      <c r="AT238" s="4">
        <f>SUMIFS(super1[Qtde],super1[Item],tab_higiene[[#This Row],[Item]],super1[Bairro],mercado10)+SUMIFS(supercb[Qtde],supercb[Item],tab_higiene[[#This Row],[Item]],supercb[Bairro],mercado10)</f>
        <v>0</v>
      </c>
      <c r="AU238" s="4">
        <f>SUMIFS(super1[Qtde],super1[Item],tab_higiene[[#This Row],[Item]],super1[Bairro],mercado11)+SUMIFS(supercb[Qtde],supercb[Item],tab_higiene[[#This Row],[Item]],supercb[Bairro],mercado11)</f>
        <v>0</v>
      </c>
      <c r="AV238" s="4">
        <f>SUMIFS(super1[Qtde],super1[Item],tab_higiene[[#This Row],[Item]],super1[Bairro],mercado12)+SUMIFS(supercb[Qtde],supercb[Item],tab_higiene[[#This Row],[Item]],supercb[Bairro],mercado12)</f>
        <v>0</v>
      </c>
      <c r="AW238" s="4">
        <f>SUMIFS(super1[Qtde],super1[Item],tab_higiene[[#This Row],[Item]],super1[Bairro],mercado13)+SUMIFS(supercb[Qtde],supercb[Item],tab_higiene[[#This Row],[Item]],supercb[Bairro],mercado13)</f>
        <v>0</v>
      </c>
      <c r="AX238" s="4">
        <f>SUMIFS(super1[Qtde],super1[Item],tab_higiene[[#This Row],[Item]],super1[Bairro],mercado14)+SUMIFS(supercb[Qtde],supercb[Item],tab_higiene[[#This Row],[Item]],supercb[Bairro],mercado14)</f>
        <v>0</v>
      </c>
      <c r="AY238" s="4">
        <f>SUMIFS(super1[Qtde],super1[Item],tab_higiene[[#This Row],[Item]],super1[Bairro],mercado15)+SUMIFS(supercb[Qtde],supercb[Item],tab_higiene[[#This Row],[Item]],supercb[Bairro],mercado15)</f>
        <v>0</v>
      </c>
      <c r="AZ238" s="4">
        <f>SUMIFS(super1[Qtde],super1[Item],tab_higiene[[#This Row],[Item]],super1[Bairro],mercado16)+SUMIFS(supercb[Qtde],supercb[Item],tab_higiene[[#This Row],[Item]],supercb[Bairro],mercado16)</f>
        <v>0</v>
      </c>
      <c r="BA238" s="4">
        <f>SUMIFS(super1[Qtde],super1[Item],tab_higiene[[#This Row],[Item]],super1[Bairro],mercado17)+SUMIFS(supercb[Qtde],supercb[Item],tab_higiene[[#This Row],[Item]],supercb[Bairro],mercado17)</f>
        <v>0</v>
      </c>
      <c r="BB238" s="4">
        <f>SUMIFS(super1[Qtde],super1[Item],tab_higiene[[#This Row],[Item]],super1[Bairro],mercado18)+SUMIFS(supercb[Qtde],supercb[Item],tab_higiene[[#This Row],[Item]],supercb[Bairro],mercado18)</f>
        <v>0</v>
      </c>
      <c r="BC238" s="31">
        <f>SUMIFS(super1[Qtde],super1[Item],tab_higiene[[#This Row],[Item]],super1[Bairro],extras)+SUMIFS(supercb[Qtde],supercb[Item],tab_higiene[[#This Row],[Item]],supercb[Bairro],extras)</f>
        <v>0</v>
      </c>
      <c r="BD238" s="9">
        <f t="shared" si="85"/>
        <v>0</v>
      </c>
      <c r="BE238" s="9">
        <f t="shared" si="86"/>
        <v>0</v>
      </c>
      <c r="BF238" s="18">
        <f t="shared" si="87"/>
        <v>0</v>
      </c>
    </row>
    <row r="239" spans="9:58" ht="15.75" thickBot="1" x14ac:dyDescent="0.3">
      <c r="I239" s="19" t="str">
        <f>alimentos[[#This Row],[Item]]</f>
        <v>Fermento (250g)</v>
      </c>
      <c r="J239" s="4">
        <f>IFERROR(alimentos[[#This Row],[kg/embalagem]],0)</f>
        <v>0.25</v>
      </c>
      <c r="K239" s="4">
        <f>IFERROR(alimentos[[#This Row],[Preço]],0)</f>
        <v>8.1999999999999993</v>
      </c>
      <c r="L239" s="4">
        <f>SUMIFS(super1[Qtde],super1[Item],tab_alimentos[[#This Row],[Item]],super1[Bairro],mercado1)+SUMIFS(supercb[Qtde],supercb[Item],tab_alimentos[[#This Row],[Item]],supercb[Bairro],mercado1)</f>
        <v>0</v>
      </c>
      <c r="M239" s="4">
        <f>SUMIFS(super1[Qtde],super1[Item],tab_alimentos[[#This Row],[Item]],super1[Bairro],mercado2)+SUMIFS(supercb[Qtde],supercb[Item],tab_alimentos[[#This Row],[Item]],supercb[Bairro],mercado2)</f>
        <v>0</v>
      </c>
      <c r="N239" s="4">
        <f>SUMIFS(super1[Qtde],super1[Item],tab_alimentos[[#This Row],[Item]],super1[Bairro],mercado3)+SUMIFS(supercb[Qtde],supercb[Item],tab_alimentos[[#This Row],[Item]],supercb[Bairro],mercado3)</f>
        <v>0</v>
      </c>
      <c r="O239" s="4">
        <f>SUMIFS(super1[Qtde],super1[Item],tab_alimentos[[#This Row],[Item]],super1[Bairro],mercado4)+SUMIFS(supercb[Qtde],supercb[Item],tab_alimentos[[#This Row],[Item]],supercb[Bairro],mercado4)</f>
        <v>0</v>
      </c>
      <c r="P239" s="4">
        <f>SUMIFS(super1[Qtde],super1[Item],tab_alimentos[[#This Row],[Item]],super1[Bairro],mercado5)+SUMIFS(supercb[Qtde],supercb[Item],tab_alimentos[[#This Row],[Item]],supercb[Bairro],mercado5)</f>
        <v>0</v>
      </c>
      <c r="Q239" s="4">
        <f>SUMIFS(super1[Qtde],super1[Item],tab_alimentos[[#This Row],[Item]],super1[Bairro],mercado6)+SUMIFS(supercb[Qtde],supercb[Item],tab_alimentos[[#This Row],[Item]],supercb[Bairro],mercado6)</f>
        <v>0</v>
      </c>
      <c r="R239" s="4">
        <f>SUMIFS(super1[Qtde],super1[Item],tab_alimentos[[#This Row],[Item]],super1[Bairro],mercado7)+SUMIFS(supercb[Qtde],supercb[Item],tab_alimentos[[#This Row],[Item]],supercb[Bairro],mercado7)</f>
        <v>0</v>
      </c>
      <c r="S239" s="4">
        <f>SUMIFS(super1[Qtde],super1[Item],tab_alimentos[[#This Row],[Item]],super1[Bairro],mercado8)+SUMIFS(supercb[Qtde],supercb[Item],tab_alimentos[[#This Row],[Item]],supercb[Bairro],mercado8)</f>
        <v>0</v>
      </c>
      <c r="T239" s="4">
        <f>SUMIFS(super1[Qtde],super1[Item],tab_alimentos[[#This Row],[Item]],super1[Bairro],mercado9)+SUMIFS(supercb[Qtde],supercb[Item],tab_alimentos[[#This Row],[Item]],supercb[Bairro],mercado9)</f>
        <v>0</v>
      </c>
      <c r="U239" s="4">
        <f>SUMIFS(super1[Qtde],super1[Item],tab_alimentos[[#This Row],[Item]],super1[Bairro],mercado10)+SUMIFS(supercb[Qtde],supercb[Item],tab_alimentos[[#This Row],[Item]],supercb[Bairro],mercado10)</f>
        <v>0</v>
      </c>
      <c r="V239" s="4">
        <f>SUMIFS(super1[Qtde],super1[Item],tab_alimentos[[#This Row],[Item]],super1[Bairro],mercado11)+SUMIFS(supercb[Qtde],supercb[Item],tab_alimentos[[#This Row],[Item]],supercb[Bairro],mercado11)</f>
        <v>0</v>
      </c>
      <c r="W239" s="4">
        <f>SUMIFS(super1[Qtde],super1[Item],tab_alimentos[[#This Row],[Item]],super1[Bairro],mercado12)+SUMIFS(supercb[Qtde],supercb[Item],tab_alimentos[[#This Row],[Item]],supercb[Bairro],mercado12)</f>
        <v>0</v>
      </c>
      <c r="X239" s="4">
        <f>SUMIFS(super1[Qtde],super1[Item],tab_alimentos[[#This Row],[Item]],super1[Bairro],mercado13)+SUMIFS(supercb[Qtde],supercb[Item],tab_alimentos[[#This Row],[Item]],supercb[Bairro],mercado13)</f>
        <v>0</v>
      </c>
      <c r="Y239" s="4">
        <f>SUMIFS(super1[Qtde],super1[Item],tab_alimentos[[#This Row],[Item]],super1[Bairro],mercado14)+SUMIFS(supercb[Qtde],supercb[Item],tab_alimentos[[#This Row],[Item]],supercb[Bairro],mercado14)</f>
        <v>0</v>
      </c>
      <c r="Z239" s="4">
        <f>SUMIFS(super1[Qtde],super1[Item],tab_alimentos[[#This Row],[Item]],super1[Bairro],mercado15)+SUMIFS(supercb[Qtde],supercb[Item],tab_alimentos[[#This Row],[Item]],supercb[Bairro],mercado15)</f>
        <v>0</v>
      </c>
      <c r="AA239" s="4">
        <f>SUMIFS(super1[Qtde],super1[Item],tab_alimentos[[#This Row],[Item]],super1[Bairro],mercado16)+SUMIFS(supercb[Qtde],supercb[Item],tab_alimentos[[#This Row],[Item]],supercb[Bairro],mercado16)</f>
        <v>0</v>
      </c>
      <c r="AB239" s="4">
        <f>SUMIFS(super1[Qtde],super1[Item],tab_alimentos[[#This Row],[Item]],super1[Bairro],mercado17)+SUMIFS(supercb[Qtde],supercb[Item],tab_alimentos[[#This Row],[Item]],supercb[Bairro],mercado17)</f>
        <v>0</v>
      </c>
      <c r="AC239" s="4">
        <f>SUMIFS(super1[Qtde],super1[Item],tab_alimentos[[#This Row],[Item]],super1[Bairro],mercado18)+SUMIFS(supercb[Qtde],supercb[Item],tab_alimentos[[#This Row],[Item]],supercb[Bairro],mercado18)</f>
        <v>0</v>
      </c>
      <c r="AD239" s="4">
        <f>SUMIFS(super1[Qtde],super1[Item],tab_alimentos[[#This Row],[Item]],super1[Bairro],extras)+SUMIFS(supercb[Qtde],supercb[Item],tab_alimentos[[#This Row],[Item]],supercb[Bairro],extras)</f>
        <v>0</v>
      </c>
      <c r="AE239" s="4">
        <f t="shared" si="82"/>
        <v>0</v>
      </c>
      <c r="AF239" s="4">
        <f t="shared" si="83"/>
        <v>0</v>
      </c>
      <c r="AG239" s="6">
        <f t="shared" si="84"/>
        <v>0</v>
      </c>
      <c r="AH239" s="13" t="str">
        <f>higiene[[#This Row],[Item]]</f>
        <v>Sabonete Líquido (200mL)</v>
      </c>
      <c r="AI239" s="9">
        <f>IFERROR(higiene[[#This Row],[Kg equivalente]],0)</f>
        <v>0</v>
      </c>
      <c r="AJ239" s="9">
        <f>IFERROR(higiene[[#This Row],[Preço por produto]],0)</f>
        <v>6.99</v>
      </c>
      <c r="AK239" s="4">
        <f>SUMIFS(super1[Qtde],super1[Item],tab_higiene[[#This Row],[Item]],super1[Bairro],mercado1)+SUMIFS(supercb[Qtde],supercb[Item],tab_higiene[[#This Row],[Item]],supercb[Bairro],mercado1)</f>
        <v>0</v>
      </c>
      <c r="AL239" s="4">
        <f>SUMIFS(super1[Qtde],super1[Item],tab_higiene[[#This Row],[Item]],super1[Bairro],mercado2)+SUMIFS(supercb[Qtde],supercb[Item],tab_higiene[[#This Row],[Item]],supercb[Bairro],mercado2)</f>
        <v>0</v>
      </c>
      <c r="AM239" s="4">
        <f>SUMIFS(super1[Qtde],super1[Item],tab_higiene[[#This Row],[Item]],super1[Bairro],mercado3)+SUMIFS(supercb[Qtde],supercb[Item],tab_higiene[[#This Row],[Item]],supercb[Bairro],mercado3)</f>
        <v>0</v>
      </c>
      <c r="AN239" s="4">
        <f>SUMIFS(super1[Qtde],super1[Item],tab_higiene[[#This Row],[Item]],super1[Bairro],mercado4)+SUMIFS(supercb[Qtde],supercb[Item],tab_higiene[[#This Row],[Item]],supercb[Bairro],mercado4)</f>
        <v>0</v>
      </c>
      <c r="AO239" s="4">
        <f>SUMIFS(super1[Qtde],super1[Item],tab_higiene[[#This Row],[Item]],super1[Bairro],mercado5)+SUMIFS(supercb[Qtde],supercb[Item],tab_higiene[[#This Row],[Item]],supercb[Bairro],mercado5)</f>
        <v>0</v>
      </c>
      <c r="AP239" s="4">
        <f>SUMIFS(super1[Qtde],super1[Item],tab_higiene[[#This Row],[Item]],super1[Bairro],mercado6)+SUMIFS(supercb[Qtde],supercb[Item],tab_higiene[[#This Row],[Item]],supercb[Bairro],mercado6)</f>
        <v>0</v>
      </c>
      <c r="AQ239" s="4">
        <f>SUMIFS(super1[Qtde],super1[Item],tab_higiene[[#This Row],[Item]],super1[Bairro],mercado7)+SUMIFS(supercb[Qtde],supercb[Item],tab_higiene[[#This Row],[Item]],supercb[Bairro],mercado7)</f>
        <v>0</v>
      </c>
      <c r="AR239" s="4">
        <f>SUMIFS(super1[Qtde],super1[Item],tab_higiene[[#This Row],[Item]],super1[Bairro],mercado8)+SUMIFS(supercb[Qtde],supercb[Item],tab_higiene[[#This Row],[Item]],supercb[Bairro],mercado8)</f>
        <v>0</v>
      </c>
      <c r="AS239" s="4">
        <f>SUMIFS(super1[Qtde],super1[Item],tab_higiene[[#This Row],[Item]],super1[Bairro],mercado9)+SUMIFS(supercb[Qtde],supercb[Item],tab_higiene[[#This Row],[Item]],supercb[Bairro],mercado9)</f>
        <v>0</v>
      </c>
      <c r="AT239" s="4">
        <f>SUMIFS(super1[Qtde],super1[Item],tab_higiene[[#This Row],[Item]],super1[Bairro],mercado10)+SUMIFS(supercb[Qtde],supercb[Item],tab_higiene[[#This Row],[Item]],supercb[Bairro],mercado10)</f>
        <v>0</v>
      </c>
      <c r="AU239" s="4">
        <f>SUMIFS(super1[Qtde],super1[Item],tab_higiene[[#This Row],[Item]],super1[Bairro],mercado11)+SUMIFS(supercb[Qtde],supercb[Item],tab_higiene[[#This Row],[Item]],supercb[Bairro],mercado11)</f>
        <v>0</v>
      </c>
      <c r="AV239" s="4">
        <f>SUMIFS(super1[Qtde],super1[Item],tab_higiene[[#This Row],[Item]],super1[Bairro],mercado12)+SUMIFS(supercb[Qtde],supercb[Item],tab_higiene[[#This Row],[Item]],supercb[Bairro],mercado12)</f>
        <v>0</v>
      </c>
      <c r="AW239" s="4">
        <f>SUMIFS(super1[Qtde],super1[Item],tab_higiene[[#This Row],[Item]],super1[Bairro],mercado13)+SUMIFS(supercb[Qtde],supercb[Item],tab_higiene[[#This Row],[Item]],supercb[Bairro],mercado13)</f>
        <v>0</v>
      </c>
      <c r="AX239" s="4">
        <f>SUMIFS(super1[Qtde],super1[Item],tab_higiene[[#This Row],[Item]],super1[Bairro],mercado14)+SUMIFS(supercb[Qtde],supercb[Item],tab_higiene[[#This Row],[Item]],supercb[Bairro],mercado14)</f>
        <v>0</v>
      </c>
      <c r="AY239" s="4">
        <f>SUMIFS(super1[Qtde],super1[Item],tab_higiene[[#This Row],[Item]],super1[Bairro],mercado15)+SUMIFS(supercb[Qtde],supercb[Item],tab_higiene[[#This Row],[Item]],supercb[Bairro],mercado15)</f>
        <v>0</v>
      </c>
      <c r="AZ239" s="4">
        <f>SUMIFS(super1[Qtde],super1[Item],tab_higiene[[#This Row],[Item]],super1[Bairro],mercado16)+SUMIFS(supercb[Qtde],supercb[Item],tab_higiene[[#This Row],[Item]],supercb[Bairro],mercado16)</f>
        <v>0</v>
      </c>
      <c r="BA239" s="4">
        <f>SUMIFS(super1[Qtde],super1[Item],tab_higiene[[#This Row],[Item]],super1[Bairro],mercado17)+SUMIFS(supercb[Qtde],supercb[Item],tab_higiene[[#This Row],[Item]],supercb[Bairro],mercado17)</f>
        <v>0</v>
      </c>
      <c r="BB239" s="4">
        <f>SUMIFS(super1[Qtde],super1[Item],tab_higiene[[#This Row],[Item]],super1[Bairro],mercado18)+SUMIFS(supercb[Qtde],supercb[Item],tab_higiene[[#This Row],[Item]],supercb[Bairro],mercado18)</f>
        <v>0</v>
      </c>
      <c r="BC239" s="31">
        <f>SUMIFS(super1[Qtde],super1[Item],tab_higiene[[#This Row],[Item]],super1[Bairro],extras)+SUMIFS(supercb[Qtde],supercb[Item],tab_higiene[[#This Row],[Item]],supercb[Bairro],extras)</f>
        <v>0</v>
      </c>
      <c r="BD239" s="9">
        <f t="shared" si="85"/>
        <v>0</v>
      </c>
      <c r="BE239" s="9">
        <f t="shared" si="86"/>
        <v>0</v>
      </c>
      <c r="BF239" s="18">
        <f t="shared" si="87"/>
        <v>0</v>
      </c>
    </row>
    <row r="240" spans="9:58" ht="15.75" thickBot="1" x14ac:dyDescent="0.3">
      <c r="I240" s="19" t="str">
        <f>alimentos[[#This Row],[Item]]</f>
        <v>Figo em Calda (850g)</v>
      </c>
      <c r="J240" s="4">
        <f>IFERROR(alimentos[[#This Row],[kg/embalagem]],0)</f>
        <v>0.85</v>
      </c>
      <c r="K240" s="4">
        <f>IFERROR(alimentos[[#This Row],[Preço]],0)</f>
        <v>7.95</v>
      </c>
      <c r="L240" s="4">
        <f>SUMIFS(super1[Qtde],super1[Item],tab_alimentos[[#This Row],[Item]],super1[Bairro],mercado1)+SUMIFS(supercb[Qtde],supercb[Item],tab_alimentos[[#This Row],[Item]],supercb[Bairro],mercado1)</f>
        <v>0</v>
      </c>
      <c r="M240" s="4">
        <f>SUMIFS(super1[Qtde],super1[Item],tab_alimentos[[#This Row],[Item]],super1[Bairro],mercado2)+SUMIFS(supercb[Qtde],supercb[Item],tab_alimentos[[#This Row],[Item]],supercb[Bairro],mercado2)</f>
        <v>0</v>
      </c>
      <c r="N240" s="4">
        <f>SUMIFS(super1[Qtde],super1[Item],tab_alimentos[[#This Row],[Item]],super1[Bairro],mercado3)+SUMIFS(supercb[Qtde],supercb[Item],tab_alimentos[[#This Row],[Item]],supercb[Bairro],mercado3)</f>
        <v>0</v>
      </c>
      <c r="O240" s="4">
        <f>SUMIFS(super1[Qtde],super1[Item],tab_alimentos[[#This Row],[Item]],super1[Bairro],mercado4)+SUMIFS(supercb[Qtde],supercb[Item],tab_alimentos[[#This Row],[Item]],supercb[Bairro],mercado4)</f>
        <v>0</v>
      </c>
      <c r="P240" s="4">
        <f>SUMIFS(super1[Qtde],super1[Item],tab_alimentos[[#This Row],[Item]],super1[Bairro],mercado5)+SUMIFS(supercb[Qtde],supercb[Item],tab_alimentos[[#This Row],[Item]],supercb[Bairro],mercado5)</f>
        <v>0</v>
      </c>
      <c r="Q240" s="4">
        <f>SUMIFS(super1[Qtde],super1[Item],tab_alimentos[[#This Row],[Item]],super1[Bairro],mercado6)+SUMIFS(supercb[Qtde],supercb[Item],tab_alimentos[[#This Row],[Item]],supercb[Bairro],mercado6)</f>
        <v>0</v>
      </c>
      <c r="R240" s="4">
        <f>SUMIFS(super1[Qtde],super1[Item],tab_alimentos[[#This Row],[Item]],super1[Bairro],mercado7)+SUMIFS(supercb[Qtde],supercb[Item],tab_alimentos[[#This Row],[Item]],supercb[Bairro],mercado7)</f>
        <v>0</v>
      </c>
      <c r="S240" s="4">
        <f>SUMIFS(super1[Qtde],super1[Item],tab_alimentos[[#This Row],[Item]],super1[Bairro],mercado8)+SUMIFS(supercb[Qtde],supercb[Item],tab_alimentos[[#This Row],[Item]],supercb[Bairro],mercado8)</f>
        <v>0</v>
      </c>
      <c r="T240" s="4">
        <f>SUMIFS(super1[Qtde],super1[Item],tab_alimentos[[#This Row],[Item]],super1[Bairro],mercado9)+SUMIFS(supercb[Qtde],supercb[Item],tab_alimentos[[#This Row],[Item]],supercb[Bairro],mercado9)</f>
        <v>0</v>
      </c>
      <c r="U240" s="4">
        <f>SUMIFS(super1[Qtde],super1[Item],tab_alimentos[[#This Row],[Item]],super1[Bairro],mercado10)+SUMIFS(supercb[Qtde],supercb[Item],tab_alimentos[[#This Row],[Item]],supercb[Bairro],mercado10)</f>
        <v>0</v>
      </c>
      <c r="V240" s="4">
        <f>SUMIFS(super1[Qtde],super1[Item],tab_alimentos[[#This Row],[Item]],super1[Bairro],mercado11)+SUMIFS(supercb[Qtde],supercb[Item],tab_alimentos[[#This Row],[Item]],supercb[Bairro],mercado11)</f>
        <v>0</v>
      </c>
      <c r="W240" s="4">
        <f>SUMIFS(super1[Qtde],super1[Item],tab_alimentos[[#This Row],[Item]],super1[Bairro],mercado12)+SUMIFS(supercb[Qtde],supercb[Item],tab_alimentos[[#This Row],[Item]],supercb[Bairro],mercado12)</f>
        <v>0</v>
      </c>
      <c r="X240" s="4">
        <f>SUMIFS(super1[Qtde],super1[Item],tab_alimentos[[#This Row],[Item]],super1[Bairro],mercado13)+SUMIFS(supercb[Qtde],supercb[Item],tab_alimentos[[#This Row],[Item]],supercb[Bairro],mercado13)</f>
        <v>0</v>
      </c>
      <c r="Y240" s="4">
        <f>SUMIFS(super1[Qtde],super1[Item],tab_alimentos[[#This Row],[Item]],super1[Bairro],mercado14)+SUMIFS(supercb[Qtde],supercb[Item],tab_alimentos[[#This Row],[Item]],supercb[Bairro],mercado14)</f>
        <v>0</v>
      </c>
      <c r="Z240" s="4">
        <f>SUMIFS(super1[Qtde],super1[Item],tab_alimentos[[#This Row],[Item]],super1[Bairro],mercado15)+SUMIFS(supercb[Qtde],supercb[Item],tab_alimentos[[#This Row],[Item]],supercb[Bairro],mercado15)</f>
        <v>0</v>
      </c>
      <c r="AA240" s="4">
        <f>SUMIFS(super1[Qtde],super1[Item],tab_alimentos[[#This Row],[Item]],super1[Bairro],mercado16)+SUMIFS(supercb[Qtde],supercb[Item],tab_alimentos[[#This Row],[Item]],supercb[Bairro],mercado16)</f>
        <v>0</v>
      </c>
      <c r="AB240" s="4">
        <f>SUMIFS(super1[Qtde],super1[Item],tab_alimentos[[#This Row],[Item]],super1[Bairro],mercado17)+SUMIFS(supercb[Qtde],supercb[Item],tab_alimentos[[#This Row],[Item]],supercb[Bairro],mercado17)</f>
        <v>0</v>
      </c>
      <c r="AC240" s="4">
        <f>SUMIFS(super1[Qtde],super1[Item],tab_alimentos[[#This Row],[Item]],super1[Bairro],mercado18)+SUMIFS(supercb[Qtde],supercb[Item],tab_alimentos[[#This Row],[Item]],supercb[Bairro],mercado18)</f>
        <v>0</v>
      </c>
      <c r="AD240" s="4">
        <f>SUMIFS(super1[Qtde],super1[Item],tab_alimentos[[#This Row],[Item]],super1[Bairro],extras)+SUMIFS(supercb[Qtde],supercb[Item],tab_alimentos[[#This Row],[Item]],supercb[Bairro],extras)</f>
        <v>0</v>
      </c>
      <c r="AE240" s="4">
        <f t="shared" si="82"/>
        <v>0</v>
      </c>
      <c r="AF240" s="4">
        <f t="shared" si="83"/>
        <v>0</v>
      </c>
      <c r="AG240" s="6">
        <f t="shared" si="84"/>
        <v>0</v>
      </c>
      <c r="AH240" s="13" t="str">
        <f>higiene[[#This Row],[Item]]</f>
        <v>Sabonete Líquido (250mL)</v>
      </c>
      <c r="AI240" s="9">
        <f>IFERROR(higiene[[#This Row],[Kg equivalente]],0)</f>
        <v>0</v>
      </c>
      <c r="AJ240" s="9">
        <f>IFERROR(higiene[[#This Row],[Preço por produto]],0)</f>
        <v>8.59</v>
      </c>
      <c r="AK240" s="4">
        <f>SUMIFS(super1[Qtde],super1[Item],tab_higiene[[#This Row],[Item]],super1[Bairro],mercado1)+SUMIFS(supercb[Qtde],supercb[Item],tab_higiene[[#This Row],[Item]],supercb[Bairro],mercado1)</f>
        <v>0</v>
      </c>
      <c r="AL240" s="4">
        <f>SUMIFS(super1[Qtde],super1[Item],tab_higiene[[#This Row],[Item]],super1[Bairro],mercado2)+SUMIFS(supercb[Qtde],supercb[Item],tab_higiene[[#This Row],[Item]],supercb[Bairro],mercado2)</f>
        <v>0</v>
      </c>
      <c r="AM240" s="4">
        <f>SUMIFS(super1[Qtde],super1[Item],tab_higiene[[#This Row],[Item]],super1[Bairro],mercado3)+SUMIFS(supercb[Qtde],supercb[Item],tab_higiene[[#This Row],[Item]],supercb[Bairro],mercado3)</f>
        <v>0</v>
      </c>
      <c r="AN240" s="4">
        <f>SUMIFS(super1[Qtde],super1[Item],tab_higiene[[#This Row],[Item]],super1[Bairro],mercado4)+SUMIFS(supercb[Qtde],supercb[Item],tab_higiene[[#This Row],[Item]],supercb[Bairro],mercado4)</f>
        <v>0</v>
      </c>
      <c r="AO240" s="4">
        <f>SUMIFS(super1[Qtde],super1[Item],tab_higiene[[#This Row],[Item]],super1[Bairro],mercado5)+SUMIFS(supercb[Qtde],supercb[Item],tab_higiene[[#This Row],[Item]],supercb[Bairro],mercado5)</f>
        <v>0</v>
      </c>
      <c r="AP240" s="4">
        <f>SUMIFS(super1[Qtde],super1[Item],tab_higiene[[#This Row],[Item]],super1[Bairro],mercado6)+SUMIFS(supercb[Qtde],supercb[Item],tab_higiene[[#This Row],[Item]],supercb[Bairro],mercado6)</f>
        <v>0</v>
      </c>
      <c r="AQ240" s="4">
        <f>SUMIFS(super1[Qtde],super1[Item],tab_higiene[[#This Row],[Item]],super1[Bairro],mercado7)+SUMIFS(supercb[Qtde],supercb[Item],tab_higiene[[#This Row],[Item]],supercb[Bairro],mercado7)</f>
        <v>0</v>
      </c>
      <c r="AR240" s="4">
        <f>SUMIFS(super1[Qtde],super1[Item],tab_higiene[[#This Row],[Item]],super1[Bairro],mercado8)+SUMIFS(supercb[Qtde],supercb[Item],tab_higiene[[#This Row],[Item]],supercb[Bairro],mercado8)</f>
        <v>0</v>
      </c>
      <c r="AS240" s="4">
        <f>SUMIFS(super1[Qtde],super1[Item],tab_higiene[[#This Row],[Item]],super1[Bairro],mercado9)+SUMIFS(supercb[Qtde],supercb[Item],tab_higiene[[#This Row],[Item]],supercb[Bairro],mercado9)</f>
        <v>0</v>
      </c>
      <c r="AT240" s="4">
        <f>SUMIFS(super1[Qtde],super1[Item],tab_higiene[[#This Row],[Item]],super1[Bairro],mercado10)+SUMIFS(supercb[Qtde],supercb[Item],tab_higiene[[#This Row],[Item]],supercb[Bairro],mercado10)</f>
        <v>0</v>
      </c>
      <c r="AU240" s="4">
        <f>SUMIFS(super1[Qtde],super1[Item],tab_higiene[[#This Row],[Item]],super1[Bairro],mercado11)+SUMIFS(supercb[Qtde],supercb[Item],tab_higiene[[#This Row],[Item]],supercb[Bairro],mercado11)</f>
        <v>0</v>
      </c>
      <c r="AV240" s="4">
        <f>SUMIFS(super1[Qtde],super1[Item],tab_higiene[[#This Row],[Item]],super1[Bairro],mercado12)+SUMIFS(supercb[Qtde],supercb[Item],tab_higiene[[#This Row],[Item]],supercb[Bairro],mercado12)</f>
        <v>0</v>
      </c>
      <c r="AW240" s="4">
        <f>SUMIFS(super1[Qtde],super1[Item],tab_higiene[[#This Row],[Item]],super1[Bairro],mercado13)+SUMIFS(supercb[Qtde],supercb[Item],tab_higiene[[#This Row],[Item]],supercb[Bairro],mercado13)</f>
        <v>0</v>
      </c>
      <c r="AX240" s="4">
        <f>SUMIFS(super1[Qtde],super1[Item],tab_higiene[[#This Row],[Item]],super1[Bairro],mercado14)+SUMIFS(supercb[Qtde],supercb[Item],tab_higiene[[#This Row],[Item]],supercb[Bairro],mercado14)</f>
        <v>0</v>
      </c>
      <c r="AY240" s="4">
        <f>SUMIFS(super1[Qtde],super1[Item],tab_higiene[[#This Row],[Item]],super1[Bairro],mercado15)+SUMIFS(supercb[Qtde],supercb[Item],tab_higiene[[#This Row],[Item]],supercb[Bairro],mercado15)</f>
        <v>0</v>
      </c>
      <c r="AZ240" s="4">
        <f>SUMIFS(super1[Qtde],super1[Item],tab_higiene[[#This Row],[Item]],super1[Bairro],mercado16)+SUMIFS(supercb[Qtde],supercb[Item],tab_higiene[[#This Row],[Item]],supercb[Bairro],mercado16)</f>
        <v>0</v>
      </c>
      <c r="BA240" s="4">
        <f>SUMIFS(super1[Qtde],super1[Item],tab_higiene[[#This Row],[Item]],super1[Bairro],mercado17)+SUMIFS(supercb[Qtde],supercb[Item],tab_higiene[[#This Row],[Item]],supercb[Bairro],mercado17)</f>
        <v>0</v>
      </c>
      <c r="BB240" s="4">
        <f>SUMIFS(super1[Qtde],super1[Item],tab_higiene[[#This Row],[Item]],super1[Bairro],mercado18)+SUMIFS(supercb[Qtde],supercb[Item],tab_higiene[[#This Row],[Item]],supercb[Bairro],mercado18)</f>
        <v>0</v>
      </c>
      <c r="BC240" s="31">
        <f>SUMIFS(super1[Qtde],super1[Item],tab_higiene[[#This Row],[Item]],super1[Bairro],extras)+SUMIFS(supercb[Qtde],supercb[Item],tab_higiene[[#This Row],[Item]],supercb[Bairro],extras)</f>
        <v>0</v>
      </c>
      <c r="BD240" s="9">
        <f t="shared" si="85"/>
        <v>0</v>
      </c>
      <c r="BE240" s="9">
        <f t="shared" si="86"/>
        <v>0</v>
      </c>
      <c r="BF240" s="18">
        <f t="shared" si="87"/>
        <v>0</v>
      </c>
    </row>
    <row r="241" spans="9:58" ht="15.75" thickBot="1" x14ac:dyDescent="0.3">
      <c r="I241" s="19" t="str">
        <f>alimentos[[#This Row],[Item]]</f>
        <v>Filtro de Café (30un)</v>
      </c>
      <c r="J241" s="4">
        <f>IFERROR(alimentos[[#This Row],[kg/embalagem]],0)</f>
        <v>0.01</v>
      </c>
      <c r="K241" s="4">
        <f>IFERROR(alimentos[[#This Row],[Preço]],0)</f>
        <v>4.5</v>
      </c>
      <c r="L241" s="4">
        <f>SUMIFS(super1[Qtde],super1[Item],tab_alimentos[[#This Row],[Item]],super1[Bairro],mercado1)+SUMIFS(supercb[Qtde],supercb[Item],tab_alimentos[[#This Row],[Item]],supercb[Bairro],mercado1)</f>
        <v>0</v>
      </c>
      <c r="M241" s="4">
        <f>SUMIFS(super1[Qtde],super1[Item],tab_alimentos[[#This Row],[Item]],super1[Bairro],mercado2)+SUMIFS(supercb[Qtde],supercb[Item],tab_alimentos[[#This Row],[Item]],supercb[Bairro],mercado2)</f>
        <v>0</v>
      </c>
      <c r="N241" s="4">
        <f>SUMIFS(super1[Qtde],super1[Item],tab_alimentos[[#This Row],[Item]],super1[Bairro],mercado3)+SUMIFS(supercb[Qtde],supercb[Item],tab_alimentos[[#This Row],[Item]],supercb[Bairro],mercado3)</f>
        <v>0</v>
      </c>
      <c r="O241" s="4">
        <f>SUMIFS(super1[Qtde],super1[Item],tab_alimentos[[#This Row],[Item]],super1[Bairro],mercado4)+SUMIFS(supercb[Qtde],supercb[Item],tab_alimentos[[#This Row],[Item]],supercb[Bairro],mercado4)</f>
        <v>0</v>
      </c>
      <c r="P241" s="4">
        <f>SUMIFS(super1[Qtde],super1[Item],tab_alimentos[[#This Row],[Item]],super1[Bairro],mercado5)+SUMIFS(supercb[Qtde],supercb[Item],tab_alimentos[[#This Row],[Item]],supercb[Bairro],mercado5)</f>
        <v>0</v>
      </c>
      <c r="Q241" s="4">
        <f>SUMIFS(super1[Qtde],super1[Item],tab_alimentos[[#This Row],[Item]],super1[Bairro],mercado6)+SUMIFS(supercb[Qtde],supercb[Item],tab_alimentos[[#This Row],[Item]],supercb[Bairro],mercado6)</f>
        <v>0</v>
      </c>
      <c r="R241" s="4">
        <f>SUMIFS(super1[Qtde],super1[Item],tab_alimentos[[#This Row],[Item]],super1[Bairro],mercado7)+SUMIFS(supercb[Qtde],supercb[Item],tab_alimentos[[#This Row],[Item]],supercb[Bairro],mercado7)</f>
        <v>0</v>
      </c>
      <c r="S241" s="4">
        <f>SUMIFS(super1[Qtde],super1[Item],tab_alimentos[[#This Row],[Item]],super1[Bairro],mercado8)+SUMIFS(supercb[Qtde],supercb[Item],tab_alimentos[[#This Row],[Item]],supercb[Bairro],mercado8)</f>
        <v>0</v>
      </c>
      <c r="T241" s="4">
        <f>SUMIFS(super1[Qtde],super1[Item],tab_alimentos[[#This Row],[Item]],super1[Bairro],mercado9)+SUMIFS(supercb[Qtde],supercb[Item],tab_alimentos[[#This Row],[Item]],supercb[Bairro],mercado9)</f>
        <v>0</v>
      </c>
      <c r="U241" s="4">
        <f>SUMIFS(super1[Qtde],super1[Item],tab_alimentos[[#This Row],[Item]],super1[Bairro],mercado10)+SUMIFS(supercb[Qtde],supercb[Item],tab_alimentos[[#This Row],[Item]],supercb[Bairro],mercado10)</f>
        <v>0</v>
      </c>
      <c r="V241" s="4">
        <f>SUMIFS(super1[Qtde],super1[Item],tab_alimentos[[#This Row],[Item]],super1[Bairro],mercado11)+SUMIFS(supercb[Qtde],supercb[Item],tab_alimentos[[#This Row],[Item]],supercb[Bairro],mercado11)</f>
        <v>0</v>
      </c>
      <c r="W241" s="4">
        <f>SUMIFS(super1[Qtde],super1[Item],tab_alimentos[[#This Row],[Item]],super1[Bairro],mercado12)+SUMIFS(supercb[Qtde],supercb[Item],tab_alimentos[[#This Row],[Item]],supercb[Bairro],mercado12)</f>
        <v>0</v>
      </c>
      <c r="X241" s="4">
        <f>SUMIFS(super1[Qtde],super1[Item],tab_alimentos[[#This Row],[Item]],super1[Bairro],mercado13)+SUMIFS(supercb[Qtde],supercb[Item],tab_alimentos[[#This Row],[Item]],supercb[Bairro],mercado13)</f>
        <v>0</v>
      </c>
      <c r="Y241" s="4">
        <f>SUMIFS(super1[Qtde],super1[Item],tab_alimentos[[#This Row],[Item]],super1[Bairro],mercado14)+SUMIFS(supercb[Qtde],supercb[Item],tab_alimentos[[#This Row],[Item]],supercb[Bairro],mercado14)</f>
        <v>0</v>
      </c>
      <c r="Z241" s="4">
        <f>SUMIFS(super1[Qtde],super1[Item],tab_alimentos[[#This Row],[Item]],super1[Bairro],mercado15)+SUMIFS(supercb[Qtde],supercb[Item],tab_alimentos[[#This Row],[Item]],supercb[Bairro],mercado15)</f>
        <v>0</v>
      </c>
      <c r="AA241" s="4">
        <f>SUMIFS(super1[Qtde],super1[Item],tab_alimentos[[#This Row],[Item]],super1[Bairro],mercado16)+SUMIFS(supercb[Qtde],supercb[Item],tab_alimentos[[#This Row],[Item]],supercb[Bairro],mercado16)</f>
        <v>0</v>
      </c>
      <c r="AB241" s="4">
        <f>SUMIFS(super1[Qtde],super1[Item],tab_alimentos[[#This Row],[Item]],super1[Bairro],mercado17)+SUMIFS(supercb[Qtde],supercb[Item],tab_alimentos[[#This Row],[Item]],supercb[Bairro],mercado17)</f>
        <v>0</v>
      </c>
      <c r="AC241" s="4">
        <f>SUMIFS(super1[Qtde],super1[Item],tab_alimentos[[#This Row],[Item]],super1[Bairro],mercado18)+SUMIFS(supercb[Qtde],supercb[Item],tab_alimentos[[#This Row],[Item]],supercb[Bairro],mercado18)</f>
        <v>0</v>
      </c>
      <c r="AD241" s="4">
        <f>SUMIFS(super1[Qtde],super1[Item],tab_alimentos[[#This Row],[Item]],super1[Bairro],extras)+SUMIFS(supercb[Qtde],supercb[Item],tab_alimentos[[#This Row],[Item]],supercb[Bairro],extras)</f>
        <v>0</v>
      </c>
      <c r="AE241" s="4">
        <f t="shared" si="82"/>
        <v>0</v>
      </c>
      <c r="AF241" s="4">
        <f t="shared" si="83"/>
        <v>0</v>
      </c>
      <c r="AG241" s="6">
        <f t="shared" si="84"/>
        <v>0</v>
      </c>
      <c r="AH241" s="13" t="str">
        <f>higiene[[#This Row],[Item]]</f>
        <v>Sabonete Líquido (500mL)</v>
      </c>
      <c r="AI241" s="9">
        <f>IFERROR(higiene[[#This Row],[Kg equivalente]],0)</f>
        <v>0</v>
      </c>
      <c r="AJ241" s="9">
        <f>IFERROR(higiene[[#This Row],[Preço por produto]],0)</f>
        <v>11.99</v>
      </c>
      <c r="AK241" s="4">
        <f>SUMIFS(super1[Qtde],super1[Item],tab_higiene[[#This Row],[Item]],super1[Bairro],mercado1)+SUMIFS(supercb[Qtde],supercb[Item],tab_higiene[[#This Row],[Item]],supercb[Bairro],mercado1)</f>
        <v>0</v>
      </c>
      <c r="AL241" s="4">
        <f>SUMIFS(super1[Qtde],super1[Item],tab_higiene[[#This Row],[Item]],super1[Bairro],mercado2)+SUMIFS(supercb[Qtde],supercb[Item],tab_higiene[[#This Row],[Item]],supercb[Bairro],mercado2)</f>
        <v>0</v>
      </c>
      <c r="AM241" s="4">
        <f>SUMIFS(super1[Qtde],super1[Item],tab_higiene[[#This Row],[Item]],super1[Bairro],mercado3)+SUMIFS(supercb[Qtde],supercb[Item],tab_higiene[[#This Row],[Item]],supercb[Bairro],mercado3)</f>
        <v>0</v>
      </c>
      <c r="AN241" s="4">
        <f>SUMIFS(super1[Qtde],super1[Item],tab_higiene[[#This Row],[Item]],super1[Bairro],mercado4)+SUMIFS(supercb[Qtde],supercb[Item],tab_higiene[[#This Row],[Item]],supercb[Bairro],mercado4)</f>
        <v>0</v>
      </c>
      <c r="AO241" s="4">
        <f>SUMIFS(super1[Qtde],super1[Item],tab_higiene[[#This Row],[Item]],super1[Bairro],mercado5)+SUMIFS(supercb[Qtde],supercb[Item],tab_higiene[[#This Row],[Item]],supercb[Bairro],mercado5)</f>
        <v>0</v>
      </c>
      <c r="AP241" s="4">
        <f>SUMIFS(super1[Qtde],super1[Item],tab_higiene[[#This Row],[Item]],super1[Bairro],mercado6)+SUMIFS(supercb[Qtde],supercb[Item],tab_higiene[[#This Row],[Item]],supercb[Bairro],mercado6)</f>
        <v>0</v>
      </c>
      <c r="AQ241" s="4">
        <f>SUMIFS(super1[Qtde],super1[Item],tab_higiene[[#This Row],[Item]],super1[Bairro],mercado7)+SUMIFS(supercb[Qtde],supercb[Item],tab_higiene[[#This Row],[Item]],supercb[Bairro],mercado7)</f>
        <v>0</v>
      </c>
      <c r="AR241" s="4">
        <f>SUMIFS(super1[Qtde],super1[Item],tab_higiene[[#This Row],[Item]],super1[Bairro],mercado8)+SUMIFS(supercb[Qtde],supercb[Item],tab_higiene[[#This Row],[Item]],supercb[Bairro],mercado8)</f>
        <v>0</v>
      </c>
      <c r="AS241" s="4">
        <f>SUMIFS(super1[Qtde],super1[Item],tab_higiene[[#This Row],[Item]],super1[Bairro],mercado9)+SUMIFS(supercb[Qtde],supercb[Item],tab_higiene[[#This Row],[Item]],supercb[Bairro],mercado9)</f>
        <v>0</v>
      </c>
      <c r="AT241" s="4">
        <f>SUMIFS(super1[Qtde],super1[Item],tab_higiene[[#This Row],[Item]],super1[Bairro],mercado10)+SUMIFS(supercb[Qtde],supercb[Item],tab_higiene[[#This Row],[Item]],supercb[Bairro],mercado10)</f>
        <v>0</v>
      </c>
      <c r="AU241" s="4">
        <f>SUMIFS(super1[Qtde],super1[Item],tab_higiene[[#This Row],[Item]],super1[Bairro],mercado11)+SUMIFS(supercb[Qtde],supercb[Item],tab_higiene[[#This Row],[Item]],supercb[Bairro],mercado11)</f>
        <v>0</v>
      </c>
      <c r="AV241" s="4">
        <f>SUMIFS(super1[Qtde],super1[Item],tab_higiene[[#This Row],[Item]],super1[Bairro],mercado12)+SUMIFS(supercb[Qtde],supercb[Item],tab_higiene[[#This Row],[Item]],supercb[Bairro],mercado12)</f>
        <v>0</v>
      </c>
      <c r="AW241" s="4">
        <f>SUMIFS(super1[Qtde],super1[Item],tab_higiene[[#This Row],[Item]],super1[Bairro],mercado13)+SUMIFS(supercb[Qtde],supercb[Item],tab_higiene[[#This Row],[Item]],supercb[Bairro],mercado13)</f>
        <v>0</v>
      </c>
      <c r="AX241" s="4">
        <f>SUMIFS(super1[Qtde],super1[Item],tab_higiene[[#This Row],[Item]],super1[Bairro],mercado14)+SUMIFS(supercb[Qtde],supercb[Item],tab_higiene[[#This Row],[Item]],supercb[Bairro],mercado14)</f>
        <v>0</v>
      </c>
      <c r="AY241" s="4">
        <f>SUMIFS(super1[Qtde],super1[Item],tab_higiene[[#This Row],[Item]],super1[Bairro],mercado15)+SUMIFS(supercb[Qtde],supercb[Item],tab_higiene[[#This Row],[Item]],supercb[Bairro],mercado15)</f>
        <v>0</v>
      </c>
      <c r="AZ241" s="4">
        <f>SUMIFS(super1[Qtde],super1[Item],tab_higiene[[#This Row],[Item]],super1[Bairro],mercado16)+SUMIFS(supercb[Qtde],supercb[Item],tab_higiene[[#This Row],[Item]],supercb[Bairro],mercado16)</f>
        <v>0</v>
      </c>
      <c r="BA241" s="4">
        <f>SUMIFS(super1[Qtde],super1[Item],tab_higiene[[#This Row],[Item]],super1[Bairro],mercado17)+SUMIFS(supercb[Qtde],supercb[Item],tab_higiene[[#This Row],[Item]],supercb[Bairro],mercado17)</f>
        <v>0</v>
      </c>
      <c r="BB241" s="4">
        <f>SUMIFS(super1[Qtde],super1[Item],tab_higiene[[#This Row],[Item]],super1[Bairro],mercado18)+SUMIFS(supercb[Qtde],supercb[Item],tab_higiene[[#This Row],[Item]],supercb[Bairro],mercado18)</f>
        <v>0</v>
      </c>
      <c r="BC241" s="31">
        <f>SUMIFS(super1[Qtde],super1[Item],tab_higiene[[#This Row],[Item]],super1[Bairro],extras)+SUMIFS(supercb[Qtde],supercb[Item],tab_higiene[[#This Row],[Item]],supercb[Bairro],extras)</f>
        <v>0</v>
      </c>
      <c r="BD241" s="9">
        <f t="shared" si="85"/>
        <v>0</v>
      </c>
      <c r="BE241" s="9">
        <f t="shared" si="86"/>
        <v>0</v>
      </c>
      <c r="BF241" s="18">
        <f t="shared" si="87"/>
        <v>0</v>
      </c>
    </row>
    <row r="242" spans="9:58" ht="15.75" thickBot="1" x14ac:dyDescent="0.3">
      <c r="I242" s="19" t="str">
        <f>alimentos[[#This Row],[Item]]</f>
        <v>Flocos de Arroz (500g)</v>
      </c>
      <c r="J242" s="4">
        <f>IFERROR(alimentos[[#This Row],[kg/embalagem]],0)</f>
        <v>0.5</v>
      </c>
      <c r="K242" s="4">
        <f>IFERROR(alimentos[[#This Row],[Preço]],0)</f>
        <v>10.59</v>
      </c>
      <c r="L242" s="4">
        <f>SUMIFS(super1[Qtde],super1[Item],tab_alimentos[[#This Row],[Item]],super1[Bairro],mercado1)+SUMIFS(supercb[Qtde],supercb[Item],tab_alimentos[[#This Row],[Item]],supercb[Bairro],mercado1)</f>
        <v>0</v>
      </c>
      <c r="M242" s="4">
        <f>SUMIFS(super1[Qtde],super1[Item],tab_alimentos[[#This Row],[Item]],super1[Bairro],mercado2)+SUMIFS(supercb[Qtde],supercb[Item],tab_alimentos[[#This Row],[Item]],supercb[Bairro],mercado2)</f>
        <v>0</v>
      </c>
      <c r="N242" s="4">
        <f>SUMIFS(super1[Qtde],super1[Item],tab_alimentos[[#This Row],[Item]],super1[Bairro],mercado3)+SUMIFS(supercb[Qtde],supercb[Item],tab_alimentos[[#This Row],[Item]],supercb[Bairro],mercado3)</f>
        <v>0</v>
      </c>
      <c r="O242" s="4">
        <f>SUMIFS(super1[Qtde],super1[Item],tab_alimentos[[#This Row],[Item]],super1[Bairro],mercado4)+SUMIFS(supercb[Qtde],supercb[Item],tab_alimentos[[#This Row],[Item]],supercb[Bairro],mercado4)</f>
        <v>0</v>
      </c>
      <c r="P242" s="4">
        <f>SUMIFS(super1[Qtde],super1[Item],tab_alimentos[[#This Row],[Item]],super1[Bairro],mercado5)+SUMIFS(supercb[Qtde],supercb[Item],tab_alimentos[[#This Row],[Item]],supercb[Bairro],mercado5)</f>
        <v>0</v>
      </c>
      <c r="Q242" s="4">
        <f>SUMIFS(super1[Qtde],super1[Item],tab_alimentos[[#This Row],[Item]],super1[Bairro],mercado6)+SUMIFS(supercb[Qtde],supercb[Item],tab_alimentos[[#This Row],[Item]],supercb[Bairro],mercado6)</f>
        <v>0</v>
      </c>
      <c r="R242" s="4">
        <f>SUMIFS(super1[Qtde],super1[Item],tab_alimentos[[#This Row],[Item]],super1[Bairro],mercado7)+SUMIFS(supercb[Qtde],supercb[Item],tab_alimentos[[#This Row],[Item]],supercb[Bairro],mercado7)</f>
        <v>0</v>
      </c>
      <c r="S242" s="4">
        <f>SUMIFS(super1[Qtde],super1[Item],tab_alimentos[[#This Row],[Item]],super1[Bairro],mercado8)+SUMIFS(supercb[Qtde],supercb[Item],tab_alimentos[[#This Row],[Item]],supercb[Bairro],mercado8)</f>
        <v>0</v>
      </c>
      <c r="T242" s="4">
        <f>SUMIFS(super1[Qtde],super1[Item],tab_alimentos[[#This Row],[Item]],super1[Bairro],mercado9)+SUMIFS(supercb[Qtde],supercb[Item],tab_alimentos[[#This Row],[Item]],supercb[Bairro],mercado9)</f>
        <v>0</v>
      </c>
      <c r="U242" s="4">
        <f>SUMIFS(super1[Qtde],super1[Item],tab_alimentos[[#This Row],[Item]],super1[Bairro],mercado10)+SUMIFS(supercb[Qtde],supercb[Item],tab_alimentos[[#This Row],[Item]],supercb[Bairro],mercado10)</f>
        <v>0</v>
      </c>
      <c r="V242" s="4">
        <f>SUMIFS(super1[Qtde],super1[Item],tab_alimentos[[#This Row],[Item]],super1[Bairro],mercado11)+SUMIFS(supercb[Qtde],supercb[Item],tab_alimentos[[#This Row],[Item]],supercb[Bairro],mercado11)</f>
        <v>0</v>
      </c>
      <c r="W242" s="4">
        <f>SUMIFS(super1[Qtde],super1[Item],tab_alimentos[[#This Row],[Item]],super1[Bairro],mercado12)+SUMIFS(supercb[Qtde],supercb[Item],tab_alimentos[[#This Row],[Item]],supercb[Bairro],mercado12)</f>
        <v>0</v>
      </c>
      <c r="X242" s="4">
        <f>SUMIFS(super1[Qtde],super1[Item],tab_alimentos[[#This Row],[Item]],super1[Bairro],mercado13)+SUMIFS(supercb[Qtde],supercb[Item],tab_alimentos[[#This Row],[Item]],supercb[Bairro],mercado13)</f>
        <v>0</v>
      </c>
      <c r="Y242" s="4">
        <f>SUMIFS(super1[Qtde],super1[Item],tab_alimentos[[#This Row],[Item]],super1[Bairro],mercado14)+SUMIFS(supercb[Qtde],supercb[Item],tab_alimentos[[#This Row],[Item]],supercb[Bairro],mercado14)</f>
        <v>0</v>
      </c>
      <c r="Z242" s="4">
        <f>SUMIFS(super1[Qtde],super1[Item],tab_alimentos[[#This Row],[Item]],super1[Bairro],mercado15)+SUMIFS(supercb[Qtde],supercb[Item],tab_alimentos[[#This Row],[Item]],supercb[Bairro],mercado15)</f>
        <v>0</v>
      </c>
      <c r="AA242" s="4">
        <f>SUMIFS(super1[Qtde],super1[Item],tab_alimentos[[#This Row],[Item]],super1[Bairro],mercado16)+SUMIFS(supercb[Qtde],supercb[Item],tab_alimentos[[#This Row],[Item]],supercb[Bairro],mercado16)</f>
        <v>0</v>
      </c>
      <c r="AB242" s="4">
        <f>SUMIFS(super1[Qtde],super1[Item],tab_alimentos[[#This Row],[Item]],super1[Bairro],mercado17)+SUMIFS(supercb[Qtde],supercb[Item],tab_alimentos[[#This Row],[Item]],supercb[Bairro],mercado17)</f>
        <v>0</v>
      </c>
      <c r="AC242" s="4">
        <f>SUMIFS(super1[Qtde],super1[Item],tab_alimentos[[#This Row],[Item]],super1[Bairro],mercado18)+SUMIFS(supercb[Qtde],supercb[Item],tab_alimentos[[#This Row],[Item]],supercb[Bairro],mercado18)</f>
        <v>0</v>
      </c>
      <c r="AD242" s="4">
        <f>SUMIFS(super1[Qtde],super1[Item],tab_alimentos[[#This Row],[Item]],super1[Bairro],extras)+SUMIFS(supercb[Qtde],supercb[Item],tab_alimentos[[#This Row],[Item]],supercb[Bairro],extras)</f>
        <v>0</v>
      </c>
      <c r="AE242" s="4">
        <f t="shared" si="82"/>
        <v>0</v>
      </c>
      <c r="AF242" s="4">
        <f t="shared" si="83"/>
        <v>0</v>
      </c>
      <c r="AG242" s="6">
        <f t="shared" si="84"/>
        <v>0</v>
      </c>
      <c r="AH242" s="13" t="str">
        <f>higiene[[#This Row],[Item]]</f>
        <v>Saco de Lixo 100L (5un)</v>
      </c>
      <c r="AI242" s="9">
        <f>IFERROR(higiene[[#This Row],[Kg equivalente]],0)</f>
        <v>0</v>
      </c>
      <c r="AJ242" s="9">
        <f>IFERROR(higiene[[#This Row],[Preço por produto]],0)</f>
        <v>9.49</v>
      </c>
      <c r="AK242" s="4">
        <f>SUMIFS(super1[Qtde],super1[Item],tab_higiene[[#This Row],[Item]],super1[Bairro],mercado1)+SUMIFS(supercb[Qtde],supercb[Item],tab_higiene[[#This Row],[Item]],supercb[Bairro],mercado1)</f>
        <v>0</v>
      </c>
      <c r="AL242" s="4">
        <f>SUMIFS(super1[Qtde],super1[Item],tab_higiene[[#This Row],[Item]],super1[Bairro],mercado2)+SUMIFS(supercb[Qtde],supercb[Item],tab_higiene[[#This Row],[Item]],supercb[Bairro],mercado2)</f>
        <v>0</v>
      </c>
      <c r="AM242" s="4">
        <f>SUMIFS(super1[Qtde],super1[Item],tab_higiene[[#This Row],[Item]],super1[Bairro],mercado3)+SUMIFS(supercb[Qtde],supercb[Item],tab_higiene[[#This Row],[Item]],supercb[Bairro],mercado3)</f>
        <v>0</v>
      </c>
      <c r="AN242" s="4">
        <f>SUMIFS(super1[Qtde],super1[Item],tab_higiene[[#This Row],[Item]],super1[Bairro],mercado4)+SUMIFS(supercb[Qtde],supercb[Item],tab_higiene[[#This Row],[Item]],supercb[Bairro],mercado4)</f>
        <v>0</v>
      </c>
      <c r="AO242" s="4">
        <f>SUMIFS(super1[Qtde],super1[Item],tab_higiene[[#This Row],[Item]],super1[Bairro],mercado5)+SUMIFS(supercb[Qtde],supercb[Item],tab_higiene[[#This Row],[Item]],supercb[Bairro],mercado5)</f>
        <v>0</v>
      </c>
      <c r="AP242" s="4">
        <f>SUMIFS(super1[Qtde],super1[Item],tab_higiene[[#This Row],[Item]],super1[Bairro],mercado6)+SUMIFS(supercb[Qtde],supercb[Item],tab_higiene[[#This Row],[Item]],supercb[Bairro],mercado6)</f>
        <v>0</v>
      </c>
      <c r="AQ242" s="4">
        <f>SUMIFS(super1[Qtde],super1[Item],tab_higiene[[#This Row],[Item]],super1[Bairro],mercado7)+SUMIFS(supercb[Qtde],supercb[Item],tab_higiene[[#This Row],[Item]],supercb[Bairro],mercado7)</f>
        <v>0</v>
      </c>
      <c r="AR242" s="4">
        <f>SUMIFS(super1[Qtde],super1[Item],tab_higiene[[#This Row],[Item]],super1[Bairro],mercado8)+SUMIFS(supercb[Qtde],supercb[Item],tab_higiene[[#This Row],[Item]],supercb[Bairro],mercado8)</f>
        <v>0</v>
      </c>
      <c r="AS242" s="4">
        <f>SUMIFS(super1[Qtde],super1[Item],tab_higiene[[#This Row],[Item]],super1[Bairro],mercado9)+SUMIFS(supercb[Qtde],supercb[Item],tab_higiene[[#This Row],[Item]],supercb[Bairro],mercado9)</f>
        <v>0</v>
      </c>
      <c r="AT242" s="4">
        <f>SUMIFS(super1[Qtde],super1[Item],tab_higiene[[#This Row],[Item]],super1[Bairro],mercado10)+SUMIFS(supercb[Qtde],supercb[Item],tab_higiene[[#This Row],[Item]],supercb[Bairro],mercado10)</f>
        <v>0</v>
      </c>
      <c r="AU242" s="4">
        <f>SUMIFS(super1[Qtde],super1[Item],tab_higiene[[#This Row],[Item]],super1[Bairro],mercado11)+SUMIFS(supercb[Qtde],supercb[Item],tab_higiene[[#This Row],[Item]],supercb[Bairro],mercado11)</f>
        <v>0</v>
      </c>
      <c r="AV242" s="4">
        <f>SUMIFS(super1[Qtde],super1[Item],tab_higiene[[#This Row],[Item]],super1[Bairro],mercado12)+SUMIFS(supercb[Qtde],supercb[Item],tab_higiene[[#This Row],[Item]],supercb[Bairro],mercado12)</f>
        <v>0</v>
      </c>
      <c r="AW242" s="4">
        <f>SUMIFS(super1[Qtde],super1[Item],tab_higiene[[#This Row],[Item]],super1[Bairro],mercado13)+SUMIFS(supercb[Qtde],supercb[Item],tab_higiene[[#This Row],[Item]],supercb[Bairro],mercado13)</f>
        <v>0</v>
      </c>
      <c r="AX242" s="4">
        <f>SUMIFS(super1[Qtde],super1[Item],tab_higiene[[#This Row],[Item]],super1[Bairro],mercado14)+SUMIFS(supercb[Qtde],supercb[Item],tab_higiene[[#This Row],[Item]],supercb[Bairro],mercado14)</f>
        <v>0</v>
      </c>
      <c r="AY242" s="4">
        <f>SUMIFS(super1[Qtde],super1[Item],tab_higiene[[#This Row],[Item]],super1[Bairro],mercado15)+SUMIFS(supercb[Qtde],supercb[Item],tab_higiene[[#This Row],[Item]],supercb[Bairro],mercado15)</f>
        <v>0</v>
      </c>
      <c r="AZ242" s="4">
        <f>SUMIFS(super1[Qtde],super1[Item],tab_higiene[[#This Row],[Item]],super1[Bairro],mercado16)+SUMIFS(supercb[Qtde],supercb[Item],tab_higiene[[#This Row],[Item]],supercb[Bairro],mercado16)</f>
        <v>0</v>
      </c>
      <c r="BA242" s="4">
        <f>SUMIFS(super1[Qtde],super1[Item],tab_higiene[[#This Row],[Item]],super1[Bairro],mercado17)+SUMIFS(supercb[Qtde],supercb[Item],tab_higiene[[#This Row],[Item]],supercb[Bairro],mercado17)</f>
        <v>0</v>
      </c>
      <c r="BB242" s="4">
        <f>SUMIFS(super1[Qtde],super1[Item],tab_higiene[[#This Row],[Item]],super1[Bairro],mercado18)+SUMIFS(supercb[Qtde],supercb[Item],tab_higiene[[#This Row],[Item]],supercb[Bairro],mercado18)</f>
        <v>0</v>
      </c>
      <c r="BC242" s="31">
        <f>SUMIFS(super1[Qtde],super1[Item],tab_higiene[[#This Row],[Item]],super1[Bairro],extras)+SUMIFS(supercb[Qtde],supercb[Item],tab_higiene[[#This Row],[Item]],supercb[Bairro],extras)</f>
        <v>0</v>
      </c>
      <c r="BD242" s="9">
        <f t="shared" si="85"/>
        <v>0</v>
      </c>
      <c r="BE242" s="9">
        <f t="shared" si="86"/>
        <v>0</v>
      </c>
      <c r="BF242" s="18">
        <f t="shared" si="87"/>
        <v>0</v>
      </c>
    </row>
    <row r="243" spans="9:58" ht="15.75" thickBot="1" x14ac:dyDescent="0.3">
      <c r="I243" s="19" t="str">
        <f>alimentos[[#This Row],[Item]]</f>
        <v>Flocos de Milho (500g)</v>
      </c>
      <c r="J243" s="4">
        <f>IFERROR(alimentos[[#This Row],[kg/embalagem]],0)</f>
        <v>0.5</v>
      </c>
      <c r="K243" s="4">
        <f>IFERROR(alimentos[[#This Row],[Preço]],0)</f>
        <v>6.78</v>
      </c>
      <c r="L243" s="4">
        <f>SUMIFS(super1[Qtde],super1[Item],tab_alimentos[[#This Row],[Item]],super1[Bairro],mercado1)+SUMIFS(supercb[Qtde],supercb[Item],tab_alimentos[[#This Row],[Item]],supercb[Bairro],mercado1)</f>
        <v>0</v>
      </c>
      <c r="M243" s="4">
        <f>SUMIFS(super1[Qtde],super1[Item],tab_alimentos[[#This Row],[Item]],super1[Bairro],mercado2)+SUMIFS(supercb[Qtde],supercb[Item],tab_alimentos[[#This Row],[Item]],supercb[Bairro],mercado2)</f>
        <v>0</v>
      </c>
      <c r="N243" s="4">
        <f>SUMIFS(super1[Qtde],super1[Item],tab_alimentos[[#This Row],[Item]],super1[Bairro],mercado3)+SUMIFS(supercb[Qtde],supercb[Item],tab_alimentos[[#This Row],[Item]],supercb[Bairro],mercado3)</f>
        <v>0</v>
      </c>
      <c r="O243" s="4">
        <f>SUMIFS(super1[Qtde],super1[Item],tab_alimentos[[#This Row],[Item]],super1[Bairro],mercado4)+SUMIFS(supercb[Qtde],supercb[Item],tab_alimentos[[#This Row],[Item]],supercb[Bairro],mercado4)</f>
        <v>0</v>
      </c>
      <c r="P243" s="4">
        <f>SUMIFS(super1[Qtde],super1[Item],tab_alimentos[[#This Row],[Item]],super1[Bairro],mercado5)+SUMIFS(supercb[Qtde],supercb[Item],tab_alimentos[[#This Row],[Item]],supercb[Bairro],mercado5)</f>
        <v>0</v>
      </c>
      <c r="Q243" s="4">
        <f>SUMIFS(super1[Qtde],super1[Item],tab_alimentos[[#This Row],[Item]],super1[Bairro],mercado6)+SUMIFS(supercb[Qtde],supercb[Item],tab_alimentos[[#This Row],[Item]],supercb[Bairro],mercado6)</f>
        <v>0</v>
      </c>
      <c r="R243" s="4">
        <f>SUMIFS(super1[Qtde],super1[Item],tab_alimentos[[#This Row],[Item]],super1[Bairro],mercado7)+SUMIFS(supercb[Qtde],supercb[Item],tab_alimentos[[#This Row],[Item]],supercb[Bairro],mercado7)</f>
        <v>0</v>
      </c>
      <c r="S243" s="4">
        <f>SUMIFS(super1[Qtde],super1[Item],tab_alimentos[[#This Row],[Item]],super1[Bairro],mercado8)+SUMIFS(supercb[Qtde],supercb[Item],tab_alimentos[[#This Row],[Item]],supercb[Bairro],mercado8)</f>
        <v>0</v>
      </c>
      <c r="T243" s="4">
        <f>SUMIFS(super1[Qtde],super1[Item],tab_alimentos[[#This Row],[Item]],super1[Bairro],mercado9)+SUMIFS(supercb[Qtde],supercb[Item],tab_alimentos[[#This Row],[Item]],supercb[Bairro],mercado9)</f>
        <v>0</v>
      </c>
      <c r="U243" s="4">
        <f>SUMIFS(super1[Qtde],super1[Item],tab_alimentos[[#This Row],[Item]],super1[Bairro],mercado10)+SUMIFS(supercb[Qtde],supercb[Item],tab_alimentos[[#This Row],[Item]],supercb[Bairro],mercado10)</f>
        <v>0</v>
      </c>
      <c r="V243" s="4">
        <f>SUMIFS(super1[Qtde],super1[Item],tab_alimentos[[#This Row],[Item]],super1[Bairro],mercado11)+SUMIFS(supercb[Qtde],supercb[Item],tab_alimentos[[#This Row],[Item]],supercb[Bairro],mercado11)</f>
        <v>0</v>
      </c>
      <c r="W243" s="4">
        <f>SUMIFS(super1[Qtde],super1[Item],tab_alimentos[[#This Row],[Item]],super1[Bairro],mercado12)+SUMIFS(supercb[Qtde],supercb[Item],tab_alimentos[[#This Row],[Item]],supercb[Bairro],mercado12)</f>
        <v>0</v>
      </c>
      <c r="X243" s="4">
        <f>SUMIFS(super1[Qtde],super1[Item],tab_alimentos[[#This Row],[Item]],super1[Bairro],mercado13)+SUMIFS(supercb[Qtde],supercb[Item],tab_alimentos[[#This Row],[Item]],supercb[Bairro],mercado13)</f>
        <v>0</v>
      </c>
      <c r="Y243" s="4">
        <f>SUMIFS(super1[Qtde],super1[Item],tab_alimentos[[#This Row],[Item]],super1[Bairro],mercado14)+SUMIFS(supercb[Qtde],supercb[Item],tab_alimentos[[#This Row],[Item]],supercb[Bairro],mercado14)</f>
        <v>0</v>
      </c>
      <c r="Z243" s="4">
        <f>SUMIFS(super1[Qtde],super1[Item],tab_alimentos[[#This Row],[Item]],super1[Bairro],mercado15)+SUMIFS(supercb[Qtde],supercb[Item],tab_alimentos[[#This Row],[Item]],supercb[Bairro],mercado15)</f>
        <v>0</v>
      </c>
      <c r="AA243" s="4">
        <f>SUMIFS(super1[Qtde],super1[Item],tab_alimentos[[#This Row],[Item]],super1[Bairro],mercado16)+SUMIFS(supercb[Qtde],supercb[Item],tab_alimentos[[#This Row],[Item]],supercb[Bairro],mercado16)</f>
        <v>0</v>
      </c>
      <c r="AB243" s="4">
        <f>SUMIFS(super1[Qtde],super1[Item],tab_alimentos[[#This Row],[Item]],super1[Bairro],mercado17)+SUMIFS(supercb[Qtde],supercb[Item],tab_alimentos[[#This Row],[Item]],supercb[Bairro],mercado17)</f>
        <v>0</v>
      </c>
      <c r="AC243" s="4">
        <f>SUMIFS(super1[Qtde],super1[Item],tab_alimentos[[#This Row],[Item]],super1[Bairro],mercado18)+SUMIFS(supercb[Qtde],supercb[Item],tab_alimentos[[#This Row],[Item]],supercb[Bairro],mercado18)</f>
        <v>0</v>
      </c>
      <c r="AD243" s="4">
        <f>SUMIFS(super1[Qtde],super1[Item],tab_alimentos[[#This Row],[Item]],super1[Bairro],extras)+SUMIFS(supercb[Qtde],supercb[Item],tab_alimentos[[#This Row],[Item]],supercb[Bairro],extras)</f>
        <v>0</v>
      </c>
      <c r="AE243" s="4">
        <f t="shared" si="82"/>
        <v>0</v>
      </c>
      <c r="AF243" s="4">
        <f t="shared" si="83"/>
        <v>0</v>
      </c>
      <c r="AG243" s="6">
        <f t="shared" si="84"/>
        <v>0</v>
      </c>
      <c r="AH243" s="13" t="str">
        <f>higiene[[#This Row],[Item]]</f>
        <v>Saco de Lixo 15L (100un)</v>
      </c>
      <c r="AI243" s="9">
        <f>IFERROR(higiene[[#This Row],[Kg equivalente]],0)</f>
        <v>0</v>
      </c>
      <c r="AJ243" s="9">
        <f>IFERROR(higiene[[#This Row],[Preço por produto]],0)</f>
        <v>15.91</v>
      </c>
      <c r="AK243" s="4">
        <f>SUMIFS(super1[Qtde],super1[Item],tab_higiene[[#This Row],[Item]],super1[Bairro],mercado1)+SUMIFS(supercb[Qtde],supercb[Item],tab_higiene[[#This Row],[Item]],supercb[Bairro],mercado1)</f>
        <v>0</v>
      </c>
      <c r="AL243" s="4">
        <f>SUMIFS(super1[Qtde],super1[Item],tab_higiene[[#This Row],[Item]],super1[Bairro],mercado2)+SUMIFS(supercb[Qtde],supercb[Item],tab_higiene[[#This Row],[Item]],supercb[Bairro],mercado2)</f>
        <v>0</v>
      </c>
      <c r="AM243" s="4">
        <f>SUMIFS(super1[Qtde],super1[Item],tab_higiene[[#This Row],[Item]],super1[Bairro],mercado3)+SUMIFS(supercb[Qtde],supercb[Item],tab_higiene[[#This Row],[Item]],supercb[Bairro],mercado3)</f>
        <v>0</v>
      </c>
      <c r="AN243" s="4">
        <f>SUMIFS(super1[Qtde],super1[Item],tab_higiene[[#This Row],[Item]],super1[Bairro],mercado4)+SUMIFS(supercb[Qtde],supercb[Item],tab_higiene[[#This Row],[Item]],supercb[Bairro],mercado4)</f>
        <v>0</v>
      </c>
      <c r="AO243" s="4">
        <f>SUMIFS(super1[Qtde],super1[Item],tab_higiene[[#This Row],[Item]],super1[Bairro],mercado5)+SUMIFS(supercb[Qtde],supercb[Item],tab_higiene[[#This Row],[Item]],supercb[Bairro],mercado5)</f>
        <v>0</v>
      </c>
      <c r="AP243" s="4">
        <f>SUMIFS(super1[Qtde],super1[Item],tab_higiene[[#This Row],[Item]],super1[Bairro],mercado6)+SUMIFS(supercb[Qtde],supercb[Item],tab_higiene[[#This Row],[Item]],supercb[Bairro],mercado6)</f>
        <v>0</v>
      </c>
      <c r="AQ243" s="4">
        <f>SUMIFS(super1[Qtde],super1[Item],tab_higiene[[#This Row],[Item]],super1[Bairro],mercado7)+SUMIFS(supercb[Qtde],supercb[Item],tab_higiene[[#This Row],[Item]],supercb[Bairro],mercado7)</f>
        <v>0</v>
      </c>
      <c r="AR243" s="4">
        <f>SUMIFS(super1[Qtde],super1[Item],tab_higiene[[#This Row],[Item]],super1[Bairro],mercado8)+SUMIFS(supercb[Qtde],supercb[Item],tab_higiene[[#This Row],[Item]],supercb[Bairro],mercado8)</f>
        <v>0</v>
      </c>
      <c r="AS243" s="4">
        <f>SUMIFS(super1[Qtde],super1[Item],tab_higiene[[#This Row],[Item]],super1[Bairro],mercado9)+SUMIFS(supercb[Qtde],supercb[Item],tab_higiene[[#This Row],[Item]],supercb[Bairro],mercado9)</f>
        <v>0</v>
      </c>
      <c r="AT243" s="4">
        <f>SUMIFS(super1[Qtde],super1[Item],tab_higiene[[#This Row],[Item]],super1[Bairro],mercado10)+SUMIFS(supercb[Qtde],supercb[Item],tab_higiene[[#This Row],[Item]],supercb[Bairro],mercado10)</f>
        <v>0</v>
      </c>
      <c r="AU243" s="4">
        <f>SUMIFS(super1[Qtde],super1[Item],tab_higiene[[#This Row],[Item]],super1[Bairro],mercado11)+SUMIFS(supercb[Qtde],supercb[Item],tab_higiene[[#This Row],[Item]],supercb[Bairro],mercado11)</f>
        <v>0</v>
      </c>
      <c r="AV243" s="4">
        <f>SUMIFS(super1[Qtde],super1[Item],tab_higiene[[#This Row],[Item]],super1[Bairro],mercado12)+SUMIFS(supercb[Qtde],supercb[Item],tab_higiene[[#This Row],[Item]],supercb[Bairro],mercado12)</f>
        <v>0</v>
      </c>
      <c r="AW243" s="4">
        <f>SUMIFS(super1[Qtde],super1[Item],tab_higiene[[#This Row],[Item]],super1[Bairro],mercado13)+SUMIFS(supercb[Qtde],supercb[Item],tab_higiene[[#This Row],[Item]],supercb[Bairro],mercado13)</f>
        <v>0</v>
      </c>
      <c r="AX243" s="4">
        <f>SUMIFS(super1[Qtde],super1[Item],tab_higiene[[#This Row],[Item]],super1[Bairro],mercado14)+SUMIFS(supercb[Qtde],supercb[Item],tab_higiene[[#This Row],[Item]],supercb[Bairro],mercado14)</f>
        <v>0</v>
      </c>
      <c r="AY243" s="4">
        <f>SUMIFS(super1[Qtde],super1[Item],tab_higiene[[#This Row],[Item]],super1[Bairro],mercado15)+SUMIFS(supercb[Qtde],supercb[Item],tab_higiene[[#This Row],[Item]],supercb[Bairro],mercado15)</f>
        <v>0</v>
      </c>
      <c r="AZ243" s="4">
        <f>SUMIFS(super1[Qtde],super1[Item],tab_higiene[[#This Row],[Item]],super1[Bairro],mercado16)+SUMIFS(supercb[Qtde],supercb[Item],tab_higiene[[#This Row],[Item]],supercb[Bairro],mercado16)</f>
        <v>0</v>
      </c>
      <c r="BA243" s="4">
        <f>SUMIFS(super1[Qtde],super1[Item],tab_higiene[[#This Row],[Item]],super1[Bairro],mercado17)+SUMIFS(supercb[Qtde],supercb[Item],tab_higiene[[#This Row],[Item]],supercb[Bairro],mercado17)</f>
        <v>0</v>
      </c>
      <c r="BB243" s="4">
        <f>SUMIFS(super1[Qtde],super1[Item],tab_higiene[[#This Row],[Item]],super1[Bairro],mercado18)+SUMIFS(supercb[Qtde],supercb[Item],tab_higiene[[#This Row],[Item]],supercb[Bairro],mercado18)</f>
        <v>0</v>
      </c>
      <c r="BC243" s="31">
        <f>SUMIFS(super1[Qtde],super1[Item],tab_higiene[[#This Row],[Item]],super1[Bairro],extras)+SUMIFS(supercb[Qtde],supercb[Item],tab_higiene[[#This Row],[Item]],supercb[Bairro],extras)</f>
        <v>0</v>
      </c>
      <c r="BD243" s="9">
        <f t="shared" si="85"/>
        <v>0</v>
      </c>
      <c r="BE243" s="9">
        <f t="shared" si="86"/>
        <v>0</v>
      </c>
      <c r="BF243" s="18">
        <f t="shared" si="87"/>
        <v>0</v>
      </c>
    </row>
    <row r="244" spans="9:58" ht="15.75" thickBot="1" x14ac:dyDescent="0.3">
      <c r="I244" s="19" t="str">
        <f>alimentos[[#This Row],[Item]]</f>
        <v>Fuba (1kg)</v>
      </c>
      <c r="J244" s="4">
        <f>IFERROR(alimentos[[#This Row],[kg/embalagem]],0)</f>
        <v>1</v>
      </c>
      <c r="K244" s="4">
        <f>IFERROR(alimentos[[#This Row],[Preço]],0)</f>
        <v>8.5</v>
      </c>
      <c r="L244" s="4">
        <f>SUMIFS(super1[Qtde],super1[Item],tab_alimentos[[#This Row],[Item]],super1[Bairro],mercado1)+SUMIFS(supercb[Qtde],supercb[Item],tab_alimentos[[#This Row],[Item]],supercb[Bairro],mercado1)</f>
        <v>0</v>
      </c>
      <c r="M244" s="4">
        <f>SUMIFS(super1[Qtde],super1[Item],tab_alimentos[[#This Row],[Item]],super1[Bairro],mercado2)+SUMIFS(supercb[Qtde],supercb[Item],tab_alimentos[[#This Row],[Item]],supercb[Bairro],mercado2)</f>
        <v>0</v>
      </c>
      <c r="N244" s="4">
        <f>SUMIFS(super1[Qtde],super1[Item],tab_alimentos[[#This Row],[Item]],super1[Bairro],mercado3)+SUMIFS(supercb[Qtde],supercb[Item],tab_alimentos[[#This Row],[Item]],supercb[Bairro],mercado3)</f>
        <v>0</v>
      </c>
      <c r="O244" s="4">
        <f>SUMIFS(super1[Qtde],super1[Item],tab_alimentos[[#This Row],[Item]],super1[Bairro],mercado4)+SUMIFS(supercb[Qtde],supercb[Item],tab_alimentos[[#This Row],[Item]],supercb[Bairro],mercado4)</f>
        <v>0</v>
      </c>
      <c r="P244" s="4">
        <f>SUMIFS(super1[Qtde],super1[Item],tab_alimentos[[#This Row],[Item]],super1[Bairro],mercado5)+SUMIFS(supercb[Qtde],supercb[Item],tab_alimentos[[#This Row],[Item]],supercb[Bairro],mercado5)</f>
        <v>0</v>
      </c>
      <c r="Q244" s="4">
        <f>SUMIFS(super1[Qtde],super1[Item],tab_alimentos[[#This Row],[Item]],super1[Bairro],mercado6)+SUMIFS(supercb[Qtde],supercb[Item],tab_alimentos[[#This Row],[Item]],supercb[Bairro],mercado6)</f>
        <v>0</v>
      </c>
      <c r="R244" s="4">
        <f>SUMIFS(super1[Qtde],super1[Item],tab_alimentos[[#This Row],[Item]],super1[Bairro],mercado7)+SUMIFS(supercb[Qtde],supercb[Item],tab_alimentos[[#This Row],[Item]],supercb[Bairro],mercado7)</f>
        <v>0</v>
      </c>
      <c r="S244" s="4">
        <f>SUMIFS(super1[Qtde],super1[Item],tab_alimentos[[#This Row],[Item]],super1[Bairro],mercado8)+SUMIFS(supercb[Qtde],supercb[Item],tab_alimentos[[#This Row],[Item]],supercb[Bairro],mercado8)</f>
        <v>0</v>
      </c>
      <c r="T244" s="4">
        <f>SUMIFS(super1[Qtde],super1[Item],tab_alimentos[[#This Row],[Item]],super1[Bairro],mercado9)+SUMIFS(supercb[Qtde],supercb[Item],tab_alimentos[[#This Row],[Item]],supercb[Bairro],mercado9)</f>
        <v>0</v>
      </c>
      <c r="U244" s="4">
        <f>SUMIFS(super1[Qtde],super1[Item],tab_alimentos[[#This Row],[Item]],super1[Bairro],mercado10)+SUMIFS(supercb[Qtde],supercb[Item],tab_alimentos[[#This Row],[Item]],supercb[Bairro],mercado10)</f>
        <v>0</v>
      </c>
      <c r="V244" s="4">
        <f>SUMIFS(super1[Qtde],super1[Item],tab_alimentos[[#This Row],[Item]],super1[Bairro],mercado11)+SUMIFS(supercb[Qtde],supercb[Item],tab_alimentos[[#This Row],[Item]],supercb[Bairro],mercado11)</f>
        <v>0</v>
      </c>
      <c r="W244" s="4">
        <f>SUMIFS(super1[Qtde],super1[Item],tab_alimentos[[#This Row],[Item]],super1[Bairro],mercado12)+SUMIFS(supercb[Qtde],supercb[Item],tab_alimentos[[#This Row],[Item]],supercb[Bairro],mercado12)</f>
        <v>0</v>
      </c>
      <c r="X244" s="4">
        <f>SUMIFS(super1[Qtde],super1[Item],tab_alimentos[[#This Row],[Item]],super1[Bairro],mercado13)+SUMIFS(supercb[Qtde],supercb[Item],tab_alimentos[[#This Row],[Item]],supercb[Bairro],mercado13)</f>
        <v>0</v>
      </c>
      <c r="Y244" s="4">
        <f>SUMIFS(super1[Qtde],super1[Item],tab_alimentos[[#This Row],[Item]],super1[Bairro],mercado14)+SUMIFS(supercb[Qtde],supercb[Item],tab_alimentos[[#This Row],[Item]],supercb[Bairro],mercado14)</f>
        <v>0</v>
      </c>
      <c r="Z244" s="4">
        <f>SUMIFS(super1[Qtde],super1[Item],tab_alimentos[[#This Row],[Item]],super1[Bairro],mercado15)+SUMIFS(supercb[Qtde],supercb[Item],tab_alimentos[[#This Row],[Item]],supercb[Bairro],mercado15)</f>
        <v>0</v>
      </c>
      <c r="AA244" s="4">
        <f>SUMIFS(super1[Qtde],super1[Item],tab_alimentos[[#This Row],[Item]],super1[Bairro],mercado16)+SUMIFS(supercb[Qtde],supercb[Item],tab_alimentos[[#This Row],[Item]],supercb[Bairro],mercado16)</f>
        <v>0</v>
      </c>
      <c r="AB244" s="4">
        <f>SUMIFS(super1[Qtde],super1[Item],tab_alimentos[[#This Row],[Item]],super1[Bairro],mercado17)+SUMIFS(supercb[Qtde],supercb[Item],tab_alimentos[[#This Row],[Item]],supercb[Bairro],mercado17)</f>
        <v>0</v>
      </c>
      <c r="AC244" s="4">
        <f>SUMIFS(super1[Qtde],super1[Item],tab_alimentos[[#This Row],[Item]],super1[Bairro],mercado18)+SUMIFS(supercb[Qtde],supercb[Item],tab_alimentos[[#This Row],[Item]],supercb[Bairro],mercado18)</f>
        <v>0</v>
      </c>
      <c r="AD244" s="4">
        <f>SUMIFS(super1[Qtde],super1[Item],tab_alimentos[[#This Row],[Item]],super1[Bairro],extras)+SUMIFS(supercb[Qtde],supercb[Item],tab_alimentos[[#This Row],[Item]],supercb[Bairro],extras)</f>
        <v>0</v>
      </c>
      <c r="AE244" s="4">
        <f t="shared" si="82"/>
        <v>0</v>
      </c>
      <c r="AF244" s="4">
        <f t="shared" si="83"/>
        <v>0</v>
      </c>
      <c r="AG244" s="6">
        <f t="shared" si="84"/>
        <v>0</v>
      </c>
      <c r="AH244" s="13" t="str">
        <f>higiene[[#This Row],[Item]]</f>
        <v>Saco de Lixo 15L (20un)</v>
      </c>
      <c r="AI244" s="9">
        <f>IFERROR(higiene[[#This Row],[Kg equivalente]],0)</f>
        <v>0</v>
      </c>
      <c r="AJ244" s="9">
        <f>IFERROR(higiene[[#This Row],[Preço por produto]],0)</f>
        <v>3.99</v>
      </c>
      <c r="AK244" s="4">
        <f>SUMIFS(super1[Qtde],super1[Item],tab_higiene[[#This Row],[Item]],super1[Bairro],mercado1)+SUMIFS(supercb[Qtde],supercb[Item],tab_higiene[[#This Row],[Item]],supercb[Bairro],mercado1)</f>
        <v>0</v>
      </c>
      <c r="AL244" s="4">
        <f>SUMIFS(super1[Qtde],super1[Item],tab_higiene[[#This Row],[Item]],super1[Bairro],mercado2)+SUMIFS(supercb[Qtde],supercb[Item],tab_higiene[[#This Row],[Item]],supercb[Bairro],mercado2)</f>
        <v>0</v>
      </c>
      <c r="AM244" s="4">
        <f>SUMIFS(super1[Qtde],super1[Item],tab_higiene[[#This Row],[Item]],super1[Bairro],mercado3)+SUMIFS(supercb[Qtde],supercb[Item],tab_higiene[[#This Row],[Item]],supercb[Bairro],mercado3)</f>
        <v>0</v>
      </c>
      <c r="AN244" s="4">
        <f>SUMIFS(super1[Qtde],super1[Item],tab_higiene[[#This Row],[Item]],super1[Bairro],mercado4)+SUMIFS(supercb[Qtde],supercb[Item],tab_higiene[[#This Row],[Item]],supercb[Bairro],mercado4)</f>
        <v>0</v>
      </c>
      <c r="AO244" s="4">
        <f>SUMIFS(super1[Qtde],super1[Item],tab_higiene[[#This Row],[Item]],super1[Bairro],mercado5)+SUMIFS(supercb[Qtde],supercb[Item],tab_higiene[[#This Row],[Item]],supercb[Bairro],mercado5)</f>
        <v>0</v>
      </c>
      <c r="AP244" s="4">
        <f>SUMIFS(super1[Qtde],super1[Item],tab_higiene[[#This Row],[Item]],super1[Bairro],mercado6)+SUMIFS(supercb[Qtde],supercb[Item],tab_higiene[[#This Row],[Item]],supercb[Bairro],mercado6)</f>
        <v>0</v>
      </c>
      <c r="AQ244" s="4">
        <f>SUMIFS(super1[Qtde],super1[Item],tab_higiene[[#This Row],[Item]],super1[Bairro],mercado7)+SUMIFS(supercb[Qtde],supercb[Item],tab_higiene[[#This Row],[Item]],supercb[Bairro],mercado7)</f>
        <v>0</v>
      </c>
      <c r="AR244" s="4">
        <f>SUMIFS(super1[Qtde],super1[Item],tab_higiene[[#This Row],[Item]],super1[Bairro],mercado8)+SUMIFS(supercb[Qtde],supercb[Item],tab_higiene[[#This Row],[Item]],supercb[Bairro],mercado8)</f>
        <v>0</v>
      </c>
      <c r="AS244" s="4">
        <f>SUMIFS(super1[Qtde],super1[Item],tab_higiene[[#This Row],[Item]],super1[Bairro],mercado9)+SUMIFS(supercb[Qtde],supercb[Item],tab_higiene[[#This Row],[Item]],supercb[Bairro],mercado9)</f>
        <v>0</v>
      </c>
      <c r="AT244" s="4">
        <f>SUMIFS(super1[Qtde],super1[Item],tab_higiene[[#This Row],[Item]],super1[Bairro],mercado10)+SUMIFS(supercb[Qtde],supercb[Item],tab_higiene[[#This Row],[Item]],supercb[Bairro],mercado10)</f>
        <v>0</v>
      </c>
      <c r="AU244" s="4">
        <f>SUMIFS(super1[Qtde],super1[Item],tab_higiene[[#This Row],[Item]],super1[Bairro],mercado11)+SUMIFS(supercb[Qtde],supercb[Item],tab_higiene[[#This Row],[Item]],supercb[Bairro],mercado11)</f>
        <v>0</v>
      </c>
      <c r="AV244" s="4">
        <f>SUMIFS(super1[Qtde],super1[Item],tab_higiene[[#This Row],[Item]],super1[Bairro],mercado12)+SUMIFS(supercb[Qtde],supercb[Item],tab_higiene[[#This Row],[Item]],supercb[Bairro],mercado12)</f>
        <v>0</v>
      </c>
      <c r="AW244" s="4">
        <f>SUMIFS(super1[Qtde],super1[Item],tab_higiene[[#This Row],[Item]],super1[Bairro],mercado13)+SUMIFS(supercb[Qtde],supercb[Item],tab_higiene[[#This Row],[Item]],supercb[Bairro],mercado13)</f>
        <v>0</v>
      </c>
      <c r="AX244" s="4">
        <f>SUMIFS(super1[Qtde],super1[Item],tab_higiene[[#This Row],[Item]],super1[Bairro],mercado14)+SUMIFS(supercb[Qtde],supercb[Item],tab_higiene[[#This Row],[Item]],supercb[Bairro],mercado14)</f>
        <v>0</v>
      </c>
      <c r="AY244" s="4">
        <f>SUMIFS(super1[Qtde],super1[Item],tab_higiene[[#This Row],[Item]],super1[Bairro],mercado15)+SUMIFS(supercb[Qtde],supercb[Item],tab_higiene[[#This Row],[Item]],supercb[Bairro],mercado15)</f>
        <v>0</v>
      </c>
      <c r="AZ244" s="4">
        <f>SUMIFS(super1[Qtde],super1[Item],tab_higiene[[#This Row],[Item]],super1[Bairro],mercado16)+SUMIFS(supercb[Qtde],supercb[Item],tab_higiene[[#This Row],[Item]],supercb[Bairro],mercado16)</f>
        <v>0</v>
      </c>
      <c r="BA244" s="4">
        <f>SUMIFS(super1[Qtde],super1[Item],tab_higiene[[#This Row],[Item]],super1[Bairro],mercado17)+SUMIFS(supercb[Qtde],supercb[Item],tab_higiene[[#This Row],[Item]],supercb[Bairro],mercado17)</f>
        <v>0</v>
      </c>
      <c r="BB244" s="4">
        <f>SUMIFS(super1[Qtde],super1[Item],tab_higiene[[#This Row],[Item]],super1[Bairro],mercado18)+SUMIFS(supercb[Qtde],supercb[Item],tab_higiene[[#This Row],[Item]],supercb[Bairro],mercado18)</f>
        <v>0</v>
      </c>
      <c r="BC244" s="31">
        <f>SUMIFS(super1[Qtde],super1[Item],tab_higiene[[#This Row],[Item]],super1[Bairro],extras)+SUMIFS(supercb[Qtde],supercb[Item],tab_higiene[[#This Row],[Item]],supercb[Bairro],extras)</f>
        <v>0</v>
      </c>
      <c r="BD244" s="9">
        <f t="shared" si="85"/>
        <v>0</v>
      </c>
      <c r="BE244" s="9">
        <f t="shared" si="86"/>
        <v>0</v>
      </c>
      <c r="BF244" s="18">
        <f t="shared" si="87"/>
        <v>0</v>
      </c>
    </row>
    <row r="245" spans="9:58" ht="15.75" thickBot="1" x14ac:dyDescent="0.3">
      <c r="I245" s="19" t="str">
        <f>alimentos[[#This Row],[Item]]</f>
        <v>Fuba (500g)</v>
      </c>
      <c r="J245" s="4">
        <f>IFERROR(alimentos[[#This Row],[kg/embalagem]],0)</f>
        <v>0.5</v>
      </c>
      <c r="K245" s="4">
        <f>IFERROR(alimentos[[#This Row],[Preço]],0)</f>
        <v>4.1900000000000004</v>
      </c>
      <c r="L245" s="4">
        <f>SUMIFS(super1[Qtde],super1[Item],tab_alimentos[[#This Row],[Item]],super1[Bairro],mercado1)+SUMIFS(supercb[Qtde],supercb[Item],tab_alimentos[[#This Row],[Item]],supercb[Bairro],mercado1)</f>
        <v>0</v>
      </c>
      <c r="M245" s="4">
        <f>SUMIFS(super1[Qtde],super1[Item],tab_alimentos[[#This Row],[Item]],super1[Bairro],mercado2)+SUMIFS(supercb[Qtde],supercb[Item],tab_alimentos[[#This Row],[Item]],supercb[Bairro],mercado2)</f>
        <v>0</v>
      </c>
      <c r="N245" s="4">
        <f>SUMIFS(super1[Qtde],super1[Item],tab_alimentos[[#This Row],[Item]],super1[Bairro],mercado3)+SUMIFS(supercb[Qtde],supercb[Item],tab_alimentos[[#This Row],[Item]],supercb[Bairro],mercado3)</f>
        <v>0</v>
      </c>
      <c r="O245" s="4">
        <f>SUMIFS(super1[Qtde],super1[Item],tab_alimentos[[#This Row],[Item]],super1[Bairro],mercado4)+SUMIFS(supercb[Qtde],supercb[Item],tab_alimentos[[#This Row],[Item]],supercb[Bairro],mercado4)</f>
        <v>0</v>
      </c>
      <c r="P245" s="4">
        <f>SUMIFS(super1[Qtde],super1[Item],tab_alimentos[[#This Row],[Item]],super1[Bairro],mercado5)+SUMIFS(supercb[Qtde],supercb[Item],tab_alimentos[[#This Row],[Item]],supercb[Bairro],mercado5)</f>
        <v>0</v>
      </c>
      <c r="Q245" s="4">
        <f>SUMIFS(super1[Qtde],super1[Item],tab_alimentos[[#This Row],[Item]],super1[Bairro],mercado6)+SUMIFS(supercb[Qtde],supercb[Item],tab_alimentos[[#This Row],[Item]],supercb[Bairro],mercado6)</f>
        <v>0</v>
      </c>
      <c r="R245" s="4">
        <f>SUMIFS(super1[Qtde],super1[Item],tab_alimentos[[#This Row],[Item]],super1[Bairro],mercado7)+SUMIFS(supercb[Qtde],supercb[Item],tab_alimentos[[#This Row],[Item]],supercb[Bairro],mercado7)</f>
        <v>0</v>
      </c>
      <c r="S245" s="4">
        <f>SUMIFS(super1[Qtde],super1[Item],tab_alimentos[[#This Row],[Item]],super1[Bairro],mercado8)+SUMIFS(supercb[Qtde],supercb[Item],tab_alimentos[[#This Row],[Item]],supercb[Bairro],mercado8)</f>
        <v>0</v>
      </c>
      <c r="T245" s="4">
        <f>SUMIFS(super1[Qtde],super1[Item],tab_alimentos[[#This Row],[Item]],super1[Bairro],mercado9)+SUMIFS(supercb[Qtde],supercb[Item],tab_alimentos[[#This Row],[Item]],supercb[Bairro],mercado9)</f>
        <v>0</v>
      </c>
      <c r="U245" s="4">
        <f>SUMIFS(super1[Qtde],super1[Item],tab_alimentos[[#This Row],[Item]],super1[Bairro],mercado10)+SUMIFS(supercb[Qtde],supercb[Item],tab_alimentos[[#This Row],[Item]],supercb[Bairro],mercado10)</f>
        <v>0</v>
      </c>
      <c r="V245" s="4">
        <f>SUMIFS(super1[Qtde],super1[Item],tab_alimentos[[#This Row],[Item]],super1[Bairro],mercado11)+SUMIFS(supercb[Qtde],supercb[Item],tab_alimentos[[#This Row],[Item]],supercb[Bairro],mercado11)</f>
        <v>0</v>
      </c>
      <c r="W245" s="4">
        <f>SUMIFS(super1[Qtde],super1[Item],tab_alimentos[[#This Row],[Item]],super1[Bairro],mercado12)+SUMIFS(supercb[Qtde],supercb[Item],tab_alimentos[[#This Row],[Item]],supercb[Bairro],mercado12)</f>
        <v>0</v>
      </c>
      <c r="X245" s="4">
        <f>SUMIFS(super1[Qtde],super1[Item],tab_alimentos[[#This Row],[Item]],super1[Bairro],mercado13)+SUMIFS(supercb[Qtde],supercb[Item],tab_alimentos[[#This Row],[Item]],supercb[Bairro],mercado13)</f>
        <v>0</v>
      </c>
      <c r="Y245" s="4">
        <f>SUMIFS(super1[Qtde],super1[Item],tab_alimentos[[#This Row],[Item]],super1[Bairro],mercado14)+SUMIFS(supercb[Qtde],supercb[Item],tab_alimentos[[#This Row],[Item]],supercb[Bairro],mercado14)</f>
        <v>0</v>
      </c>
      <c r="Z245" s="4">
        <f>SUMIFS(super1[Qtde],super1[Item],tab_alimentos[[#This Row],[Item]],super1[Bairro],mercado15)+SUMIFS(supercb[Qtde],supercb[Item],tab_alimentos[[#This Row],[Item]],supercb[Bairro],mercado15)</f>
        <v>0</v>
      </c>
      <c r="AA245" s="4">
        <f>SUMIFS(super1[Qtde],super1[Item],tab_alimentos[[#This Row],[Item]],super1[Bairro],mercado16)+SUMIFS(supercb[Qtde],supercb[Item],tab_alimentos[[#This Row],[Item]],supercb[Bairro],mercado16)</f>
        <v>0</v>
      </c>
      <c r="AB245" s="4">
        <f>SUMIFS(super1[Qtde],super1[Item],tab_alimentos[[#This Row],[Item]],super1[Bairro],mercado17)+SUMIFS(supercb[Qtde],supercb[Item],tab_alimentos[[#This Row],[Item]],supercb[Bairro],mercado17)</f>
        <v>0</v>
      </c>
      <c r="AC245" s="4">
        <f>SUMIFS(super1[Qtde],super1[Item],tab_alimentos[[#This Row],[Item]],super1[Bairro],mercado18)+SUMIFS(supercb[Qtde],supercb[Item],tab_alimentos[[#This Row],[Item]],supercb[Bairro],mercado18)</f>
        <v>0</v>
      </c>
      <c r="AD245" s="4">
        <f>SUMIFS(super1[Qtde],super1[Item],tab_alimentos[[#This Row],[Item]],super1[Bairro],extras)+SUMIFS(supercb[Qtde],supercb[Item],tab_alimentos[[#This Row],[Item]],supercb[Bairro],extras)</f>
        <v>0</v>
      </c>
      <c r="AE245" s="4">
        <f t="shared" si="82"/>
        <v>0</v>
      </c>
      <c r="AF245" s="4">
        <f t="shared" si="83"/>
        <v>0</v>
      </c>
      <c r="AG245" s="6">
        <f t="shared" si="84"/>
        <v>0</v>
      </c>
      <c r="AH245" s="13" t="str">
        <f>higiene[[#This Row],[Item]]</f>
        <v>Saco de Lixo 15L (6un)</v>
      </c>
      <c r="AI245" s="9">
        <f>IFERROR(higiene[[#This Row],[Kg equivalente]],0)</f>
        <v>0</v>
      </c>
      <c r="AJ245" s="9">
        <f>IFERROR(higiene[[#This Row],[Preço por produto]],0)</f>
        <v>3.99</v>
      </c>
      <c r="AK245" s="4">
        <f>SUMIFS(super1[Qtde],super1[Item],tab_higiene[[#This Row],[Item]],super1[Bairro],mercado1)+SUMIFS(supercb[Qtde],supercb[Item],tab_higiene[[#This Row],[Item]],supercb[Bairro],mercado1)</f>
        <v>0</v>
      </c>
      <c r="AL245" s="4">
        <f>SUMIFS(super1[Qtde],super1[Item],tab_higiene[[#This Row],[Item]],super1[Bairro],mercado2)+SUMIFS(supercb[Qtde],supercb[Item],tab_higiene[[#This Row],[Item]],supercb[Bairro],mercado2)</f>
        <v>0</v>
      </c>
      <c r="AM245" s="4">
        <f>SUMIFS(super1[Qtde],super1[Item],tab_higiene[[#This Row],[Item]],super1[Bairro],mercado3)+SUMIFS(supercb[Qtde],supercb[Item],tab_higiene[[#This Row],[Item]],supercb[Bairro],mercado3)</f>
        <v>0</v>
      </c>
      <c r="AN245" s="4">
        <f>SUMIFS(super1[Qtde],super1[Item],tab_higiene[[#This Row],[Item]],super1[Bairro],mercado4)+SUMIFS(supercb[Qtde],supercb[Item],tab_higiene[[#This Row],[Item]],supercb[Bairro],mercado4)</f>
        <v>0</v>
      </c>
      <c r="AO245" s="4">
        <f>SUMIFS(super1[Qtde],super1[Item],tab_higiene[[#This Row],[Item]],super1[Bairro],mercado5)+SUMIFS(supercb[Qtde],supercb[Item],tab_higiene[[#This Row],[Item]],supercb[Bairro],mercado5)</f>
        <v>0</v>
      </c>
      <c r="AP245" s="4">
        <f>SUMIFS(super1[Qtde],super1[Item],tab_higiene[[#This Row],[Item]],super1[Bairro],mercado6)+SUMIFS(supercb[Qtde],supercb[Item],tab_higiene[[#This Row],[Item]],supercb[Bairro],mercado6)</f>
        <v>0</v>
      </c>
      <c r="AQ245" s="4">
        <f>SUMIFS(super1[Qtde],super1[Item],tab_higiene[[#This Row],[Item]],super1[Bairro],mercado7)+SUMIFS(supercb[Qtde],supercb[Item],tab_higiene[[#This Row],[Item]],supercb[Bairro],mercado7)</f>
        <v>0</v>
      </c>
      <c r="AR245" s="4">
        <f>SUMIFS(super1[Qtde],super1[Item],tab_higiene[[#This Row],[Item]],super1[Bairro],mercado8)+SUMIFS(supercb[Qtde],supercb[Item],tab_higiene[[#This Row],[Item]],supercb[Bairro],mercado8)</f>
        <v>0</v>
      </c>
      <c r="AS245" s="4">
        <f>SUMIFS(super1[Qtde],super1[Item],tab_higiene[[#This Row],[Item]],super1[Bairro],mercado9)+SUMIFS(supercb[Qtde],supercb[Item],tab_higiene[[#This Row],[Item]],supercb[Bairro],mercado9)</f>
        <v>0</v>
      </c>
      <c r="AT245" s="4">
        <f>SUMIFS(super1[Qtde],super1[Item],tab_higiene[[#This Row],[Item]],super1[Bairro],mercado10)+SUMIFS(supercb[Qtde],supercb[Item],tab_higiene[[#This Row],[Item]],supercb[Bairro],mercado10)</f>
        <v>0</v>
      </c>
      <c r="AU245" s="4">
        <f>SUMIFS(super1[Qtde],super1[Item],tab_higiene[[#This Row],[Item]],super1[Bairro],mercado11)+SUMIFS(supercb[Qtde],supercb[Item],tab_higiene[[#This Row],[Item]],supercb[Bairro],mercado11)</f>
        <v>0</v>
      </c>
      <c r="AV245" s="4">
        <f>SUMIFS(super1[Qtde],super1[Item],tab_higiene[[#This Row],[Item]],super1[Bairro],mercado12)+SUMIFS(supercb[Qtde],supercb[Item],tab_higiene[[#This Row],[Item]],supercb[Bairro],mercado12)</f>
        <v>0</v>
      </c>
      <c r="AW245" s="4">
        <f>SUMIFS(super1[Qtde],super1[Item],tab_higiene[[#This Row],[Item]],super1[Bairro],mercado13)+SUMIFS(supercb[Qtde],supercb[Item],tab_higiene[[#This Row],[Item]],supercb[Bairro],mercado13)</f>
        <v>0</v>
      </c>
      <c r="AX245" s="4">
        <f>SUMIFS(super1[Qtde],super1[Item],tab_higiene[[#This Row],[Item]],super1[Bairro],mercado14)+SUMIFS(supercb[Qtde],supercb[Item],tab_higiene[[#This Row],[Item]],supercb[Bairro],mercado14)</f>
        <v>0</v>
      </c>
      <c r="AY245" s="4">
        <f>SUMIFS(super1[Qtde],super1[Item],tab_higiene[[#This Row],[Item]],super1[Bairro],mercado15)+SUMIFS(supercb[Qtde],supercb[Item],tab_higiene[[#This Row],[Item]],supercb[Bairro],mercado15)</f>
        <v>0</v>
      </c>
      <c r="AZ245" s="4">
        <f>SUMIFS(super1[Qtde],super1[Item],tab_higiene[[#This Row],[Item]],super1[Bairro],mercado16)+SUMIFS(supercb[Qtde],supercb[Item],tab_higiene[[#This Row],[Item]],supercb[Bairro],mercado16)</f>
        <v>0</v>
      </c>
      <c r="BA245" s="4">
        <f>SUMIFS(super1[Qtde],super1[Item],tab_higiene[[#This Row],[Item]],super1[Bairro],mercado17)+SUMIFS(supercb[Qtde],supercb[Item],tab_higiene[[#This Row],[Item]],supercb[Bairro],mercado17)</f>
        <v>0</v>
      </c>
      <c r="BB245" s="4">
        <f>SUMIFS(super1[Qtde],super1[Item],tab_higiene[[#This Row],[Item]],super1[Bairro],mercado18)+SUMIFS(supercb[Qtde],supercb[Item],tab_higiene[[#This Row],[Item]],supercb[Bairro],mercado18)</f>
        <v>0</v>
      </c>
      <c r="BC245" s="31">
        <f>SUMIFS(super1[Qtde],super1[Item],tab_higiene[[#This Row],[Item]],super1[Bairro],extras)+SUMIFS(supercb[Qtde],supercb[Item],tab_higiene[[#This Row],[Item]],supercb[Bairro],extras)</f>
        <v>0</v>
      </c>
      <c r="BD245" s="9">
        <f t="shared" si="85"/>
        <v>0</v>
      </c>
      <c r="BE245" s="9">
        <f t="shared" si="86"/>
        <v>0</v>
      </c>
      <c r="BF245" s="18">
        <f t="shared" si="87"/>
        <v>0</v>
      </c>
    </row>
    <row r="246" spans="9:58" ht="15.75" thickBot="1" x14ac:dyDescent="0.3">
      <c r="I246" s="19" t="str">
        <f>alimentos[[#This Row],[Item]]</f>
        <v>Fuba (5kg)</v>
      </c>
      <c r="J246" s="4">
        <f>IFERROR(alimentos[[#This Row],[kg/embalagem]],0)</f>
        <v>5</v>
      </c>
      <c r="K246" s="4">
        <f>IFERROR(alimentos[[#This Row],[Preço]],0)</f>
        <v>19.489999999999998</v>
      </c>
      <c r="L246" s="4">
        <f>SUMIFS(super1[Qtde],super1[Item],tab_alimentos[[#This Row],[Item]],super1[Bairro],mercado1)+SUMIFS(supercb[Qtde],supercb[Item],tab_alimentos[[#This Row],[Item]],supercb[Bairro],mercado1)</f>
        <v>0</v>
      </c>
      <c r="M246" s="4">
        <f>SUMIFS(super1[Qtde],super1[Item],tab_alimentos[[#This Row],[Item]],super1[Bairro],mercado2)+SUMIFS(supercb[Qtde],supercb[Item],tab_alimentos[[#This Row],[Item]],supercb[Bairro],mercado2)</f>
        <v>0</v>
      </c>
      <c r="N246" s="4">
        <f>SUMIFS(super1[Qtde],super1[Item],tab_alimentos[[#This Row],[Item]],super1[Bairro],mercado3)+SUMIFS(supercb[Qtde],supercb[Item],tab_alimentos[[#This Row],[Item]],supercb[Bairro],mercado3)</f>
        <v>0</v>
      </c>
      <c r="O246" s="4">
        <f>SUMIFS(super1[Qtde],super1[Item],tab_alimentos[[#This Row],[Item]],super1[Bairro],mercado4)+SUMIFS(supercb[Qtde],supercb[Item],tab_alimentos[[#This Row],[Item]],supercb[Bairro],mercado4)</f>
        <v>0</v>
      </c>
      <c r="P246" s="4">
        <f>SUMIFS(super1[Qtde],super1[Item],tab_alimentos[[#This Row],[Item]],super1[Bairro],mercado5)+SUMIFS(supercb[Qtde],supercb[Item],tab_alimentos[[#This Row],[Item]],supercb[Bairro],mercado5)</f>
        <v>0</v>
      </c>
      <c r="Q246" s="4">
        <f>SUMIFS(super1[Qtde],super1[Item],tab_alimentos[[#This Row],[Item]],super1[Bairro],mercado6)+SUMIFS(supercb[Qtde],supercb[Item],tab_alimentos[[#This Row],[Item]],supercb[Bairro],mercado6)</f>
        <v>0</v>
      </c>
      <c r="R246" s="4">
        <f>SUMIFS(super1[Qtde],super1[Item],tab_alimentos[[#This Row],[Item]],super1[Bairro],mercado7)+SUMIFS(supercb[Qtde],supercb[Item],tab_alimentos[[#This Row],[Item]],supercb[Bairro],mercado7)</f>
        <v>0</v>
      </c>
      <c r="S246" s="4">
        <f>SUMIFS(super1[Qtde],super1[Item],tab_alimentos[[#This Row],[Item]],super1[Bairro],mercado8)+SUMIFS(supercb[Qtde],supercb[Item],tab_alimentos[[#This Row],[Item]],supercb[Bairro],mercado8)</f>
        <v>0</v>
      </c>
      <c r="T246" s="4">
        <f>SUMIFS(super1[Qtde],super1[Item],tab_alimentos[[#This Row],[Item]],super1[Bairro],mercado9)+SUMIFS(supercb[Qtde],supercb[Item],tab_alimentos[[#This Row],[Item]],supercb[Bairro],mercado9)</f>
        <v>0</v>
      </c>
      <c r="U246" s="4">
        <f>SUMIFS(super1[Qtde],super1[Item],tab_alimentos[[#This Row],[Item]],super1[Bairro],mercado10)+SUMIFS(supercb[Qtde],supercb[Item],tab_alimentos[[#This Row],[Item]],supercb[Bairro],mercado10)</f>
        <v>0</v>
      </c>
      <c r="V246" s="4">
        <f>SUMIFS(super1[Qtde],super1[Item],tab_alimentos[[#This Row],[Item]],super1[Bairro],mercado11)+SUMIFS(supercb[Qtde],supercb[Item],tab_alimentos[[#This Row],[Item]],supercb[Bairro],mercado11)</f>
        <v>0</v>
      </c>
      <c r="W246" s="4">
        <f>SUMIFS(super1[Qtde],super1[Item],tab_alimentos[[#This Row],[Item]],super1[Bairro],mercado12)+SUMIFS(supercb[Qtde],supercb[Item],tab_alimentos[[#This Row],[Item]],supercb[Bairro],mercado12)</f>
        <v>0</v>
      </c>
      <c r="X246" s="4">
        <f>SUMIFS(super1[Qtde],super1[Item],tab_alimentos[[#This Row],[Item]],super1[Bairro],mercado13)+SUMIFS(supercb[Qtde],supercb[Item],tab_alimentos[[#This Row],[Item]],supercb[Bairro],mercado13)</f>
        <v>0</v>
      </c>
      <c r="Y246" s="4">
        <f>SUMIFS(super1[Qtde],super1[Item],tab_alimentos[[#This Row],[Item]],super1[Bairro],mercado14)+SUMIFS(supercb[Qtde],supercb[Item],tab_alimentos[[#This Row],[Item]],supercb[Bairro],mercado14)</f>
        <v>0</v>
      </c>
      <c r="Z246" s="4">
        <f>SUMIFS(super1[Qtde],super1[Item],tab_alimentos[[#This Row],[Item]],super1[Bairro],mercado15)+SUMIFS(supercb[Qtde],supercb[Item],tab_alimentos[[#This Row],[Item]],supercb[Bairro],mercado15)</f>
        <v>0</v>
      </c>
      <c r="AA246" s="4">
        <f>SUMIFS(super1[Qtde],super1[Item],tab_alimentos[[#This Row],[Item]],super1[Bairro],mercado16)+SUMIFS(supercb[Qtde],supercb[Item],tab_alimentos[[#This Row],[Item]],supercb[Bairro],mercado16)</f>
        <v>0</v>
      </c>
      <c r="AB246" s="4">
        <f>SUMIFS(super1[Qtde],super1[Item],tab_alimentos[[#This Row],[Item]],super1[Bairro],mercado17)+SUMIFS(supercb[Qtde],supercb[Item],tab_alimentos[[#This Row],[Item]],supercb[Bairro],mercado17)</f>
        <v>0</v>
      </c>
      <c r="AC246" s="4">
        <f>SUMIFS(super1[Qtde],super1[Item],tab_alimentos[[#This Row],[Item]],super1[Bairro],mercado18)+SUMIFS(supercb[Qtde],supercb[Item],tab_alimentos[[#This Row],[Item]],supercb[Bairro],mercado18)</f>
        <v>0</v>
      </c>
      <c r="AD246" s="4">
        <f>SUMIFS(super1[Qtde],super1[Item],tab_alimentos[[#This Row],[Item]],super1[Bairro],extras)+SUMIFS(supercb[Qtde],supercb[Item],tab_alimentos[[#This Row],[Item]],supercb[Bairro],extras)</f>
        <v>0</v>
      </c>
      <c r="AE246" s="4">
        <f t="shared" si="82"/>
        <v>0</v>
      </c>
      <c r="AF246" s="4">
        <f t="shared" si="83"/>
        <v>0</v>
      </c>
      <c r="AG246" s="6">
        <f t="shared" si="84"/>
        <v>0</v>
      </c>
      <c r="AH246" s="13" t="str">
        <f>higiene[[#This Row],[Item]]</f>
        <v>Saco de Lixo 30L (50un)</v>
      </c>
      <c r="AI246" s="9">
        <f>IFERROR(higiene[[#This Row],[Kg equivalente]],0)</f>
        <v>0</v>
      </c>
      <c r="AJ246" s="9">
        <f>IFERROR(higiene[[#This Row],[Preço por produto]],0)</f>
        <v>21.9</v>
      </c>
      <c r="AK246" s="4">
        <f>SUMIFS(super1[Qtde],super1[Item],tab_higiene[[#This Row],[Item]],super1[Bairro],mercado1)+SUMIFS(supercb[Qtde],supercb[Item],tab_higiene[[#This Row],[Item]],supercb[Bairro],mercado1)</f>
        <v>0</v>
      </c>
      <c r="AL246" s="4">
        <f>SUMIFS(super1[Qtde],super1[Item],tab_higiene[[#This Row],[Item]],super1[Bairro],mercado2)+SUMIFS(supercb[Qtde],supercb[Item],tab_higiene[[#This Row],[Item]],supercb[Bairro],mercado2)</f>
        <v>0</v>
      </c>
      <c r="AM246" s="4">
        <f>SUMIFS(super1[Qtde],super1[Item],tab_higiene[[#This Row],[Item]],super1[Bairro],mercado3)+SUMIFS(supercb[Qtde],supercb[Item],tab_higiene[[#This Row],[Item]],supercb[Bairro],mercado3)</f>
        <v>0</v>
      </c>
      <c r="AN246" s="4">
        <f>SUMIFS(super1[Qtde],super1[Item],tab_higiene[[#This Row],[Item]],super1[Bairro],mercado4)+SUMIFS(supercb[Qtde],supercb[Item],tab_higiene[[#This Row],[Item]],supercb[Bairro],mercado4)</f>
        <v>0</v>
      </c>
      <c r="AO246" s="4">
        <f>SUMIFS(super1[Qtde],super1[Item],tab_higiene[[#This Row],[Item]],super1[Bairro],mercado5)+SUMIFS(supercb[Qtde],supercb[Item],tab_higiene[[#This Row],[Item]],supercb[Bairro],mercado5)</f>
        <v>0</v>
      </c>
      <c r="AP246" s="4">
        <f>SUMIFS(super1[Qtde],super1[Item],tab_higiene[[#This Row],[Item]],super1[Bairro],mercado6)+SUMIFS(supercb[Qtde],supercb[Item],tab_higiene[[#This Row],[Item]],supercb[Bairro],mercado6)</f>
        <v>0</v>
      </c>
      <c r="AQ246" s="4">
        <f>SUMIFS(super1[Qtde],super1[Item],tab_higiene[[#This Row],[Item]],super1[Bairro],mercado7)+SUMIFS(supercb[Qtde],supercb[Item],tab_higiene[[#This Row],[Item]],supercb[Bairro],mercado7)</f>
        <v>0</v>
      </c>
      <c r="AR246" s="4">
        <f>SUMIFS(super1[Qtde],super1[Item],tab_higiene[[#This Row],[Item]],super1[Bairro],mercado8)+SUMIFS(supercb[Qtde],supercb[Item],tab_higiene[[#This Row],[Item]],supercb[Bairro],mercado8)</f>
        <v>0</v>
      </c>
      <c r="AS246" s="4">
        <f>SUMIFS(super1[Qtde],super1[Item],tab_higiene[[#This Row],[Item]],super1[Bairro],mercado9)+SUMIFS(supercb[Qtde],supercb[Item],tab_higiene[[#This Row],[Item]],supercb[Bairro],mercado9)</f>
        <v>0</v>
      </c>
      <c r="AT246" s="4">
        <f>SUMIFS(super1[Qtde],super1[Item],tab_higiene[[#This Row],[Item]],super1[Bairro],mercado10)+SUMIFS(supercb[Qtde],supercb[Item],tab_higiene[[#This Row],[Item]],supercb[Bairro],mercado10)</f>
        <v>0</v>
      </c>
      <c r="AU246" s="4">
        <f>SUMIFS(super1[Qtde],super1[Item],tab_higiene[[#This Row],[Item]],super1[Bairro],mercado11)+SUMIFS(supercb[Qtde],supercb[Item],tab_higiene[[#This Row],[Item]],supercb[Bairro],mercado11)</f>
        <v>0</v>
      </c>
      <c r="AV246" s="4">
        <f>SUMIFS(super1[Qtde],super1[Item],tab_higiene[[#This Row],[Item]],super1[Bairro],mercado12)+SUMIFS(supercb[Qtde],supercb[Item],tab_higiene[[#This Row],[Item]],supercb[Bairro],mercado12)</f>
        <v>0</v>
      </c>
      <c r="AW246" s="4">
        <f>SUMIFS(super1[Qtde],super1[Item],tab_higiene[[#This Row],[Item]],super1[Bairro],mercado13)+SUMIFS(supercb[Qtde],supercb[Item],tab_higiene[[#This Row],[Item]],supercb[Bairro],mercado13)</f>
        <v>0</v>
      </c>
      <c r="AX246" s="4">
        <f>SUMIFS(super1[Qtde],super1[Item],tab_higiene[[#This Row],[Item]],super1[Bairro],mercado14)+SUMIFS(supercb[Qtde],supercb[Item],tab_higiene[[#This Row],[Item]],supercb[Bairro],mercado14)</f>
        <v>0</v>
      </c>
      <c r="AY246" s="4">
        <f>SUMIFS(super1[Qtde],super1[Item],tab_higiene[[#This Row],[Item]],super1[Bairro],mercado15)+SUMIFS(supercb[Qtde],supercb[Item],tab_higiene[[#This Row],[Item]],supercb[Bairro],mercado15)</f>
        <v>0</v>
      </c>
      <c r="AZ246" s="4">
        <f>SUMIFS(super1[Qtde],super1[Item],tab_higiene[[#This Row],[Item]],super1[Bairro],mercado16)+SUMIFS(supercb[Qtde],supercb[Item],tab_higiene[[#This Row],[Item]],supercb[Bairro],mercado16)</f>
        <v>0</v>
      </c>
      <c r="BA246" s="4">
        <f>SUMIFS(super1[Qtde],super1[Item],tab_higiene[[#This Row],[Item]],super1[Bairro],mercado17)+SUMIFS(supercb[Qtde],supercb[Item],tab_higiene[[#This Row],[Item]],supercb[Bairro],mercado17)</f>
        <v>0</v>
      </c>
      <c r="BB246" s="4">
        <f>SUMIFS(super1[Qtde],super1[Item],tab_higiene[[#This Row],[Item]],super1[Bairro],mercado18)+SUMIFS(supercb[Qtde],supercb[Item],tab_higiene[[#This Row],[Item]],supercb[Bairro],mercado18)</f>
        <v>0</v>
      </c>
      <c r="BC246" s="31">
        <f>SUMIFS(super1[Qtde],super1[Item],tab_higiene[[#This Row],[Item]],super1[Bairro],extras)+SUMIFS(supercb[Qtde],supercb[Item],tab_higiene[[#This Row],[Item]],supercb[Bairro],extras)</f>
        <v>0</v>
      </c>
      <c r="BD246" s="9">
        <f t="shared" si="85"/>
        <v>0</v>
      </c>
      <c r="BE246" s="9">
        <f t="shared" si="86"/>
        <v>0</v>
      </c>
      <c r="BF246" s="18">
        <f t="shared" si="87"/>
        <v>0</v>
      </c>
    </row>
    <row r="247" spans="9:58" ht="15.75" thickBot="1" x14ac:dyDescent="0.3">
      <c r="I247" s="19" t="str">
        <f>alimentos[[#This Row],[Item]]</f>
        <v>G</v>
      </c>
      <c r="J247" s="4">
        <f>IFERROR(alimentos[[#This Row],[kg/embalagem]],0)</f>
        <v>0</v>
      </c>
      <c r="K247" s="4">
        <f>IFERROR(alimentos[[#This Row],[Preço]],0)</f>
        <v>0</v>
      </c>
      <c r="L247" s="4">
        <f>SUMIFS(super1[Qtde],super1[Item],tab_alimentos[[#This Row],[Item]],super1[Bairro],mercado1)+SUMIFS(supercb[Qtde],supercb[Item],tab_alimentos[[#This Row],[Item]],supercb[Bairro],mercado1)</f>
        <v>0</v>
      </c>
      <c r="M247" s="4">
        <f>SUMIFS(super1[Qtde],super1[Item],tab_alimentos[[#This Row],[Item]],super1[Bairro],mercado2)+SUMIFS(supercb[Qtde],supercb[Item],tab_alimentos[[#This Row],[Item]],supercb[Bairro],mercado2)</f>
        <v>0</v>
      </c>
      <c r="N247" s="4">
        <f>SUMIFS(super1[Qtde],super1[Item],tab_alimentos[[#This Row],[Item]],super1[Bairro],mercado3)+SUMIFS(supercb[Qtde],supercb[Item],tab_alimentos[[#This Row],[Item]],supercb[Bairro],mercado3)</f>
        <v>0</v>
      </c>
      <c r="O247" s="4">
        <f>SUMIFS(super1[Qtde],super1[Item],tab_alimentos[[#This Row],[Item]],super1[Bairro],mercado4)+SUMIFS(supercb[Qtde],supercb[Item],tab_alimentos[[#This Row],[Item]],supercb[Bairro],mercado4)</f>
        <v>0</v>
      </c>
      <c r="P247" s="4">
        <f>SUMIFS(super1[Qtde],super1[Item],tab_alimentos[[#This Row],[Item]],super1[Bairro],mercado5)+SUMIFS(supercb[Qtde],supercb[Item],tab_alimentos[[#This Row],[Item]],supercb[Bairro],mercado5)</f>
        <v>0</v>
      </c>
      <c r="Q247" s="4">
        <f>SUMIFS(super1[Qtde],super1[Item],tab_alimentos[[#This Row],[Item]],super1[Bairro],mercado6)+SUMIFS(supercb[Qtde],supercb[Item],tab_alimentos[[#This Row],[Item]],supercb[Bairro],mercado6)</f>
        <v>0</v>
      </c>
      <c r="R247" s="4">
        <f>SUMIFS(super1[Qtde],super1[Item],tab_alimentos[[#This Row],[Item]],super1[Bairro],mercado7)+SUMIFS(supercb[Qtde],supercb[Item],tab_alimentos[[#This Row],[Item]],supercb[Bairro],mercado7)</f>
        <v>0</v>
      </c>
      <c r="S247" s="4">
        <f>SUMIFS(super1[Qtde],super1[Item],tab_alimentos[[#This Row],[Item]],super1[Bairro],mercado8)+SUMIFS(supercb[Qtde],supercb[Item],tab_alimentos[[#This Row],[Item]],supercb[Bairro],mercado8)</f>
        <v>0</v>
      </c>
      <c r="T247" s="4">
        <f>SUMIFS(super1[Qtde],super1[Item],tab_alimentos[[#This Row],[Item]],super1[Bairro],mercado9)+SUMIFS(supercb[Qtde],supercb[Item],tab_alimentos[[#This Row],[Item]],supercb[Bairro],mercado9)</f>
        <v>0</v>
      </c>
      <c r="U247" s="4">
        <f>SUMIFS(super1[Qtde],super1[Item],tab_alimentos[[#This Row],[Item]],super1[Bairro],mercado10)+SUMIFS(supercb[Qtde],supercb[Item],tab_alimentos[[#This Row],[Item]],supercb[Bairro],mercado10)</f>
        <v>0</v>
      </c>
      <c r="V247" s="4">
        <f>SUMIFS(super1[Qtde],super1[Item],tab_alimentos[[#This Row],[Item]],super1[Bairro],mercado11)+SUMIFS(supercb[Qtde],supercb[Item],tab_alimentos[[#This Row],[Item]],supercb[Bairro],mercado11)</f>
        <v>0</v>
      </c>
      <c r="W247" s="4">
        <f>SUMIFS(super1[Qtde],super1[Item],tab_alimentos[[#This Row],[Item]],super1[Bairro],mercado12)+SUMIFS(supercb[Qtde],supercb[Item],tab_alimentos[[#This Row],[Item]],supercb[Bairro],mercado12)</f>
        <v>0</v>
      </c>
      <c r="X247" s="4">
        <f>SUMIFS(super1[Qtde],super1[Item],tab_alimentos[[#This Row],[Item]],super1[Bairro],mercado13)+SUMIFS(supercb[Qtde],supercb[Item],tab_alimentos[[#This Row],[Item]],supercb[Bairro],mercado13)</f>
        <v>0</v>
      </c>
      <c r="Y247" s="4">
        <f>SUMIFS(super1[Qtde],super1[Item],tab_alimentos[[#This Row],[Item]],super1[Bairro],mercado14)+SUMIFS(supercb[Qtde],supercb[Item],tab_alimentos[[#This Row],[Item]],supercb[Bairro],mercado14)</f>
        <v>0</v>
      </c>
      <c r="Z247" s="4">
        <f>SUMIFS(super1[Qtde],super1[Item],tab_alimentos[[#This Row],[Item]],super1[Bairro],mercado15)+SUMIFS(supercb[Qtde],supercb[Item],tab_alimentos[[#This Row],[Item]],supercb[Bairro],mercado15)</f>
        <v>0</v>
      </c>
      <c r="AA247" s="4">
        <f>SUMIFS(super1[Qtde],super1[Item],tab_alimentos[[#This Row],[Item]],super1[Bairro],mercado16)+SUMIFS(supercb[Qtde],supercb[Item],tab_alimentos[[#This Row],[Item]],supercb[Bairro],mercado16)</f>
        <v>0</v>
      </c>
      <c r="AB247" s="4">
        <f>SUMIFS(super1[Qtde],super1[Item],tab_alimentos[[#This Row],[Item]],super1[Bairro],mercado17)+SUMIFS(supercb[Qtde],supercb[Item],tab_alimentos[[#This Row],[Item]],supercb[Bairro],mercado17)</f>
        <v>0</v>
      </c>
      <c r="AC247" s="4">
        <f>SUMIFS(super1[Qtde],super1[Item],tab_alimentos[[#This Row],[Item]],super1[Bairro],mercado18)+SUMIFS(supercb[Qtde],supercb[Item],tab_alimentos[[#This Row],[Item]],supercb[Bairro],mercado18)</f>
        <v>0</v>
      </c>
      <c r="AD247" s="4">
        <f>SUMIFS(super1[Qtde],super1[Item],tab_alimentos[[#This Row],[Item]],super1[Bairro],extras)+SUMIFS(supercb[Qtde],supercb[Item],tab_alimentos[[#This Row],[Item]],supercb[Bairro],extras)</f>
        <v>0</v>
      </c>
      <c r="AE247" s="4">
        <f t="shared" si="82"/>
        <v>0</v>
      </c>
      <c r="AF247" s="4">
        <f t="shared" si="83"/>
        <v>0</v>
      </c>
      <c r="AG247" s="6">
        <f t="shared" si="84"/>
        <v>0</v>
      </c>
      <c r="AH247" s="13" t="str">
        <f>higiene[[#This Row],[Item]]</f>
        <v>Saco de Lixo 50L (10un)</v>
      </c>
      <c r="AI247" s="9">
        <f>IFERROR(higiene[[#This Row],[Kg equivalente]],0)</f>
        <v>0</v>
      </c>
      <c r="AJ247" s="9">
        <f>IFERROR(higiene[[#This Row],[Preço por produto]],0)</f>
        <v>5.85</v>
      </c>
      <c r="AK247" s="4">
        <f>SUMIFS(super1[Qtde],super1[Item],tab_higiene[[#This Row],[Item]],super1[Bairro],mercado1)+SUMIFS(supercb[Qtde],supercb[Item],tab_higiene[[#This Row],[Item]],supercb[Bairro],mercado1)</f>
        <v>0</v>
      </c>
      <c r="AL247" s="4">
        <f>SUMIFS(super1[Qtde],super1[Item],tab_higiene[[#This Row],[Item]],super1[Bairro],mercado2)+SUMIFS(supercb[Qtde],supercb[Item],tab_higiene[[#This Row],[Item]],supercb[Bairro],mercado2)</f>
        <v>0</v>
      </c>
      <c r="AM247" s="4">
        <f>SUMIFS(super1[Qtde],super1[Item],tab_higiene[[#This Row],[Item]],super1[Bairro],mercado3)+SUMIFS(supercb[Qtde],supercb[Item],tab_higiene[[#This Row],[Item]],supercb[Bairro],mercado3)</f>
        <v>0</v>
      </c>
      <c r="AN247" s="4">
        <f>SUMIFS(super1[Qtde],super1[Item],tab_higiene[[#This Row],[Item]],super1[Bairro],mercado4)+SUMIFS(supercb[Qtde],supercb[Item],tab_higiene[[#This Row],[Item]],supercb[Bairro],mercado4)</f>
        <v>0</v>
      </c>
      <c r="AO247" s="4">
        <f>SUMIFS(super1[Qtde],super1[Item],tab_higiene[[#This Row],[Item]],super1[Bairro],mercado5)+SUMIFS(supercb[Qtde],supercb[Item],tab_higiene[[#This Row],[Item]],supercb[Bairro],mercado5)</f>
        <v>0</v>
      </c>
      <c r="AP247" s="4">
        <f>SUMIFS(super1[Qtde],super1[Item],tab_higiene[[#This Row],[Item]],super1[Bairro],mercado6)+SUMIFS(supercb[Qtde],supercb[Item],tab_higiene[[#This Row],[Item]],supercb[Bairro],mercado6)</f>
        <v>0</v>
      </c>
      <c r="AQ247" s="4">
        <f>SUMIFS(super1[Qtde],super1[Item],tab_higiene[[#This Row],[Item]],super1[Bairro],mercado7)+SUMIFS(supercb[Qtde],supercb[Item],tab_higiene[[#This Row],[Item]],supercb[Bairro],mercado7)</f>
        <v>0</v>
      </c>
      <c r="AR247" s="4">
        <f>SUMIFS(super1[Qtde],super1[Item],tab_higiene[[#This Row],[Item]],super1[Bairro],mercado8)+SUMIFS(supercb[Qtde],supercb[Item],tab_higiene[[#This Row],[Item]],supercb[Bairro],mercado8)</f>
        <v>0</v>
      </c>
      <c r="AS247" s="4">
        <f>SUMIFS(super1[Qtde],super1[Item],tab_higiene[[#This Row],[Item]],super1[Bairro],mercado9)+SUMIFS(supercb[Qtde],supercb[Item],tab_higiene[[#This Row],[Item]],supercb[Bairro],mercado9)</f>
        <v>0</v>
      </c>
      <c r="AT247" s="4">
        <f>SUMIFS(super1[Qtde],super1[Item],tab_higiene[[#This Row],[Item]],super1[Bairro],mercado10)+SUMIFS(supercb[Qtde],supercb[Item],tab_higiene[[#This Row],[Item]],supercb[Bairro],mercado10)</f>
        <v>0</v>
      </c>
      <c r="AU247" s="4">
        <f>SUMIFS(super1[Qtde],super1[Item],tab_higiene[[#This Row],[Item]],super1[Bairro],mercado11)+SUMIFS(supercb[Qtde],supercb[Item],tab_higiene[[#This Row],[Item]],supercb[Bairro],mercado11)</f>
        <v>0</v>
      </c>
      <c r="AV247" s="4">
        <f>SUMIFS(super1[Qtde],super1[Item],tab_higiene[[#This Row],[Item]],super1[Bairro],mercado12)+SUMIFS(supercb[Qtde],supercb[Item],tab_higiene[[#This Row],[Item]],supercb[Bairro],mercado12)</f>
        <v>0</v>
      </c>
      <c r="AW247" s="4">
        <f>SUMIFS(super1[Qtde],super1[Item],tab_higiene[[#This Row],[Item]],super1[Bairro],mercado13)+SUMIFS(supercb[Qtde],supercb[Item],tab_higiene[[#This Row],[Item]],supercb[Bairro],mercado13)</f>
        <v>0</v>
      </c>
      <c r="AX247" s="4">
        <f>SUMIFS(super1[Qtde],super1[Item],tab_higiene[[#This Row],[Item]],super1[Bairro],mercado14)+SUMIFS(supercb[Qtde],supercb[Item],tab_higiene[[#This Row],[Item]],supercb[Bairro],mercado14)</f>
        <v>0</v>
      </c>
      <c r="AY247" s="4">
        <f>SUMIFS(super1[Qtde],super1[Item],tab_higiene[[#This Row],[Item]],super1[Bairro],mercado15)+SUMIFS(supercb[Qtde],supercb[Item],tab_higiene[[#This Row],[Item]],supercb[Bairro],mercado15)</f>
        <v>0</v>
      </c>
      <c r="AZ247" s="4">
        <f>SUMIFS(super1[Qtde],super1[Item],tab_higiene[[#This Row],[Item]],super1[Bairro],mercado16)+SUMIFS(supercb[Qtde],supercb[Item],tab_higiene[[#This Row],[Item]],supercb[Bairro],mercado16)</f>
        <v>0</v>
      </c>
      <c r="BA247" s="4">
        <f>SUMIFS(super1[Qtde],super1[Item],tab_higiene[[#This Row],[Item]],super1[Bairro],mercado17)+SUMIFS(supercb[Qtde],supercb[Item],tab_higiene[[#This Row],[Item]],supercb[Bairro],mercado17)</f>
        <v>0</v>
      </c>
      <c r="BB247" s="4">
        <f>SUMIFS(super1[Qtde],super1[Item],tab_higiene[[#This Row],[Item]],super1[Bairro],mercado18)+SUMIFS(supercb[Qtde],supercb[Item],tab_higiene[[#This Row],[Item]],supercb[Bairro],mercado18)</f>
        <v>0</v>
      </c>
      <c r="BC247" s="31">
        <f>SUMIFS(super1[Qtde],super1[Item],tab_higiene[[#This Row],[Item]],super1[Bairro],extras)+SUMIFS(supercb[Qtde],supercb[Item],tab_higiene[[#This Row],[Item]],supercb[Bairro],extras)</f>
        <v>0</v>
      </c>
      <c r="BD247" s="9">
        <f t="shared" si="85"/>
        <v>0</v>
      </c>
      <c r="BE247" s="9">
        <f t="shared" si="86"/>
        <v>0</v>
      </c>
      <c r="BF247" s="18">
        <f t="shared" si="87"/>
        <v>0</v>
      </c>
    </row>
    <row r="248" spans="9:58" ht="15.75" thickBot="1" x14ac:dyDescent="0.3">
      <c r="I248" s="19" t="str">
        <f>alimentos[[#This Row],[Item]]</f>
        <v>Gatorade (500mL)</v>
      </c>
      <c r="J248" s="4">
        <f>IFERROR(alimentos[[#This Row],[kg/embalagem]],0)</f>
        <v>0.5</v>
      </c>
      <c r="K248" s="4">
        <f>IFERROR(alimentos[[#This Row],[Preço]],0)</f>
        <v>4.99</v>
      </c>
      <c r="L248" s="4">
        <f>SUMIFS(super1[Qtde],super1[Item],tab_alimentos[[#This Row],[Item]],super1[Bairro],mercado1)+SUMIFS(supercb[Qtde],supercb[Item],tab_alimentos[[#This Row],[Item]],supercb[Bairro],mercado1)</f>
        <v>0</v>
      </c>
      <c r="M248" s="4">
        <f>SUMIFS(super1[Qtde],super1[Item],tab_alimentos[[#This Row],[Item]],super1[Bairro],mercado2)+SUMIFS(supercb[Qtde],supercb[Item],tab_alimentos[[#This Row],[Item]],supercb[Bairro],mercado2)</f>
        <v>0</v>
      </c>
      <c r="N248" s="4">
        <f>SUMIFS(super1[Qtde],super1[Item],tab_alimentos[[#This Row],[Item]],super1[Bairro],mercado3)+SUMIFS(supercb[Qtde],supercb[Item],tab_alimentos[[#This Row],[Item]],supercb[Bairro],mercado3)</f>
        <v>0</v>
      </c>
      <c r="O248" s="4">
        <f>SUMIFS(super1[Qtde],super1[Item],tab_alimentos[[#This Row],[Item]],super1[Bairro],mercado4)+SUMIFS(supercb[Qtde],supercb[Item],tab_alimentos[[#This Row],[Item]],supercb[Bairro],mercado4)</f>
        <v>0</v>
      </c>
      <c r="P248" s="4">
        <f>SUMIFS(super1[Qtde],super1[Item],tab_alimentos[[#This Row],[Item]],super1[Bairro],mercado5)+SUMIFS(supercb[Qtde],supercb[Item],tab_alimentos[[#This Row],[Item]],supercb[Bairro],mercado5)</f>
        <v>0</v>
      </c>
      <c r="Q248" s="4">
        <f>SUMIFS(super1[Qtde],super1[Item],tab_alimentos[[#This Row],[Item]],super1[Bairro],mercado6)+SUMIFS(supercb[Qtde],supercb[Item],tab_alimentos[[#This Row],[Item]],supercb[Bairro],mercado6)</f>
        <v>0</v>
      </c>
      <c r="R248" s="4">
        <f>SUMIFS(super1[Qtde],super1[Item],tab_alimentos[[#This Row],[Item]],super1[Bairro],mercado7)+SUMIFS(supercb[Qtde],supercb[Item],tab_alimentos[[#This Row],[Item]],supercb[Bairro],mercado7)</f>
        <v>0</v>
      </c>
      <c r="S248" s="4">
        <f>SUMIFS(super1[Qtde],super1[Item],tab_alimentos[[#This Row],[Item]],super1[Bairro],mercado8)+SUMIFS(supercb[Qtde],supercb[Item],tab_alimentos[[#This Row],[Item]],supercb[Bairro],mercado8)</f>
        <v>0</v>
      </c>
      <c r="T248" s="4">
        <f>SUMIFS(super1[Qtde],super1[Item],tab_alimentos[[#This Row],[Item]],super1[Bairro],mercado9)+SUMIFS(supercb[Qtde],supercb[Item],tab_alimentos[[#This Row],[Item]],supercb[Bairro],mercado9)</f>
        <v>0</v>
      </c>
      <c r="U248" s="4">
        <f>SUMIFS(super1[Qtde],super1[Item],tab_alimentos[[#This Row],[Item]],super1[Bairro],mercado10)+SUMIFS(supercb[Qtde],supercb[Item],tab_alimentos[[#This Row],[Item]],supercb[Bairro],mercado10)</f>
        <v>0</v>
      </c>
      <c r="V248" s="4">
        <f>SUMIFS(super1[Qtde],super1[Item],tab_alimentos[[#This Row],[Item]],super1[Bairro],mercado11)+SUMIFS(supercb[Qtde],supercb[Item],tab_alimentos[[#This Row],[Item]],supercb[Bairro],mercado11)</f>
        <v>0</v>
      </c>
      <c r="W248" s="4">
        <f>SUMIFS(super1[Qtde],super1[Item],tab_alimentos[[#This Row],[Item]],super1[Bairro],mercado12)+SUMIFS(supercb[Qtde],supercb[Item],tab_alimentos[[#This Row],[Item]],supercb[Bairro],mercado12)</f>
        <v>0</v>
      </c>
      <c r="X248" s="4">
        <f>SUMIFS(super1[Qtde],super1[Item],tab_alimentos[[#This Row],[Item]],super1[Bairro],mercado13)+SUMIFS(supercb[Qtde],supercb[Item],tab_alimentos[[#This Row],[Item]],supercb[Bairro],mercado13)</f>
        <v>0</v>
      </c>
      <c r="Y248" s="4">
        <f>SUMIFS(super1[Qtde],super1[Item],tab_alimentos[[#This Row],[Item]],super1[Bairro],mercado14)+SUMIFS(supercb[Qtde],supercb[Item],tab_alimentos[[#This Row],[Item]],supercb[Bairro],mercado14)</f>
        <v>0</v>
      </c>
      <c r="Z248" s="4">
        <f>SUMIFS(super1[Qtde],super1[Item],tab_alimentos[[#This Row],[Item]],super1[Bairro],mercado15)+SUMIFS(supercb[Qtde],supercb[Item],tab_alimentos[[#This Row],[Item]],supercb[Bairro],mercado15)</f>
        <v>0</v>
      </c>
      <c r="AA248" s="4">
        <f>SUMIFS(super1[Qtde],super1[Item],tab_alimentos[[#This Row],[Item]],super1[Bairro],mercado16)+SUMIFS(supercb[Qtde],supercb[Item],tab_alimentos[[#This Row],[Item]],supercb[Bairro],mercado16)</f>
        <v>0</v>
      </c>
      <c r="AB248" s="4">
        <f>SUMIFS(super1[Qtde],super1[Item],tab_alimentos[[#This Row],[Item]],super1[Bairro],mercado17)+SUMIFS(supercb[Qtde],supercb[Item],tab_alimentos[[#This Row],[Item]],supercb[Bairro],mercado17)</f>
        <v>0</v>
      </c>
      <c r="AC248" s="4">
        <f>SUMIFS(super1[Qtde],super1[Item],tab_alimentos[[#This Row],[Item]],super1[Bairro],mercado18)+SUMIFS(supercb[Qtde],supercb[Item],tab_alimentos[[#This Row],[Item]],supercb[Bairro],mercado18)</f>
        <v>0</v>
      </c>
      <c r="AD248" s="4">
        <f>SUMIFS(super1[Qtde],super1[Item],tab_alimentos[[#This Row],[Item]],super1[Bairro],extras)+SUMIFS(supercb[Qtde],supercb[Item],tab_alimentos[[#This Row],[Item]],supercb[Bairro],extras)</f>
        <v>0</v>
      </c>
      <c r="AE248" s="4">
        <f t="shared" si="82"/>
        <v>0</v>
      </c>
      <c r="AF248" s="4">
        <f t="shared" si="83"/>
        <v>0</v>
      </c>
      <c r="AG248" s="6">
        <f t="shared" si="84"/>
        <v>0</v>
      </c>
      <c r="AH248" s="13" t="str">
        <f>higiene[[#This Row],[Item]]</f>
        <v>Sanitizante para Tecidos e Roupas (800g)</v>
      </c>
      <c r="AI248" s="9">
        <f>IFERROR(higiene[[#This Row],[Kg equivalente]],0)</f>
        <v>0</v>
      </c>
      <c r="AJ248" s="9">
        <f>IFERROR(higiene[[#This Row],[Preço por produto]],0)</f>
        <v>9.99</v>
      </c>
      <c r="AK248" s="4">
        <f>SUMIFS(super1[Qtde],super1[Item],tab_higiene[[#This Row],[Item]],super1[Bairro],mercado1)+SUMIFS(supercb[Qtde],supercb[Item],tab_higiene[[#This Row],[Item]],supercb[Bairro],mercado1)</f>
        <v>0</v>
      </c>
      <c r="AL248" s="4">
        <f>SUMIFS(super1[Qtde],super1[Item],tab_higiene[[#This Row],[Item]],super1[Bairro],mercado2)+SUMIFS(supercb[Qtde],supercb[Item],tab_higiene[[#This Row],[Item]],supercb[Bairro],mercado2)</f>
        <v>0</v>
      </c>
      <c r="AM248" s="4">
        <f>SUMIFS(super1[Qtde],super1[Item],tab_higiene[[#This Row],[Item]],super1[Bairro],mercado3)+SUMIFS(supercb[Qtde],supercb[Item],tab_higiene[[#This Row],[Item]],supercb[Bairro],mercado3)</f>
        <v>0</v>
      </c>
      <c r="AN248" s="4">
        <f>SUMIFS(super1[Qtde],super1[Item],tab_higiene[[#This Row],[Item]],super1[Bairro],mercado4)+SUMIFS(supercb[Qtde],supercb[Item],tab_higiene[[#This Row],[Item]],supercb[Bairro],mercado4)</f>
        <v>0</v>
      </c>
      <c r="AO248" s="4">
        <f>SUMIFS(super1[Qtde],super1[Item],tab_higiene[[#This Row],[Item]],super1[Bairro],mercado5)+SUMIFS(supercb[Qtde],supercb[Item],tab_higiene[[#This Row],[Item]],supercb[Bairro],mercado5)</f>
        <v>0</v>
      </c>
      <c r="AP248" s="4">
        <f>SUMIFS(super1[Qtde],super1[Item],tab_higiene[[#This Row],[Item]],super1[Bairro],mercado6)+SUMIFS(supercb[Qtde],supercb[Item],tab_higiene[[#This Row],[Item]],supercb[Bairro],mercado6)</f>
        <v>0</v>
      </c>
      <c r="AQ248" s="4">
        <f>SUMIFS(super1[Qtde],super1[Item],tab_higiene[[#This Row],[Item]],super1[Bairro],mercado7)+SUMIFS(supercb[Qtde],supercb[Item],tab_higiene[[#This Row],[Item]],supercb[Bairro],mercado7)</f>
        <v>0</v>
      </c>
      <c r="AR248" s="4">
        <f>SUMIFS(super1[Qtde],super1[Item],tab_higiene[[#This Row],[Item]],super1[Bairro],mercado8)+SUMIFS(supercb[Qtde],supercb[Item],tab_higiene[[#This Row],[Item]],supercb[Bairro],mercado8)</f>
        <v>0</v>
      </c>
      <c r="AS248" s="4">
        <f>SUMIFS(super1[Qtde],super1[Item],tab_higiene[[#This Row],[Item]],super1[Bairro],mercado9)+SUMIFS(supercb[Qtde],supercb[Item],tab_higiene[[#This Row],[Item]],supercb[Bairro],mercado9)</f>
        <v>0</v>
      </c>
      <c r="AT248" s="4">
        <f>SUMIFS(super1[Qtde],super1[Item],tab_higiene[[#This Row],[Item]],super1[Bairro],mercado10)+SUMIFS(supercb[Qtde],supercb[Item],tab_higiene[[#This Row],[Item]],supercb[Bairro],mercado10)</f>
        <v>0</v>
      </c>
      <c r="AU248" s="4">
        <f>SUMIFS(super1[Qtde],super1[Item],tab_higiene[[#This Row],[Item]],super1[Bairro],mercado11)+SUMIFS(supercb[Qtde],supercb[Item],tab_higiene[[#This Row],[Item]],supercb[Bairro],mercado11)</f>
        <v>0</v>
      </c>
      <c r="AV248" s="4">
        <f>SUMIFS(super1[Qtde],super1[Item],tab_higiene[[#This Row],[Item]],super1[Bairro],mercado12)+SUMIFS(supercb[Qtde],supercb[Item],tab_higiene[[#This Row],[Item]],supercb[Bairro],mercado12)</f>
        <v>0</v>
      </c>
      <c r="AW248" s="4">
        <f>SUMIFS(super1[Qtde],super1[Item],tab_higiene[[#This Row],[Item]],super1[Bairro],mercado13)+SUMIFS(supercb[Qtde],supercb[Item],tab_higiene[[#This Row],[Item]],supercb[Bairro],mercado13)</f>
        <v>0</v>
      </c>
      <c r="AX248" s="4">
        <f>SUMIFS(super1[Qtde],super1[Item],tab_higiene[[#This Row],[Item]],super1[Bairro],mercado14)+SUMIFS(supercb[Qtde],supercb[Item],tab_higiene[[#This Row],[Item]],supercb[Bairro],mercado14)</f>
        <v>0</v>
      </c>
      <c r="AY248" s="4">
        <f>SUMIFS(super1[Qtde],super1[Item],tab_higiene[[#This Row],[Item]],super1[Bairro],mercado15)+SUMIFS(supercb[Qtde],supercb[Item],tab_higiene[[#This Row],[Item]],supercb[Bairro],mercado15)</f>
        <v>0</v>
      </c>
      <c r="AZ248" s="4">
        <f>SUMIFS(super1[Qtde],super1[Item],tab_higiene[[#This Row],[Item]],super1[Bairro],mercado16)+SUMIFS(supercb[Qtde],supercb[Item],tab_higiene[[#This Row],[Item]],supercb[Bairro],mercado16)</f>
        <v>0</v>
      </c>
      <c r="BA248" s="4">
        <f>SUMIFS(super1[Qtde],super1[Item],tab_higiene[[#This Row],[Item]],super1[Bairro],mercado17)+SUMIFS(supercb[Qtde],supercb[Item],tab_higiene[[#This Row],[Item]],supercb[Bairro],mercado17)</f>
        <v>0</v>
      </c>
      <c r="BB248" s="4">
        <f>SUMIFS(super1[Qtde],super1[Item],tab_higiene[[#This Row],[Item]],super1[Bairro],mercado18)+SUMIFS(supercb[Qtde],supercb[Item],tab_higiene[[#This Row],[Item]],supercb[Bairro],mercado18)</f>
        <v>0</v>
      </c>
      <c r="BC248" s="31">
        <f>SUMIFS(super1[Qtde],super1[Item],tab_higiene[[#This Row],[Item]],super1[Bairro],extras)+SUMIFS(supercb[Qtde],supercb[Item],tab_higiene[[#This Row],[Item]],supercb[Bairro],extras)</f>
        <v>0</v>
      </c>
      <c r="BD248" s="9">
        <f t="shared" si="85"/>
        <v>0</v>
      </c>
      <c r="BE248" s="9">
        <f t="shared" si="86"/>
        <v>0</v>
      </c>
      <c r="BF248" s="18">
        <f t="shared" si="87"/>
        <v>0</v>
      </c>
    </row>
    <row r="249" spans="9:58" ht="15.75" thickBot="1" x14ac:dyDescent="0.3">
      <c r="I249" s="19" t="str">
        <f>alimentos[[#This Row],[Item]]</f>
        <v>Gelatina (12g)</v>
      </c>
      <c r="J249" s="4">
        <f>IFERROR(alimentos[[#This Row],[kg/embalagem]],0)</f>
        <v>1.2E-2</v>
      </c>
      <c r="K249" s="4">
        <f>IFERROR(alimentos[[#This Row],[Preço]],0)</f>
        <v>2.8</v>
      </c>
      <c r="L249" s="4">
        <f>SUMIFS(super1[Qtde],super1[Item],tab_alimentos[[#This Row],[Item]],super1[Bairro],mercado1)+SUMIFS(supercb[Qtde],supercb[Item],tab_alimentos[[#This Row],[Item]],supercb[Bairro],mercado1)</f>
        <v>0</v>
      </c>
      <c r="M249" s="4">
        <f>SUMIFS(super1[Qtde],super1[Item],tab_alimentos[[#This Row],[Item]],super1[Bairro],mercado2)+SUMIFS(supercb[Qtde],supercb[Item],tab_alimentos[[#This Row],[Item]],supercb[Bairro],mercado2)</f>
        <v>0</v>
      </c>
      <c r="N249" s="4">
        <f>SUMIFS(super1[Qtde],super1[Item],tab_alimentos[[#This Row],[Item]],super1[Bairro],mercado3)+SUMIFS(supercb[Qtde],supercb[Item],tab_alimentos[[#This Row],[Item]],supercb[Bairro],mercado3)</f>
        <v>0</v>
      </c>
      <c r="O249" s="4">
        <f>SUMIFS(super1[Qtde],super1[Item],tab_alimentos[[#This Row],[Item]],super1[Bairro],mercado4)+SUMIFS(supercb[Qtde],supercb[Item],tab_alimentos[[#This Row],[Item]],supercb[Bairro],mercado4)</f>
        <v>0</v>
      </c>
      <c r="P249" s="4">
        <f>SUMIFS(super1[Qtde],super1[Item],tab_alimentos[[#This Row],[Item]],super1[Bairro],mercado5)+SUMIFS(supercb[Qtde],supercb[Item],tab_alimentos[[#This Row],[Item]],supercb[Bairro],mercado5)</f>
        <v>0</v>
      </c>
      <c r="Q249" s="4">
        <f>SUMIFS(super1[Qtde],super1[Item],tab_alimentos[[#This Row],[Item]],super1[Bairro],mercado6)+SUMIFS(supercb[Qtde],supercb[Item],tab_alimentos[[#This Row],[Item]],supercb[Bairro],mercado6)</f>
        <v>0</v>
      </c>
      <c r="R249" s="4">
        <f>SUMIFS(super1[Qtde],super1[Item],tab_alimentos[[#This Row],[Item]],super1[Bairro],mercado7)+SUMIFS(supercb[Qtde],supercb[Item],tab_alimentos[[#This Row],[Item]],supercb[Bairro],mercado7)</f>
        <v>0</v>
      </c>
      <c r="S249" s="4">
        <f>SUMIFS(super1[Qtde],super1[Item],tab_alimentos[[#This Row],[Item]],super1[Bairro],mercado8)+SUMIFS(supercb[Qtde],supercb[Item],tab_alimentos[[#This Row],[Item]],supercb[Bairro],mercado8)</f>
        <v>0</v>
      </c>
      <c r="T249" s="4">
        <f>SUMIFS(super1[Qtde],super1[Item],tab_alimentos[[#This Row],[Item]],super1[Bairro],mercado9)+SUMIFS(supercb[Qtde],supercb[Item],tab_alimentos[[#This Row],[Item]],supercb[Bairro],mercado9)</f>
        <v>0</v>
      </c>
      <c r="U249" s="4">
        <f>SUMIFS(super1[Qtde],super1[Item],tab_alimentos[[#This Row],[Item]],super1[Bairro],mercado10)+SUMIFS(supercb[Qtde],supercb[Item],tab_alimentos[[#This Row],[Item]],supercb[Bairro],mercado10)</f>
        <v>0</v>
      </c>
      <c r="V249" s="4">
        <f>SUMIFS(super1[Qtde],super1[Item],tab_alimentos[[#This Row],[Item]],super1[Bairro],mercado11)+SUMIFS(supercb[Qtde],supercb[Item],tab_alimentos[[#This Row],[Item]],supercb[Bairro],mercado11)</f>
        <v>0</v>
      </c>
      <c r="W249" s="4">
        <f>SUMIFS(super1[Qtde],super1[Item],tab_alimentos[[#This Row],[Item]],super1[Bairro],mercado12)+SUMIFS(supercb[Qtde],supercb[Item],tab_alimentos[[#This Row],[Item]],supercb[Bairro],mercado12)</f>
        <v>0</v>
      </c>
      <c r="X249" s="4">
        <f>SUMIFS(super1[Qtde],super1[Item],tab_alimentos[[#This Row],[Item]],super1[Bairro],mercado13)+SUMIFS(supercb[Qtde],supercb[Item],tab_alimentos[[#This Row],[Item]],supercb[Bairro],mercado13)</f>
        <v>0</v>
      </c>
      <c r="Y249" s="4">
        <f>SUMIFS(super1[Qtde],super1[Item],tab_alimentos[[#This Row],[Item]],super1[Bairro],mercado14)+SUMIFS(supercb[Qtde],supercb[Item],tab_alimentos[[#This Row],[Item]],supercb[Bairro],mercado14)</f>
        <v>0</v>
      </c>
      <c r="Z249" s="4">
        <f>SUMIFS(super1[Qtde],super1[Item],tab_alimentos[[#This Row],[Item]],super1[Bairro],mercado15)+SUMIFS(supercb[Qtde],supercb[Item],tab_alimentos[[#This Row],[Item]],supercb[Bairro],mercado15)</f>
        <v>0</v>
      </c>
      <c r="AA249" s="4">
        <f>SUMIFS(super1[Qtde],super1[Item],tab_alimentos[[#This Row],[Item]],super1[Bairro],mercado16)+SUMIFS(supercb[Qtde],supercb[Item],tab_alimentos[[#This Row],[Item]],supercb[Bairro],mercado16)</f>
        <v>0</v>
      </c>
      <c r="AB249" s="4">
        <f>SUMIFS(super1[Qtde],super1[Item],tab_alimentos[[#This Row],[Item]],super1[Bairro],mercado17)+SUMIFS(supercb[Qtde],supercb[Item],tab_alimentos[[#This Row],[Item]],supercb[Bairro],mercado17)</f>
        <v>0</v>
      </c>
      <c r="AC249" s="4">
        <f>SUMIFS(super1[Qtde],super1[Item],tab_alimentos[[#This Row],[Item]],super1[Bairro],mercado18)+SUMIFS(supercb[Qtde],supercb[Item],tab_alimentos[[#This Row],[Item]],supercb[Bairro],mercado18)</f>
        <v>0</v>
      </c>
      <c r="AD249" s="4">
        <f>SUMIFS(super1[Qtde],super1[Item],tab_alimentos[[#This Row],[Item]],super1[Bairro],extras)+SUMIFS(supercb[Qtde],supercb[Item],tab_alimentos[[#This Row],[Item]],supercb[Bairro],extras)</f>
        <v>0</v>
      </c>
      <c r="AE249" s="4">
        <f t="shared" si="82"/>
        <v>0</v>
      </c>
      <c r="AF249" s="4">
        <f t="shared" si="83"/>
        <v>0</v>
      </c>
      <c r="AG249" s="6">
        <f t="shared" si="84"/>
        <v>0</v>
      </c>
      <c r="AH249" s="13" t="str">
        <f>higiene[[#This Row],[Item]]</f>
        <v>SBP</v>
      </c>
      <c r="AI249" s="9">
        <f>IFERROR(higiene[[#This Row],[Kg equivalente]],0)</f>
        <v>0</v>
      </c>
      <c r="AJ249" s="9">
        <f>IFERROR(higiene[[#This Row],[Preço por produto]],0)</f>
        <v>12.9</v>
      </c>
      <c r="AK249" s="4">
        <f>SUMIFS(super1[Qtde],super1[Item],tab_higiene[[#This Row],[Item]],super1[Bairro],mercado1)+SUMIFS(supercb[Qtde],supercb[Item],tab_higiene[[#This Row],[Item]],supercb[Bairro],mercado1)</f>
        <v>0</v>
      </c>
      <c r="AL249" s="4">
        <f>SUMIFS(super1[Qtde],super1[Item],tab_higiene[[#This Row],[Item]],super1[Bairro],mercado2)+SUMIFS(supercb[Qtde],supercb[Item],tab_higiene[[#This Row],[Item]],supercb[Bairro],mercado2)</f>
        <v>0</v>
      </c>
      <c r="AM249" s="4">
        <f>SUMIFS(super1[Qtde],super1[Item],tab_higiene[[#This Row],[Item]],super1[Bairro],mercado3)+SUMIFS(supercb[Qtde],supercb[Item],tab_higiene[[#This Row],[Item]],supercb[Bairro],mercado3)</f>
        <v>0</v>
      </c>
      <c r="AN249" s="4">
        <f>SUMIFS(super1[Qtde],super1[Item],tab_higiene[[#This Row],[Item]],super1[Bairro],mercado4)+SUMIFS(supercb[Qtde],supercb[Item],tab_higiene[[#This Row],[Item]],supercb[Bairro],mercado4)</f>
        <v>0</v>
      </c>
      <c r="AO249" s="4">
        <f>SUMIFS(super1[Qtde],super1[Item],tab_higiene[[#This Row],[Item]],super1[Bairro],mercado5)+SUMIFS(supercb[Qtde],supercb[Item],tab_higiene[[#This Row],[Item]],supercb[Bairro],mercado5)</f>
        <v>0</v>
      </c>
      <c r="AP249" s="4">
        <f>SUMIFS(super1[Qtde],super1[Item],tab_higiene[[#This Row],[Item]],super1[Bairro],mercado6)+SUMIFS(supercb[Qtde],supercb[Item],tab_higiene[[#This Row],[Item]],supercb[Bairro],mercado6)</f>
        <v>0</v>
      </c>
      <c r="AQ249" s="4">
        <f>SUMIFS(super1[Qtde],super1[Item],tab_higiene[[#This Row],[Item]],super1[Bairro],mercado7)+SUMIFS(supercb[Qtde],supercb[Item],tab_higiene[[#This Row],[Item]],supercb[Bairro],mercado7)</f>
        <v>0</v>
      </c>
      <c r="AR249" s="4">
        <f>SUMIFS(super1[Qtde],super1[Item],tab_higiene[[#This Row],[Item]],super1[Bairro],mercado8)+SUMIFS(supercb[Qtde],supercb[Item],tab_higiene[[#This Row],[Item]],supercb[Bairro],mercado8)</f>
        <v>0</v>
      </c>
      <c r="AS249" s="4">
        <f>SUMIFS(super1[Qtde],super1[Item],tab_higiene[[#This Row],[Item]],super1[Bairro],mercado9)+SUMIFS(supercb[Qtde],supercb[Item],tab_higiene[[#This Row],[Item]],supercb[Bairro],mercado9)</f>
        <v>0</v>
      </c>
      <c r="AT249" s="4">
        <f>SUMIFS(super1[Qtde],super1[Item],tab_higiene[[#This Row],[Item]],super1[Bairro],mercado10)+SUMIFS(supercb[Qtde],supercb[Item],tab_higiene[[#This Row],[Item]],supercb[Bairro],mercado10)</f>
        <v>0</v>
      </c>
      <c r="AU249" s="4">
        <f>SUMIFS(super1[Qtde],super1[Item],tab_higiene[[#This Row],[Item]],super1[Bairro],mercado11)+SUMIFS(supercb[Qtde],supercb[Item],tab_higiene[[#This Row],[Item]],supercb[Bairro],mercado11)</f>
        <v>0</v>
      </c>
      <c r="AV249" s="4">
        <f>SUMIFS(super1[Qtde],super1[Item],tab_higiene[[#This Row],[Item]],super1[Bairro],mercado12)+SUMIFS(supercb[Qtde],supercb[Item],tab_higiene[[#This Row],[Item]],supercb[Bairro],mercado12)</f>
        <v>0</v>
      </c>
      <c r="AW249" s="4">
        <f>SUMIFS(super1[Qtde],super1[Item],tab_higiene[[#This Row],[Item]],super1[Bairro],mercado13)+SUMIFS(supercb[Qtde],supercb[Item],tab_higiene[[#This Row],[Item]],supercb[Bairro],mercado13)</f>
        <v>0</v>
      </c>
      <c r="AX249" s="4">
        <f>SUMIFS(super1[Qtde],super1[Item],tab_higiene[[#This Row],[Item]],super1[Bairro],mercado14)+SUMIFS(supercb[Qtde],supercb[Item],tab_higiene[[#This Row],[Item]],supercb[Bairro],mercado14)</f>
        <v>0</v>
      </c>
      <c r="AY249" s="4">
        <f>SUMIFS(super1[Qtde],super1[Item],tab_higiene[[#This Row],[Item]],super1[Bairro],mercado15)+SUMIFS(supercb[Qtde],supercb[Item],tab_higiene[[#This Row],[Item]],supercb[Bairro],mercado15)</f>
        <v>0</v>
      </c>
      <c r="AZ249" s="4">
        <f>SUMIFS(super1[Qtde],super1[Item],tab_higiene[[#This Row],[Item]],super1[Bairro],mercado16)+SUMIFS(supercb[Qtde],supercb[Item],tab_higiene[[#This Row],[Item]],supercb[Bairro],mercado16)</f>
        <v>0</v>
      </c>
      <c r="BA249" s="4">
        <f>SUMIFS(super1[Qtde],super1[Item],tab_higiene[[#This Row],[Item]],super1[Bairro],mercado17)+SUMIFS(supercb[Qtde],supercb[Item],tab_higiene[[#This Row],[Item]],supercb[Bairro],mercado17)</f>
        <v>0</v>
      </c>
      <c r="BB249" s="4">
        <f>SUMIFS(super1[Qtde],super1[Item],tab_higiene[[#This Row],[Item]],super1[Bairro],mercado18)+SUMIFS(supercb[Qtde],supercb[Item],tab_higiene[[#This Row],[Item]],supercb[Bairro],mercado18)</f>
        <v>0</v>
      </c>
      <c r="BC249" s="31">
        <f>SUMIFS(super1[Qtde],super1[Item],tab_higiene[[#This Row],[Item]],super1[Bairro],extras)+SUMIFS(supercb[Qtde],supercb[Item],tab_higiene[[#This Row],[Item]],supercb[Bairro],extras)</f>
        <v>0</v>
      </c>
      <c r="BD249" s="9">
        <f t="shared" si="85"/>
        <v>0</v>
      </c>
      <c r="BE249" s="9">
        <f t="shared" si="86"/>
        <v>0</v>
      </c>
      <c r="BF249" s="18">
        <f t="shared" si="87"/>
        <v>0</v>
      </c>
    </row>
    <row r="250" spans="9:58" ht="15.75" thickBot="1" x14ac:dyDescent="0.3">
      <c r="I250" s="19" t="str">
        <f>alimentos[[#This Row],[Item]]</f>
        <v>Gelatina (20g)</v>
      </c>
      <c r="J250" s="4">
        <f>IFERROR(alimentos[[#This Row],[kg/embalagem]],0)</f>
        <v>0.02</v>
      </c>
      <c r="K250" s="4">
        <f>IFERROR(alimentos[[#This Row],[Preço]],0)</f>
        <v>1.48</v>
      </c>
      <c r="L250" s="4">
        <f>SUMIFS(super1[Qtde],super1[Item],tab_alimentos[[#This Row],[Item]],super1[Bairro],mercado1)+SUMIFS(supercb[Qtde],supercb[Item],tab_alimentos[[#This Row],[Item]],supercb[Bairro],mercado1)</f>
        <v>0</v>
      </c>
      <c r="M250" s="4">
        <f>SUMIFS(super1[Qtde],super1[Item],tab_alimentos[[#This Row],[Item]],super1[Bairro],mercado2)+SUMIFS(supercb[Qtde],supercb[Item],tab_alimentos[[#This Row],[Item]],supercb[Bairro],mercado2)</f>
        <v>0</v>
      </c>
      <c r="N250" s="4">
        <f>SUMIFS(super1[Qtde],super1[Item],tab_alimentos[[#This Row],[Item]],super1[Bairro],mercado3)+SUMIFS(supercb[Qtde],supercb[Item],tab_alimentos[[#This Row],[Item]],supercb[Bairro],mercado3)</f>
        <v>0</v>
      </c>
      <c r="O250" s="4">
        <f>SUMIFS(super1[Qtde],super1[Item],tab_alimentos[[#This Row],[Item]],super1[Bairro],mercado4)+SUMIFS(supercb[Qtde],supercb[Item],tab_alimentos[[#This Row],[Item]],supercb[Bairro],mercado4)</f>
        <v>0</v>
      </c>
      <c r="P250" s="4">
        <f>SUMIFS(super1[Qtde],super1[Item],tab_alimentos[[#This Row],[Item]],super1[Bairro],mercado5)+SUMIFS(supercb[Qtde],supercb[Item],tab_alimentos[[#This Row],[Item]],supercb[Bairro],mercado5)</f>
        <v>0</v>
      </c>
      <c r="Q250" s="4">
        <f>SUMIFS(super1[Qtde],super1[Item],tab_alimentos[[#This Row],[Item]],super1[Bairro],mercado6)+SUMIFS(supercb[Qtde],supercb[Item],tab_alimentos[[#This Row],[Item]],supercb[Bairro],mercado6)</f>
        <v>0</v>
      </c>
      <c r="R250" s="4">
        <f>SUMIFS(super1[Qtde],super1[Item],tab_alimentos[[#This Row],[Item]],super1[Bairro],mercado7)+SUMIFS(supercb[Qtde],supercb[Item],tab_alimentos[[#This Row],[Item]],supercb[Bairro],mercado7)</f>
        <v>0</v>
      </c>
      <c r="S250" s="4">
        <f>SUMIFS(super1[Qtde],super1[Item],tab_alimentos[[#This Row],[Item]],super1[Bairro],mercado8)+SUMIFS(supercb[Qtde],supercb[Item],tab_alimentos[[#This Row],[Item]],supercb[Bairro],mercado8)</f>
        <v>0</v>
      </c>
      <c r="T250" s="4">
        <f>SUMIFS(super1[Qtde],super1[Item],tab_alimentos[[#This Row],[Item]],super1[Bairro],mercado9)+SUMIFS(supercb[Qtde],supercb[Item],tab_alimentos[[#This Row],[Item]],supercb[Bairro],mercado9)</f>
        <v>0</v>
      </c>
      <c r="U250" s="4">
        <f>SUMIFS(super1[Qtde],super1[Item],tab_alimentos[[#This Row],[Item]],super1[Bairro],mercado10)+SUMIFS(supercb[Qtde],supercb[Item],tab_alimentos[[#This Row],[Item]],supercb[Bairro],mercado10)</f>
        <v>0</v>
      </c>
      <c r="V250" s="4">
        <f>SUMIFS(super1[Qtde],super1[Item],tab_alimentos[[#This Row],[Item]],super1[Bairro],mercado11)+SUMIFS(supercb[Qtde],supercb[Item],tab_alimentos[[#This Row],[Item]],supercb[Bairro],mercado11)</f>
        <v>0</v>
      </c>
      <c r="W250" s="4">
        <f>SUMIFS(super1[Qtde],super1[Item],tab_alimentos[[#This Row],[Item]],super1[Bairro],mercado12)+SUMIFS(supercb[Qtde],supercb[Item],tab_alimentos[[#This Row],[Item]],supercb[Bairro],mercado12)</f>
        <v>0</v>
      </c>
      <c r="X250" s="4">
        <f>SUMIFS(super1[Qtde],super1[Item],tab_alimentos[[#This Row],[Item]],super1[Bairro],mercado13)+SUMIFS(supercb[Qtde],supercb[Item],tab_alimentos[[#This Row],[Item]],supercb[Bairro],mercado13)</f>
        <v>0</v>
      </c>
      <c r="Y250" s="4">
        <f>SUMIFS(super1[Qtde],super1[Item],tab_alimentos[[#This Row],[Item]],super1[Bairro],mercado14)+SUMIFS(supercb[Qtde],supercb[Item],tab_alimentos[[#This Row],[Item]],supercb[Bairro],mercado14)</f>
        <v>0</v>
      </c>
      <c r="Z250" s="4">
        <f>SUMIFS(super1[Qtde],super1[Item],tab_alimentos[[#This Row],[Item]],super1[Bairro],mercado15)+SUMIFS(supercb[Qtde],supercb[Item],tab_alimentos[[#This Row],[Item]],supercb[Bairro],mercado15)</f>
        <v>0</v>
      </c>
      <c r="AA250" s="4">
        <f>SUMIFS(super1[Qtde],super1[Item],tab_alimentos[[#This Row],[Item]],super1[Bairro],mercado16)+SUMIFS(supercb[Qtde],supercb[Item],tab_alimentos[[#This Row],[Item]],supercb[Bairro],mercado16)</f>
        <v>0</v>
      </c>
      <c r="AB250" s="4">
        <f>SUMIFS(super1[Qtde],super1[Item],tab_alimentos[[#This Row],[Item]],super1[Bairro],mercado17)+SUMIFS(supercb[Qtde],supercb[Item],tab_alimentos[[#This Row],[Item]],supercb[Bairro],mercado17)</f>
        <v>0</v>
      </c>
      <c r="AC250" s="4">
        <f>SUMIFS(super1[Qtde],super1[Item],tab_alimentos[[#This Row],[Item]],super1[Bairro],mercado18)+SUMIFS(supercb[Qtde],supercb[Item],tab_alimentos[[#This Row],[Item]],supercb[Bairro],mercado18)</f>
        <v>0</v>
      </c>
      <c r="AD250" s="4">
        <f>SUMIFS(super1[Qtde],super1[Item],tab_alimentos[[#This Row],[Item]],super1[Bairro],extras)+SUMIFS(supercb[Qtde],supercb[Item],tab_alimentos[[#This Row],[Item]],supercb[Bairro],extras)</f>
        <v>0</v>
      </c>
      <c r="AE250" s="4">
        <f t="shared" si="82"/>
        <v>0</v>
      </c>
      <c r="AF250" s="4">
        <f t="shared" si="83"/>
        <v>0</v>
      </c>
      <c r="AG250" s="6">
        <f t="shared" si="84"/>
        <v>0</v>
      </c>
      <c r="AH250" s="13" t="str">
        <f>higiene[[#This Row],[Item]]</f>
        <v>Shampoo (175 mL)</v>
      </c>
      <c r="AI250" s="9">
        <f>IFERROR(higiene[[#This Row],[Kg equivalente]],0)</f>
        <v>0</v>
      </c>
      <c r="AJ250" s="9">
        <f>IFERROR(higiene[[#This Row],[Preço por produto]],0)</f>
        <v>9.9</v>
      </c>
      <c r="AK250" s="4">
        <f>SUMIFS(super1[Qtde],super1[Item],tab_higiene[[#This Row],[Item]],super1[Bairro],mercado1)+SUMIFS(supercb[Qtde],supercb[Item],tab_higiene[[#This Row],[Item]],supercb[Bairro],mercado1)</f>
        <v>0</v>
      </c>
      <c r="AL250" s="4">
        <f>SUMIFS(super1[Qtde],super1[Item],tab_higiene[[#This Row],[Item]],super1[Bairro],mercado2)+SUMIFS(supercb[Qtde],supercb[Item],tab_higiene[[#This Row],[Item]],supercb[Bairro],mercado2)</f>
        <v>0</v>
      </c>
      <c r="AM250" s="4">
        <f>SUMIFS(super1[Qtde],super1[Item],tab_higiene[[#This Row],[Item]],super1[Bairro],mercado3)+SUMIFS(supercb[Qtde],supercb[Item],tab_higiene[[#This Row],[Item]],supercb[Bairro],mercado3)</f>
        <v>0</v>
      </c>
      <c r="AN250" s="4">
        <f>SUMIFS(super1[Qtde],super1[Item],tab_higiene[[#This Row],[Item]],super1[Bairro],mercado4)+SUMIFS(supercb[Qtde],supercb[Item],tab_higiene[[#This Row],[Item]],supercb[Bairro],mercado4)</f>
        <v>0</v>
      </c>
      <c r="AO250" s="4">
        <f>SUMIFS(super1[Qtde],super1[Item],tab_higiene[[#This Row],[Item]],super1[Bairro],mercado5)+SUMIFS(supercb[Qtde],supercb[Item],tab_higiene[[#This Row],[Item]],supercb[Bairro],mercado5)</f>
        <v>0</v>
      </c>
      <c r="AP250" s="4">
        <f>SUMIFS(super1[Qtde],super1[Item],tab_higiene[[#This Row],[Item]],super1[Bairro],mercado6)+SUMIFS(supercb[Qtde],supercb[Item],tab_higiene[[#This Row],[Item]],supercb[Bairro],mercado6)</f>
        <v>0</v>
      </c>
      <c r="AQ250" s="4">
        <f>SUMIFS(super1[Qtde],super1[Item],tab_higiene[[#This Row],[Item]],super1[Bairro],mercado7)+SUMIFS(supercb[Qtde],supercb[Item],tab_higiene[[#This Row],[Item]],supercb[Bairro],mercado7)</f>
        <v>0</v>
      </c>
      <c r="AR250" s="4">
        <f>SUMIFS(super1[Qtde],super1[Item],tab_higiene[[#This Row],[Item]],super1[Bairro],mercado8)+SUMIFS(supercb[Qtde],supercb[Item],tab_higiene[[#This Row],[Item]],supercb[Bairro],mercado8)</f>
        <v>0</v>
      </c>
      <c r="AS250" s="4">
        <f>SUMIFS(super1[Qtde],super1[Item],tab_higiene[[#This Row],[Item]],super1[Bairro],mercado9)+SUMIFS(supercb[Qtde],supercb[Item],tab_higiene[[#This Row],[Item]],supercb[Bairro],mercado9)</f>
        <v>0</v>
      </c>
      <c r="AT250" s="4">
        <f>SUMIFS(super1[Qtde],super1[Item],tab_higiene[[#This Row],[Item]],super1[Bairro],mercado10)+SUMIFS(supercb[Qtde],supercb[Item],tab_higiene[[#This Row],[Item]],supercb[Bairro],mercado10)</f>
        <v>0</v>
      </c>
      <c r="AU250" s="4">
        <f>SUMIFS(super1[Qtde],super1[Item],tab_higiene[[#This Row],[Item]],super1[Bairro],mercado11)+SUMIFS(supercb[Qtde],supercb[Item],tab_higiene[[#This Row],[Item]],supercb[Bairro],mercado11)</f>
        <v>0</v>
      </c>
      <c r="AV250" s="4">
        <f>SUMIFS(super1[Qtde],super1[Item],tab_higiene[[#This Row],[Item]],super1[Bairro],mercado12)+SUMIFS(supercb[Qtde],supercb[Item],tab_higiene[[#This Row],[Item]],supercb[Bairro],mercado12)</f>
        <v>0</v>
      </c>
      <c r="AW250" s="4">
        <f>SUMIFS(super1[Qtde],super1[Item],tab_higiene[[#This Row],[Item]],super1[Bairro],mercado13)+SUMIFS(supercb[Qtde],supercb[Item],tab_higiene[[#This Row],[Item]],supercb[Bairro],mercado13)</f>
        <v>0</v>
      </c>
      <c r="AX250" s="4">
        <f>SUMIFS(super1[Qtde],super1[Item],tab_higiene[[#This Row],[Item]],super1[Bairro],mercado14)+SUMIFS(supercb[Qtde],supercb[Item],tab_higiene[[#This Row],[Item]],supercb[Bairro],mercado14)</f>
        <v>0</v>
      </c>
      <c r="AY250" s="4">
        <f>SUMIFS(super1[Qtde],super1[Item],tab_higiene[[#This Row],[Item]],super1[Bairro],mercado15)+SUMIFS(supercb[Qtde],supercb[Item],tab_higiene[[#This Row],[Item]],supercb[Bairro],mercado15)</f>
        <v>0</v>
      </c>
      <c r="AZ250" s="4">
        <f>SUMIFS(super1[Qtde],super1[Item],tab_higiene[[#This Row],[Item]],super1[Bairro],mercado16)+SUMIFS(supercb[Qtde],supercb[Item],tab_higiene[[#This Row],[Item]],supercb[Bairro],mercado16)</f>
        <v>0</v>
      </c>
      <c r="BA250" s="4">
        <f>SUMIFS(super1[Qtde],super1[Item],tab_higiene[[#This Row],[Item]],super1[Bairro],mercado17)+SUMIFS(supercb[Qtde],supercb[Item],tab_higiene[[#This Row],[Item]],supercb[Bairro],mercado17)</f>
        <v>0</v>
      </c>
      <c r="BB250" s="4">
        <f>SUMIFS(super1[Qtde],super1[Item],tab_higiene[[#This Row],[Item]],super1[Bairro],mercado18)+SUMIFS(supercb[Qtde],supercb[Item],tab_higiene[[#This Row],[Item]],supercb[Bairro],mercado18)</f>
        <v>0</v>
      </c>
      <c r="BC250" s="31">
        <f>SUMIFS(super1[Qtde],super1[Item],tab_higiene[[#This Row],[Item]],super1[Bairro],extras)+SUMIFS(supercb[Qtde],supercb[Item],tab_higiene[[#This Row],[Item]],supercb[Bairro],extras)</f>
        <v>0</v>
      </c>
      <c r="BD250" s="9">
        <f t="shared" si="85"/>
        <v>0</v>
      </c>
      <c r="BE250" s="9">
        <f t="shared" si="86"/>
        <v>0</v>
      </c>
      <c r="BF250" s="18">
        <f t="shared" si="87"/>
        <v>0</v>
      </c>
    </row>
    <row r="251" spans="9:58" ht="15.75" thickBot="1" x14ac:dyDescent="0.3">
      <c r="I251" s="19" t="str">
        <f>alimentos[[#This Row],[Item]]</f>
        <v>Gelatina (25g)</v>
      </c>
      <c r="J251" s="4">
        <f>IFERROR(alimentos[[#This Row],[kg/embalagem]],0)</f>
        <v>2.5000000000000001E-2</v>
      </c>
      <c r="K251" s="4">
        <f>IFERROR(alimentos[[#This Row],[Preço]],0)</f>
        <v>1.79</v>
      </c>
      <c r="L251" s="4">
        <f>SUMIFS(super1[Qtde],super1[Item],tab_alimentos[[#This Row],[Item]],super1[Bairro],mercado1)+SUMIFS(supercb[Qtde],supercb[Item],tab_alimentos[[#This Row],[Item]],supercb[Bairro],mercado1)</f>
        <v>0</v>
      </c>
      <c r="M251" s="4">
        <f>SUMIFS(super1[Qtde],super1[Item],tab_alimentos[[#This Row],[Item]],super1[Bairro],mercado2)+SUMIFS(supercb[Qtde],supercb[Item],tab_alimentos[[#This Row],[Item]],supercb[Bairro],mercado2)</f>
        <v>0</v>
      </c>
      <c r="N251" s="4">
        <f>SUMIFS(super1[Qtde],super1[Item],tab_alimentos[[#This Row],[Item]],super1[Bairro],mercado3)+SUMIFS(supercb[Qtde],supercb[Item],tab_alimentos[[#This Row],[Item]],supercb[Bairro],mercado3)</f>
        <v>0</v>
      </c>
      <c r="O251" s="4">
        <f>SUMIFS(super1[Qtde],super1[Item],tab_alimentos[[#This Row],[Item]],super1[Bairro],mercado4)+SUMIFS(supercb[Qtde],supercb[Item],tab_alimentos[[#This Row],[Item]],supercb[Bairro],mercado4)</f>
        <v>0</v>
      </c>
      <c r="P251" s="4">
        <f>SUMIFS(super1[Qtde],super1[Item],tab_alimentos[[#This Row],[Item]],super1[Bairro],mercado5)+SUMIFS(supercb[Qtde],supercb[Item],tab_alimentos[[#This Row],[Item]],supercb[Bairro],mercado5)</f>
        <v>0</v>
      </c>
      <c r="Q251" s="4">
        <f>SUMIFS(super1[Qtde],super1[Item],tab_alimentos[[#This Row],[Item]],super1[Bairro],mercado6)+SUMIFS(supercb[Qtde],supercb[Item],tab_alimentos[[#This Row],[Item]],supercb[Bairro],mercado6)</f>
        <v>0</v>
      </c>
      <c r="R251" s="4">
        <f>SUMIFS(super1[Qtde],super1[Item],tab_alimentos[[#This Row],[Item]],super1[Bairro],mercado7)+SUMIFS(supercb[Qtde],supercb[Item],tab_alimentos[[#This Row],[Item]],supercb[Bairro],mercado7)</f>
        <v>0</v>
      </c>
      <c r="S251" s="4">
        <f>SUMIFS(super1[Qtde],super1[Item],tab_alimentos[[#This Row],[Item]],super1[Bairro],mercado8)+SUMIFS(supercb[Qtde],supercb[Item],tab_alimentos[[#This Row],[Item]],supercb[Bairro],mercado8)</f>
        <v>0</v>
      </c>
      <c r="T251" s="4">
        <f>SUMIFS(super1[Qtde],super1[Item],tab_alimentos[[#This Row],[Item]],super1[Bairro],mercado9)+SUMIFS(supercb[Qtde],supercb[Item],tab_alimentos[[#This Row],[Item]],supercb[Bairro],mercado9)</f>
        <v>0</v>
      </c>
      <c r="U251" s="4">
        <f>SUMIFS(super1[Qtde],super1[Item],tab_alimentos[[#This Row],[Item]],super1[Bairro],mercado10)+SUMIFS(supercb[Qtde],supercb[Item],tab_alimentos[[#This Row],[Item]],supercb[Bairro],mercado10)</f>
        <v>0</v>
      </c>
      <c r="V251" s="4">
        <f>SUMIFS(super1[Qtde],super1[Item],tab_alimentos[[#This Row],[Item]],super1[Bairro],mercado11)+SUMIFS(supercb[Qtde],supercb[Item],tab_alimentos[[#This Row],[Item]],supercb[Bairro],mercado11)</f>
        <v>0</v>
      </c>
      <c r="W251" s="4">
        <f>SUMIFS(super1[Qtde],super1[Item],tab_alimentos[[#This Row],[Item]],super1[Bairro],mercado12)+SUMIFS(supercb[Qtde],supercb[Item],tab_alimentos[[#This Row],[Item]],supercb[Bairro],mercado12)</f>
        <v>0</v>
      </c>
      <c r="X251" s="4">
        <f>SUMIFS(super1[Qtde],super1[Item],tab_alimentos[[#This Row],[Item]],super1[Bairro],mercado13)+SUMIFS(supercb[Qtde],supercb[Item],tab_alimentos[[#This Row],[Item]],supercb[Bairro],mercado13)</f>
        <v>0</v>
      </c>
      <c r="Y251" s="4">
        <f>SUMIFS(super1[Qtde],super1[Item],tab_alimentos[[#This Row],[Item]],super1[Bairro],mercado14)+SUMIFS(supercb[Qtde],supercb[Item],tab_alimentos[[#This Row],[Item]],supercb[Bairro],mercado14)</f>
        <v>0</v>
      </c>
      <c r="Z251" s="4">
        <f>SUMIFS(super1[Qtde],super1[Item],tab_alimentos[[#This Row],[Item]],super1[Bairro],mercado15)+SUMIFS(supercb[Qtde],supercb[Item],tab_alimentos[[#This Row],[Item]],supercb[Bairro],mercado15)</f>
        <v>0</v>
      </c>
      <c r="AA251" s="4">
        <f>SUMIFS(super1[Qtde],super1[Item],tab_alimentos[[#This Row],[Item]],super1[Bairro],mercado16)+SUMIFS(supercb[Qtde],supercb[Item],tab_alimentos[[#This Row],[Item]],supercb[Bairro],mercado16)</f>
        <v>0</v>
      </c>
      <c r="AB251" s="4">
        <f>SUMIFS(super1[Qtde],super1[Item],tab_alimentos[[#This Row],[Item]],super1[Bairro],mercado17)+SUMIFS(supercb[Qtde],supercb[Item],tab_alimentos[[#This Row],[Item]],supercb[Bairro],mercado17)</f>
        <v>0</v>
      </c>
      <c r="AC251" s="4">
        <f>SUMIFS(super1[Qtde],super1[Item],tab_alimentos[[#This Row],[Item]],super1[Bairro],mercado18)+SUMIFS(supercb[Qtde],supercb[Item],tab_alimentos[[#This Row],[Item]],supercb[Bairro],mercado18)</f>
        <v>0</v>
      </c>
      <c r="AD251" s="4">
        <f>SUMIFS(super1[Qtde],super1[Item],tab_alimentos[[#This Row],[Item]],super1[Bairro],extras)+SUMIFS(supercb[Qtde],supercb[Item],tab_alimentos[[#This Row],[Item]],supercb[Bairro],extras)</f>
        <v>0</v>
      </c>
      <c r="AE251" s="4">
        <f t="shared" si="82"/>
        <v>0</v>
      </c>
      <c r="AF251" s="4">
        <f t="shared" si="83"/>
        <v>0</v>
      </c>
      <c r="AG251" s="6">
        <f t="shared" si="84"/>
        <v>0</v>
      </c>
      <c r="AH251" s="13" t="str">
        <f>higiene[[#This Row],[Item]]</f>
        <v>Shampoo (250mL)</v>
      </c>
      <c r="AI251" s="9">
        <f>IFERROR(higiene[[#This Row],[Kg equivalente]],0)</f>
        <v>0</v>
      </c>
      <c r="AJ251" s="9">
        <f>IFERROR(higiene[[#This Row],[Preço por produto]],0)</f>
        <v>13.49</v>
      </c>
      <c r="AK251" s="4">
        <f>SUMIFS(super1[Qtde],super1[Item],tab_higiene[[#This Row],[Item]],super1[Bairro],mercado1)+SUMIFS(supercb[Qtde],supercb[Item],tab_higiene[[#This Row],[Item]],supercb[Bairro],mercado1)</f>
        <v>0</v>
      </c>
      <c r="AL251" s="4">
        <f>SUMIFS(super1[Qtde],super1[Item],tab_higiene[[#This Row],[Item]],super1[Bairro],mercado2)+SUMIFS(supercb[Qtde],supercb[Item],tab_higiene[[#This Row],[Item]],supercb[Bairro],mercado2)</f>
        <v>0</v>
      </c>
      <c r="AM251" s="4">
        <f>SUMIFS(super1[Qtde],super1[Item],tab_higiene[[#This Row],[Item]],super1[Bairro],mercado3)+SUMIFS(supercb[Qtde],supercb[Item],tab_higiene[[#This Row],[Item]],supercb[Bairro],mercado3)</f>
        <v>0</v>
      </c>
      <c r="AN251" s="4">
        <f>SUMIFS(super1[Qtde],super1[Item],tab_higiene[[#This Row],[Item]],super1[Bairro],mercado4)+SUMIFS(supercb[Qtde],supercb[Item],tab_higiene[[#This Row],[Item]],supercb[Bairro],mercado4)</f>
        <v>0</v>
      </c>
      <c r="AO251" s="4">
        <f>SUMIFS(super1[Qtde],super1[Item],tab_higiene[[#This Row],[Item]],super1[Bairro],mercado5)+SUMIFS(supercb[Qtde],supercb[Item],tab_higiene[[#This Row],[Item]],supercb[Bairro],mercado5)</f>
        <v>0</v>
      </c>
      <c r="AP251" s="4">
        <f>SUMIFS(super1[Qtde],super1[Item],tab_higiene[[#This Row],[Item]],super1[Bairro],mercado6)+SUMIFS(supercb[Qtde],supercb[Item],tab_higiene[[#This Row],[Item]],supercb[Bairro],mercado6)</f>
        <v>0</v>
      </c>
      <c r="AQ251" s="4">
        <f>SUMIFS(super1[Qtde],super1[Item],tab_higiene[[#This Row],[Item]],super1[Bairro],mercado7)+SUMIFS(supercb[Qtde],supercb[Item],tab_higiene[[#This Row],[Item]],supercb[Bairro],mercado7)</f>
        <v>0</v>
      </c>
      <c r="AR251" s="4">
        <f>SUMIFS(super1[Qtde],super1[Item],tab_higiene[[#This Row],[Item]],super1[Bairro],mercado8)+SUMIFS(supercb[Qtde],supercb[Item],tab_higiene[[#This Row],[Item]],supercb[Bairro],mercado8)</f>
        <v>0</v>
      </c>
      <c r="AS251" s="4">
        <f>SUMIFS(super1[Qtde],super1[Item],tab_higiene[[#This Row],[Item]],super1[Bairro],mercado9)+SUMIFS(supercb[Qtde],supercb[Item],tab_higiene[[#This Row],[Item]],supercb[Bairro],mercado9)</f>
        <v>0</v>
      </c>
      <c r="AT251" s="4">
        <f>SUMIFS(super1[Qtde],super1[Item],tab_higiene[[#This Row],[Item]],super1[Bairro],mercado10)+SUMIFS(supercb[Qtde],supercb[Item],tab_higiene[[#This Row],[Item]],supercb[Bairro],mercado10)</f>
        <v>0</v>
      </c>
      <c r="AU251" s="4">
        <f>SUMIFS(super1[Qtde],super1[Item],tab_higiene[[#This Row],[Item]],super1[Bairro],mercado11)+SUMIFS(supercb[Qtde],supercb[Item],tab_higiene[[#This Row],[Item]],supercb[Bairro],mercado11)</f>
        <v>0</v>
      </c>
      <c r="AV251" s="4">
        <f>SUMIFS(super1[Qtde],super1[Item],tab_higiene[[#This Row],[Item]],super1[Bairro],mercado12)+SUMIFS(supercb[Qtde],supercb[Item],tab_higiene[[#This Row],[Item]],supercb[Bairro],mercado12)</f>
        <v>0</v>
      </c>
      <c r="AW251" s="4">
        <f>SUMIFS(super1[Qtde],super1[Item],tab_higiene[[#This Row],[Item]],super1[Bairro],mercado13)+SUMIFS(supercb[Qtde],supercb[Item],tab_higiene[[#This Row],[Item]],supercb[Bairro],mercado13)</f>
        <v>0</v>
      </c>
      <c r="AX251" s="4">
        <f>SUMIFS(super1[Qtde],super1[Item],tab_higiene[[#This Row],[Item]],super1[Bairro],mercado14)+SUMIFS(supercb[Qtde],supercb[Item],tab_higiene[[#This Row],[Item]],supercb[Bairro],mercado14)</f>
        <v>0</v>
      </c>
      <c r="AY251" s="4">
        <f>SUMIFS(super1[Qtde],super1[Item],tab_higiene[[#This Row],[Item]],super1[Bairro],mercado15)+SUMIFS(supercb[Qtde],supercb[Item],tab_higiene[[#This Row],[Item]],supercb[Bairro],mercado15)</f>
        <v>0</v>
      </c>
      <c r="AZ251" s="4">
        <f>SUMIFS(super1[Qtde],super1[Item],tab_higiene[[#This Row],[Item]],super1[Bairro],mercado16)+SUMIFS(supercb[Qtde],supercb[Item],tab_higiene[[#This Row],[Item]],supercb[Bairro],mercado16)</f>
        <v>0</v>
      </c>
      <c r="BA251" s="4">
        <f>SUMIFS(super1[Qtde],super1[Item],tab_higiene[[#This Row],[Item]],super1[Bairro],mercado17)+SUMIFS(supercb[Qtde],supercb[Item],tab_higiene[[#This Row],[Item]],supercb[Bairro],mercado17)</f>
        <v>0</v>
      </c>
      <c r="BB251" s="4">
        <f>SUMIFS(super1[Qtde],super1[Item],tab_higiene[[#This Row],[Item]],super1[Bairro],mercado18)+SUMIFS(supercb[Qtde],supercb[Item],tab_higiene[[#This Row],[Item]],supercb[Bairro],mercado18)</f>
        <v>0</v>
      </c>
      <c r="BC251" s="31">
        <f>SUMIFS(super1[Qtde],super1[Item],tab_higiene[[#This Row],[Item]],super1[Bairro],extras)+SUMIFS(supercb[Qtde],supercb[Item],tab_higiene[[#This Row],[Item]],supercb[Bairro],extras)</f>
        <v>0</v>
      </c>
      <c r="BD251" s="9">
        <f t="shared" si="85"/>
        <v>0</v>
      </c>
      <c r="BE251" s="9">
        <f t="shared" si="86"/>
        <v>0</v>
      </c>
      <c r="BF251" s="18">
        <f t="shared" si="87"/>
        <v>0</v>
      </c>
    </row>
    <row r="252" spans="9:58" ht="15.75" thickBot="1" x14ac:dyDescent="0.3">
      <c r="I252" s="19" t="str">
        <f>alimentos[[#This Row],[Item]]</f>
        <v>Gelatina (25g)</v>
      </c>
      <c r="J252" s="4">
        <f>IFERROR(alimentos[[#This Row],[kg/embalagem]],0)</f>
        <v>2.5000000000000001E-2</v>
      </c>
      <c r="K252" s="4">
        <f>IFERROR(alimentos[[#This Row],[Preço]],0)</f>
        <v>1.79</v>
      </c>
      <c r="L252" s="4">
        <f>SUMIFS(super1[Qtde],super1[Item],tab_alimentos[[#This Row],[Item]],super1[Bairro],mercado1)+SUMIFS(supercb[Qtde],supercb[Item],tab_alimentos[[#This Row],[Item]],supercb[Bairro],mercado1)</f>
        <v>0</v>
      </c>
      <c r="M252" s="4">
        <f>SUMIFS(super1[Qtde],super1[Item],tab_alimentos[[#This Row],[Item]],super1[Bairro],mercado2)+SUMIFS(supercb[Qtde],supercb[Item],tab_alimentos[[#This Row],[Item]],supercb[Bairro],mercado2)</f>
        <v>0</v>
      </c>
      <c r="N252" s="4">
        <f>SUMIFS(super1[Qtde],super1[Item],tab_alimentos[[#This Row],[Item]],super1[Bairro],mercado3)+SUMIFS(supercb[Qtde],supercb[Item],tab_alimentos[[#This Row],[Item]],supercb[Bairro],mercado3)</f>
        <v>0</v>
      </c>
      <c r="O252" s="4">
        <f>SUMIFS(super1[Qtde],super1[Item],tab_alimentos[[#This Row],[Item]],super1[Bairro],mercado4)+SUMIFS(supercb[Qtde],supercb[Item],tab_alimentos[[#This Row],[Item]],supercb[Bairro],mercado4)</f>
        <v>0</v>
      </c>
      <c r="P252" s="4">
        <f>SUMIFS(super1[Qtde],super1[Item],tab_alimentos[[#This Row],[Item]],super1[Bairro],mercado5)+SUMIFS(supercb[Qtde],supercb[Item],tab_alimentos[[#This Row],[Item]],supercb[Bairro],mercado5)</f>
        <v>0</v>
      </c>
      <c r="Q252" s="4">
        <f>SUMIFS(super1[Qtde],super1[Item],tab_alimentos[[#This Row],[Item]],super1[Bairro],mercado6)+SUMIFS(supercb[Qtde],supercb[Item],tab_alimentos[[#This Row],[Item]],supercb[Bairro],mercado6)</f>
        <v>0</v>
      </c>
      <c r="R252" s="4">
        <f>SUMIFS(super1[Qtde],super1[Item],tab_alimentos[[#This Row],[Item]],super1[Bairro],mercado7)+SUMIFS(supercb[Qtde],supercb[Item],tab_alimentos[[#This Row],[Item]],supercb[Bairro],mercado7)</f>
        <v>0</v>
      </c>
      <c r="S252" s="4">
        <f>SUMIFS(super1[Qtde],super1[Item],tab_alimentos[[#This Row],[Item]],super1[Bairro],mercado8)+SUMIFS(supercb[Qtde],supercb[Item],tab_alimentos[[#This Row],[Item]],supercb[Bairro],mercado8)</f>
        <v>0</v>
      </c>
      <c r="T252" s="4">
        <f>SUMIFS(super1[Qtde],super1[Item],tab_alimentos[[#This Row],[Item]],super1[Bairro],mercado9)+SUMIFS(supercb[Qtde],supercb[Item],tab_alimentos[[#This Row],[Item]],supercb[Bairro],mercado9)</f>
        <v>0</v>
      </c>
      <c r="U252" s="4">
        <f>SUMIFS(super1[Qtde],super1[Item],tab_alimentos[[#This Row],[Item]],super1[Bairro],mercado10)+SUMIFS(supercb[Qtde],supercb[Item],tab_alimentos[[#This Row],[Item]],supercb[Bairro],mercado10)</f>
        <v>0</v>
      </c>
      <c r="V252" s="4">
        <f>SUMIFS(super1[Qtde],super1[Item],tab_alimentos[[#This Row],[Item]],super1[Bairro],mercado11)+SUMIFS(supercb[Qtde],supercb[Item],tab_alimentos[[#This Row],[Item]],supercb[Bairro],mercado11)</f>
        <v>0</v>
      </c>
      <c r="W252" s="4">
        <f>SUMIFS(super1[Qtde],super1[Item],tab_alimentos[[#This Row],[Item]],super1[Bairro],mercado12)+SUMIFS(supercb[Qtde],supercb[Item],tab_alimentos[[#This Row],[Item]],supercb[Bairro],mercado12)</f>
        <v>0</v>
      </c>
      <c r="X252" s="4">
        <f>SUMIFS(super1[Qtde],super1[Item],tab_alimentos[[#This Row],[Item]],super1[Bairro],mercado13)+SUMIFS(supercb[Qtde],supercb[Item],tab_alimentos[[#This Row],[Item]],supercb[Bairro],mercado13)</f>
        <v>0</v>
      </c>
      <c r="Y252" s="4">
        <f>SUMIFS(super1[Qtde],super1[Item],tab_alimentos[[#This Row],[Item]],super1[Bairro],mercado14)+SUMIFS(supercb[Qtde],supercb[Item],tab_alimentos[[#This Row],[Item]],supercb[Bairro],mercado14)</f>
        <v>0</v>
      </c>
      <c r="Z252" s="4">
        <f>SUMIFS(super1[Qtde],super1[Item],tab_alimentos[[#This Row],[Item]],super1[Bairro],mercado15)+SUMIFS(supercb[Qtde],supercb[Item],tab_alimentos[[#This Row],[Item]],supercb[Bairro],mercado15)</f>
        <v>0</v>
      </c>
      <c r="AA252" s="4">
        <f>SUMIFS(super1[Qtde],super1[Item],tab_alimentos[[#This Row],[Item]],super1[Bairro],mercado16)+SUMIFS(supercb[Qtde],supercb[Item],tab_alimentos[[#This Row],[Item]],supercb[Bairro],mercado16)</f>
        <v>0</v>
      </c>
      <c r="AB252" s="4">
        <f>SUMIFS(super1[Qtde],super1[Item],tab_alimentos[[#This Row],[Item]],super1[Bairro],mercado17)+SUMIFS(supercb[Qtde],supercb[Item],tab_alimentos[[#This Row],[Item]],supercb[Bairro],mercado17)</f>
        <v>0</v>
      </c>
      <c r="AC252" s="4">
        <f>SUMIFS(super1[Qtde],super1[Item],tab_alimentos[[#This Row],[Item]],super1[Bairro],mercado18)+SUMIFS(supercb[Qtde],supercb[Item],tab_alimentos[[#This Row],[Item]],supercb[Bairro],mercado18)</f>
        <v>0</v>
      </c>
      <c r="AD252" s="4">
        <f>SUMIFS(super1[Qtde],super1[Item],tab_alimentos[[#This Row],[Item]],super1[Bairro],extras)+SUMIFS(supercb[Qtde],supercb[Item],tab_alimentos[[#This Row],[Item]],supercb[Bairro],extras)</f>
        <v>0</v>
      </c>
      <c r="AE252" s="4">
        <f t="shared" si="82"/>
        <v>0</v>
      </c>
      <c r="AF252" s="4">
        <f t="shared" si="83"/>
        <v>0</v>
      </c>
      <c r="AG252" s="6">
        <f t="shared" si="84"/>
        <v>0</v>
      </c>
      <c r="AH252" s="13" t="str">
        <f>higiene[[#This Row],[Item]]</f>
        <v>Shampoo (300mL)</v>
      </c>
      <c r="AI252" s="9">
        <f>IFERROR(higiene[[#This Row],[Kg equivalente]],0)</f>
        <v>0</v>
      </c>
      <c r="AJ252" s="9">
        <f>IFERROR(higiene[[#This Row],[Preço por produto]],0)</f>
        <v>9.99</v>
      </c>
      <c r="AK252" s="4">
        <f>SUMIFS(super1[Qtde],super1[Item],tab_higiene[[#This Row],[Item]],super1[Bairro],mercado1)+SUMIFS(supercb[Qtde],supercb[Item],tab_higiene[[#This Row],[Item]],supercb[Bairro],mercado1)</f>
        <v>0</v>
      </c>
      <c r="AL252" s="4">
        <f>SUMIFS(super1[Qtde],super1[Item],tab_higiene[[#This Row],[Item]],super1[Bairro],mercado2)+SUMIFS(supercb[Qtde],supercb[Item],tab_higiene[[#This Row],[Item]],supercb[Bairro],mercado2)</f>
        <v>0</v>
      </c>
      <c r="AM252" s="4">
        <f>SUMIFS(super1[Qtde],super1[Item],tab_higiene[[#This Row],[Item]],super1[Bairro],mercado3)+SUMIFS(supercb[Qtde],supercb[Item],tab_higiene[[#This Row],[Item]],supercb[Bairro],mercado3)</f>
        <v>0</v>
      </c>
      <c r="AN252" s="4">
        <f>SUMIFS(super1[Qtde],super1[Item],tab_higiene[[#This Row],[Item]],super1[Bairro],mercado4)+SUMIFS(supercb[Qtde],supercb[Item],tab_higiene[[#This Row],[Item]],supercb[Bairro],mercado4)</f>
        <v>0</v>
      </c>
      <c r="AO252" s="4">
        <f>SUMIFS(super1[Qtde],super1[Item],tab_higiene[[#This Row],[Item]],super1[Bairro],mercado5)+SUMIFS(supercb[Qtde],supercb[Item],tab_higiene[[#This Row],[Item]],supercb[Bairro],mercado5)</f>
        <v>0</v>
      </c>
      <c r="AP252" s="4">
        <f>SUMIFS(super1[Qtde],super1[Item],tab_higiene[[#This Row],[Item]],super1[Bairro],mercado6)+SUMIFS(supercb[Qtde],supercb[Item],tab_higiene[[#This Row],[Item]],supercb[Bairro],mercado6)</f>
        <v>0</v>
      </c>
      <c r="AQ252" s="4">
        <f>SUMIFS(super1[Qtde],super1[Item],tab_higiene[[#This Row],[Item]],super1[Bairro],mercado7)+SUMIFS(supercb[Qtde],supercb[Item],tab_higiene[[#This Row],[Item]],supercb[Bairro],mercado7)</f>
        <v>0</v>
      </c>
      <c r="AR252" s="4">
        <f>SUMIFS(super1[Qtde],super1[Item],tab_higiene[[#This Row],[Item]],super1[Bairro],mercado8)+SUMIFS(supercb[Qtde],supercb[Item],tab_higiene[[#This Row],[Item]],supercb[Bairro],mercado8)</f>
        <v>0</v>
      </c>
      <c r="AS252" s="4">
        <f>SUMIFS(super1[Qtde],super1[Item],tab_higiene[[#This Row],[Item]],super1[Bairro],mercado9)+SUMIFS(supercb[Qtde],supercb[Item],tab_higiene[[#This Row],[Item]],supercb[Bairro],mercado9)</f>
        <v>0</v>
      </c>
      <c r="AT252" s="4">
        <f>SUMIFS(super1[Qtde],super1[Item],tab_higiene[[#This Row],[Item]],super1[Bairro],mercado10)+SUMIFS(supercb[Qtde],supercb[Item],tab_higiene[[#This Row],[Item]],supercb[Bairro],mercado10)</f>
        <v>0</v>
      </c>
      <c r="AU252" s="4">
        <f>SUMIFS(super1[Qtde],super1[Item],tab_higiene[[#This Row],[Item]],super1[Bairro],mercado11)+SUMIFS(supercb[Qtde],supercb[Item],tab_higiene[[#This Row],[Item]],supercb[Bairro],mercado11)</f>
        <v>0</v>
      </c>
      <c r="AV252" s="4">
        <f>SUMIFS(super1[Qtde],super1[Item],tab_higiene[[#This Row],[Item]],super1[Bairro],mercado12)+SUMIFS(supercb[Qtde],supercb[Item],tab_higiene[[#This Row],[Item]],supercb[Bairro],mercado12)</f>
        <v>0</v>
      </c>
      <c r="AW252" s="4">
        <f>SUMIFS(super1[Qtde],super1[Item],tab_higiene[[#This Row],[Item]],super1[Bairro],mercado13)+SUMIFS(supercb[Qtde],supercb[Item],tab_higiene[[#This Row],[Item]],supercb[Bairro],mercado13)</f>
        <v>0</v>
      </c>
      <c r="AX252" s="4">
        <f>SUMIFS(super1[Qtde],super1[Item],tab_higiene[[#This Row],[Item]],super1[Bairro],mercado14)+SUMIFS(supercb[Qtde],supercb[Item],tab_higiene[[#This Row],[Item]],supercb[Bairro],mercado14)</f>
        <v>0</v>
      </c>
      <c r="AY252" s="4">
        <f>SUMIFS(super1[Qtde],super1[Item],tab_higiene[[#This Row],[Item]],super1[Bairro],mercado15)+SUMIFS(supercb[Qtde],supercb[Item],tab_higiene[[#This Row],[Item]],supercb[Bairro],mercado15)</f>
        <v>0</v>
      </c>
      <c r="AZ252" s="4">
        <f>SUMIFS(super1[Qtde],super1[Item],tab_higiene[[#This Row],[Item]],super1[Bairro],mercado16)+SUMIFS(supercb[Qtde],supercb[Item],tab_higiene[[#This Row],[Item]],supercb[Bairro],mercado16)</f>
        <v>0</v>
      </c>
      <c r="BA252" s="4">
        <f>SUMIFS(super1[Qtde],super1[Item],tab_higiene[[#This Row],[Item]],super1[Bairro],mercado17)+SUMIFS(supercb[Qtde],supercb[Item],tab_higiene[[#This Row],[Item]],supercb[Bairro],mercado17)</f>
        <v>0</v>
      </c>
      <c r="BB252" s="4">
        <f>SUMIFS(super1[Qtde],super1[Item],tab_higiene[[#This Row],[Item]],super1[Bairro],mercado18)+SUMIFS(supercb[Qtde],supercb[Item],tab_higiene[[#This Row],[Item]],supercb[Bairro],mercado18)</f>
        <v>0</v>
      </c>
      <c r="BC252" s="31">
        <f>SUMIFS(super1[Qtde],super1[Item],tab_higiene[[#This Row],[Item]],super1[Bairro],extras)+SUMIFS(supercb[Qtde],supercb[Item],tab_higiene[[#This Row],[Item]],supercb[Bairro],extras)</f>
        <v>0</v>
      </c>
      <c r="BD252" s="9">
        <f t="shared" si="85"/>
        <v>0</v>
      </c>
      <c r="BE252" s="9">
        <f t="shared" si="86"/>
        <v>0</v>
      </c>
      <c r="BF252" s="18">
        <f t="shared" si="87"/>
        <v>0</v>
      </c>
    </row>
    <row r="253" spans="9:58" ht="15.75" thickBot="1" x14ac:dyDescent="0.3">
      <c r="I253" s="19" t="str">
        <f>alimentos[[#This Row],[Item]]</f>
        <v>Gelatina (30g)</v>
      </c>
      <c r="J253" s="4">
        <f>IFERROR(alimentos[[#This Row],[kg/embalagem]],0)</f>
        <v>0.03</v>
      </c>
      <c r="K253" s="4">
        <f>IFERROR(alimentos[[#This Row],[Preço]],0)</f>
        <v>0.99</v>
      </c>
      <c r="L253" s="4">
        <f>SUMIFS(super1[Qtde],super1[Item],tab_alimentos[[#This Row],[Item]],super1[Bairro],mercado1)+SUMIFS(supercb[Qtde],supercb[Item],tab_alimentos[[#This Row],[Item]],supercb[Bairro],mercado1)</f>
        <v>0</v>
      </c>
      <c r="M253" s="4">
        <f>SUMIFS(super1[Qtde],super1[Item],tab_alimentos[[#This Row],[Item]],super1[Bairro],mercado2)+SUMIFS(supercb[Qtde],supercb[Item],tab_alimentos[[#This Row],[Item]],supercb[Bairro],mercado2)</f>
        <v>0</v>
      </c>
      <c r="N253" s="4">
        <f>SUMIFS(super1[Qtde],super1[Item],tab_alimentos[[#This Row],[Item]],super1[Bairro],mercado3)+SUMIFS(supercb[Qtde],supercb[Item],tab_alimentos[[#This Row],[Item]],supercb[Bairro],mercado3)</f>
        <v>0</v>
      </c>
      <c r="O253" s="4">
        <f>SUMIFS(super1[Qtde],super1[Item],tab_alimentos[[#This Row],[Item]],super1[Bairro],mercado4)+SUMIFS(supercb[Qtde],supercb[Item],tab_alimentos[[#This Row],[Item]],supercb[Bairro],mercado4)</f>
        <v>0</v>
      </c>
      <c r="P253" s="4">
        <f>SUMIFS(super1[Qtde],super1[Item],tab_alimentos[[#This Row],[Item]],super1[Bairro],mercado5)+SUMIFS(supercb[Qtde],supercb[Item],tab_alimentos[[#This Row],[Item]],supercb[Bairro],mercado5)</f>
        <v>0</v>
      </c>
      <c r="Q253" s="4">
        <f>SUMIFS(super1[Qtde],super1[Item],tab_alimentos[[#This Row],[Item]],super1[Bairro],mercado6)+SUMIFS(supercb[Qtde],supercb[Item],tab_alimentos[[#This Row],[Item]],supercb[Bairro],mercado6)</f>
        <v>0</v>
      </c>
      <c r="R253" s="4">
        <f>SUMIFS(super1[Qtde],super1[Item],tab_alimentos[[#This Row],[Item]],super1[Bairro],mercado7)+SUMIFS(supercb[Qtde],supercb[Item],tab_alimentos[[#This Row],[Item]],supercb[Bairro],mercado7)</f>
        <v>0</v>
      </c>
      <c r="S253" s="4">
        <f>SUMIFS(super1[Qtde],super1[Item],tab_alimentos[[#This Row],[Item]],super1[Bairro],mercado8)+SUMIFS(supercb[Qtde],supercb[Item],tab_alimentos[[#This Row],[Item]],supercb[Bairro],mercado8)</f>
        <v>0</v>
      </c>
      <c r="T253" s="4">
        <f>SUMIFS(super1[Qtde],super1[Item],tab_alimentos[[#This Row],[Item]],super1[Bairro],mercado9)+SUMIFS(supercb[Qtde],supercb[Item],tab_alimentos[[#This Row],[Item]],supercb[Bairro],mercado9)</f>
        <v>0</v>
      </c>
      <c r="U253" s="4">
        <f>SUMIFS(super1[Qtde],super1[Item],tab_alimentos[[#This Row],[Item]],super1[Bairro],mercado10)+SUMIFS(supercb[Qtde],supercb[Item],tab_alimentos[[#This Row],[Item]],supercb[Bairro],mercado10)</f>
        <v>0</v>
      </c>
      <c r="V253" s="4">
        <f>SUMIFS(super1[Qtde],super1[Item],tab_alimentos[[#This Row],[Item]],super1[Bairro],mercado11)+SUMIFS(supercb[Qtde],supercb[Item],tab_alimentos[[#This Row],[Item]],supercb[Bairro],mercado11)</f>
        <v>0</v>
      </c>
      <c r="W253" s="4">
        <f>SUMIFS(super1[Qtde],super1[Item],tab_alimentos[[#This Row],[Item]],super1[Bairro],mercado12)+SUMIFS(supercb[Qtde],supercb[Item],tab_alimentos[[#This Row],[Item]],supercb[Bairro],mercado12)</f>
        <v>0</v>
      </c>
      <c r="X253" s="4">
        <f>SUMIFS(super1[Qtde],super1[Item],tab_alimentos[[#This Row],[Item]],super1[Bairro],mercado13)+SUMIFS(supercb[Qtde],supercb[Item],tab_alimentos[[#This Row],[Item]],supercb[Bairro],mercado13)</f>
        <v>0</v>
      </c>
      <c r="Y253" s="4">
        <f>SUMIFS(super1[Qtde],super1[Item],tab_alimentos[[#This Row],[Item]],super1[Bairro],mercado14)+SUMIFS(supercb[Qtde],supercb[Item],tab_alimentos[[#This Row],[Item]],supercb[Bairro],mercado14)</f>
        <v>0</v>
      </c>
      <c r="Z253" s="4">
        <f>SUMIFS(super1[Qtde],super1[Item],tab_alimentos[[#This Row],[Item]],super1[Bairro],mercado15)+SUMIFS(supercb[Qtde],supercb[Item],tab_alimentos[[#This Row],[Item]],supercb[Bairro],mercado15)</f>
        <v>0</v>
      </c>
      <c r="AA253" s="4">
        <f>SUMIFS(super1[Qtde],super1[Item],tab_alimentos[[#This Row],[Item]],super1[Bairro],mercado16)+SUMIFS(supercb[Qtde],supercb[Item],tab_alimentos[[#This Row],[Item]],supercb[Bairro],mercado16)</f>
        <v>0</v>
      </c>
      <c r="AB253" s="4">
        <f>SUMIFS(super1[Qtde],super1[Item],tab_alimentos[[#This Row],[Item]],super1[Bairro],mercado17)+SUMIFS(supercb[Qtde],supercb[Item],tab_alimentos[[#This Row],[Item]],supercb[Bairro],mercado17)</f>
        <v>0</v>
      </c>
      <c r="AC253" s="4">
        <f>SUMIFS(super1[Qtde],super1[Item],tab_alimentos[[#This Row],[Item]],super1[Bairro],mercado18)+SUMIFS(supercb[Qtde],supercb[Item],tab_alimentos[[#This Row],[Item]],supercb[Bairro],mercado18)</f>
        <v>0</v>
      </c>
      <c r="AD253" s="4">
        <f>SUMIFS(super1[Qtde],super1[Item],tab_alimentos[[#This Row],[Item]],super1[Bairro],extras)+SUMIFS(supercb[Qtde],supercb[Item],tab_alimentos[[#This Row],[Item]],supercb[Bairro],extras)</f>
        <v>0</v>
      </c>
      <c r="AE253" s="4">
        <f t="shared" si="82"/>
        <v>0</v>
      </c>
      <c r="AF253" s="4">
        <f t="shared" si="83"/>
        <v>0</v>
      </c>
      <c r="AG253" s="6">
        <f t="shared" si="84"/>
        <v>0</v>
      </c>
      <c r="AH253" s="13" t="str">
        <f>higiene[[#This Row],[Item]]</f>
        <v>Shampoo (325mL)</v>
      </c>
      <c r="AI253" s="9">
        <f>IFERROR(higiene[[#This Row],[Kg equivalente]],0)</f>
        <v>0</v>
      </c>
      <c r="AJ253" s="9">
        <f>IFERROR(higiene[[#This Row],[Preço por produto]],0)</f>
        <v>7.99</v>
      </c>
      <c r="AK253" s="4">
        <f>SUMIFS(super1[Qtde],super1[Item],tab_higiene[[#This Row],[Item]],super1[Bairro],mercado1)+SUMIFS(supercb[Qtde],supercb[Item],tab_higiene[[#This Row],[Item]],supercb[Bairro],mercado1)</f>
        <v>0</v>
      </c>
      <c r="AL253" s="4">
        <f>SUMIFS(super1[Qtde],super1[Item],tab_higiene[[#This Row],[Item]],super1[Bairro],mercado2)+SUMIFS(supercb[Qtde],supercb[Item],tab_higiene[[#This Row],[Item]],supercb[Bairro],mercado2)</f>
        <v>0</v>
      </c>
      <c r="AM253" s="4">
        <f>SUMIFS(super1[Qtde],super1[Item],tab_higiene[[#This Row],[Item]],super1[Bairro],mercado3)+SUMIFS(supercb[Qtde],supercb[Item],tab_higiene[[#This Row],[Item]],supercb[Bairro],mercado3)</f>
        <v>0</v>
      </c>
      <c r="AN253" s="4">
        <f>SUMIFS(super1[Qtde],super1[Item],tab_higiene[[#This Row],[Item]],super1[Bairro],mercado4)+SUMIFS(supercb[Qtde],supercb[Item],tab_higiene[[#This Row],[Item]],supercb[Bairro],mercado4)</f>
        <v>0</v>
      </c>
      <c r="AO253" s="4">
        <f>SUMIFS(super1[Qtde],super1[Item],tab_higiene[[#This Row],[Item]],super1[Bairro],mercado5)+SUMIFS(supercb[Qtde],supercb[Item],tab_higiene[[#This Row],[Item]],supercb[Bairro],mercado5)</f>
        <v>0</v>
      </c>
      <c r="AP253" s="4">
        <f>SUMIFS(super1[Qtde],super1[Item],tab_higiene[[#This Row],[Item]],super1[Bairro],mercado6)+SUMIFS(supercb[Qtde],supercb[Item],tab_higiene[[#This Row],[Item]],supercb[Bairro],mercado6)</f>
        <v>0</v>
      </c>
      <c r="AQ253" s="4">
        <f>SUMIFS(super1[Qtde],super1[Item],tab_higiene[[#This Row],[Item]],super1[Bairro],mercado7)+SUMIFS(supercb[Qtde],supercb[Item],tab_higiene[[#This Row],[Item]],supercb[Bairro],mercado7)</f>
        <v>0</v>
      </c>
      <c r="AR253" s="4">
        <f>SUMIFS(super1[Qtde],super1[Item],tab_higiene[[#This Row],[Item]],super1[Bairro],mercado8)+SUMIFS(supercb[Qtde],supercb[Item],tab_higiene[[#This Row],[Item]],supercb[Bairro],mercado8)</f>
        <v>0</v>
      </c>
      <c r="AS253" s="4">
        <f>SUMIFS(super1[Qtde],super1[Item],tab_higiene[[#This Row],[Item]],super1[Bairro],mercado9)+SUMIFS(supercb[Qtde],supercb[Item],tab_higiene[[#This Row],[Item]],supercb[Bairro],mercado9)</f>
        <v>0</v>
      </c>
      <c r="AT253" s="4">
        <f>SUMIFS(super1[Qtde],super1[Item],tab_higiene[[#This Row],[Item]],super1[Bairro],mercado10)+SUMIFS(supercb[Qtde],supercb[Item],tab_higiene[[#This Row],[Item]],supercb[Bairro],mercado10)</f>
        <v>0</v>
      </c>
      <c r="AU253" s="4">
        <f>SUMIFS(super1[Qtde],super1[Item],tab_higiene[[#This Row],[Item]],super1[Bairro],mercado11)+SUMIFS(supercb[Qtde],supercb[Item],tab_higiene[[#This Row],[Item]],supercb[Bairro],mercado11)</f>
        <v>0</v>
      </c>
      <c r="AV253" s="4">
        <f>SUMIFS(super1[Qtde],super1[Item],tab_higiene[[#This Row],[Item]],super1[Bairro],mercado12)+SUMIFS(supercb[Qtde],supercb[Item],tab_higiene[[#This Row],[Item]],supercb[Bairro],mercado12)</f>
        <v>0</v>
      </c>
      <c r="AW253" s="4">
        <f>SUMIFS(super1[Qtde],super1[Item],tab_higiene[[#This Row],[Item]],super1[Bairro],mercado13)+SUMIFS(supercb[Qtde],supercb[Item],tab_higiene[[#This Row],[Item]],supercb[Bairro],mercado13)</f>
        <v>0</v>
      </c>
      <c r="AX253" s="4">
        <f>SUMIFS(super1[Qtde],super1[Item],tab_higiene[[#This Row],[Item]],super1[Bairro],mercado14)+SUMIFS(supercb[Qtde],supercb[Item],tab_higiene[[#This Row],[Item]],supercb[Bairro],mercado14)</f>
        <v>0</v>
      </c>
      <c r="AY253" s="4">
        <f>SUMIFS(super1[Qtde],super1[Item],tab_higiene[[#This Row],[Item]],super1[Bairro],mercado15)+SUMIFS(supercb[Qtde],supercb[Item],tab_higiene[[#This Row],[Item]],supercb[Bairro],mercado15)</f>
        <v>0</v>
      </c>
      <c r="AZ253" s="4">
        <f>SUMIFS(super1[Qtde],super1[Item],tab_higiene[[#This Row],[Item]],super1[Bairro],mercado16)+SUMIFS(supercb[Qtde],supercb[Item],tab_higiene[[#This Row],[Item]],supercb[Bairro],mercado16)</f>
        <v>0</v>
      </c>
      <c r="BA253" s="4">
        <f>SUMIFS(super1[Qtde],super1[Item],tab_higiene[[#This Row],[Item]],super1[Bairro],mercado17)+SUMIFS(supercb[Qtde],supercb[Item],tab_higiene[[#This Row],[Item]],supercb[Bairro],mercado17)</f>
        <v>0</v>
      </c>
      <c r="BB253" s="4">
        <f>SUMIFS(super1[Qtde],super1[Item],tab_higiene[[#This Row],[Item]],super1[Bairro],mercado18)+SUMIFS(supercb[Qtde],supercb[Item],tab_higiene[[#This Row],[Item]],supercb[Bairro],mercado18)</f>
        <v>0</v>
      </c>
      <c r="BC253" s="31">
        <f>SUMIFS(super1[Qtde],super1[Item],tab_higiene[[#This Row],[Item]],super1[Bairro],extras)+SUMIFS(supercb[Qtde],supercb[Item],tab_higiene[[#This Row],[Item]],supercb[Bairro],extras)</f>
        <v>0</v>
      </c>
      <c r="BD253" s="9">
        <f t="shared" si="85"/>
        <v>0</v>
      </c>
      <c r="BE253" s="9">
        <f t="shared" si="86"/>
        <v>0</v>
      </c>
      <c r="BF253" s="18">
        <f t="shared" si="87"/>
        <v>0</v>
      </c>
    </row>
    <row r="254" spans="9:58" ht="15.75" thickBot="1" x14ac:dyDescent="0.3">
      <c r="I254" s="19" t="str">
        <f>alimentos[[#This Row],[Item]]</f>
        <v>Gelatina (35g)</v>
      </c>
      <c r="J254" s="4">
        <f>IFERROR(alimentos[[#This Row],[kg/embalagem]],0)</f>
        <v>3.5000000000000003E-2</v>
      </c>
      <c r="K254" s="4">
        <f>IFERROR(alimentos[[#This Row],[Preço]],0)</f>
        <v>1.19</v>
      </c>
      <c r="L254" s="4">
        <f>SUMIFS(super1[Qtde],super1[Item],tab_alimentos[[#This Row],[Item]],super1[Bairro],mercado1)+SUMIFS(supercb[Qtde],supercb[Item],tab_alimentos[[#This Row],[Item]],supercb[Bairro],mercado1)</f>
        <v>0</v>
      </c>
      <c r="M254" s="4">
        <f>SUMIFS(super1[Qtde],super1[Item],tab_alimentos[[#This Row],[Item]],super1[Bairro],mercado2)+SUMIFS(supercb[Qtde],supercb[Item],tab_alimentos[[#This Row],[Item]],supercb[Bairro],mercado2)</f>
        <v>0</v>
      </c>
      <c r="N254" s="4">
        <f>SUMIFS(super1[Qtde],super1[Item],tab_alimentos[[#This Row],[Item]],super1[Bairro],mercado3)+SUMIFS(supercb[Qtde],supercb[Item],tab_alimentos[[#This Row],[Item]],supercb[Bairro],mercado3)</f>
        <v>0</v>
      </c>
      <c r="O254" s="4">
        <f>SUMIFS(super1[Qtde],super1[Item],tab_alimentos[[#This Row],[Item]],super1[Bairro],mercado4)+SUMIFS(supercb[Qtde],supercb[Item],tab_alimentos[[#This Row],[Item]],supercb[Bairro],mercado4)</f>
        <v>0</v>
      </c>
      <c r="P254" s="4">
        <f>SUMIFS(super1[Qtde],super1[Item],tab_alimentos[[#This Row],[Item]],super1[Bairro],mercado5)+SUMIFS(supercb[Qtde],supercb[Item],tab_alimentos[[#This Row],[Item]],supercb[Bairro],mercado5)</f>
        <v>0</v>
      </c>
      <c r="Q254" s="4">
        <f>SUMIFS(super1[Qtde],super1[Item],tab_alimentos[[#This Row],[Item]],super1[Bairro],mercado6)+SUMIFS(supercb[Qtde],supercb[Item],tab_alimentos[[#This Row],[Item]],supercb[Bairro],mercado6)</f>
        <v>0</v>
      </c>
      <c r="R254" s="4">
        <f>SUMIFS(super1[Qtde],super1[Item],tab_alimentos[[#This Row],[Item]],super1[Bairro],mercado7)+SUMIFS(supercb[Qtde],supercb[Item],tab_alimentos[[#This Row],[Item]],supercb[Bairro],mercado7)</f>
        <v>0</v>
      </c>
      <c r="S254" s="4">
        <f>SUMIFS(super1[Qtde],super1[Item],tab_alimentos[[#This Row],[Item]],super1[Bairro],mercado8)+SUMIFS(supercb[Qtde],supercb[Item],tab_alimentos[[#This Row],[Item]],supercb[Bairro],mercado8)</f>
        <v>0</v>
      </c>
      <c r="T254" s="4">
        <f>SUMIFS(super1[Qtde],super1[Item],tab_alimentos[[#This Row],[Item]],super1[Bairro],mercado9)+SUMIFS(supercb[Qtde],supercb[Item],tab_alimentos[[#This Row],[Item]],supercb[Bairro],mercado9)</f>
        <v>0</v>
      </c>
      <c r="U254" s="4">
        <f>SUMIFS(super1[Qtde],super1[Item],tab_alimentos[[#This Row],[Item]],super1[Bairro],mercado10)+SUMIFS(supercb[Qtde],supercb[Item],tab_alimentos[[#This Row],[Item]],supercb[Bairro],mercado10)</f>
        <v>0</v>
      </c>
      <c r="V254" s="4">
        <f>SUMIFS(super1[Qtde],super1[Item],tab_alimentos[[#This Row],[Item]],super1[Bairro],mercado11)+SUMIFS(supercb[Qtde],supercb[Item],tab_alimentos[[#This Row],[Item]],supercb[Bairro],mercado11)</f>
        <v>0</v>
      </c>
      <c r="W254" s="4">
        <f>SUMIFS(super1[Qtde],super1[Item],tab_alimentos[[#This Row],[Item]],super1[Bairro],mercado12)+SUMIFS(supercb[Qtde],supercb[Item],tab_alimentos[[#This Row],[Item]],supercb[Bairro],mercado12)</f>
        <v>0</v>
      </c>
      <c r="X254" s="4">
        <f>SUMIFS(super1[Qtde],super1[Item],tab_alimentos[[#This Row],[Item]],super1[Bairro],mercado13)+SUMIFS(supercb[Qtde],supercb[Item],tab_alimentos[[#This Row],[Item]],supercb[Bairro],mercado13)</f>
        <v>0</v>
      </c>
      <c r="Y254" s="4">
        <f>SUMIFS(super1[Qtde],super1[Item],tab_alimentos[[#This Row],[Item]],super1[Bairro],mercado14)+SUMIFS(supercb[Qtde],supercb[Item],tab_alimentos[[#This Row],[Item]],supercb[Bairro],mercado14)</f>
        <v>0</v>
      </c>
      <c r="Z254" s="4">
        <f>SUMIFS(super1[Qtde],super1[Item],tab_alimentos[[#This Row],[Item]],super1[Bairro],mercado15)+SUMIFS(supercb[Qtde],supercb[Item],tab_alimentos[[#This Row],[Item]],supercb[Bairro],mercado15)</f>
        <v>0</v>
      </c>
      <c r="AA254" s="4">
        <f>SUMIFS(super1[Qtde],super1[Item],tab_alimentos[[#This Row],[Item]],super1[Bairro],mercado16)+SUMIFS(supercb[Qtde],supercb[Item],tab_alimentos[[#This Row],[Item]],supercb[Bairro],mercado16)</f>
        <v>0</v>
      </c>
      <c r="AB254" s="4">
        <f>SUMIFS(super1[Qtde],super1[Item],tab_alimentos[[#This Row],[Item]],super1[Bairro],mercado17)+SUMIFS(supercb[Qtde],supercb[Item],tab_alimentos[[#This Row],[Item]],supercb[Bairro],mercado17)</f>
        <v>0</v>
      </c>
      <c r="AC254" s="4">
        <f>SUMIFS(super1[Qtde],super1[Item],tab_alimentos[[#This Row],[Item]],super1[Bairro],mercado18)+SUMIFS(supercb[Qtde],supercb[Item],tab_alimentos[[#This Row],[Item]],supercb[Bairro],mercado18)</f>
        <v>0</v>
      </c>
      <c r="AD254" s="4">
        <f>SUMIFS(super1[Qtde],super1[Item],tab_alimentos[[#This Row],[Item]],super1[Bairro],extras)+SUMIFS(supercb[Qtde],supercb[Item],tab_alimentos[[#This Row],[Item]],supercb[Bairro],extras)</f>
        <v>0</v>
      </c>
      <c r="AE254" s="4">
        <f t="shared" si="82"/>
        <v>0</v>
      </c>
      <c r="AF254" s="4">
        <f t="shared" si="83"/>
        <v>0</v>
      </c>
      <c r="AG254" s="6">
        <f t="shared" si="84"/>
        <v>0</v>
      </c>
      <c r="AH254" s="13" t="str">
        <f>higiene[[#This Row],[Item]]</f>
        <v>Shampoo (350mL)</v>
      </c>
      <c r="AI254" s="9">
        <f>IFERROR(higiene[[#This Row],[Kg equivalente]],0)</f>
        <v>0</v>
      </c>
      <c r="AJ254" s="9">
        <f>IFERROR(higiene[[#This Row],[Preço por produto]],0)</f>
        <v>6.99</v>
      </c>
      <c r="AK254" s="4">
        <f>SUMIFS(super1[Qtde],super1[Item],tab_higiene[[#This Row],[Item]],super1[Bairro],mercado1)+SUMIFS(supercb[Qtde],supercb[Item],tab_higiene[[#This Row],[Item]],supercb[Bairro],mercado1)</f>
        <v>0</v>
      </c>
      <c r="AL254" s="4">
        <f>SUMIFS(super1[Qtde],super1[Item],tab_higiene[[#This Row],[Item]],super1[Bairro],mercado2)+SUMIFS(supercb[Qtde],supercb[Item],tab_higiene[[#This Row],[Item]],supercb[Bairro],mercado2)</f>
        <v>0</v>
      </c>
      <c r="AM254" s="4">
        <f>SUMIFS(super1[Qtde],super1[Item],tab_higiene[[#This Row],[Item]],super1[Bairro],mercado3)+SUMIFS(supercb[Qtde],supercb[Item],tab_higiene[[#This Row],[Item]],supercb[Bairro],mercado3)</f>
        <v>0</v>
      </c>
      <c r="AN254" s="4">
        <f>SUMIFS(super1[Qtde],super1[Item],tab_higiene[[#This Row],[Item]],super1[Bairro],mercado4)+SUMIFS(supercb[Qtde],supercb[Item],tab_higiene[[#This Row],[Item]],supercb[Bairro],mercado4)</f>
        <v>0</v>
      </c>
      <c r="AO254" s="4">
        <f>SUMIFS(super1[Qtde],super1[Item],tab_higiene[[#This Row],[Item]],super1[Bairro],mercado5)+SUMIFS(supercb[Qtde],supercb[Item],tab_higiene[[#This Row],[Item]],supercb[Bairro],mercado5)</f>
        <v>0</v>
      </c>
      <c r="AP254" s="4">
        <f>SUMIFS(super1[Qtde],super1[Item],tab_higiene[[#This Row],[Item]],super1[Bairro],mercado6)+SUMIFS(supercb[Qtde],supercb[Item],tab_higiene[[#This Row],[Item]],supercb[Bairro],mercado6)</f>
        <v>0</v>
      </c>
      <c r="AQ254" s="4">
        <f>SUMIFS(super1[Qtde],super1[Item],tab_higiene[[#This Row],[Item]],super1[Bairro],mercado7)+SUMIFS(supercb[Qtde],supercb[Item],tab_higiene[[#This Row],[Item]],supercb[Bairro],mercado7)</f>
        <v>0</v>
      </c>
      <c r="AR254" s="4">
        <f>SUMIFS(super1[Qtde],super1[Item],tab_higiene[[#This Row],[Item]],super1[Bairro],mercado8)+SUMIFS(supercb[Qtde],supercb[Item],tab_higiene[[#This Row],[Item]],supercb[Bairro],mercado8)</f>
        <v>0</v>
      </c>
      <c r="AS254" s="4">
        <f>SUMIFS(super1[Qtde],super1[Item],tab_higiene[[#This Row],[Item]],super1[Bairro],mercado9)+SUMIFS(supercb[Qtde],supercb[Item],tab_higiene[[#This Row],[Item]],supercb[Bairro],mercado9)</f>
        <v>0</v>
      </c>
      <c r="AT254" s="4">
        <f>SUMIFS(super1[Qtde],super1[Item],tab_higiene[[#This Row],[Item]],super1[Bairro],mercado10)+SUMIFS(supercb[Qtde],supercb[Item],tab_higiene[[#This Row],[Item]],supercb[Bairro],mercado10)</f>
        <v>0</v>
      </c>
      <c r="AU254" s="4">
        <f>SUMIFS(super1[Qtde],super1[Item],tab_higiene[[#This Row],[Item]],super1[Bairro],mercado11)+SUMIFS(supercb[Qtde],supercb[Item],tab_higiene[[#This Row],[Item]],supercb[Bairro],mercado11)</f>
        <v>0</v>
      </c>
      <c r="AV254" s="4">
        <f>SUMIFS(super1[Qtde],super1[Item],tab_higiene[[#This Row],[Item]],super1[Bairro],mercado12)+SUMIFS(supercb[Qtde],supercb[Item],tab_higiene[[#This Row],[Item]],supercb[Bairro],mercado12)</f>
        <v>0</v>
      </c>
      <c r="AW254" s="4">
        <f>SUMIFS(super1[Qtde],super1[Item],tab_higiene[[#This Row],[Item]],super1[Bairro],mercado13)+SUMIFS(supercb[Qtde],supercb[Item],tab_higiene[[#This Row],[Item]],supercb[Bairro],mercado13)</f>
        <v>0</v>
      </c>
      <c r="AX254" s="4">
        <f>SUMIFS(super1[Qtde],super1[Item],tab_higiene[[#This Row],[Item]],super1[Bairro],mercado14)+SUMIFS(supercb[Qtde],supercb[Item],tab_higiene[[#This Row],[Item]],supercb[Bairro],mercado14)</f>
        <v>0</v>
      </c>
      <c r="AY254" s="4">
        <f>SUMIFS(super1[Qtde],super1[Item],tab_higiene[[#This Row],[Item]],super1[Bairro],mercado15)+SUMIFS(supercb[Qtde],supercb[Item],tab_higiene[[#This Row],[Item]],supercb[Bairro],mercado15)</f>
        <v>0</v>
      </c>
      <c r="AZ254" s="4">
        <f>SUMIFS(super1[Qtde],super1[Item],tab_higiene[[#This Row],[Item]],super1[Bairro],mercado16)+SUMIFS(supercb[Qtde],supercb[Item],tab_higiene[[#This Row],[Item]],supercb[Bairro],mercado16)</f>
        <v>0</v>
      </c>
      <c r="BA254" s="4">
        <f>SUMIFS(super1[Qtde],super1[Item],tab_higiene[[#This Row],[Item]],super1[Bairro],mercado17)+SUMIFS(supercb[Qtde],supercb[Item],tab_higiene[[#This Row],[Item]],supercb[Bairro],mercado17)</f>
        <v>0</v>
      </c>
      <c r="BB254" s="4">
        <f>SUMIFS(super1[Qtde],super1[Item],tab_higiene[[#This Row],[Item]],super1[Bairro],mercado18)+SUMIFS(supercb[Qtde],supercb[Item],tab_higiene[[#This Row],[Item]],supercb[Bairro],mercado18)</f>
        <v>0</v>
      </c>
      <c r="BC254" s="31">
        <f>SUMIFS(super1[Qtde],super1[Item],tab_higiene[[#This Row],[Item]],super1[Bairro],extras)+SUMIFS(supercb[Qtde],supercb[Item],tab_higiene[[#This Row],[Item]],supercb[Bairro],extras)</f>
        <v>0</v>
      </c>
      <c r="BD254" s="9">
        <f t="shared" si="85"/>
        <v>0</v>
      </c>
      <c r="BE254" s="9">
        <f t="shared" si="86"/>
        <v>0</v>
      </c>
      <c r="BF254" s="18">
        <f t="shared" si="87"/>
        <v>0</v>
      </c>
    </row>
    <row r="255" spans="9:58" ht="15.75" thickBot="1" x14ac:dyDescent="0.3">
      <c r="I255" s="19" t="str">
        <f>alimentos[[#This Row],[Item]]</f>
        <v>Gelatina (50g)</v>
      </c>
      <c r="J255" s="4">
        <f>IFERROR(alimentos[[#This Row],[kg/embalagem]],0)</f>
        <v>0.05</v>
      </c>
      <c r="K255" s="4">
        <f>IFERROR(alimentos[[#This Row],[Preço]],0)</f>
        <v>5.89</v>
      </c>
      <c r="L255" s="4">
        <f>SUMIFS(super1[Qtde],super1[Item],tab_alimentos[[#This Row],[Item]],super1[Bairro],mercado1)+SUMIFS(supercb[Qtde],supercb[Item],tab_alimentos[[#This Row],[Item]],supercb[Bairro],mercado1)</f>
        <v>0</v>
      </c>
      <c r="M255" s="4">
        <f>SUMIFS(super1[Qtde],super1[Item],tab_alimentos[[#This Row],[Item]],super1[Bairro],mercado2)+SUMIFS(supercb[Qtde],supercb[Item],tab_alimentos[[#This Row],[Item]],supercb[Bairro],mercado2)</f>
        <v>0</v>
      </c>
      <c r="N255" s="4">
        <f>SUMIFS(super1[Qtde],super1[Item],tab_alimentos[[#This Row],[Item]],super1[Bairro],mercado3)+SUMIFS(supercb[Qtde],supercb[Item],tab_alimentos[[#This Row],[Item]],supercb[Bairro],mercado3)</f>
        <v>0</v>
      </c>
      <c r="O255" s="4">
        <f>SUMIFS(super1[Qtde],super1[Item],tab_alimentos[[#This Row],[Item]],super1[Bairro],mercado4)+SUMIFS(supercb[Qtde],supercb[Item],tab_alimentos[[#This Row],[Item]],supercb[Bairro],mercado4)</f>
        <v>0</v>
      </c>
      <c r="P255" s="4">
        <f>SUMIFS(super1[Qtde],super1[Item],tab_alimentos[[#This Row],[Item]],super1[Bairro],mercado5)+SUMIFS(supercb[Qtde],supercb[Item],tab_alimentos[[#This Row],[Item]],supercb[Bairro],mercado5)</f>
        <v>0</v>
      </c>
      <c r="Q255" s="4">
        <f>SUMIFS(super1[Qtde],super1[Item],tab_alimentos[[#This Row],[Item]],super1[Bairro],mercado6)+SUMIFS(supercb[Qtde],supercb[Item],tab_alimentos[[#This Row],[Item]],supercb[Bairro],mercado6)</f>
        <v>0</v>
      </c>
      <c r="R255" s="4">
        <f>SUMIFS(super1[Qtde],super1[Item],tab_alimentos[[#This Row],[Item]],super1[Bairro],mercado7)+SUMIFS(supercb[Qtde],supercb[Item],tab_alimentos[[#This Row],[Item]],supercb[Bairro],mercado7)</f>
        <v>0</v>
      </c>
      <c r="S255" s="4">
        <f>SUMIFS(super1[Qtde],super1[Item],tab_alimentos[[#This Row],[Item]],super1[Bairro],mercado8)+SUMIFS(supercb[Qtde],supercb[Item],tab_alimentos[[#This Row],[Item]],supercb[Bairro],mercado8)</f>
        <v>0</v>
      </c>
      <c r="T255" s="4">
        <f>SUMIFS(super1[Qtde],super1[Item],tab_alimentos[[#This Row],[Item]],super1[Bairro],mercado9)+SUMIFS(supercb[Qtde],supercb[Item],tab_alimentos[[#This Row],[Item]],supercb[Bairro],mercado9)</f>
        <v>0</v>
      </c>
      <c r="U255" s="4">
        <f>SUMIFS(super1[Qtde],super1[Item],tab_alimentos[[#This Row],[Item]],super1[Bairro],mercado10)+SUMIFS(supercb[Qtde],supercb[Item],tab_alimentos[[#This Row],[Item]],supercb[Bairro],mercado10)</f>
        <v>0</v>
      </c>
      <c r="V255" s="4">
        <f>SUMIFS(super1[Qtde],super1[Item],tab_alimentos[[#This Row],[Item]],super1[Bairro],mercado11)+SUMIFS(supercb[Qtde],supercb[Item],tab_alimentos[[#This Row],[Item]],supercb[Bairro],mercado11)</f>
        <v>0</v>
      </c>
      <c r="W255" s="4">
        <f>SUMIFS(super1[Qtde],super1[Item],tab_alimentos[[#This Row],[Item]],super1[Bairro],mercado12)+SUMIFS(supercb[Qtde],supercb[Item],tab_alimentos[[#This Row],[Item]],supercb[Bairro],mercado12)</f>
        <v>0</v>
      </c>
      <c r="X255" s="4">
        <f>SUMIFS(super1[Qtde],super1[Item],tab_alimentos[[#This Row],[Item]],super1[Bairro],mercado13)+SUMIFS(supercb[Qtde],supercb[Item],tab_alimentos[[#This Row],[Item]],supercb[Bairro],mercado13)</f>
        <v>0</v>
      </c>
      <c r="Y255" s="4">
        <f>SUMIFS(super1[Qtde],super1[Item],tab_alimentos[[#This Row],[Item]],super1[Bairro],mercado14)+SUMIFS(supercb[Qtde],supercb[Item],tab_alimentos[[#This Row],[Item]],supercb[Bairro],mercado14)</f>
        <v>0</v>
      </c>
      <c r="Z255" s="4">
        <f>SUMIFS(super1[Qtde],super1[Item],tab_alimentos[[#This Row],[Item]],super1[Bairro],mercado15)+SUMIFS(supercb[Qtde],supercb[Item],tab_alimentos[[#This Row],[Item]],supercb[Bairro],mercado15)</f>
        <v>0</v>
      </c>
      <c r="AA255" s="4">
        <f>SUMIFS(super1[Qtde],super1[Item],tab_alimentos[[#This Row],[Item]],super1[Bairro],mercado16)+SUMIFS(supercb[Qtde],supercb[Item],tab_alimentos[[#This Row],[Item]],supercb[Bairro],mercado16)</f>
        <v>0</v>
      </c>
      <c r="AB255" s="4">
        <f>SUMIFS(super1[Qtde],super1[Item],tab_alimentos[[#This Row],[Item]],super1[Bairro],mercado17)+SUMIFS(supercb[Qtde],supercb[Item],tab_alimentos[[#This Row],[Item]],supercb[Bairro],mercado17)</f>
        <v>0</v>
      </c>
      <c r="AC255" s="4">
        <f>SUMIFS(super1[Qtde],super1[Item],tab_alimentos[[#This Row],[Item]],super1[Bairro],mercado18)+SUMIFS(supercb[Qtde],supercb[Item],tab_alimentos[[#This Row],[Item]],supercb[Bairro],mercado18)</f>
        <v>0</v>
      </c>
      <c r="AD255" s="4">
        <f>SUMIFS(super1[Qtde],super1[Item],tab_alimentos[[#This Row],[Item]],super1[Bairro],extras)+SUMIFS(supercb[Qtde],supercb[Item],tab_alimentos[[#This Row],[Item]],supercb[Bairro],extras)</f>
        <v>0</v>
      </c>
      <c r="AE255" s="4">
        <f t="shared" si="82"/>
        <v>0</v>
      </c>
      <c r="AF255" s="4">
        <f t="shared" si="83"/>
        <v>0</v>
      </c>
      <c r="AG255" s="6">
        <f t="shared" si="84"/>
        <v>0</v>
      </c>
      <c r="AH255" s="13" t="str">
        <f>higiene[[#This Row],[Item]]</f>
        <v xml:space="preserve">Shampoo (400mL) </v>
      </c>
      <c r="AI255" s="9">
        <f>IFERROR(higiene[[#This Row],[Kg equivalente]],0)</f>
        <v>0</v>
      </c>
      <c r="AJ255" s="9" t="str">
        <f>IFERROR(higiene[[#This Row],[Preço por produto]],0)</f>
        <v>R$ 19.90</v>
      </c>
      <c r="AK255" s="4">
        <f>SUMIFS(super1[Qtde],super1[Item],tab_higiene[[#This Row],[Item]],super1[Bairro],mercado1)+SUMIFS(supercb[Qtde],supercb[Item],tab_higiene[[#This Row],[Item]],supercb[Bairro],mercado1)</f>
        <v>0</v>
      </c>
      <c r="AL255" s="4">
        <f>SUMIFS(super1[Qtde],super1[Item],tab_higiene[[#This Row],[Item]],super1[Bairro],mercado2)+SUMIFS(supercb[Qtde],supercb[Item],tab_higiene[[#This Row],[Item]],supercb[Bairro],mercado2)</f>
        <v>0</v>
      </c>
      <c r="AM255" s="4">
        <f>SUMIFS(super1[Qtde],super1[Item],tab_higiene[[#This Row],[Item]],super1[Bairro],mercado3)+SUMIFS(supercb[Qtde],supercb[Item],tab_higiene[[#This Row],[Item]],supercb[Bairro],mercado3)</f>
        <v>0</v>
      </c>
      <c r="AN255" s="4">
        <f>SUMIFS(super1[Qtde],super1[Item],tab_higiene[[#This Row],[Item]],super1[Bairro],mercado4)+SUMIFS(supercb[Qtde],supercb[Item],tab_higiene[[#This Row],[Item]],supercb[Bairro],mercado4)</f>
        <v>0</v>
      </c>
      <c r="AO255" s="4">
        <f>SUMIFS(super1[Qtde],super1[Item],tab_higiene[[#This Row],[Item]],super1[Bairro],mercado5)+SUMIFS(supercb[Qtde],supercb[Item],tab_higiene[[#This Row],[Item]],supercb[Bairro],mercado5)</f>
        <v>0</v>
      </c>
      <c r="AP255" s="4">
        <f>SUMIFS(super1[Qtde],super1[Item],tab_higiene[[#This Row],[Item]],super1[Bairro],mercado6)+SUMIFS(supercb[Qtde],supercb[Item],tab_higiene[[#This Row],[Item]],supercb[Bairro],mercado6)</f>
        <v>0</v>
      </c>
      <c r="AQ255" s="4">
        <f>SUMIFS(super1[Qtde],super1[Item],tab_higiene[[#This Row],[Item]],super1[Bairro],mercado7)+SUMIFS(supercb[Qtde],supercb[Item],tab_higiene[[#This Row],[Item]],supercb[Bairro],mercado7)</f>
        <v>0</v>
      </c>
      <c r="AR255" s="4">
        <f>SUMIFS(super1[Qtde],super1[Item],tab_higiene[[#This Row],[Item]],super1[Bairro],mercado8)+SUMIFS(supercb[Qtde],supercb[Item],tab_higiene[[#This Row],[Item]],supercb[Bairro],mercado8)</f>
        <v>0</v>
      </c>
      <c r="AS255" s="4">
        <f>SUMIFS(super1[Qtde],super1[Item],tab_higiene[[#This Row],[Item]],super1[Bairro],mercado9)+SUMIFS(supercb[Qtde],supercb[Item],tab_higiene[[#This Row],[Item]],supercb[Bairro],mercado9)</f>
        <v>0</v>
      </c>
      <c r="AT255" s="4">
        <f>SUMIFS(super1[Qtde],super1[Item],tab_higiene[[#This Row],[Item]],super1[Bairro],mercado10)+SUMIFS(supercb[Qtde],supercb[Item],tab_higiene[[#This Row],[Item]],supercb[Bairro],mercado10)</f>
        <v>0</v>
      </c>
      <c r="AU255" s="4">
        <f>SUMIFS(super1[Qtde],super1[Item],tab_higiene[[#This Row],[Item]],super1[Bairro],mercado11)+SUMIFS(supercb[Qtde],supercb[Item],tab_higiene[[#This Row],[Item]],supercb[Bairro],mercado11)</f>
        <v>0</v>
      </c>
      <c r="AV255" s="4">
        <f>SUMIFS(super1[Qtde],super1[Item],tab_higiene[[#This Row],[Item]],super1[Bairro],mercado12)+SUMIFS(supercb[Qtde],supercb[Item],tab_higiene[[#This Row],[Item]],supercb[Bairro],mercado12)</f>
        <v>0</v>
      </c>
      <c r="AW255" s="4">
        <f>SUMIFS(super1[Qtde],super1[Item],tab_higiene[[#This Row],[Item]],super1[Bairro],mercado13)+SUMIFS(supercb[Qtde],supercb[Item],tab_higiene[[#This Row],[Item]],supercb[Bairro],mercado13)</f>
        <v>0</v>
      </c>
      <c r="AX255" s="4">
        <f>SUMIFS(super1[Qtde],super1[Item],tab_higiene[[#This Row],[Item]],super1[Bairro],mercado14)+SUMIFS(supercb[Qtde],supercb[Item],tab_higiene[[#This Row],[Item]],supercb[Bairro],mercado14)</f>
        <v>0</v>
      </c>
      <c r="AY255" s="4">
        <f>SUMIFS(super1[Qtde],super1[Item],tab_higiene[[#This Row],[Item]],super1[Bairro],mercado15)+SUMIFS(supercb[Qtde],supercb[Item],tab_higiene[[#This Row],[Item]],supercb[Bairro],mercado15)</f>
        <v>0</v>
      </c>
      <c r="AZ255" s="4">
        <f>SUMIFS(super1[Qtde],super1[Item],tab_higiene[[#This Row],[Item]],super1[Bairro],mercado16)+SUMIFS(supercb[Qtde],supercb[Item],tab_higiene[[#This Row],[Item]],supercb[Bairro],mercado16)</f>
        <v>0</v>
      </c>
      <c r="BA255" s="4">
        <f>SUMIFS(super1[Qtde],super1[Item],tab_higiene[[#This Row],[Item]],super1[Bairro],mercado17)+SUMIFS(supercb[Qtde],supercb[Item],tab_higiene[[#This Row],[Item]],supercb[Bairro],mercado17)</f>
        <v>0</v>
      </c>
      <c r="BB255" s="4">
        <f>SUMIFS(super1[Qtde],super1[Item],tab_higiene[[#This Row],[Item]],super1[Bairro],mercado18)+SUMIFS(supercb[Qtde],supercb[Item],tab_higiene[[#This Row],[Item]],supercb[Bairro],mercado18)</f>
        <v>0</v>
      </c>
      <c r="BC255" s="31">
        <f>SUMIFS(super1[Qtde],super1[Item],tab_higiene[[#This Row],[Item]],super1[Bairro],extras)+SUMIFS(supercb[Qtde],supercb[Item],tab_higiene[[#This Row],[Item]],supercb[Bairro],extras)</f>
        <v>0</v>
      </c>
      <c r="BD255" s="9">
        <f t="shared" si="85"/>
        <v>0</v>
      </c>
      <c r="BE255" s="9">
        <f t="shared" si="86"/>
        <v>0</v>
      </c>
      <c r="BF255" s="18">
        <f t="shared" si="87"/>
        <v>0</v>
      </c>
    </row>
    <row r="256" spans="9:58" ht="15.75" thickBot="1" x14ac:dyDescent="0.3">
      <c r="I256" s="19" t="str">
        <f>alimentos[[#This Row],[Item]]</f>
        <v>Geléia de Damasco (230g)</v>
      </c>
      <c r="J256" s="4">
        <f>IFERROR(alimentos[[#This Row],[kg/embalagem]],0)</f>
        <v>0.23</v>
      </c>
      <c r="K256" s="4">
        <f>IFERROR(alimentos[[#This Row],[Preço]],0)</f>
        <v>19.899999999999999</v>
      </c>
      <c r="L256" s="4">
        <f>SUMIFS(super1[Qtde],super1[Item],tab_alimentos[[#This Row],[Item]],super1[Bairro],mercado1)+SUMIFS(supercb[Qtde],supercb[Item],tab_alimentos[[#This Row],[Item]],supercb[Bairro],mercado1)</f>
        <v>0</v>
      </c>
      <c r="M256" s="4">
        <f>SUMIFS(super1[Qtde],super1[Item],tab_alimentos[[#This Row],[Item]],super1[Bairro],mercado2)+SUMIFS(supercb[Qtde],supercb[Item],tab_alimentos[[#This Row],[Item]],supercb[Bairro],mercado2)</f>
        <v>0</v>
      </c>
      <c r="N256" s="4">
        <f>SUMIFS(super1[Qtde],super1[Item],tab_alimentos[[#This Row],[Item]],super1[Bairro],mercado3)+SUMIFS(supercb[Qtde],supercb[Item],tab_alimentos[[#This Row],[Item]],supercb[Bairro],mercado3)</f>
        <v>0</v>
      </c>
      <c r="O256" s="4">
        <f>SUMIFS(super1[Qtde],super1[Item],tab_alimentos[[#This Row],[Item]],super1[Bairro],mercado4)+SUMIFS(supercb[Qtde],supercb[Item],tab_alimentos[[#This Row],[Item]],supercb[Bairro],mercado4)</f>
        <v>0</v>
      </c>
      <c r="P256" s="4">
        <f>SUMIFS(super1[Qtde],super1[Item],tab_alimentos[[#This Row],[Item]],super1[Bairro],mercado5)+SUMIFS(supercb[Qtde],supercb[Item],tab_alimentos[[#This Row],[Item]],supercb[Bairro],mercado5)</f>
        <v>0</v>
      </c>
      <c r="Q256" s="4">
        <f>SUMIFS(super1[Qtde],super1[Item],tab_alimentos[[#This Row],[Item]],super1[Bairro],mercado6)+SUMIFS(supercb[Qtde],supercb[Item],tab_alimentos[[#This Row],[Item]],supercb[Bairro],mercado6)</f>
        <v>0</v>
      </c>
      <c r="R256" s="4">
        <f>SUMIFS(super1[Qtde],super1[Item],tab_alimentos[[#This Row],[Item]],super1[Bairro],mercado7)+SUMIFS(supercb[Qtde],supercb[Item],tab_alimentos[[#This Row],[Item]],supercb[Bairro],mercado7)</f>
        <v>0</v>
      </c>
      <c r="S256" s="4">
        <f>SUMIFS(super1[Qtde],super1[Item],tab_alimentos[[#This Row],[Item]],super1[Bairro],mercado8)+SUMIFS(supercb[Qtde],supercb[Item],tab_alimentos[[#This Row],[Item]],supercb[Bairro],mercado8)</f>
        <v>0</v>
      </c>
      <c r="T256" s="4">
        <f>SUMIFS(super1[Qtde],super1[Item],tab_alimentos[[#This Row],[Item]],super1[Bairro],mercado9)+SUMIFS(supercb[Qtde],supercb[Item],tab_alimentos[[#This Row],[Item]],supercb[Bairro],mercado9)</f>
        <v>0</v>
      </c>
      <c r="U256" s="4">
        <f>SUMIFS(super1[Qtde],super1[Item],tab_alimentos[[#This Row],[Item]],super1[Bairro],mercado10)+SUMIFS(supercb[Qtde],supercb[Item],tab_alimentos[[#This Row],[Item]],supercb[Bairro],mercado10)</f>
        <v>0</v>
      </c>
      <c r="V256" s="4">
        <f>SUMIFS(super1[Qtde],super1[Item],tab_alimentos[[#This Row],[Item]],super1[Bairro],mercado11)+SUMIFS(supercb[Qtde],supercb[Item],tab_alimentos[[#This Row],[Item]],supercb[Bairro],mercado11)</f>
        <v>0</v>
      </c>
      <c r="W256" s="4">
        <f>SUMIFS(super1[Qtde],super1[Item],tab_alimentos[[#This Row],[Item]],super1[Bairro],mercado12)+SUMIFS(supercb[Qtde],supercb[Item],tab_alimentos[[#This Row],[Item]],supercb[Bairro],mercado12)</f>
        <v>0</v>
      </c>
      <c r="X256" s="4">
        <f>SUMIFS(super1[Qtde],super1[Item],tab_alimentos[[#This Row],[Item]],super1[Bairro],mercado13)+SUMIFS(supercb[Qtde],supercb[Item],tab_alimentos[[#This Row],[Item]],supercb[Bairro],mercado13)</f>
        <v>0</v>
      </c>
      <c r="Y256" s="4">
        <f>SUMIFS(super1[Qtde],super1[Item],tab_alimentos[[#This Row],[Item]],super1[Bairro],mercado14)+SUMIFS(supercb[Qtde],supercb[Item],tab_alimentos[[#This Row],[Item]],supercb[Bairro],mercado14)</f>
        <v>0</v>
      </c>
      <c r="Z256" s="4">
        <f>SUMIFS(super1[Qtde],super1[Item],tab_alimentos[[#This Row],[Item]],super1[Bairro],mercado15)+SUMIFS(supercb[Qtde],supercb[Item],tab_alimentos[[#This Row],[Item]],supercb[Bairro],mercado15)</f>
        <v>0</v>
      </c>
      <c r="AA256" s="4">
        <f>SUMIFS(super1[Qtde],super1[Item],tab_alimentos[[#This Row],[Item]],super1[Bairro],mercado16)+SUMIFS(supercb[Qtde],supercb[Item],tab_alimentos[[#This Row],[Item]],supercb[Bairro],mercado16)</f>
        <v>0</v>
      </c>
      <c r="AB256" s="4">
        <f>SUMIFS(super1[Qtde],super1[Item],tab_alimentos[[#This Row],[Item]],super1[Bairro],mercado17)+SUMIFS(supercb[Qtde],supercb[Item],tab_alimentos[[#This Row],[Item]],supercb[Bairro],mercado17)</f>
        <v>0</v>
      </c>
      <c r="AC256" s="4">
        <f>SUMIFS(super1[Qtde],super1[Item],tab_alimentos[[#This Row],[Item]],super1[Bairro],mercado18)+SUMIFS(supercb[Qtde],supercb[Item],tab_alimentos[[#This Row],[Item]],supercb[Bairro],mercado18)</f>
        <v>0</v>
      </c>
      <c r="AD256" s="4">
        <f>SUMIFS(super1[Qtde],super1[Item],tab_alimentos[[#This Row],[Item]],super1[Bairro],extras)+SUMIFS(supercb[Qtde],supercb[Item],tab_alimentos[[#This Row],[Item]],supercb[Bairro],extras)</f>
        <v>0</v>
      </c>
      <c r="AE256" s="4">
        <f t="shared" si="82"/>
        <v>0</v>
      </c>
      <c r="AF256" s="4">
        <f t="shared" si="83"/>
        <v>0</v>
      </c>
      <c r="AG256" s="6">
        <f t="shared" si="84"/>
        <v>0</v>
      </c>
      <c r="AH256" s="13" t="str">
        <f>higiene[[#This Row],[Item]]</f>
        <v>Shampoo (425mL)</v>
      </c>
      <c r="AI256" s="9">
        <f>IFERROR(higiene[[#This Row],[Kg equivalente]],0)</f>
        <v>0</v>
      </c>
      <c r="AJ256" s="9">
        <f>IFERROR(higiene[[#This Row],[Preço por produto]],0)</f>
        <v>11.29</v>
      </c>
      <c r="AK256" s="4">
        <f>SUMIFS(super1[Qtde],super1[Item],tab_higiene[[#This Row],[Item]],super1[Bairro],mercado1)+SUMIFS(supercb[Qtde],supercb[Item],tab_higiene[[#This Row],[Item]],supercb[Bairro],mercado1)</f>
        <v>0</v>
      </c>
      <c r="AL256" s="4">
        <f>SUMIFS(super1[Qtde],super1[Item],tab_higiene[[#This Row],[Item]],super1[Bairro],mercado2)+SUMIFS(supercb[Qtde],supercb[Item],tab_higiene[[#This Row],[Item]],supercb[Bairro],mercado2)</f>
        <v>0</v>
      </c>
      <c r="AM256" s="4">
        <f>SUMIFS(super1[Qtde],super1[Item],tab_higiene[[#This Row],[Item]],super1[Bairro],mercado3)+SUMIFS(supercb[Qtde],supercb[Item],tab_higiene[[#This Row],[Item]],supercb[Bairro],mercado3)</f>
        <v>0</v>
      </c>
      <c r="AN256" s="4">
        <f>SUMIFS(super1[Qtde],super1[Item],tab_higiene[[#This Row],[Item]],super1[Bairro],mercado4)+SUMIFS(supercb[Qtde],supercb[Item],tab_higiene[[#This Row],[Item]],supercb[Bairro],mercado4)</f>
        <v>0</v>
      </c>
      <c r="AO256" s="4">
        <f>SUMIFS(super1[Qtde],super1[Item],tab_higiene[[#This Row],[Item]],super1[Bairro],mercado5)+SUMIFS(supercb[Qtde],supercb[Item],tab_higiene[[#This Row],[Item]],supercb[Bairro],mercado5)</f>
        <v>0</v>
      </c>
      <c r="AP256" s="4">
        <f>SUMIFS(super1[Qtde],super1[Item],tab_higiene[[#This Row],[Item]],super1[Bairro],mercado6)+SUMIFS(supercb[Qtde],supercb[Item],tab_higiene[[#This Row],[Item]],supercb[Bairro],mercado6)</f>
        <v>0</v>
      </c>
      <c r="AQ256" s="4">
        <f>SUMIFS(super1[Qtde],super1[Item],tab_higiene[[#This Row],[Item]],super1[Bairro],mercado7)+SUMIFS(supercb[Qtde],supercb[Item],tab_higiene[[#This Row],[Item]],supercb[Bairro],mercado7)</f>
        <v>0</v>
      </c>
      <c r="AR256" s="4">
        <f>SUMIFS(super1[Qtde],super1[Item],tab_higiene[[#This Row],[Item]],super1[Bairro],mercado8)+SUMIFS(supercb[Qtde],supercb[Item],tab_higiene[[#This Row],[Item]],supercb[Bairro],mercado8)</f>
        <v>0</v>
      </c>
      <c r="AS256" s="4">
        <f>SUMIFS(super1[Qtde],super1[Item],tab_higiene[[#This Row],[Item]],super1[Bairro],mercado9)+SUMIFS(supercb[Qtde],supercb[Item],tab_higiene[[#This Row],[Item]],supercb[Bairro],mercado9)</f>
        <v>0</v>
      </c>
      <c r="AT256" s="4">
        <f>SUMIFS(super1[Qtde],super1[Item],tab_higiene[[#This Row],[Item]],super1[Bairro],mercado10)+SUMIFS(supercb[Qtde],supercb[Item],tab_higiene[[#This Row],[Item]],supercb[Bairro],mercado10)</f>
        <v>0</v>
      </c>
      <c r="AU256" s="4">
        <f>SUMIFS(super1[Qtde],super1[Item],tab_higiene[[#This Row],[Item]],super1[Bairro],mercado11)+SUMIFS(supercb[Qtde],supercb[Item],tab_higiene[[#This Row],[Item]],supercb[Bairro],mercado11)</f>
        <v>0</v>
      </c>
      <c r="AV256" s="4">
        <f>SUMIFS(super1[Qtde],super1[Item],tab_higiene[[#This Row],[Item]],super1[Bairro],mercado12)+SUMIFS(supercb[Qtde],supercb[Item],tab_higiene[[#This Row],[Item]],supercb[Bairro],mercado12)</f>
        <v>0</v>
      </c>
      <c r="AW256" s="4">
        <f>SUMIFS(super1[Qtde],super1[Item],tab_higiene[[#This Row],[Item]],super1[Bairro],mercado13)+SUMIFS(supercb[Qtde],supercb[Item],tab_higiene[[#This Row],[Item]],supercb[Bairro],mercado13)</f>
        <v>0</v>
      </c>
      <c r="AX256" s="4">
        <f>SUMIFS(super1[Qtde],super1[Item],tab_higiene[[#This Row],[Item]],super1[Bairro],mercado14)+SUMIFS(supercb[Qtde],supercb[Item],tab_higiene[[#This Row],[Item]],supercb[Bairro],mercado14)</f>
        <v>0</v>
      </c>
      <c r="AY256" s="4">
        <f>SUMIFS(super1[Qtde],super1[Item],tab_higiene[[#This Row],[Item]],super1[Bairro],mercado15)+SUMIFS(supercb[Qtde],supercb[Item],tab_higiene[[#This Row],[Item]],supercb[Bairro],mercado15)</f>
        <v>0</v>
      </c>
      <c r="AZ256" s="4">
        <f>SUMIFS(super1[Qtde],super1[Item],tab_higiene[[#This Row],[Item]],super1[Bairro],mercado16)+SUMIFS(supercb[Qtde],supercb[Item],tab_higiene[[#This Row],[Item]],supercb[Bairro],mercado16)</f>
        <v>0</v>
      </c>
      <c r="BA256" s="4">
        <f>SUMIFS(super1[Qtde],super1[Item],tab_higiene[[#This Row],[Item]],super1[Bairro],mercado17)+SUMIFS(supercb[Qtde],supercb[Item],tab_higiene[[#This Row],[Item]],supercb[Bairro],mercado17)</f>
        <v>0</v>
      </c>
      <c r="BB256" s="4">
        <f>SUMIFS(super1[Qtde],super1[Item],tab_higiene[[#This Row],[Item]],super1[Bairro],mercado18)+SUMIFS(supercb[Qtde],supercb[Item],tab_higiene[[#This Row],[Item]],supercb[Bairro],mercado18)</f>
        <v>0</v>
      </c>
      <c r="BC256" s="31">
        <f>SUMIFS(super1[Qtde],super1[Item],tab_higiene[[#This Row],[Item]],super1[Bairro],extras)+SUMIFS(supercb[Qtde],supercb[Item],tab_higiene[[#This Row],[Item]],supercb[Bairro],extras)</f>
        <v>0</v>
      </c>
      <c r="BD256" s="9">
        <f t="shared" si="85"/>
        <v>0</v>
      </c>
      <c r="BE256" s="9">
        <f t="shared" si="86"/>
        <v>0</v>
      </c>
      <c r="BF256" s="18">
        <f t="shared" si="87"/>
        <v>0</v>
      </c>
    </row>
    <row r="257" spans="9:58" ht="15.75" thickBot="1" x14ac:dyDescent="0.3">
      <c r="I257" s="19" t="str">
        <f>alimentos[[#This Row],[Item]]</f>
        <v>Geléia de Goiaba (100g)</v>
      </c>
      <c r="J257" s="4">
        <f>IFERROR(alimentos[[#This Row],[kg/embalagem]],0)</f>
        <v>0.1</v>
      </c>
      <c r="K257" s="4">
        <f>IFERROR(alimentos[[#This Row],[Preço]],0)</f>
        <v>4.58</v>
      </c>
      <c r="L257" s="4">
        <f>SUMIFS(super1[Qtde],super1[Item],tab_alimentos[[#This Row],[Item]],super1[Bairro],mercado1)+SUMIFS(supercb[Qtde],supercb[Item],tab_alimentos[[#This Row],[Item]],supercb[Bairro],mercado1)</f>
        <v>0</v>
      </c>
      <c r="M257" s="4">
        <f>SUMIFS(super1[Qtde],super1[Item],tab_alimentos[[#This Row],[Item]],super1[Bairro],mercado2)+SUMIFS(supercb[Qtde],supercb[Item],tab_alimentos[[#This Row],[Item]],supercb[Bairro],mercado2)</f>
        <v>0</v>
      </c>
      <c r="N257" s="4">
        <f>SUMIFS(super1[Qtde],super1[Item],tab_alimentos[[#This Row],[Item]],super1[Bairro],mercado3)+SUMIFS(supercb[Qtde],supercb[Item],tab_alimentos[[#This Row],[Item]],supercb[Bairro],mercado3)</f>
        <v>0</v>
      </c>
      <c r="O257" s="4">
        <f>SUMIFS(super1[Qtde],super1[Item],tab_alimentos[[#This Row],[Item]],super1[Bairro],mercado4)+SUMIFS(supercb[Qtde],supercb[Item],tab_alimentos[[#This Row],[Item]],supercb[Bairro],mercado4)</f>
        <v>0</v>
      </c>
      <c r="P257" s="4">
        <f>SUMIFS(super1[Qtde],super1[Item],tab_alimentos[[#This Row],[Item]],super1[Bairro],mercado5)+SUMIFS(supercb[Qtde],supercb[Item],tab_alimentos[[#This Row],[Item]],supercb[Bairro],mercado5)</f>
        <v>0</v>
      </c>
      <c r="Q257" s="4">
        <f>SUMIFS(super1[Qtde],super1[Item],tab_alimentos[[#This Row],[Item]],super1[Bairro],mercado6)+SUMIFS(supercb[Qtde],supercb[Item],tab_alimentos[[#This Row],[Item]],supercb[Bairro],mercado6)</f>
        <v>0</v>
      </c>
      <c r="R257" s="4">
        <f>SUMIFS(super1[Qtde],super1[Item],tab_alimentos[[#This Row],[Item]],super1[Bairro],mercado7)+SUMIFS(supercb[Qtde],supercb[Item],tab_alimentos[[#This Row],[Item]],supercb[Bairro],mercado7)</f>
        <v>0</v>
      </c>
      <c r="S257" s="4">
        <f>SUMIFS(super1[Qtde],super1[Item],tab_alimentos[[#This Row],[Item]],super1[Bairro],mercado8)+SUMIFS(supercb[Qtde],supercb[Item],tab_alimentos[[#This Row],[Item]],supercb[Bairro],mercado8)</f>
        <v>0</v>
      </c>
      <c r="T257" s="4">
        <f>SUMIFS(super1[Qtde],super1[Item],tab_alimentos[[#This Row],[Item]],super1[Bairro],mercado9)+SUMIFS(supercb[Qtde],supercb[Item],tab_alimentos[[#This Row],[Item]],supercb[Bairro],mercado9)</f>
        <v>0</v>
      </c>
      <c r="U257" s="4">
        <f>SUMIFS(super1[Qtde],super1[Item],tab_alimentos[[#This Row],[Item]],super1[Bairro],mercado10)+SUMIFS(supercb[Qtde],supercb[Item],tab_alimentos[[#This Row],[Item]],supercb[Bairro],mercado10)</f>
        <v>0</v>
      </c>
      <c r="V257" s="4">
        <f>SUMIFS(super1[Qtde],super1[Item],tab_alimentos[[#This Row],[Item]],super1[Bairro],mercado11)+SUMIFS(supercb[Qtde],supercb[Item],tab_alimentos[[#This Row],[Item]],supercb[Bairro],mercado11)</f>
        <v>0</v>
      </c>
      <c r="W257" s="4">
        <f>SUMIFS(super1[Qtde],super1[Item],tab_alimentos[[#This Row],[Item]],super1[Bairro],mercado12)+SUMIFS(supercb[Qtde],supercb[Item],tab_alimentos[[#This Row],[Item]],supercb[Bairro],mercado12)</f>
        <v>0</v>
      </c>
      <c r="X257" s="4">
        <f>SUMIFS(super1[Qtde],super1[Item],tab_alimentos[[#This Row],[Item]],super1[Bairro],mercado13)+SUMIFS(supercb[Qtde],supercb[Item],tab_alimentos[[#This Row],[Item]],supercb[Bairro],mercado13)</f>
        <v>0</v>
      </c>
      <c r="Y257" s="4">
        <f>SUMIFS(super1[Qtde],super1[Item],tab_alimentos[[#This Row],[Item]],super1[Bairro],mercado14)+SUMIFS(supercb[Qtde],supercb[Item],tab_alimentos[[#This Row],[Item]],supercb[Bairro],mercado14)</f>
        <v>0</v>
      </c>
      <c r="Z257" s="4">
        <f>SUMIFS(super1[Qtde],super1[Item],tab_alimentos[[#This Row],[Item]],super1[Bairro],mercado15)+SUMIFS(supercb[Qtde],supercb[Item],tab_alimentos[[#This Row],[Item]],supercb[Bairro],mercado15)</f>
        <v>0</v>
      </c>
      <c r="AA257" s="4">
        <f>SUMIFS(super1[Qtde],super1[Item],tab_alimentos[[#This Row],[Item]],super1[Bairro],mercado16)+SUMIFS(supercb[Qtde],supercb[Item],tab_alimentos[[#This Row],[Item]],supercb[Bairro],mercado16)</f>
        <v>0</v>
      </c>
      <c r="AB257" s="4">
        <f>SUMIFS(super1[Qtde],super1[Item],tab_alimentos[[#This Row],[Item]],super1[Bairro],mercado17)+SUMIFS(supercb[Qtde],supercb[Item],tab_alimentos[[#This Row],[Item]],supercb[Bairro],mercado17)</f>
        <v>0</v>
      </c>
      <c r="AC257" s="4">
        <f>SUMIFS(super1[Qtde],super1[Item],tab_alimentos[[#This Row],[Item]],super1[Bairro],mercado18)+SUMIFS(supercb[Qtde],supercb[Item],tab_alimentos[[#This Row],[Item]],supercb[Bairro],mercado18)</f>
        <v>0</v>
      </c>
      <c r="AD257" s="4">
        <f>SUMIFS(super1[Qtde],super1[Item],tab_alimentos[[#This Row],[Item]],super1[Bairro],extras)+SUMIFS(supercb[Qtde],supercb[Item],tab_alimentos[[#This Row],[Item]],supercb[Bairro],extras)</f>
        <v>0</v>
      </c>
      <c r="AE257" s="4">
        <f t="shared" si="82"/>
        <v>0</v>
      </c>
      <c r="AF257" s="4">
        <f t="shared" si="83"/>
        <v>0</v>
      </c>
      <c r="AG257" s="6">
        <f t="shared" si="84"/>
        <v>0</v>
      </c>
      <c r="AH257" s="13" t="str">
        <f>higiene[[#This Row],[Item]]</f>
        <v>Shampoo (500mL)</v>
      </c>
      <c r="AI257" s="9">
        <f>IFERROR(higiene[[#This Row],[Kg equivalente]],0)</f>
        <v>0</v>
      </c>
      <c r="AJ257" s="9">
        <f>IFERROR(higiene[[#This Row],[Preço por produto]],0)</f>
        <v>7.29</v>
      </c>
      <c r="AK257" s="4">
        <f>SUMIFS(super1[Qtde],super1[Item],tab_higiene[[#This Row],[Item]],super1[Bairro],mercado1)+SUMIFS(supercb[Qtde],supercb[Item],tab_higiene[[#This Row],[Item]],supercb[Bairro],mercado1)</f>
        <v>0</v>
      </c>
      <c r="AL257" s="4">
        <f>SUMIFS(super1[Qtde],super1[Item],tab_higiene[[#This Row],[Item]],super1[Bairro],mercado2)+SUMIFS(supercb[Qtde],supercb[Item],tab_higiene[[#This Row],[Item]],supercb[Bairro],mercado2)</f>
        <v>0</v>
      </c>
      <c r="AM257" s="4">
        <f>SUMIFS(super1[Qtde],super1[Item],tab_higiene[[#This Row],[Item]],super1[Bairro],mercado3)+SUMIFS(supercb[Qtde],supercb[Item],tab_higiene[[#This Row],[Item]],supercb[Bairro],mercado3)</f>
        <v>0</v>
      </c>
      <c r="AN257" s="4">
        <f>SUMIFS(super1[Qtde],super1[Item],tab_higiene[[#This Row],[Item]],super1[Bairro],mercado4)+SUMIFS(supercb[Qtde],supercb[Item],tab_higiene[[#This Row],[Item]],supercb[Bairro],mercado4)</f>
        <v>0</v>
      </c>
      <c r="AO257" s="4">
        <f>SUMIFS(super1[Qtde],super1[Item],tab_higiene[[#This Row],[Item]],super1[Bairro],mercado5)+SUMIFS(supercb[Qtde],supercb[Item],tab_higiene[[#This Row],[Item]],supercb[Bairro],mercado5)</f>
        <v>0</v>
      </c>
      <c r="AP257" s="4">
        <f>SUMIFS(super1[Qtde],super1[Item],tab_higiene[[#This Row],[Item]],super1[Bairro],mercado6)+SUMIFS(supercb[Qtde],supercb[Item],tab_higiene[[#This Row],[Item]],supercb[Bairro],mercado6)</f>
        <v>0</v>
      </c>
      <c r="AQ257" s="4">
        <f>SUMIFS(super1[Qtde],super1[Item],tab_higiene[[#This Row],[Item]],super1[Bairro],mercado7)+SUMIFS(supercb[Qtde],supercb[Item],tab_higiene[[#This Row],[Item]],supercb[Bairro],mercado7)</f>
        <v>0</v>
      </c>
      <c r="AR257" s="4">
        <f>SUMIFS(super1[Qtde],super1[Item],tab_higiene[[#This Row],[Item]],super1[Bairro],mercado8)+SUMIFS(supercb[Qtde],supercb[Item],tab_higiene[[#This Row],[Item]],supercb[Bairro],mercado8)</f>
        <v>0</v>
      </c>
      <c r="AS257" s="4">
        <f>SUMIFS(super1[Qtde],super1[Item],tab_higiene[[#This Row],[Item]],super1[Bairro],mercado9)+SUMIFS(supercb[Qtde],supercb[Item],tab_higiene[[#This Row],[Item]],supercb[Bairro],mercado9)</f>
        <v>0</v>
      </c>
      <c r="AT257" s="4">
        <f>SUMIFS(super1[Qtde],super1[Item],tab_higiene[[#This Row],[Item]],super1[Bairro],mercado10)+SUMIFS(supercb[Qtde],supercb[Item],tab_higiene[[#This Row],[Item]],supercb[Bairro],mercado10)</f>
        <v>0</v>
      </c>
      <c r="AU257" s="4">
        <f>SUMIFS(super1[Qtde],super1[Item],tab_higiene[[#This Row],[Item]],super1[Bairro],mercado11)+SUMIFS(supercb[Qtde],supercb[Item],tab_higiene[[#This Row],[Item]],supercb[Bairro],mercado11)</f>
        <v>0</v>
      </c>
      <c r="AV257" s="4">
        <f>SUMIFS(super1[Qtde],super1[Item],tab_higiene[[#This Row],[Item]],super1[Bairro],mercado12)+SUMIFS(supercb[Qtde],supercb[Item],tab_higiene[[#This Row],[Item]],supercb[Bairro],mercado12)</f>
        <v>0</v>
      </c>
      <c r="AW257" s="4">
        <f>SUMIFS(super1[Qtde],super1[Item],tab_higiene[[#This Row],[Item]],super1[Bairro],mercado13)+SUMIFS(supercb[Qtde],supercb[Item],tab_higiene[[#This Row],[Item]],supercb[Bairro],mercado13)</f>
        <v>0</v>
      </c>
      <c r="AX257" s="4">
        <f>SUMIFS(super1[Qtde],super1[Item],tab_higiene[[#This Row],[Item]],super1[Bairro],mercado14)+SUMIFS(supercb[Qtde],supercb[Item],tab_higiene[[#This Row],[Item]],supercb[Bairro],mercado14)</f>
        <v>0</v>
      </c>
      <c r="AY257" s="4">
        <f>SUMIFS(super1[Qtde],super1[Item],tab_higiene[[#This Row],[Item]],super1[Bairro],mercado15)+SUMIFS(supercb[Qtde],supercb[Item],tab_higiene[[#This Row],[Item]],supercb[Bairro],mercado15)</f>
        <v>0</v>
      </c>
      <c r="AZ257" s="4">
        <f>SUMIFS(super1[Qtde],super1[Item],tab_higiene[[#This Row],[Item]],super1[Bairro],mercado16)+SUMIFS(supercb[Qtde],supercb[Item],tab_higiene[[#This Row],[Item]],supercb[Bairro],mercado16)</f>
        <v>0</v>
      </c>
      <c r="BA257" s="4">
        <f>SUMIFS(super1[Qtde],super1[Item],tab_higiene[[#This Row],[Item]],super1[Bairro],mercado17)+SUMIFS(supercb[Qtde],supercb[Item],tab_higiene[[#This Row],[Item]],supercb[Bairro],mercado17)</f>
        <v>0</v>
      </c>
      <c r="BB257" s="4">
        <f>SUMIFS(super1[Qtde],super1[Item],tab_higiene[[#This Row],[Item]],super1[Bairro],mercado18)+SUMIFS(supercb[Qtde],supercb[Item],tab_higiene[[#This Row],[Item]],supercb[Bairro],mercado18)</f>
        <v>0</v>
      </c>
      <c r="BC257" s="31">
        <f>SUMIFS(super1[Qtde],super1[Item],tab_higiene[[#This Row],[Item]],super1[Bairro],extras)+SUMIFS(supercb[Qtde],supercb[Item],tab_higiene[[#This Row],[Item]],supercb[Bairro],extras)</f>
        <v>0</v>
      </c>
      <c r="BD257" s="9">
        <f t="shared" si="85"/>
        <v>0</v>
      </c>
      <c r="BE257" s="9">
        <f t="shared" si="86"/>
        <v>0</v>
      </c>
      <c r="BF257" s="18">
        <f t="shared" si="87"/>
        <v>0</v>
      </c>
    </row>
    <row r="258" spans="9:58" ht="15.75" thickBot="1" x14ac:dyDescent="0.3">
      <c r="I258" s="19" t="str">
        <f>alimentos[[#This Row],[Item]]</f>
        <v>Goiabada (200g)</v>
      </c>
      <c r="J258" s="4">
        <f>IFERROR(alimentos[[#This Row],[kg/embalagem]],0)</f>
        <v>0.2</v>
      </c>
      <c r="K258" s="4">
        <f>IFERROR(alimentos[[#This Row],[Preço]],0)</f>
        <v>8.49</v>
      </c>
      <c r="L258" s="4">
        <f>SUMIFS(super1[Qtde],super1[Item],tab_alimentos[[#This Row],[Item]],super1[Bairro],mercado1)+SUMIFS(supercb[Qtde],supercb[Item],tab_alimentos[[#This Row],[Item]],supercb[Bairro],mercado1)</f>
        <v>0</v>
      </c>
      <c r="M258" s="4">
        <f>SUMIFS(super1[Qtde],super1[Item],tab_alimentos[[#This Row],[Item]],super1[Bairro],mercado2)+SUMIFS(supercb[Qtde],supercb[Item],tab_alimentos[[#This Row],[Item]],supercb[Bairro],mercado2)</f>
        <v>0</v>
      </c>
      <c r="N258" s="4">
        <f>SUMIFS(super1[Qtde],super1[Item],tab_alimentos[[#This Row],[Item]],super1[Bairro],mercado3)+SUMIFS(supercb[Qtde],supercb[Item],tab_alimentos[[#This Row],[Item]],supercb[Bairro],mercado3)</f>
        <v>0</v>
      </c>
      <c r="O258" s="4">
        <f>SUMIFS(super1[Qtde],super1[Item],tab_alimentos[[#This Row],[Item]],super1[Bairro],mercado4)+SUMIFS(supercb[Qtde],supercb[Item],tab_alimentos[[#This Row],[Item]],supercb[Bairro],mercado4)</f>
        <v>0</v>
      </c>
      <c r="P258" s="4">
        <f>SUMIFS(super1[Qtde],super1[Item],tab_alimentos[[#This Row],[Item]],super1[Bairro],mercado5)+SUMIFS(supercb[Qtde],supercb[Item],tab_alimentos[[#This Row],[Item]],supercb[Bairro],mercado5)</f>
        <v>0</v>
      </c>
      <c r="Q258" s="4">
        <f>SUMIFS(super1[Qtde],super1[Item],tab_alimentos[[#This Row],[Item]],super1[Bairro],mercado6)+SUMIFS(supercb[Qtde],supercb[Item],tab_alimentos[[#This Row],[Item]],supercb[Bairro],mercado6)</f>
        <v>0</v>
      </c>
      <c r="R258" s="4">
        <f>SUMIFS(super1[Qtde],super1[Item],tab_alimentos[[#This Row],[Item]],super1[Bairro],mercado7)+SUMIFS(supercb[Qtde],supercb[Item],tab_alimentos[[#This Row],[Item]],supercb[Bairro],mercado7)</f>
        <v>0</v>
      </c>
      <c r="S258" s="4">
        <f>SUMIFS(super1[Qtde],super1[Item],tab_alimentos[[#This Row],[Item]],super1[Bairro],mercado8)+SUMIFS(supercb[Qtde],supercb[Item],tab_alimentos[[#This Row],[Item]],supercb[Bairro],mercado8)</f>
        <v>0</v>
      </c>
      <c r="T258" s="4">
        <f>SUMIFS(super1[Qtde],super1[Item],tab_alimentos[[#This Row],[Item]],super1[Bairro],mercado9)+SUMIFS(supercb[Qtde],supercb[Item],tab_alimentos[[#This Row],[Item]],supercb[Bairro],mercado9)</f>
        <v>0</v>
      </c>
      <c r="U258" s="4">
        <f>SUMIFS(super1[Qtde],super1[Item],tab_alimentos[[#This Row],[Item]],super1[Bairro],mercado10)+SUMIFS(supercb[Qtde],supercb[Item],tab_alimentos[[#This Row],[Item]],supercb[Bairro],mercado10)</f>
        <v>0</v>
      </c>
      <c r="V258" s="4">
        <f>SUMIFS(super1[Qtde],super1[Item],tab_alimentos[[#This Row],[Item]],super1[Bairro],mercado11)+SUMIFS(supercb[Qtde],supercb[Item],tab_alimentos[[#This Row],[Item]],supercb[Bairro],mercado11)</f>
        <v>0</v>
      </c>
      <c r="W258" s="4">
        <f>SUMIFS(super1[Qtde],super1[Item],tab_alimentos[[#This Row],[Item]],super1[Bairro],mercado12)+SUMIFS(supercb[Qtde],supercb[Item],tab_alimentos[[#This Row],[Item]],supercb[Bairro],mercado12)</f>
        <v>0</v>
      </c>
      <c r="X258" s="4">
        <f>SUMIFS(super1[Qtde],super1[Item],tab_alimentos[[#This Row],[Item]],super1[Bairro],mercado13)+SUMIFS(supercb[Qtde],supercb[Item],tab_alimentos[[#This Row],[Item]],supercb[Bairro],mercado13)</f>
        <v>0</v>
      </c>
      <c r="Y258" s="4">
        <f>SUMIFS(super1[Qtde],super1[Item],tab_alimentos[[#This Row],[Item]],super1[Bairro],mercado14)+SUMIFS(supercb[Qtde],supercb[Item],tab_alimentos[[#This Row],[Item]],supercb[Bairro],mercado14)</f>
        <v>0</v>
      </c>
      <c r="Z258" s="4">
        <f>SUMIFS(super1[Qtde],super1[Item],tab_alimentos[[#This Row],[Item]],super1[Bairro],mercado15)+SUMIFS(supercb[Qtde],supercb[Item],tab_alimentos[[#This Row],[Item]],supercb[Bairro],mercado15)</f>
        <v>0</v>
      </c>
      <c r="AA258" s="4">
        <f>SUMIFS(super1[Qtde],super1[Item],tab_alimentos[[#This Row],[Item]],super1[Bairro],mercado16)+SUMIFS(supercb[Qtde],supercb[Item],tab_alimentos[[#This Row],[Item]],supercb[Bairro],mercado16)</f>
        <v>0</v>
      </c>
      <c r="AB258" s="4">
        <f>SUMIFS(super1[Qtde],super1[Item],tab_alimentos[[#This Row],[Item]],super1[Bairro],mercado17)+SUMIFS(supercb[Qtde],supercb[Item],tab_alimentos[[#This Row],[Item]],supercb[Bairro],mercado17)</f>
        <v>0</v>
      </c>
      <c r="AC258" s="4">
        <f>SUMIFS(super1[Qtde],super1[Item],tab_alimentos[[#This Row],[Item]],super1[Bairro],mercado18)+SUMIFS(supercb[Qtde],supercb[Item],tab_alimentos[[#This Row],[Item]],supercb[Bairro],mercado18)</f>
        <v>0</v>
      </c>
      <c r="AD258" s="4">
        <f>SUMIFS(super1[Qtde],super1[Item],tab_alimentos[[#This Row],[Item]],super1[Bairro],extras)+SUMIFS(supercb[Qtde],supercb[Item],tab_alimentos[[#This Row],[Item]],supercb[Bairro],extras)</f>
        <v>0</v>
      </c>
      <c r="AE258" s="4">
        <f t="shared" si="82"/>
        <v>0</v>
      </c>
      <c r="AF258" s="4">
        <f t="shared" si="83"/>
        <v>0</v>
      </c>
      <c r="AG258" s="6">
        <f t="shared" si="84"/>
        <v>0</v>
      </c>
      <c r="AH258" s="13" t="str">
        <f>higiene[[#This Row],[Item]]</f>
        <v>Shampoo e Condicionador (325mL)</v>
      </c>
      <c r="AI258" s="9">
        <f>IFERROR(higiene[[#This Row],[Kg equivalente]],0)</f>
        <v>0</v>
      </c>
      <c r="AJ258" s="9">
        <f>IFERROR(higiene[[#This Row],[Preço por produto]],0)</f>
        <v>11.99</v>
      </c>
      <c r="AK258" s="4">
        <f>SUMIFS(super1[Qtde],super1[Item],tab_higiene[[#This Row],[Item]],super1[Bairro],mercado1)+SUMIFS(supercb[Qtde],supercb[Item],tab_higiene[[#This Row],[Item]],supercb[Bairro],mercado1)</f>
        <v>0</v>
      </c>
      <c r="AL258" s="4">
        <f>SUMIFS(super1[Qtde],super1[Item],tab_higiene[[#This Row],[Item]],super1[Bairro],mercado2)+SUMIFS(supercb[Qtde],supercb[Item],tab_higiene[[#This Row],[Item]],supercb[Bairro],mercado2)</f>
        <v>0</v>
      </c>
      <c r="AM258" s="4">
        <f>SUMIFS(super1[Qtde],super1[Item],tab_higiene[[#This Row],[Item]],super1[Bairro],mercado3)+SUMIFS(supercb[Qtde],supercb[Item],tab_higiene[[#This Row],[Item]],supercb[Bairro],mercado3)</f>
        <v>0</v>
      </c>
      <c r="AN258" s="4">
        <f>SUMIFS(super1[Qtde],super1[Item],tab_higiene[[#This Row],[Item]],super1[Bairro],mercado4)+SUMIFS(supercb[Qtde],supercb[Item],tab_higiene[[#This Row],[Item]],supercb[Bairro],mercado4)</f>
        <v>0</v>
      </c>
      <c r="AO258" s="4">
        <f>SUMIFS(super1[Qtde],super1[Item],tab_higiene[[#This Row],[Item]],super1[Bairro],mercado5)+SUMIFS(supercb[Qtde],supercb[Item],tab_higiene[[#This Row],[Item]],supercb[Bairro],mercado5)</f>
        <v>0</v>
      </c>
      <c r="AP258" s="4">
        <f>SUMIFS(super1[Qtde],super1[Item],tab_higiene[[#This Row],[Item]],super1[Bairro],mercado6)+SUMIFS(supercb[Qtde],supercb[Item],tab_higiene[[#This Row],[Item]],supercb[Bairro],mercado6)</f>
        <v>0</v>
      </c>
      <c r="AQ258" s="4">
        <f>SUMIFS(super1[Qtde],super1[Item],tab_higiene[[#This Row],[Item]],super1[Bairro],mercado7)+SUMIFS(supercb[Qtde],supercb[Item],tab_higiene[[#This Row],[Item]],supercb[Bairro],mercado7)</f>
        <v>0</v>
      </c>
      <c r="AR258" s="4">
        <f>SUMIFS(super1[Qtde],super1[Item],tab_higiene[[#This Row],[Item]],super1[Bairro],mercado8)+SUMIFS(supercb[Qtde],supercb[Item],tab_higiene[[#This Row],[Item]],supercb[Bairro],mercado8)</f>
        <v>0</v>
      </c>
      <c r="AS258" s="4">
        <f>SUMIFS(super1[Qtde],super1[Item],tab_higiene[[#This Row],[Item]],super1[Bairro],mercado9)+SUMIFS(supercb[Qtde],supercb[Item],tab_higiene[[#This Row],[Item]],supercb[Bairro],mercado9)</f>
        <v>0</v>
      </c>
      <c r="AT258" s="4">
        <f>SUMIFS(super1[Qtde],super1[Item],tab_higiene[[#This Row],[Item]],super1[Bairro],mercado10)+SUMIFS(supercb[Qtde],supercb[Item],tab_higiene[[#This Row],[Item]],supercb[Bairro],mercado10)</f>
        <v>0</v>
      </c>
      <c r="AU258" s="4">
        <f>SUMIFS(super1[Qtde],super1[Item],tab_higiene[[#This Row],[Item]],super1[Bairro],mercado11)+SUMIFS(supercb[Qtde],supercb[Item],tab_higiene[[#This Row],[Item]],supercb[Bairro],mercado11)</f>
        <v>0</v>
      </c>
      <c r="AV258" s="4">
        <f>SUMIFS(super1[Qtde],super1[Item],tab_higiene[[#This Row],[Item]],super1[Bairro],mercado12)+SUMIFS(supercb[Qtde],supercb[Item],tab_higiene[[#This Row],[Item]],supercb[Bairro],mercado12)</f>
        <v>0</v>
      </c>
      <c r="AW258" s="4">
        <f>SUMIFS(super1[Qtde],super1[Item],tab_higiene[[#This Row],[Item]],super1[Bairro],mercado13)+SUMIFS(supercb[Qtde],supercb[Item],tab_higiene[[#This Row],[Item]],supercb[Bairro],mercado13)</f>
        <v>0</v>
      </c>
      <c r="AX258" s="4">
        <f>SUMIFS(super1[Qtde],super1[Item],tab_higiene[[#This Row],[Item]],super1[Bairro],mercado14)+SUMIFS(supercb[Qtde],supercb[Item],tab_higiene[[#This Row],[Item]],supercb[Bairro],mercado14)</f>
        <v>0</v>
      </c>
      <c r="AY258" s="4">
        <f>SUMIFS(super1[Qtde],super1[Item],tab_higiene[[#This Row],[Item]],super1[Bairro],mercado15)+SUMIFS(supercb[Qtde],supercb[Item],tab_higiene[[#This Row],[Item]],supercb[Bairro],mercado15)</f>
        <v>0</v>
      </c>
      <c r="AZ258" s="4">
        <f>SUMIFS(super1[Qtde],super1[Item],tab_higiene[[#This Row],[Item]],super1[Bairro],mercado16)+SUMIFS(supercb[Qtde],supercb[Item],tab_higiene[[#This Row],[Item]],supercb[Bairro],mercado16)</f>
        <v>0</v>
      </c>
      <c r="BA258" s="4">
        <f>SUMIFS(super1[Qtde],super1[Item],tab_higiene[[#This Row],[Item]],super1[Bairro],mercado17)+SUMIFS(supercb[Qtde],supercb[Item],tab_higiene[[#This Row],[Item]],supercb[Bairro],mercado17)</f>
        <v>0</v>
      </c>
      <c r="BB258" s="4">
        <f>SUMIFS(super1[Qtde],super1[Item],tab_higiene[[#This Row],[Item]],super1[Bairro],mercado18)+SUMIFS(supercb[Qtde],supercb[Item],tab_higiene[[#This Row],[Item]],supercb[Bairro],mercado18)</f>
        <v>0</v>
      </c>
      <c r="BC258" s="31">
        <f>SUMIFS(super1[Qtde],super1[Item],tab_higiene[[#This Row],[Item]],super1[Bairro],extras)+SUMIFS(supercb[Qtde],supercb[Item],tab_higiene[[#This Row],[Item]],supercb[Bairro],extras)</f>
        <v>0</v>
      </c>
      <c r="BD258" s="9">
        <f t="shared" si="85"/>
        <v>0</v>
      </c>
      <c r="BE258" s="9">
        <f t="shared" si="86"/>
        <v>0</v>
      </c>
      <c r="BF258" s="18">
        <f t="shared" si="87"/>
        <v>0</v>
      </c>
    </row>
    <row r="259" spans="9:58" ht="15.75" thickBot="1" x14ac:dyDescent="0.3">
      <c r="I259" s="19" t="str">
        <f>alimentos[[#This Row],[Item]]</f>
        <v>Goiabada (250g)</v>
      </c>
      <c r="J259" s="4">
        <f>IFERROR(alimentos[[#This Row],[kg/embalagem]],0)</f>
        <v>0.25</v>
      </c>
      <c r="K259" s="4">
        <f>IFERROR(alimentos[[#This Row],[Preço]],0)</f>
        <v>11.1</v>
      </c>
      <c r="L259" s="4">
        <f>SUMIFS(super1[Qtde],super1[Item],tab_alimentos[[#This Row],[Item]],super1[Bairro],mercado1)+SUMIFS(supercb[Qtde],supercb[Item],tab_alimentos[[#This Row],[Item]],supercb[Bairro],mercado1)</f>
        <v>0</v>
      </c>
      <c r="M259" s="4">
        <f>SUMIFS(super1[Qtde],super1[Item],tab_alimentos[[#This Row],[Item]],super1[Bairro],mercado2)+SUMIFS(supercb[Qtde],supercb[Item],tab_alimentos[[#This Row],[Item]],supercb[Bairro],mercado2)</f>
        <v>0</v>
      </c>
      <c r="N259" s="4">
        <f>SUMIFS(super1[Qtde],super1[Item],tab_alimentos[[#This Row],[Item]],super1[Bairro],mercado3)+SUMIFS(supercb[Qtde],supercb[Item],tab_alimentos[[#This Row],[Item]],supercb[Bairro],mercado3)</f>
        <v>0</v>
      </c>
      <c r="O259" s="4">
        <f>SUMIFS(super1[Qtde],super1[Item],tab_alimentos[[#This Row],[Item]],super1[Bairro],mercado4)+SUMIFS(supercb[Qtde],supercb[Item],tab_alimentos[[#This Row],[Item]],supercb[Bairro],mercado4)</f>
        <v>0</v>
      </c>
      <c r="P259" s="4">
        <f>SUMIFS(super1[Qtde],super1[Item],tab_alimentos[[#This Row],[Item]],super1[Bairro],mercado5)+SUMIFS(supercb[Qtde],supercb[Item],tab_alimentos[[#This Row],[Item]],supercb[Bairro],mercado5)</f>
        <v>0</v>
      </c>
      <c r="Q259" s="4">
        <f>SUMIFS(super1[Qtde],super1[Item],tab_alimentos[[#This Row],[Item]],super1[Bairro],mercado6)+SUMIFS(supercb[Qtde],supercb[Item],tab_alimentos[[#This Row],[Item]],supercb[Bairro],mercado6)</f>
        <v>0</v>
      </c>
      <c r="R259" s="4">
        <f>SUMIFS(super1[Qtde],super1[Item],tab_alimentos[[#This Row],[Item]],super1[Bairro],mercado7)+SUMIFS(supercb[Qtde],supercb[Item],tab_alimentos[[#This Row],[Item]],supercb[Bairro],mercado7)</f>
        <v>0</v>
      </c>
      <c r="S259" s="4">
        <f>SUMIFS(super1[Qtde],super1[Item],tab_alimentos[[#This Row],[Item]],super1[Bairro],mercado8)+SUMIFS(supercb[Qtde],supercb[Item],tab_alimentos[[#This Row],[Item]],supercb[Bairro],mercado8)</f>
        <v>0</v>
      </c>
      <c r="T259" s="4">
        <f>SUMIFS(super1[Qtde],super1[Item],tab_alimentos[[#This Row],[Item]],super1[Bairro],mercado9)+SUMIFS(supercb[Qtde],supercb[Item],tab_alimentos[[#This Row],[Item]],supercb[Bairro],mercado9)</f>
        <v>0</v>
      </c>
      <c r="U259" s="4">
        <f>SUMIFS(super1[Qtde],super1[Item],tab_alimentos[[#This Row],[Item]],super1[Bairro],mercado10)+SUMIFS(supercb[Qtde],supercb[Item],tab_alimentos[[#This Row],[Item]],supercb[Bairro],mercado10)</f>
        <v>0</v>
      </c>
      <c r="V259" s="4">
        <f>SUMIFS(super1[Qtde],super1[Item],tab_alimentos[[#This Row],[Item]],super1[Bairro],mercado11)+SUMIFS(supercb[Qtde],supercb[Item],tab_alimentos[[#This Row],[Item]],supercb[Bairro],mercado11)</f>
        <v>0</v>
      </c>
      <c r="W259" s="4">
        <f>SUMIFS(super1[Qtde],super1[Item],tab_alimentos[[#This Row],[Item]],super1[Bairro],mercado12)+SUMIFS(supercb[Qtde],supercb[Item],tab_alimentos[[#This Row],[Item]],supercb[Bairro],mercado12)</f>
        <v>0</v>
      </c>
      <c r="X259" s="4">
        <f>SUMIFS(super1[Qtde],super1[Item],tab_alimentos[[#This Row],[Item]],super1[Bairro],mercado13)+SUMIFS(supercb[Qtde],supercb[Item],tab_alimentos[[#This Row],[Item]],supercb[Bairro],mercado13)</f>
        <v>0</v>
      </c>
      <c r="Y259" s="4">
        <f>SUMIFS(super1[Qtde],super1[Item],tab_alimentos[[#This Row],[Item]],super1[Bairro],mercado14)+SUMIFS(supercb[Qtde],supercb[Item],tab_alimentos[[#This Row],[Item]],supercb[Bairro],mercado14)</f>
        <v>0</v>
      </c>
      <c r="Z259" s="4">
        <f>SUMIFS(super1[Qtde],super1[Item],tab_alimentos[[#This Row],[Item]],super1[Bairro],mercado15)+SUMIFS(supercb[Qtde],supercb[Item],tab_alimentos[[#This Row],[Item]],supercb[Bairro],mercado15)</f>
        <v>0</v>
      </c>
      <c r="AA259" s="4">
        <f>SUMIFS(super1[Qtde],super1[Item],tab_alimentos[[#This Row],[Item]],super1[Bairro],mercado16)+SUMIFS(supercb[Qtde],supercb[Item],tab_alimentos[[#This Row],[Item]],supercb[Bairro],mercado16)</f>
        <v>0</v>
      </c>
      <c r="AB259" s="4">
        <f>SUMIFS(super1[Qtde],super1[Item],tab_alimentos[[#This Row],[Item]],super1[Bairro],mercado17)+SUMIFS(supercb[Qtde],supercb[Item],tab_alimentos[[#This Row],[Item]],supercb[Bairro],mercado17)</f>
        <v>0</v>
      </c>
      <c r="AC259" s="4">
        <f>SUMIFS(super1[Qtde],super1[Item],tab_alimentos[[#This Row],[Item]],super1[Bairro],mercado18)+SUMIFS(supercb[Qtde],supercb[Item],tab_alimentos[[#This Row],[Item]],supercb[Bairro],mercado18)</f>
        <v>0</v>
      </c>
      <c r="AD259" s="4">
        <f>SUMIFS(super1[Qtde],super1[Item],tab_alimentos[[#This Row],[Item]],super1[Bairro],extras)+SUMIFS(supercb[Qtde],supercb[Item],tab_alimentos[[#This Row],[Item]],supercb[Bairro],extras)</f>
        <v>0</v>
      </c>
      <c r="AE259" s="4">
        <f t="shared" si="82"/>
        <v>0</v>
      </c>
      <c r="AF259" s="4">
        <f t="shared" si="83"/>
        <v>0</v>
      </c>
      <c r="AG259" s="6">
        <f t="shared" si="84"/>
        <v>0</v>
      </c>
      <c r="AH259" s="13" t="str">
        <f>higiene[[#This Row],[Item]]</f>
        <v>T</v>
      </c>
      <c r="AI259" s="9">
        <f>IFERROR(higiene[[#This Row],[Kg equivalente]],0)</f>
        <v>0</v>
      </c>
      <c r="AJ259" s="9">
        <f>IFERROR(higiene[[#This Row],[Preço por produto]],0)</f>
        <v>0</v>
      </c>
      <c r="AK259" s="4">
        <f>SUMIFS(super1[Qtde],super1[Item],tab_higiene[[#This Row],[Item]],super1[Bairro],mercado1)+SUMIFS(supercb[Qtde],supercb[Item],tab_higiene[[#This Row],[Item]],supercb[Bairro],mercado1)</f>
        <v>0</v>
      </c>
      <c r="AL259" s="4">
        <f>SUMIFS(super1[Qtde],super1[Item],tab_higiene[[#This Row],[Item]],super1[Bairro],mercado2)+SUMIFS(supercb[Qtde],supercb[Item],tab_higiene[[#This Row],[Item]],supercb[Bairro],mercado2)</f>
        <v>0</v>
      </c>
      <c r="AM259" s="4">
        <f>SUMIFS(super1[Qtde],super1[Item],tab_higiene[[#This Row],[Item]],super1[Bairro],mercado3)+SUMIFS(supercb[Qtde],supercb[Item],tab_higiene[[#This Row],[Item]],supercb[Bairro],mercado3)</f>
        <v>0</v>
      </c>
      <c r="AN259" s="4">
        <f>SUMIFS(super1[Qtde],super1[Item],tab_higiene[[#This Row],[Item]],super1[Bairro],mercado4)+SUMIFS(supercb[Qtde],supercb[Item],tab_higiene[[#This Row],[Item]],supercb[Bairro],mercado4)</f>
        <v>0</v>
      </c>
      <c r="AO259" s="4">
        <f>SUMIFS(super1[Qtde],super1[Item],tab_higiene[[#This Row],[Item]],super1[Bairro],mercado5)+SUMIFS(supercb[Qtde],supercb[Item],tab_higiene[[#This Row],[Item]],supercb[Bairro],mercado5)</f>
        <v>0</v>
      </c>
      <c r="AP259" s="4">
        <f>SUMIFS(super1[Qtde],super1[Item],tab_higiene[[#This Row],[Item]],super1[Bairro],mercado6)+SUMIFS(supercb[Qtde],supercb[Item],tab_higiene[[#This Row],[Item]],supercb[Bairro],mercado6)</f>
        <v>0</v>
      </c>
      <c r="AQ259" s="4">
        <f>SUMIFS(super1[Qtde],super1[Item],tab_higiene[[#This Row],[Item]],super1[Bairro],mercado7)+SUMIFS(supercb[Qtde],supercb[Item],tab_higiene[[#This Row],[Item]],supercb[Bairro],mercado7)</f>
        <v>0</v>
      </c>
      <c r="AR259" s="4">
        <f>SUMIFS(super1[Qtde],super1[Item],tab_higiene[[#This Row],[Item]],super1[Bairro],mercado8)+SUMIFS(supercb[Qtde],supercb[Item],tab_higiene[[#This Row],[Item]],supercb[Bairro],mercado8)</f>
        <v>0</v>
      </c>
      <c r="AS259" s="4">
        <f>SUMIFS(super1[Qtde],super1[Item],tab_higiene[[#This Row],[Item]],super1[Bairro],mercado9)+SUMIFS(supercb[Qtde],supercb[Item],tab_higiene[[#This Row],[Item]],supercb[Bairro],mercado9)</f>
        <v>0</v>
      </c>
      <c r="AT259" s="4">
        <f>SUMIFS(super1[Qtde],super1[Item],tab_higiene[[#This Row],[Item]],super1[Bairro],mercado10)+SUMIFS(supercb[Qtde],supercb[Item],tab_higiene[[#This Row],[Item]],supercb[Bairro],mercado10)</f>
        <v>0</v>
      </c>
      <c r="AU259" s="4">
        <f>SUMIFS(super1[Qtde],super1[Item],tab_higiene[[#This Row],[Item]],super1[Bairro],mercado11)+SUMIFS(supercb[Qtde],supercb[Item],tab_higiene[[#This Row],[Item]],supercb[Bairro],mercado11)</f>
        <v>0</v>
      </c>
      <c r="AV259" s="4">
        <f>SUMIFS(super1[Qtde],super1[Item],tab_higiene[[#This Row],[Item]],super1[Bairro],mercado12)+SUMIFS(supercb[Qtde],supercb[Item],tab_higiene[[#This Row],[Item]],supercb[Bairro],mercado12)</f>
        <v>0</v>
      </c>
      <c r="AW259" s="4">
        <f>SUMIFS(super1[Qtde],super1[Item],tab_higiene[[#This Row],[Item]],super1[Bairro],mercado13)+SUMIFS(supercb[Qtde],supercb[Item],tab_higiene[[#This Row],[Item]],supercb[Bairro],mercado13)</f>
        <v>0</v>
      </c>
      <c r="AX259" s="4">
        <f>SUMIFS(super1[Qtde],super1[Item],tab_higiene[[#This Row],[Item]],super1[Bairro],mercado14)+SUMIFS(supercb[Qtde],supercb[Item],tab_higiene[[#This Row],[Item]],supercb[Bairro],mercado14)</f>
        <v>0</v>
      </c>
      <c r="AY259" s="4">
        <f>SUMIFS(super1[Qtde],super1[Item],tab_higiene[[#This Row],[Item]],super1[Bairro],mercado15)+SUMIFS(supercb[Qtde],supercb[Item],tab_higiene[[#This Row],[Item]],supercb[Bairro],mercado15)</f>
        <v>0</v>
      </c>
      <c r="AZ259" s="4">
        <f>SUMIFS(super1[Qtde],super1[Item],tab_higiene[[#This Row],[Item]],super1[Bairro],mercado16)+SUMIFS(supercb[Qtde],supercb[Item],tab_higiene[[#This Row],[Item]],supercb[Bairro],mercado16)</f>
        <v>0</v>
      </c>
      <c r="BA259" s="4">
        <f>SUMIFS(super1[Qtde],super1[Item],tab_higiene[[#This Row],[Item]],super1[Bairro],mercado17)+SUMIFS(supercb[Qtde],supercb[Item],tab_higiene[[#This Row],[Item]],supercb[Bairro],mercado17)</f>
        <v>0</v>
      </c>
      <c r="BB259" s="4">
        <f>SUMIFS(super1[Qtde],super1[Item],tab_higiene[[#This Row],[Item]],super1[Bairro],mercado18)+SUMIFS(supercb[Qtde],supercb[Item],tab_higiene[[#This Row],[Item]],supercb[Bairro],mercado18)</f>
        <v>0</v>
      </c>
      <c r="BC259" s="31">
        <f>SUMIFS(super1[Qtde],super1[Item],tab_higiene[[#This Row],[Item]],super1[Bairro],extras)+SUMIFS(supercb[Qtde],supercb[Item],tab_higiene[[#This Row],[Item]],supercb[Bairro],extras)</f>
        <v>0</v>
      </c>
      <c r="BD259" s="9">
        <f t="shared" si="85"/>
        <v>0</v>
      </c>
      <c r="BE259" s="9">
        <f t="shared" si="86"/>
        <v>0</v>
      </c>
      <c r="BF259" s="18">
        <f t="shared" si="87"/>
        <v>0</v>
      </c>
    </row>
    <row r="260" spans="9:58" ht="15.75" thickBot="1" x14ac:dyDescent="0.3">
      <c r="I260" s="19" t="str">
        <f>alimentos[[#This Row],[Item]]</f>
        <v>Goiabada (300g)</v>
      </c>
      <c r="J260" s="4">
        <f>IFERROR(alimentos[[#This Row],[kg/embalagem]],0)</f>
        <v>0.3</v>
      </c>
      <c r="K260" s="4">
        <f>IFERROR(alimentos[[#This Row],[Preço]],0)</f>
        <v>5.48</v>
      </c>
      <c r="L260" s="4">
        <f>SUMIFS(super1[Qtde],super1[Item],tab_alimentos[[#This Row],[Item]],super1[Bairro],mercado1)+SUMIFS(supercb[Qtde],supercb[Item],tab_alimentos[[#This Row],[Item]],supercb[Bairro],mercado1)</f>
        <v>0</v>
      </c>
      <c r="M260" s="4">
        <f>SUMIFS(super1[Qtde],super1[Item],tab_alimentos[[#This Row],[Item]],super1[Bairro],mercado2)+SUMIFS(supercb[Qtde],supercb[Item],tab_alimentos[[#This Row],[Item]],supercb[Bairro],mercado2)</f>
        <v>0</v>
      </c>
      <c r="N260" s="4">
        <f>SUMIFS(super1[Qtde],super1[Item],tab_alimentos[[#This Row],[Item]],super1[Bairro],mercado3)+SUMIFS(supercb[Qtde],supercb[Item],tab_alimentos[[#This Row],[Item]],supercb[Bairro],mercado3)</f>
        <v>0</v>
      </c>
      <c r="O260" s="4">
        <f>SUMIFS(super1[Qtde],super1[Item],tab_alimentos[[#This Row],[Item]],super1[Bairro],mercado4)+SUMIFS(supercb[Qtde],supercb[Item],tab_alimentos[[#This Row],[Item]],supercb[Bairro],mercado4)</f>
        <v>0</v>
      </c>
      <c r="P260" s="4">
        <f>SUMIFS(super1[Qtde],super1[Item],tab_alimentos[[#This Row],[Item]],super1[Bairro],mercado5)+SUMIFS(supercb[Qtde],supercb[Item],tab_alimentos[[#This Row],[Item]],supercb[Bairro],mercado5)</f>
        <v>0</v>
      </c>
      <c r="Q260" s="4">
        <f>SUMIFS(super1[Qtde],super1[Item],tab_alimentos[[#This Row],[Item]],super1[Bairro],mercado6)+SUMIFS(supercb[Qtde],supercb[Item],tab_alimentos[[#This Row],[Item]],supercb[Bairro],mercado6)</f>
        <v>0</v>
      </c>
      <c r="R260" s="4">
        <f>SUMIFS(super1[Qtde],super1[Item],tab_alimentos[[#This Row],[Item]],super1[Bairro],mercado7)+SUMIFS(supercb[Qtde],supercb[Item],tab_alimentos[[#This Row],[Item]],supercb[Bairro],mercado7)</f>
        <v>0</v>
      </c>
      <c r="S260" s="4">
        <f>SUMIFS(super1[Qtde],super1[Item],tab_alimentos[[#This Row],[Item]],super1[Bairro],mercado8)+SUMIFS(supercb[Qtde],supercb[Item],tab_alimentos[[#This Row],[Item]],supercb[Bairro],mercado8)</f>
        <v>0</v>
      </c>
      <c r="T260" s="4">
        <f>SUMIFS(super1[Qtde],super1[Item],tab_alimentos[[#This Row],[Item]],super1[Bairro],mercado9)+SUMIFS(supercb[Qtde],supercb[Item],tab_alimentos[[#This Row],[Item]],supercb[Bairro],mercado9)</f>
        <v>0</v>
      </c>
      <c r="U260" s="4">
        <f>SUMIFS(super1[Qtde],super1[Item],tab_alimentos[[#This Row],[Item]],super1[Bairro],mercado10)+SUMIFS(supercb[Qtde],supercb[Item],tab_alimentos[[#This Row],[Item]],supercb[Bairro],mercado10)</f>
        <v>0</v>
      </c>
      <c r="V260" s="4">
        <f>SUMIFS(super1[Qtde],super1[Item],tab_alimentos[[#This Row],[Item]],super1[Bairro],mercado11)+SUMIFS(supercb[Qtde],supercb[Item],tab_alimentos[[#This Row],[Item]],supercb[Bairro],mercado11)</f>
        <v>0</v>
      </c>
      <c r="W260" s="4">
        <f>SUMIFS(super1[Qtde],super1[Item],tab_alimentos[[#This Row],[Item]],super1[Bairro],mercado12)+SUMIFS(supercb[Qtde],supercb[Item],tab_alimentos[[#This Row],[Item]],supercb[Bairro],mercado12)</f>
        <v>0</v>
      </c>
      <c r="X260" s="4">
        <f>SUMIFS(super1[Qtde],super1[Item],tab_alimentos[[#This Row],[Item]],super1[Bairro],mercado13)+SUMIFS(supercb[Qtde],supercb[Item],tab_alimentos[[#This Row],[Item]],supercb[Bairro],mercado13)</f>
        <v>0</v>
      </c>
      <c r="Y260" s="4">
        <f>SUMIFS(super1[Qtde],super1[Item],tab_alimentos[[#This Row],[Item]],super1[Bairro],mercado14)+SUMIFS(supercb[Qtde],supercb[Item],tab_alimentos[[#This Row],[Item]],supercb[Bairro],mercado14)</f>
        <v>0</v>
      </c>
      <c r="Z260" s="4">
        <f>SUMIFS(super1[Qtde],super1[Item],tab_alimentos[[#This Row],[Item]],super1[Bairro],mercado15)+SUMIFS(supercb[Qtde],supercb[Item],tab_alimentos[[#This Row],[Item]],supercb[Bairro],mercado15)</f>
        <v>0</v>
      </c>
      <c r="AA260" s="4">
        <f>SUMIFS(super1[Qtde],super1[Item],tab_alimentos[[#This Row],[Item]],super1[Bairro],mercado16)+SUMIFS(supercb[Qtde],supercb[Item],tab_alimentos[[#This Row],[Item]],supercb[Bairro],mercado16)</f>
        <v>0</v>
      </c>
      <c r="AB260" s="4">
        <f>SUMIFS(super1[Qtde],super1[Item],tab_alimentos[[#This Row],[Item]],super1[Bairro],mercado17)+SUMIFS(supercb[Qtde],supercb[Item],tab_alimentos[[#This Row],[Item]],supercb[Bairro],mercado17)</f>
        <v>0</v>
      </c>
      <c r="AC260" s="4">
        <f>SUMIFS(super1[Qtde],super1[Item],tab_alimentos[[#This Row],[Item]],super1[Bairro],mercado18)+SUMIFS(supercb[Qtde],supercb[Item],tab_alimentos[[#This Row],[Item]],supercb[Bairro],mercado18)</f>
        <v>0</v>
      </c>
      <c r="AD260" s="4">
        <f>SUMIFS(super1[Qtde],super1[Item],tab_alimentos[[#This Row],[Item]],super1[Bairro],extras)+SUMIFS(supercb[Qtde],supercb[Item],tab_alimentos[[#This Row],[Item]],supercb[Bairro],extras)</f>
        <v>0</v>
      </c>
      <c r="AE260" s="4">
        <f t="shared" si="82"/>
        <v>0</v>
      </c>
      <c r="AF260" s="4">
        <f t="shared" si="83"/>
        <v>0</v>
      </c>
      <c r="AG260" s="6">
        <f t="shared" si="84"/>
        <v>0</v>
      </c>
      <c r="AH260" s="13" t="str">
        <f>higiene[[#This Row],[Item]]</f>
        <v>Talco (100g)</v>
      </c>
      <c r="AI260" s="9">
        <f>IFERROR(higiene[[#This Row],[Kg equivalente]],0)</f>
        <v>0</v>
      </c>
      <c r="AJ260" s="9">
        <f>IFERROR(higiene[[#This Row],[Preço por produto]],0)</f>
        <v>9.99</v>
      </c>
      <c r="AK260" s="4">
        <f>SUMIFS(super1[Qtde],super1[Item],tab_higiene[[#This Row],[Item]],super1[Bairro],mercado1)+SUMIFS(supercb[Qtde],supercb[Item],tab_higiene[[#This Row],[Item]],supercb[Bairro],mercado1)</f>
        <v>0</v>
      </c>
      <c r="AL260" s="4">
        <f>SUMIFS(super1[Qtde],super1[Item],tab_higiene[[#This Row],[Item]],super1[Bairro],mercado2)+SUMIFS(supercb[Qtde],supercb[Item],tab_higiene[[#This Row],[Item]],supercb[Bairro],mercado2)</f>
        <v>0</v>
      </c>
      <c r="AM260" s="4">
        <f>SUMIFS(super1[Qtde],super1[Item],tab_higiene[[#This Row],[Item]],super1[Bairro],mercado3)+SUMIFS(supercb[Qtde],supercb[Item],tab_higiene[[#This Row],[Item]],supercb[Bairro],mercado3)</f>
        <v>0</v>
      </c>
      <c r="AN260" s="4">
        <f>SUMIFS(super1[Qtde],super1[Item],tab_higiene[[#This Row],[Item]],super1[Bairro],mercado4)+SUMIFS(supercb[Qtde],supercb[Item],tab_higiene[[#This Row],[Item]],supercb[Bairro],mercado4)</f>
        <v>0</v>
      </c>
      <c r="AO260" s="4">
        <f>SUMIFS(super1[Qtde],super1[Item],tab_higiene[[#This Row],[Item]],super1[Bairro],mercado5)+SUMIFS(supercb[Qtde],supercb[Item],tab_higiene[[#This Row],[Item]],supercb[Bairro],mercado5)</f>
        <v>0</v>
      </c>
      <c r="AP260" s="4">
        <f>SUMIFS(super1[Qtde],super1[Item],tab_higiene[[#This Row],[Item]],super1[Bairro],mercado6)+SUMIFS(supercb[Qtde],supercb[Item],tab_higiene[[#This Row],[Item]],supercb[Bairro],mercado6)</f>
        <v>0</v>
      </c>
      <c r="AQ260" s="4">
        <f>SUMIFS(super1[Qtde],super1[Item],tab_higiene[[#This Row],[Item]],super1[Bairro],mercado7)+SUMIFS(supercb[Qtde],supercb[Item],tab_higiene[[#This Row],[Item]],supercb[Bairro],mercado7)</f>
        <v>0</v>
      </c>
      <c r="AR260" s="4">
        <f>SUMIFS(super1[Qtde],super1[Item],tab_higiene[[#This Row],[Item]],super1[Bairro],mercado8)+SUMIFS(supercb[Qtde],supercb[Item],tab_higiene[[#This Row],[Item]],supercb[Bairro],mercado8)</f>
        <v>0</v>
      </c>
      <c r="AS260" s="4">
        <f>SUMIFS(super1[Qtde],super1[Item],tab_higiene[[#This Row],[Item]],super1[Bairro],mercado9)+SUMIFS(supercb[Qtde],supercb[Item],tab_higiene[[#This Row],[Item]],supercb[Bairro],mercado9)</f>
        <v>0</v>
      </c>
      <c r="AT260" s="4">
        <f>SUMIFS(super1[Qtde],super1[Item],tab_higiene[[#This Row],[Item]],super1[Bairro],mercado10)+SUMIFS(supercb[Qtde],supercb[Item],tab_higiene[[#This Row],[Item]],supercb[Bairro],mercado10)</f>
        <v>0</v>
      </c>
      <c r="AU260" s="4">
        <f>SUMIFS(super1[Qtde],super1[Item],tab_higiene[[#This Row],[Item]],super1[Bairro],mercado11)+SUMIFS(supercb[Qtde],supercb[Item],tab_higiene[[#This Row],[Item]],supercb[Bairro],mercado11)</f>
        <v>0</v>
      </c>
      <c r="AV260" s="4">
        <f>SUMIFS(super1[Qtde],super1[Item],tab_higiene[[#This Row],[Item]],super1[Bairro],mercado12)+SUMIFS(supercb[Qtde],supercb[Item],tab_higiene[[#This Row],[Item]],supercb[Bairro],mercado12)</f>
        <v>0</v>
      </c>
      <c r="AW260" s="4">
        <f>SUMIFS(super1[Qtde],super1[Item],tab_higiene[[#This Row],[Item]],super1[Bairro],mercado13)+SUMIFS(supercb[Qtde],supercb[Item],tab_higiene[[#This Row],[Item]],supercb[Bairro],mercado13)</f>
        <v>0</v>
      </c>
      <c r="AX260" s="4">
        <f>SUMIFS(super1[Qtde],super1[Item],tab_higiene[[#This Row],[Item]],super1[Bairro],mercado14)+SUMIFS(supercb[Qtde],supercb[Item],tab_higiene[[#This Row],[Item]],supercb[Bairro],mercado14)</f>
        <v>0</v>
      </c>
      <c r="AY260" s="4">
        <f>SUMIFS(super1[Qtde],super1[Item],tab_higiene[[#This Row],[Item]],super1[Bairro],mercado15)+SUMIFS(supercb[Qtde],supercb[Item],tab_higiene[[#This Row],[Item]],supercb[Bairro],mercado15)</f>
        <v>0</v>
      </c>
      <c r="AZ260" s="4">
        <f>SUMIFS(super1[Qtde],super1[Item],tab_higiene[[#This Row],[Item]],super1[Bairro],mercado16)+SUMIFS(supercb[Qtde],supercb[Item],tab_higiene[[#This Row],[Item]],supercb[Bairro],mercado16)</f>
        <v>0</v>
      </c>
      <c r="BA260" s="4">
        <f>SUMIFS(super1[Qtde],super1[Item],tab_higiene[[#This Row],[Item]],super1[Bairro],mercado17)+SUMIFS(supercb[Qtde],supercb[Item],tab_higiene[[#This Row],[Item]],supercb[Bairro],mercado17)</f>
        <v>0</v>
      </c>
      <c r="BB260" s="4">
        <f>SUMIFS(super1[Qtde],super1[Item],tab_higiene[[#This Row],[Item]],super1[Bairro],mercado18)+SUMIFS(supercb[Qtde],supercb[Item],tab_higiene[[#This Row],[Item]],supercb[Bairro],mercado18)</f>
        <v>0</v>
      </c>
      <c r="BC260" s="31">
        <f>SUMIFS(super1[Qtde],super1[Item],tab_higiene[[#This Row],[Item]],super1[Bairro],extras)+SUMIFS(supercb[Qtde],supercb[Item],tab_higiene[[#This Row],[Item]],supercb[Bairro],extras)</f>
        <v>0</v>
      </c>
      <c r="BD260" s="9">
        <f t="shared" si="85"/>
        <v>0</v>
      </c>
      <c r="BE260" s="9">
        <f t="shared" si="86"/>
        <v>0</v>
      </c>
      <c r="BF260" s="18">
        <f t="shared" si="87"/>
        <v>0</v>
      </c>
    </row>
    <row r="261" spans="9:58" ht="15.75" thickBot="1" x14ac:dyDescent="0.3">
      <c r="I261" s="19" t="str">
        <f>alimentos[[#This Row],[Item]]</f>
        <v>Goiabada (400g)</v>
      </c>
      <c r="J261" s="4">
        <f>IFERROR(alimentos[[#This Row],[kg/embalagem]],0)</f>
        <v>0.4</v>
      </c>
      <c r="K261" s="4">
        <f>IFERROR(alimentos[[#This Row],[Preço]],0)</f>
        <v>9.48</v>
      </c>
      <c r="L261" s="4">
        <f>SUMIFS(super1[Qtde],super1[Item],tab_alimentos[[#This Row],[Item]],super1[Bairro],mercado1)+SUMIFS(supercb[Qtde],supercb[Item],tab_alimentos[[#This Row],[Item]],supercb[Bairro],mercado1)</f>
        <v>0</v>
      </c>
      <c r="M261" s="4">
        <f>SUMIFS(super1[Qtde],super1[Item],tab_alimentos[[#This Row],[Item]],super1[Bairro],mercado2)+SUMIFS(supercb[Qtde],supercb[Item],tab_alimentos[[#This Row],[Item]],supercb[Bairro],mercado2)</f>
        <v>0</v>
      </c>
      <c r="N261" s="4">
        <f>SUMIFS(super1[Qtde],super1[Item],tab_alimentos[[#This Row],[Item]],super1[Bairro],mercado3)+SUMIFS(supercb[Qtde],supercb[Item],tab_alimentos[[#This Row],[Item]],supercb[Bairro],mercado3)</f>
        <v>0</v>
      </c>
      <c r="O261" s="4">
        <f>SUMIFS(super1[Qtde],super1[Item],tab_alimentos[[#This Row],[Item]],super1[Bairro],mercado4)+SUMIFS(supercb[Qtde],supercb[Item],tab_alimentos[[#This Row],[Item]],supercb[Bairro],mercado4)</f>
        <v>0</v>
      </c>
      <c r="P261" s="4">
        <f>SUMIFS(super1[Qtde],super1[Item],tab_alimentos[[#This Row],[Item]],super1[Bairro],mercado5)+SUMIFS(supercb[Qtde],supercb[Item],tab_alimentos[[#This Row],[Item]],supercb[Bairro],mercado5)</f>
        <v>0</v>
      </c>
      <c r="Q261" s="4">
        <f>SUMIFS(super1[Qtde],super1[Item],tab_alimentos[[#This Row],[Item]],super1[Bairro],mercado6)+SUMIFS(supercb[Qtde],supercb[Item],tab_alimentos[[#This Row],[Item]],supercb[Bairro],mercado6)</f>
        <v>0</v>
      </c>
      <c r="R261" s="4">
        <f>SUMIFS(super1[Qtde],super1[Item],tab_alimentos[[#This Row],[Item]],super1[Bairro],mercado7)+SUMIFS(supercb[Qtde],supercb[Item],tab_alimentos[[#This Row],[Item]],supercb[Bairro],mercado7)</f>
        <v>0</v>
      </c>
      <c r="S261" s="4">
        <f>SUMIFS(super1[Qtde],super1[Item],tab_alimentos[[#This Row],[Item]],super1[Bairro],mercado8)+SUMIFS(supercb[Qtde],supercb[Item],tab_alimentos[[#This Row],[Item]],supercb[Bairro],mercado8)</f>
        <v>0</v>
      </c>
      <c r="T261" s="4">
        <f>SUMIFS(super1[Qtde],super1[Item],tab_alimentos[[#This Row],[Item]],super1[Bairro],mercado9)+SUMIFS(supercb[Qtde],supercb[Item],tab_alimentos[[#This Row],[Item]],supercb[Bairro],mercado9)</f>
        <v>0</v>
      </c>
      <c r="U261" s="4">
        <f>SUMIFS(super1[Qtde],super1[Item],tab_alimentos[[#This Row],[Item]],super1[Bairro],mercado10)+SUMIFS(supercb[Qtde],supercb[Item],tab_alimentos[[#This Row],[Item]],supercb[Bairro],mercado10)</f>
        <v>0</v>
      </c>
      <c r="V261" s="4">
        <f>SUMIFS(super1[Qtde],super1[Item],tab_alimentos[[#This Row],[Item]],super1[Bairro],mercado11)+SUMIFS(supercb[Qtde],supercb[Item],tab_alimentos[[#This Row],[Item]],supercb[Bairro],mercado11)</f>
        <v>0</v>
      </c>
      <c r="W261" s="4">
        <f>SUMIFS(super1[Qtde],super1[Item],tab_alimentos[[#This Row],[Item]],super1[Bairro],mercado12)+SUMIFS(supercb[Qtde],supercb[Item],tab_alimentos[[#This Row],[Item]],supercb[Bairro],mercado12)</f>
        <v>0</v>
      </c>
      <c r="X261" s="4">
        <f>SUMIFS(super1[Qtde],super1[Item],tab_alimentos[[#This Row],[Item]],super1[Bairro],mercado13)+SUMIFS(supercb[Qtde],supercb[Item],tab_alimentos[[#This Row],[Item]],supercb[Bairro],mercado13)</f>
        <v>0</v>
      </c>
      <c r="Y261" s="4">
        <f>SUMIFS(super1[Qtde],super1[Item],tab_alimentos[[#This Row],[Item]],super1[Bairro],mercado14)+SUMIFS(supercb[Qtde],supercb[Item],tab_alimentos[[#This Row],[Item]],supercb[Bairro],mercado14)</f>
        <v>0</v>
      </c>
      <c r="Z261" s="4">
        <f>SUMIFS(super1[Qtde],super1[Item],tab_alimentos[[#This Row],[Item]],super1[Bairro],mercado15)+SUMIFS(supercb[Qtde],supercb[Item],tab_alimentos[[#This Row],[Item]],supercb[Bairro],mercado15)</f>
        <v>0</v>
      </c>
      <c r="AA261" s="4">
        <f>SUMIFS(super1[Qtde],super1[Item],tab_alimentos[[#This Row],[Item]],super1[Bairro],mercado16)+SUMIFS(supercb[Qtde],supercb[Item],tab_alimentos[[#This Row],[Item]],supercb[Bairro],mercado16)</f>
        <v>0</v>
      </c>
      <c r="AB261" s="4">
        <f>SUMIFS(super1[Qtde],super1[Item],tab_alimentos[[#This Row],[Item]],super1[Bairro],mercado17)+SUMIFS(supercb[Qtde],supercb[Item],tab_alimentos[[#This Row],[Item]],supercb[Bairro],mercado17)</f>
        <v>0</v>
      </c>
      <c r="AC261" s="4">
        <f>SUMIFS(super1[Qtde],super1[Item],tab_alimentos[[#This Row],[Item]],super1[Bairro],mercado18)+SUMIFS(supercb[Qtde],supercb[Item],tab_alimentos[[#This Row],[Item]],supercb[Bairro],mercado18)</f>
        <v>0</v>
      </c>
      <c r="AD261" s="4">
        <f>SUMIFS(super1[Qtde],super1[Item],tab_alimentos[[#This Row],[Item]],super1[Bairro],extras)+SUMIFS(supercb[Qtde],supercb[Item],tab_alimentos[[#This Row],[Item]],supercb[Bairro],extras)</f>
        <v>0</v>
      </c>
      <c r="AE261" s="4">
        <f t="shared" si="82"/>
        <v>0</v>
      </c>
      <c r="AF261" s="4">
        <f t="shared" si="83"/>
        <v>0</v>
      </c>
      <c r="AG261" s="6">
        <f t="shared" si="84"/>
        <v>0</v>
      </c>
      <c r="AH261" s="13" t="str">
        <f>higiene[[#This Row],[Item]]</f>
        <v>Talco (200g)</v>
      </c>
      <c r="AI261" s="9">
        <f>IFERROR(higiene[[#This Row],[Kg equivalente]],0)</f>
        <v>0</v>
      </c>
      <c r="AJ261" s="9">
        <f>IFERROR(higiene[[#This Row],[Preço por produto]],0)</f>
        <v>17.989999999999998</v>
      </c>
      <c r="AK261" s="4">
        <f>SUMIFS(super1[Qtde],super1[Item],tab_higiene[[#This Row],[Item]],super1[Bairro],mercado1)+SUMIFS(supercb[Qtde],supercb[Item],tab_higiene[[#This Row],[Item]],supercb[Bairro],mercado1)</f>
        <v>0</v>
      </c>
      <c r="AL261" s="4">
        <f>SUMIFS(super1[Qtde],super1[Item],tab_higiene[[#This Row],[Item]],super1[Bairro],mercado2)+SUMIFS(supercb[Qtde],supercb[Item],tab_higiene[[#This Row],[Item]],supercb[Bairro],mercado2)</f>
        <v>0</v>
      </c>
      <c r="AM261" s="4">
        <f>SUMIFS(super1[Qtde],super1[Item],tab_higiene[[#This Row],[Item]],super1[Bairro],mercado3)+SUMIFS(supercb[Qtde],supercb[Item],tab_higiene[[#This Row],[Item]],supercb[Bairro],mercado3)</f>
        <v>0</v>
      </c>
      <c r="AN261" s="4">
        <f>SUMIFS(super1[Qtde],super1[Item],tab_higiene[[#This Row],[Item]],super1[Bairro],mercado4)+SUMIFS(supercb[Qtde],supercb[Item],tab_higiene[[#This Row],[Item]],supercb[Bairro],mercado4)</f>
        <v>0</v>
      </c>
      <c r="AO261" s="4">
        <f>SUMIFS(super1[Qtde],super1[Item],tab_higiene[[#This Row],[Item]],super1[Bairro],mercado5)+SUMIFS(supercb[Qtde],supercb[Item],tab_higiene[[#This Row],[Item]],supercb[Bairro],mercado5)</f>
        <v>0</v>
      </c>
      <c r="AP261" s="4">
        <f>SUMIFS(super1[Qtde],super1[Item],tab_higiene[[#This Row],[Item]],super1[Bairro],mercado6)+SUMIFS(supercb[Qtde],supercb[Item],tab_higiene[[#This Row],[Item]],supercb[Bairro],mercado6)</f>
        <v>0</v>
      </c>
      <c r="AQ261" s="4">
        <f>SUMIFS(super1[Qtde],super1[Item],tab_higiene[[#This Row],[Item]],super1[Bairro],mercado7)+SUMIFS(supercb[Qtde],supercb[Item],tab_higiene[[#This Row],[Item]],supercb[Bairro],mercado7)</f>
        <v>0</v>
      </c>
      <c r="AR261" s="4">
        <f>SUMIFS(super1[Qtde],super1[Item],tab_higiene[[#This Row],[Item]],super1[Bairro],mercado8)+SUMIFS(supercb[Qtde],supercb[Item],tab_higiene[[#This Row],[Item]],supercb[Bairro],mercado8)</f>
        <v>0</v>
      </c>
      <c r="AS261" s="4">
        <f>SUMIFS(super1[Qtde],super1[Item],tab_higiene[[#This Row],[Item]],super1[Bairro],mercado9)+SUMIFS(supercb[Qtde],supercb[Item],tab_higiene[[#This Row],[Item]],supercb[Bairro],mercado9)</f>
        <v>0</v>
      </c>
      <c r="AT261" s="4">
        <f>SUMIFS(super1[Qtde],super1[Item],tab_higiene[[#This Row],[Item]],super1[Bairro],mercado10)+SUMIFS(supercb[Qtde],supercb[Item],tab_higiene[[#This Row],[Item]],supercb[Bairro],mercado10)</f>
        <v>0</v>
      </c>
      <c r="AU261" s="4">
        <f>SUMIFS(super1[Qtde],super1[Item],tab_higiene[[#This Row],[Item]],super1[Bairro],mercado11)+SUMIFS(supercb[Qtde],supercb[Item],tab_higiene[[#This Row],[Item]],supercb[Bairro],mercado11)</f>
        <v>0</v>
      </c>
      <c r="AV261" s="4">
        <f>SUMIFS(super1[Qtde],super1[Item],tab_higiene[[#This Row],[Item]],super1[Bairro],mercado12)+SUMIFS(supercb[Qtde],supercb[Item],tab_higiene[[#This Row],[Item]],supercb[Bairro],mercado12)</f>
        <v>0</v>
      </c>
      <c r="AW261" s="4">
        <f>SUMIFS(super1[Qtde],super1[Item],tab_higiene[[#This Row],[Item]],super1[Bairro],mercado13)+SUMIFS(supercb[Qtde],supercb[Item],tab_higiene[[#This Row],[Item]],supercb[Bairro],mercado13)</f>
        <v>0</v>
      </c>
      <c r="AX261" s="4">
        <f>SUMIFS(super1[Qtde],super1[Item],tab_higiene[[#This Row],[Item]],super1[Bairro],mercado14)+SUMIFS(supercb[Qtde],supercb[Item],tab_higiene[[#This Row],[Item]],supercb[Bairro],mercado14)</f>
        <v>0</v>
      </c>
      <c r="AY261" s="4">
        <f>SUMIFS(super1[Qtde],super1[Item],tab_higiene[[#This Row],[Item]],super1[Bairro],mercado15)+SUMIFS(supercb[Qtde],supercb[Item],tab_higiene[[#This Row],[Item]],supercb[Bairro],mercado15)</f>
        <v>0</v>
      </c>
      <c r="AZ261" s="4">
        <f>SUMIFS(super1[Qtde],super1[Item],tab_higiene[[#This Row],[Item]],super1[Bairro],mercado16)+SUMIFS(supercb[Qtde],supercb[Item],tab_higiene[[#This Row],[Item]],supercb[Bairro],mercado16)</f>
        <v>0</v>
      </c>
      <c r="BA261" s="4">
        <f>SUMIFS(super1[Qtde],super1[Item],tab_higiene[[#This Row],[Item]],super1[Bairro],mercado17)+SUMIFS(supercb[Qtde],supercb[Item],tab_higiene[[#This Row],[Item]],supercb[Bairro],mercado17)</f>
        <v>0</v>
      </c>
      <c r="BB261" s="4">
        <f>SUMIFS(super1[Qtde],super1[Item],tab_higiene[[#This Row],[Item]],super1[Bairro],mercado18)+SUMIFS(supercb[Qtde],supercb[Item],tab_higiene[[#This Row],[Item]],supercb[Bairro],mercado18)</f>
        <v>0</v>
      </c>
      <c r="BC261" s="31">
        <f>SUMIFS(super1[Qtde],super1[Item],tab_higiene[[#This Row],[Item]],super1[Bairro],extras)+SUMIFS(supercb[Qtde],supercb[Item],tab_higiene[[#This Row],[Item]],supercb[Bairro],extras)</f>
        <v>0</v>
      </c>
      <c r="BD261" s="9">
        <f t="shared" si="85"/>
        <v>0</v>
      </c>
      <c r="BE261" s="9">
        <f t="shared" si="86"/>
        <v>0</v>
      </c>
      <c r="BF261" s="18">
        <f t="shared" si="87"/>
        <v>0</v>
      </c>
    </row>
    <row r="262" spans="9:58" ht="15.75" thickBot="1" x14ac:dyDescent="0.3">
      <c r="I262" s="19" t="str">
        <f>alimentos[[#This Row],[Item]]</f>
        <v>Goiabada (500g)</v>
      </c>
      <c r="J262" s="4">
        <f>IFERROR(alimentos[[#This Row],[kg/embalagem]],0)</f>
        <v>0.5</v>
      </c>
      <c r="K262" s="4">
        <f>IFERROR(alimentos[[#This Row],[Preço]],0)</f>
        <v>21.99</v>
      </c>
      <c r="L262" s="4">
        <f>SUMIFS(super1[Qtde],super1[Item],tab_alimentos[[#This Row],[Item]],super1[Bairro],mercado1)+SUMIFS(supercb[Qtde],supercb[Item],tab_alimentos[[#This Row],[Item]],supercb[Bairro],mercado1)</f>
        <v>0</v>
      </c>
      <c r="M262" s="4">
        <f>SUMIFS(super1[Qtde],super1[Item],tab_alimentos[[#This Row],[Item]],super1[Bairro],mercado2)+SUMIFS(supercb[Qtde],supercb[Item],tab_alimentos[[#This Row],[Item]],supercb[Bairro],mercado2)</f>
        <v>0</v>
      </c>
      <c r="N262" s="4">
        <f>SUMIFS(super1[Qtde],super1[Item],tab_alimentos[[#This Row],[Item]],super1[Bairro],mercado3)+SUMIFS(supercb[Qtde],supercb[Item],tab_alimentos[[#This Row],[Item]],supercb[Bairro],mercado3)</f>
        <v>0</v>
      </c>
      <c r="O262" s="4">
        <f>SUMIFS(super1[Qtde],super1[Item],tab_alimentos[[#This Row],[Item]],super1[Bairro],mercado4)+SUMIFS(supercb[Qtde],supercb[Item],tab_alimentos[[#This Row],[Item]],supercb[Bairro],mercado4)</f>
        <v>0</v>
      </c>
      <c r="P262" s="4">
        <f>SUMIFS(super1[Qtde],super1[Item],tab_alimentos[[#This Row],[Item]],super1[Bairro],mercado5)+SUMIFS(supercb[Qtde],supercb[Item],tab_alimentos[[#This Row],[Item]],supercb[Bairro],mercado5)</f>
        <v>0</v>
      </c>
      <c r="Q262" s="4">
        <f>SUMIFS(super1[Qtde],super1[Item],tab_alimentos[[#This Row],[Item]],super1[Bairro],mercado6)+SUMIFS(supercb[Qtde],supercb[Item],tab_alimentos[[#This Row],[Item]],supercb[Bairro],mercado6)</f>
        <v>0</v>
      </c>
      <c r="R262" s="4">
        <f>SUMIFS(super1[Qtde],super1[Item],tab_alimentos[[#This Row],[Item]],super1[Bairro],mercado7)+SUMIFS(supercb[Qtde],supercb[Item],tab_alimentos[[#This Row],[Item]],supercb[Bairro],mercado7)</f>
        <v>0</v>
      </c>
      <c r="S262" s="4">
        <f>SUMIFS(super1[Qtde],super1[Item],tab_alimentos[[#This Row],[Item]],super1[Bairro],mercado8)+SUMIFS(supercb[Qtde],supercb[Item],tab_alimentos[[#This Row],[Item]],supercb[Bairro],mercado8)</f>
        <v>0</v>
      </c>
      <c r="T262" s="4">
        <f>SUMIFS(super1[Qtde],super1[Item],tab_alimentos[[#This Row],[Item]],super1[Bairro],mercado9)+SUMIFS(supercb[Qtde],supercb[Item],tab_alimentos[[#This Row],[Item]],supercb[Bairro],mercado9)</f>
        <v>0</v>
      </c>
      <c r="U262" s="4">
        <f>SUMIFS(super1[Qtde],super1[Item],tab_alimentos[[#This Row],[Item]],super1[Bairro],mercado10)+SUMIFS(supercb[Qtde],supercb[Item],tab_alimentos[[#This Row],[Item]],supercb[Bairro],mercado10)</f>
        <v>0</v>
      </c>
      <c r="V262" s="4">
        <f>SUMIFS(super1[Qtde],super1[Item],tab_alimentos[[#This Row],[Item]],super1[Bairro],mercado11)+SUMIFS(supercb[Qtde],supercb[Item],tab_alimentos[[#This Row],[Item]],supercb[Bairro],mercado11)</f>
        <v>0</v>
      </c>
      <c r="W262" s="4">
        <f>SUMIFS(super1[Qtde],super1[Item],tab_alimentos[[#This Row],[Item]],super1[Bairro],mercado12)+SUMIFS(supercb[Qtde],supercb[Item],tab_alimentos[[#This Row],[Item]],supercb[Bairro],mercado12)</f>
        <v>0</v>
      </c>
      <c r="X262" s="4">
        <f>SUMIFS(super1[Qtde],super1[Item],tab_alimentos[[#This Row],[Item]],super1[Bairro],mercado13)+SUMIFS(supercb[Qtde],supercb[Item],tab_alimentos[[#This Row],[Item]],supercb[Bairro],mercado13)</f>
        <v>0</v>
      </c>
      <c r="Y262" s="4">
        <f>SUMIFS(super1[Qtde],super1[Item],tab_alimentos[[#This Row],[Item]],super1[Bairro],mercado14)+SUMIFS(supercb[Qtde],supercb[Item],tab_alimentos[[#This Row],[Item]],supercb[Bairro],mercado14)</f>
        <v>0</v>
      </c>
      <c r="Z262" s="4">
        <f>SUMIFS(super1[Qtde],super1[Item],tab_alimentos[[#This Row],[Item]],super1[Bairro],mercado15)+SUMIFS(supercb[Qtde],supercb[Item],tab_alimentos[[#This Row],[Item]],supercb[Bairro],mercado15)</f>
        <v>0</v>
      </c>
      <c r="AA262" s="4">
        <f>SUMIFS(super1[Qtde],super1[Item],tab_alimentos[[#This Row],[Item]],super1[Bairro],mercado16)+SUMIFS(supercb[Qtde],supercb[Item],tab_alimentos[[#This Row],[Item]],supercb[Bairro],mercado16)</f>
        <v>0</v>
      </c>
      <c r="AB262" s="4">
        <f>SUMIFS(super1[Qtde],super1[Item],tab_alimentos[[#This Row],[Item]],super1[Bairro],mercado17)+SUMIFS(supercb[Qtde],supercb[Item],tab_alimentos[[#This Row],[Item]],supercb[Bairro],mercado17)</f>
        <v>0</v>
      </c>
      <c r="AC262" s="4">
        <f>SUMIFS(super1[Qtde],super1[Item],tab_alimentos[[#This Row],[Item]],super1[Bairro],mercado18)+SUMIFS(supercb[Qtde],supercb[Item],tab_alimentos[[#This Row],[Item]],supercb[Bairro],mercado18)</f>
        <v>0</v>
      </c>
      <c r="AD262" s="4">
        <f>SUMIFS(super1[Qtde],super1[Item],tab_alimentos[[#This Row],[Item]],super1[Bairro],extras)+SUMIFS(supercb[Qtde],supercb[Item],tab_alimentos[[#This Row],[Item]],supercb[Bairro],extras)</f>
        <v>0</v>
      </c>
      <c r="AE262" s="4">
        <f t="shared" si="82"/>
        <v>0</v>
      </c>
      <c r="AF262" s="4">
        <f t="shared" si="83"/>
        <v>0</v>
      </c>
      <c r="AG262" s="6">
        <f t="shared" si="84"/>
        <v>0</v>
      </c>
      <c r="AH262" s="13" t="str">
        <f>higiene[[#This Row],[Item]]</f>
        <v>Tira Manchas (450g)</v>
      </c>
      <c r="AI262" s="9">
        <f>IFERROR(higiene[[#This Row],[Kg equivalente]],0)</f>
        <v>0</v>
      </c>
      <c r="AJ262" s="9">
        <f>IFERROR(higiene[[#This Row],[Preço por produto]],0)</f>
        <v>16.989999999999998</v>
      </c>
      <c r="AK262" s="4">
        <f>SUMIFS(super1[Qtde],super1[Item],tab_higiene[[#This Row],[Item]],super1[Bairro],mercado1)+SUMIFS(supercb[Qtde],supercb[Item],tab_higiene[[#This Row],[Item]],supercb[Bairro],mercado1)</f>
        <v>0</v>
      </c>
      <c r="AL262" s="4">
        <f>SUMIFS(super1[Qtde],super1[Item],tab_higiene[[#This Row],[Item]],super1[Bairro],mercado2)+SUMIFS(supercb[Qtde],supercb[Item],tab_higiene[[#This Row],[Item]],supercb[Bairro],mercado2)</f>
        <v>0</v>
      </c>
      <c r="AM262" s="4">
        <f>SUMIFS(super1[Qtde],super1[Item],tab_higiene[[#This Row],[Item]],super1[Bairro],mercado3)+SUMIFS(supercb[Qtde],supercb[Item],tab_higiene[[#This Row],[Item]],supercb[Bairro],mercado3)</f>
        <v>0</v>
      </c>
      <c r="AN262" s="4">
        <f>SUMIFS(super1[Qtde],super1[Item],tab_higiene[[#This Row],[Item]],super1[Bairro],mercado4)+SUMIFS(supercb[Qtde],supercb[Item],tab_higiene[[#This Row],[Item]],supercb[Bairro],mercado4)</f>
        <v>0</v>
      </c>
      <c r="AO262" s="4">
        <f>SUMIFS(super1[Qtde],super1[Item],tab_higiene[[#This Row],[Item]],super1[Bairro],mercado5)+SUMIFS(supercb[Qtde],supercb[Item],tab_higiene[[#This Row],[Item]],supercb[Bairro],mercado5)</f>
        <v>0</v>
      </c>
      <c r="AP262" s="4">
        <f>SUMIFS(super1[Qtde],super1[Item],tab_higiene[[#This Row],[Item]],super1[Bairro],mercado6)+SUMIFS(supercb[Qtde],supercb[Item],tab_higiene[[#This Row],[Item]],supercb[Bairro],mercado6)</f>
        <v>0</v>
      </c>
      <c r="AQ262" s="4">
        <f>SUMIFS(super1[Qtde],super1[Item],tab_higiene[[#This Row],[Item]],super1[Bairro],mercado7)+SUMIFS(supercb[Qtde],supercb[Item],tab_higiene[[#This Row],[Item]],supercb[Bairro],mercado7)</f>
        <v>0</v>
      </c>
      <c r="AR262" s="4">
        <f>SUMIFS(super1[Qtde],super1[Item],tab_higiene[[#This Row],[Item]],super1[Bairro],mercado8)+SUMIFS(supercb[Qtde],supercb[Item],tab_higiene[[#This Row],[Item]],supercb[Bairro],mercado8)</f>
        <v>0</v>
      </c>
      <c r="AS262" s="4">
        <f>SUMIFS(super1[Qtde],super1[Item],tab_higiene[[#This Row],[Item]],super1[Bairro],mercado9)+SUMIFS(supercb[Qtde],supercb[Item],tab_higiene[[#This Row],[Item]],supercb[Bairro],mercado9)</f>
        <v>0</v>
      </c>
      <c r="AT262" s="4">
        <f>SUMIFS(super1[Qtde],super1[Item],tab_higiene[[#This Row],[Item]],super1[Bairro],mercado10)+SUMIFS(supercb[Qtde],supercb[Item],tab_higiene[[#This Row],[Item]],supercb[Bairro],mercado10)</f>
        <v>0</v>
      </c>
      <c r="AU262" s="4">
        <f>SUMIFS(super1[Qtde],super1[Item],tab_higiene[[#This Row],[Item]],super1[Bairro],mercado11)+SUMIFS(supercb[Qtde],supercb[Item],tab_higiene[[#This Row],[Item]],supercb[Bairro],mercado11)</f>
        <v>0</v>
      </c>
      <c r="AV262" s="4">
        <f>SUMIFS(super1[Qtde],super1[Item],tab_higiene[[#This Row],[Item]],super1[Bairro],mercado12)+SUMIFS(supercb[Qtde],supercb[Item],tab_higiene[[#This Row],[Item]],supercb[Bairro],mercado12)</f>
        <v>0</v>
      </c>
      <c r="AW262" s="4">
        <f>SUMIFS(super1[Qtde],super1[Item],tab_higiene[[#This Row],[Item]],super1[Bairro],mercado13)+SUMIFS(supercb[Qtde],supercb[Item],tab_higiene[[#This Row],[Item]],supercb[Bairro],mercado13)</f>
        <v>0</v>
      </c>
      <c r="AX262" s="4">
        <f>SUMIFS(super1[Qtde],super1[Item],tab_higiene[[#This Row],[Item]],super1[Bairro],mercado14)+SUMIFS(supercb[Qtde],supercb[Item],tab_higiene[[#This Row],[Item]],supercb[Bairro],mercado14)</f>
        <v>0</v>
      </c>
      <c r="AY262" s="4">
        <f>SUMIFS(super1[Qtde],super1[Item],tab_higiene[[#This Row],[Item]],super1[Bairro],mercado15)+SUMIFS(supercb[Qtde],supercb[Item],tab_higiene[[#This Row],[Item]],supercb[Bairro],mercado15)</f>
        <v>0</v>
      </c>
      <c r="AZ262" s="4">
        <f>SUMIFS(super1[Qtde],super1[Item],tab_higiene[[#This Row],[Item]],super1[Bairro],mercado16)+SUMIFS(supercb[Qtde],supercb[Item],tab_higiene[[#This Row],[Item]],supercb[Bairro],mercado16)</f>
        <v>0</v>
      </c>
      <c r="BA262" s="4">
        <f>SUMIFS(super1[Qtde],super1[Item],tab_higiene[[#This Row],[Item]],super1[Bairro],mercado17)+SUMIFS(supercb[Qtde],supercb[Item],tab_higiene[[#This Row],[Item]],supercb[Bairro],mercado17)</f>
        <v>0</v>
      </c>
      <c r="BB262" s="4">
        <f>SUMIFS(super1[Qtde],super1[Item],tab_higiene[[#This Row],[Item]],super1[Bairro],mercado18)+SUMIFS(supercb[Qtde],supercb[Item],tab_higiene[[#This Row],[Item]],supercb[Bairro],mercado18)</f>
        <v>0</v>
      </c>
      <c r="BC262" s="31">
        <f>SUMIFS(super1[Qtde],super1[Item],tab_higiene[[#This Row],[Item]],super1[Bairro],extras)+SUMIFS(supercb[Qtde],supercb[Item],tab_higiene[[#This Row],[Item]],supercb[Bairro],extras)</f>
        <v>0</v>
      </c>
      <c r="BD262" s="9">
        <f t="shared" si="85"/>
        <v>0</v>
      </c>
      <c r="BE262" s="9">
        <f t="shared" si="86"/>
        <v>0</v>
      </c>
      <c r="BF262" s="18">
        <f t="shared" si="87"/>
        <v>0</v>
      </c>
    </row>
    <row r="263" spans="9:58" ht="15.75" thickBot="1" x14ac:dyDescent="0.3">
      <c r="I263" s="19" t="str">
        <f>alimentos[[#This Row],[Item]]</f>
        <v>Granulado (130g)</v>
      </c>
      <c r="J263" s="4">
        <f>IFERROR(alimentos[[#This Row],[kg/embalagem]],0)</f>
        <v>0.13</v>
      </c>
      <c r="K263" s="4">
        <f>IFERROR(alimentos[[#This Row],[Preço]],0)</f>
        <v>5.8</v>
      </c>
      <c r="L263" s="4">
        <f>SUMIFS(super1[Qtde],super1[Item],tab_alimentos[[#This Row],[Item]],super1[Bairro],mercado1)+SUMIFS(supercb[Qtde],supercb[Item],tab_alimentos[[#This Row],[Item]],supercb[Bairro],mercado1)</f>
        <v>0</v>
      </c>
      <c r="M263" s="4">
        <f>SUMIFS(super1[Qtde],super1[Item],tab_alimentos[[#This Row],[Item]],super1[Bairro],mercado2)+SUMIFS(supercb[Qtde],supercb[Item],tab_alimentos[[#This Row],[Item]],supercb[Bairro],mercado2)</f>
        <v>0</v>
      </c>
      <c r="N263" s="4">
        <f>SUMIFS(super1[Qtde],super1[Item],tab_alimentos[[#This Row],[Item]],super1[Bairro],mercado3)+SUMIFS(supercb[Qtde],supercb[Item],tab_alimentos[[#This Row],[Item]],supercb[Bairro],mercado3)</f>
        <v>0</v>
      </c>
      <c r="O263" s="4">
        <f>SUMIFS(super1[Qtde],super1[Item],tab_alimentos[[#This Row],[Item]],super1[Bairro],mercado4)+SUMIFS(supercb[Qtde],supercb[Item],tab_alimentos[[#This Row],[Item]],supercb[Bairro],mercado4)</f>
        <v>0</v>
      </c>
      <c r="P263" s="4">
        <f>SUMIFS(super1[Qtde],super1[Item],tab_alimentos[[#This Row],[Item]],super1[Bairro],mercado5)+SUMIFS(supercb[Qtde],supercb[Item],tab_alimentos[[#This Row],[Item]],supercb[Bairro],mercado5)</f>
        <v>0</v>
      </c>
      <c r="Q263" s="4">
        <f>SUMIFS(super1[Qtde],super1[Item],tab_alimentos[[#This Row],[Item]],super1[Bairro],mercado6)+SUMIFS(supercb[Qtde],supercb[Item],tab_alimentos[[#This Row],[Item]],supercb[Bairro],mercado6)</f>
        <v>0</v>
      </c>
      <c r="R263" s="4">
        <f>SUMIFS(super1[Qtde],super1[Item],tab_alimentos[[#This Row],[Item]],super1[Bairro],mercado7)+SUMIFS(supercb[Qtde],supercb[Item],tab_alimentos[[#This Row],[Item]],supercb[Bairro],mercado7)</f>
        <v>0</v>
      </c>
      <c r="S263" s="4">
        <f>SUMIFS(super1[Qtde],super1[Item],tab_alimentos[[#This Row],[Item]],super1[Bairro],mercado8)+SUMIFS(supercb[Qtde],supercb[Item],tab_alimentos[[#This Row],[Item]],supercb[Bairro],mercado8)</f>
        <v>0</v>
      </c>
      <c r="T263" s="4">
        <f>SUMIFS(super1[Qtde],super1[Item],tab_alimentos[[#This Row],[Item]],super1[Bairro],mercado9)+SUMIFS(supercb[Qtde],supercb[Item],tab_alimentos[[#This Row],[Item]],supercb[Bairro],mercado9)</f>
        <v>0</v>
      </c>
      <c r="U263" s="4">
        <f>SUMIFS(super1[Qtde],super1[Item],tab_alimentos[[#This Row],[Item]],super1[Bairro],mercado10)+SUMIFS(supercb[Qtde],supercb[Item],tab_alimentos[[#This Row],[Item]],supercb[Bairro],mercado10)</f>
        <v>0</v>
      </c>
      <c r="V263" s="4">
        <f>SUMIFS(super1[Qtde],super1[Item],tab_alimentos[[#This Row],[Item]],super1[Bairro],mercado11)+SUMIFS(supercb[Qtde],supercb[Item],tab_alimentos[[#This Row],[Item]],supercb[Bairro],mercado11)</f>
        <v>0</v>
      </c>
      <c r="W263" s="4">
        <f>SUMIFS(super1[Qtde],super1[Item],tab_alimentos[[#This Row],[Item]],super1[Bairro],mercado12)+SUMIFS(supercb[Qtde],supercb[Item],tab_alimentos[[#This Row],[Item]],supercb[Bairro],mercado12)</f>
        <v>0</v>
      </c>
      <c r="X263" s="4">
        <f>SUMIFS(super1[Qtde],super1[Item],tab_alimentos[[#This Row],[Item]],super1[Bairro],mercado13)+SUMIFS(supercb[Qtde],supercb[Item],tab_alimentos[[#This Row],[Item]],supercb[Bairro],mercado13)</f>
        <v>0</v>
      </c>
      <c r="Y263" s="4">
        <f>SUMIFS(super1[Qtde],super1[Item],tab_alimentos[[#This Row],[Item]],super1[Bairro],mercado14)+SUMIFS(supercb[Qtde],supercb[Item],tab_alimentos[[#This Row],[Item]],supercb[Bairro],mercado14)</f>
        <v>0</v>
      </c>
      <c r="Z263" s="4">
        <f>SUMIFS(super1[Qtde],super1[Item],tab_alimentos[[#This Row],[Item]],super1[Bairro],mercado15)+SUMIFS(supercb[Qtde],supercb[Item],tab_alimentos[[#This Row],[Item]],supercb[Bairro],mercado15)</f>
        <v>0</v>
      </c>
      <c r="AA263" s="4">
        <f>SUMIFS(super1[Qtde],super1[Item],tab_alimentos[[#This Row],[Item]],super1[Bairro],mercado16)+SUMIFS(supercb[Qtde],supercb[Item],tab_alimentos[[#This Row],[Item]],supercb[Bairro],mercado16)</f>
        <v>0</v>
      </c>
      <c r="AB263" s="4">
        <f>SUMIFS(super1[Qtde],super1[Item],tab_alimentos[[#This Row],[Item]],super1[Bairro],mercado17)+SUMIFS(supercb[Qtde],supercb[Item],tab_alimentos[[#This Row],[Item]],supercb[Bairro],mercado17)</f>
        <v>0</v>
      </c>
      <c r="AC263" s="4">
        <f>SUMIFS(super1[Qtde],super1[Item],tab_alimentos[[#This Row],[Item]],super1[Bairro],mercado18)+SUMIFS(supercb[Qtde],supercb[Item],tab_alimentos[[#This Row],[Item]],supercb[Bairro],mercado18)</f>
        <v>0</v>
      </c>
      <c r="AD263" s="4">
        <f>SUMIFS(super1[Qtde],super1[Item],tab_alimentos[[#This Row],[Item]],super1[Bairro],extras)+SUMIFS(supercb[Qtde],supercb[Item],tab_alimentos[[#This Row],[Item]],supercb[Bairro],extras)</f>
        <v>0</v>
      </c>
      <c r="AE263" s="4">
        <f t="shared" si="82"/>
        <v>0</v>
      </c>
      <c r="AF263" s="4">
        <f t="shared" si="83"/>
        <v>0</v>
      </c>
      <c r="AG263" s="6">
        <f t="shared" si="84"/>
        <v>0</v>
      </c>
      <c r="AH263" s="13" t="str">
        <f>higiene[[#This Row],[Item]]</f>
        <v>Tira Manchas (450mL)</v>
      </c>
      <c r="AI263" s="9">
        <f>IFERROR(higiene[[#This Row],[Kg equivalente]],0)</f>
        <v>0</v>
      </c>
      <c r="AJ263" s="9">
        <f>IFERROR(higiene[[#This Row],[Preço por produto]],0)</f>
        <v>16.59</v>
      </c>
      <c r="AK263" s="4">
        <f>SUMIFS(super1[Qtde],super1[Item],tab_higiene[[#This Row],[Item]],super1[Bairro],mercado1)+SUMIFS(supercb[Qtde],supercb[Item],tab_higiene[[#This Row],[Item]],supercb[Bairro],mercado1)</f>
        <v>0</v>
      </c>
      <c r="AL263" s="4">
        <f>SUMIFS(super1[Qtde],super1[Item],tab_higiene[[#This Row],[Item]],super1[Bairro],mercado2)+SUMIFS(supercb[Qtde],supercb[Item],tab_higiene[[#This Row],[Item]],supercb[Bairro],mercado2)</f>
        <v>0</v>
      </c>
      <c r="AM263" s="4">
        <f>SUMIFS(super1[Qtde],super1[Item],tab_higiene[[#This Row],[Item]],super1[Bairro],mercado3)+SUMIFS(supercb[Qtde],supercb[Item],tab_higiene[[#This Row],[Item]],supercb[Bairro],mercado3)</f>
        <v>0</v>
      </c>
      <c r="AN263" s="4">
        <f>SUMIFS(super1[Qtde],super1[Item],tab_higiene[[#This Row],[Item]],super1[Bairro],mercado4)+SUMIFS(supercb[Qtde],supercb[Item],tab_higiene[[#This Row],[Item]],supercb[Bairro],mercado4)</f>
        <v>0</v>
      </c>
      <c r="AO263" s="4">
        <f>SUMIFS(super1[Qtde],super1[Item],tab_higiene[[#This Row],[Item]],super1[Bairro],mercado5)+SUMIFS(supercb[Qtde],supercb[Item],tab_higiene[[#This Row],[Item]],supercb[Bairro],mercado5)</f>
        <v>0</v>
      </c>
      <c r="AP263" s="4">
        <f>SUMIFS(super1[Qtde],super1[Item],tab_higiene[[#This Row],[Item]],super1[Bairro],mercado6)+SUMIFS(supercb[Qtde],supercb[Item],tab_higiene[[#This Row],[Item]],supercb[Bairro],mercado6)</f>
        <v>0</v>
      </c>
      <c r="AQ263" s="4">
        <f>SUMIFS(super1[Qtde],super1[Item],tab_higiene[[#This Row],[Item]],super1[Bairro],mercado7)+SUMIFS(supercb[Qtde],supercb[Item],tab_higiene[[#This Row],[Item]],supercb[Bairro],mercado7)</f>
        <v>0</v>
      </c>
      <c r="AR263" s="4">
        <f>SUMIFS(super1[Qtde],super1[Item],tab_higiene[[#This Row],[Item]],super1[Bairro],mercado8)+SUMIFS(supercb[Qtde],supercb[Item],tab_higiene[[#This Row],[Item]],supercb[Bairro],mercado8)</f>
        <v>0</v>
      </c>
      <c r="AS263" s="4">
        <f>SUMIFS(super1[Qtde],super1[Item],tab_higiene[[#This Row],[Item]],super1[Bairro],mercado9)+SUMIFS(supercb[Qtde],supercb[Item],tab_higiene[[#This Row],[Item]],supercb[Bairro],mercado9)</f>
        <v>0</v>
      </c>
      <c r="AT263" s="4">
        <f>SUMIFS(super1[Qtde],super1[Item],tab_higiene[[#This Row],[Item]],super1[Bairro],mercado10)+SUMIFS(supercb[Qtde],supercb[Item],tab_higiene[[#This Row],[Item]],supercb[Bairro],mercado10)</f>
        <v>0</v>
      </c>
      <c r="AU263" s="4">
        <f>SUMIFS(super1[Qtde],super1[Item],tab_higiene[[#This Row],[Item]],super1[Bairro],mercado11)+SUMIFS(supercb[Qtde],supercb[Item],tab_higiene[[#This Row],[Item]],supercb[Bairro],mercado11)</f>
        <v>0</v>
      </c>
      <c r="AV263" s="4">
        <f>SUMIFS(super1[Qtde],super1[Item],tab_higiene[[#This Row],[Item]],super1[Bairro],mercado12)+SUMIFS(supercb[Qtde],supercb[Item],tab_higiene[[#This Row],[Item]],supercb[Bairro],mercado12)</f>
        <v>0</v>
      </c>
      <c r="AW263" s="4">
        <f>SUMIFS(super1[Qtde],super1[Item],tab_higiene[[#This Row],[Item]],super1[Bairro],mercado13)+SUMIFS(supercb[Qtde],supercb[Item],tab_higiene[[#This Row],[Item]],supercb[Bairro],mercado13)</f>
        <v>0</v>
      </c>
      <c r="AX263" s="4">
        <f>SUMIFS(super1[Qtde],super1[Item],tab_higiene[[#This Row],[Item]],super1[Bairro],mercado14)+SUMIFS(supercb[Qtde],supercb[Item],tab_higiene[[#This Row],[Item]],supercb[Bairro],mercado14)</f>
        <v>0</v>
      </c>
      <c r="AY263" s="4">
        <f>SUMIFS(super1[Qtde],super1[Item],tab_higiene[[#This Row],[Item]],super1[Bairro],mercado15)+SUMIFS(supercb[Qtde],supercb[Item],tab_higiene[[#This Row],[Item]],supercb[Bairro],mercado15)</f>
        <v>0</v>
      </c>
      <c r="AZ263" s="4">
        <f>SUMIFS(super1[Qtde],super1[Item],tab_higiene[[#This Row],[Item]],super1[Bairro],mercado16)+SUMIFS(supercb[Qtde],supercb[Item],tab_higiene[[#This Row],[Item]],supercb[Bairro],mercado16)</f>
        <v>0</v>
      </c>
      <c r="BA263" s="4">
        <f>SUMIFS(super1[Qtde],super1[Item],tab_higiene[[#This Row],[Item]],super1[Bairro],mercado17)+SUMIFS(supercb[Qtde],supercb[Item],tab_higiene[[#This Row],[Item]],supercb[Bairro],mercado17)</f>
        <v>0</v>
      </c>
      <c r="BB263" s="4">
        <f>SUMIFS(super1[Qtde],super1[Item],tab_higiene[[#This Row],[Item]],super1[Bairro],mercado18)+SUMIFS(supercb[Qtde],supercb[Item],tab_higiene[[#This Row],[Item]],supercb[Bairro],mercado18)</f>
        <v>0</v>
      </c>
      <c r="BC263" s="31">
        <f>SUMIFS(super1[Qtde],super1[Item],tab_higiene[[#This Row],[Item]],super1[Bairro],extras)+SUMIFS(supercb[Qtde],supercb[Item],tab_higiene[[#This Row],[Item]],supercb[Bairro],extras)</f>
        <v>0</v>
      </c>
      <c r="BD263" s="9">
        <f t="shared" si="85"/>
        <v>0</v>
      </c>
      <c r="BE263" s="9">
        <f t="shared" si="86"/>
        <v>0</v>
      </c>
      <c r="BF263" s="18">
        <f t="shared" si="87"/>
        <v>0</v>
      </c>
    </row>
    <row r="264" spans="9:58" ht="15.75" thickBot="1" x14ac:dyDescent="0.3">
      <c r="I264" s="19" t="str">
        <f>alimentos[[#This Row],[Item]]</f>
        <v>Granulado (150g)</v>
      </c>
      <c r="J264" s="4">
        <f>IFERROR(alimentos[[#This Row],[kg/embalagem]],0)</f>
        <v>0.15</v>
      </c>
      <c r="K264" s="4">
        <f>IFERROR(alimentos[[#This Row],[Preço]],0)</f>
        <v>5.55</v>
      </c>
      <c r="L264" s="4">
        <f>SUMIFS(super1[Qtde],super1[Item],tab_alimentos[[#This Row],[Item]],super1[Bairro],mercado1)+SUMIFS(supercb[Qtde],supercb[Item],tab_alimentos[[#This Row],[Item]],supercb[Bairro],mercado1)</f>
        <v>0</v>
      </c>
      <c r="M264" s="4">
        <f>SUMIFS(super1[Qtde],super1[Item],tab_alimentos[[#This Row],[Item]],super1[Bairro],mercado2)+SUMIFS(supercb[Qtde],supercb[Item],tab_alimentos[[#This Row],[Item]],supercb[Bairro],mercado2)</f>
        <v>0</v>
      </c>
      <c r="N264" s="4">
        <f>SUMIFS(super1[Qtde],super1[Item],tab_alimentos[[#This Row],[Item]],super1[Bairro],mercado3)+SUMIFS(supercb[Qtde],supercb[Item],tab_alimentos[[#This Row],[Item]],supercb[Bairro],mercado3)</f>
        <v>0</v>
      </c>
      <c r="O264" s="4">
        <f>SUMIFS(super1[Qtde],super1[Item],tab_alimentos[[#This Row],[Item]],super1[Bairro],mercado4)+SUMIFS(supercb[Qtde],supercb[Item],tab_alimentos[[#This Row],[Item]],supercb[Bairro],mercado4)</f>
        <v>0</v>
      </c>
      <c r="P264" s="4">
        <f>SUMIFS(super1[Qtde],super1[Item],tab_alimentos[[#This Row],[Item]],super1[Bairro],mercado5)+SUMIFS(supercb[Qtde],supercb[Item],tab_alimentos[[#This Row],[Item]],supercb[Bairro],mercado5)</f>
        <v>0</v>
      </c>
      <c r="Q264" s="4">
        <f>SUMIFS(super1[Qtde],super1[Item],tab_alimentos[[#This Row],[Item]],super1[Bairro],mercado6)+SUMIFS(supercb[Qtde],supercb[Item],tab_alimentos[[#This Row],[Item]],supercb[Bairro],mercado6)</f>
        <v>0</v>
      </c>
      <c r="R264" s="4">
        <f>SUMIFS(super1[Qtde],super1[Item],tab_alimentos[[#This Row],[Item]],super1[Bairro],mercado7)+SUMIFS(supercb[Qtde],supercb[Item],tab_alimentos[[#This Row],[Item]],supercb[Bairro],mercado7)</f>
        <v>0</v>
      </c>
      <c r="S264" s="4">
        <f>SUMIFS(super1[Qtde],super1[Item],tab_alimentos[[#This Row],[Item]],super1[Bairro],mercado8)+SUMIFS(supercb[Qtde],supercb[Item],tab_alimentos[[#This Row],[Item]],supercb[Bairro],mercado8)</f>
        <v>0</v>
      </c>
      <c r="T264" s="4">
        <f>SUMIFS(super1[Qtde],super1[Item],tab_alimentos[[#This Row],[Item]],super1[Bairro],mercado9)+SUMIFS(supercb[Qtde],supercb[Item],tab_alimentos[[#This Row],[Item]],supercb[Bairro],mercado9)</f>
        <v>0</v>
      </c>
      <c r="U264" s="4">
        <f>SUMIFS(super1[Qtde],super1[Item],tab_alimentos[[#This Row],[Item]],super1[Bairro],mercado10)+SUMIFS(supercb[Qtde],supercb[Item],tab_alimentos[[#This Row],[Item]],supercb[Bairro],mercado10)</f>
        <v>0</v>
      </c>
      <c r="V264" s="4">
        <f>SUMIFS(super1[Qtde],super1[Item],tab_alimentos[[#This Row],[Item]],super1[Bairro],mercado11)+SUMIFS(supercb[Qtde],supercb[Item],tab_alimentos[[#This Row],[Item]],supercb[Bairro],mercado11)</f>
        <v>0</v>
      </c>
      <c r="W264" s="4">
        <f>SUMIFS(super1[Qtde],super1[Item],tab_alimentos[[#This Row],[Item]],super1[Bairro],mercado12)+SUMIFS(supercb[Qtde],supercb[Item],tab_alimentos[[#This Row],[Item]],supercb[Bairro],mercado12)</f>
        <v>0</v>
      </c>
      <c r="X264" s="4">
        <f>SUMIFS(super1[Qtde],super1[Item],tab_alimentos[[#This Row],[Item]],super1[Bairro],mercado13)+SUMIFS(supercb[Qtde],supercb[Item],tab_alimentos[[#This Row],[Item]],supercb[Bairro],mercado13)</f>
        <v>0</v>
      </c>
      <c r="Y264" s="4">
        <f>SUMIFS(super1[Qtde],super1[Item],tab_alimentos[[#This Row],[Item]],super1[Bairro],mercado14)+SUMIFS(supercb[Qtde],supercb[Item],tab_alimentos[[#This Row],[Item]],supercb[Bairro],mercado14)</f>
        <v>0</v>
      </c>
      <c r="Z264" s="4">
        <f>SUMIFS(super1[Qtde],super1[Item],tab_alimentos[[#This Row],[Item]],super1[Bairro],mercado15)+SUMIFS(supercb[Qtde],supercb[Item],tab_alimentos[[#This Row],[Item]],supercb[Bairro],mercado15)</f>
        <v>0</v>
      </c>
      <c r="AA264" s="4">
        <f>SUMIFS(super1[Qtde],super1[Item],tab_alimentos[[#This Row],[Item]],super1[Bairro],mercado16)+SUMIFS(supercb[Qtde],supercb[Item],tab_alimentos[[#This Row],[Item]],supercb[Bairro],mercado16)</f>
        <v>0</v>
      </c>
      <c r="AB264" s="4">
        <f>SUMIFS(super1[Qtde],super1[Item],tab_alimentos[[#This Row],[Item]],super1[Bairro],mercado17)+SUMIFS(supercb[Qtde],supercb[Item],tab_alimentos[[#This Row],[Item]],supercb[Bairro],mercado17)</f>
        <v>0</v>
      </c>
      <c r="AC264" s="4">
        <f>SUMIFS(super1[Qtde],super1[Item],tab_alimentos[[#This Row],[Item]],super1[Bairro],mercado18)+SUMIFS(supercb[Qtde],supercb[Item],tab_alimentos[[#This Row],[Item]],supercb[Bairro],mercado18)</f>
        <v>0</v>
      </c>
      <c r="AD264" s="4">
        <f>SUMIFS(super1[Qtde],super1[Item],tab_alimentos[[#This Row],[Item]],super1[Bairro],extras)+SUMIFS(supercb[Qtde],supercb[Item],tab_alimentos[[#This Row],[Item]],supercb[Bairro],extras)</f>
        <v>0</v>
      </c>
      <c r="AE264" s="4">
        <f t="shared" si="82"/>
        <v>0</v>
      </c>
      <c r="AF264" s="4">
        <f t="shared" si="83"/>
        <v>0</v>
      </c>
      <c r="AG264" s="6">
        <f t="shared" si="84"/>
        <v>0</v>
      </c>
      <c r="AH264" s="13" t="str">
        <f>higiene[[#This Row],[Item]]</f>
        <v>U</v>
      </c>
      <c r="AI264" s="9">
        <f>IFERROR(higiene[[#This Row],[Kg equivalente]],0)</f>
        <v>0</v>
      </c>
      <c r="AJ264" s="9">
        <f>IFERROR(higiene[[#This Row],[Preço por produto]],0)</f>
        <v>0</v>
      </c>
      <c r="AK264" s="4">
        <f>SUMIFS(super1[Qtde],super1[Item],tab_higiene[[#This Row],[Item]],super1[Bairro],mercado1)+SUMIFS(supercb[Qtde],supercb[Item],tab_higiene[[#This Row],[Item]],supercb[Bairro],mercado1)</f>
        <v>0</v>
      </c>
      <c r="AL264" s="4">
        <f>SUMIFS(super1[Qtde],super1[Item],tab_higiene[[#This Row],[Item]],super1[Bairro],mercado2)+SUMIFS(supercb[Qtde],supercb[Item],tab_higiene[[#This Row],[Item]],supercb[Bairro],mercado2)</f>
        <v>0</v>
      </c>
      <c r="AM264" s="4">
        <f>SUMIFS(super1[Qtde],super1[Item],tab_higiene[[#This Row],[Item]],super1[Bairro],mercado3)+SUMIFS(supercb[Qtde],supercb[Item],tab_higiene[[#This Row],[Item]],supercb[Bairro],mercado3)</f>
        <v>0</v>
      </c>
      <c r="AN264" s="4">
        <f>SUMIFS(super1[Qtde],super1[Item],tab_higiene[[#This Row],[Item]],super1[Bairro],mercado4)+SUMIFS(supercb[Qtde],supercb[Item],tab_higiene[[#This Row],[Item]],supercb[Bairro],mercado4)</f>
        <v>0</v>
      </c>
      <c r="AO264" s="4">
        <f>SUMIFS(super1[Qtde],super1[Item],tab_higiene[[#This Row],[Item]],super1[Bairro],mercado5)+SUMIFS(supercb[Qtde],supercb[Item],tab_higiene[[#This Row],[Item]],supercb[Bairro],mercado5)</f>
        <v>0</v>
      </c>
      <c r="AP264" s="4">
        <f>SUMIFS(super1[Qtde],super1[Item],tab_higiene[[#This Row],[Item]],super1[Bairro],mercado6)+SUMIFS(supercb[Qtde],supercb[Item],tab_higiene[[#This Row],[Item]],supercb[Bairro],mercado6)</f>
        <v>0</v>
      </c>
      <c r="AQ264" s="4">
        <f>SUMIFS(super1[Qtde],super1[Item],tab_higiene[[#This Row],[Item]],super1[Bairro],mercado7)+SUMIFS(supercb[Qtde],supercb[Item],tab_higiene[[#This Row],[Item]],supercb[Bairro],mercado7)</f>
        <v>0</v>
      </c>
      <c r="AR264" s="4">
        <f>SUMIFS(super1[Qtde],super1[Item],tab_higiene[[#This Row],[Item]],super1[Bairro],mercado8)+SUMIFS(supercb[Qtde],supercb[Item],tab_higiene[[#This Row],[Item]],supercb[Bairro],mercado8)</f>
        <v>0</v>
      </c>
      <c r="AS264" s="4">
        <f>SUMIFS(super1[Qtde],super1[Item],tab_higiene[[#This Row],[Item]],super1[Bairro],mercado9)+SUMIFS(supercb[Qtde],supercb[Item],tab_higiene[[#This Row],[Item]],supercb[Bairro],mercado9)</f>
        <v>0</v>
      </c>
      <c r="AT264" s="4">
        <f>SUMIFS(super1[Qtde],super1[Item],tab_higiene[[#This Row],[Item]],super1[Bairro],mercado10)+SUMIFS(supercb[Qtde],supercb[Item],tab_higiene[[#This Row],[Item]],supercb[Bairro],mercado10)</f>
        <v>0</v>
      </c>
      <c r="AU264" s="4">
        <f>SUMIFS(super1[Qtde],super1[Item],tab_higiene[[#This Row],[Item]],super1[Bairro],mercado11)+SUMIFS(supercb[Qtde],supercb[Item],tab_higiene[[#This Row],[Item]],supercb[Bairro],mercado11)</f>
        <v>0</v>
      </c>
      <c r="AV264" s="4">
        <f>SUMIFS(super1[Qtde],super1[Item],tab_higiene[[#This Row],[Item]],super1[Bairro],mercado12)+SUMIFS(supercb[Qtde],supercb[Item],tab_higiene[[#This Row],[Item]],supercb[Bairro],mercado12)</f>
        <v>0</v>
      </c>
      <c r="AW264" s="4">
        <f>SUMIFS(super1[Qtde],super1[Item],tab_higiene[[#This Row],[Item]],super1[Bairro],mercado13)+SUMIFS(supercb[Qtde],supercb[Item],tab_higiene[[#This Row],[Item]],supercb[Bairro],mercado13)</f>
        <v>0</v>
      </c>
      <c r="AX264" s="4">
        <f>SUMIFS(super1[Qtde],super1[Item],tab_higiene[[#This Row],[Item]],super1[Bairro],mercado14)+SUMIFS(supercb[Qtde],supercb[Item],tab_higiene[[#This Row],[Item]],supercb[Bairro],mercado14)</f>
        <v>0</v>
      </c>
      <c r="AY264" s="4">
        <f>SUMIFS(super1[Qtde],super1[Item],tab_higiene[[#This Row],[Item]],super1[Bairro],mercado15)+SUMIFS(supercb[Qtde],supercb[Item],tab_higiene[[#This Row],[Item]],supercb[Bairro],mercado15)</f>
        <v>0</v>
      </c>
      <c r="AZ264" s="4">
        <f>SUMIFS(super1[Qtde],super1[Item],tab_higiene[[#This Row],[Item]],super1[Bairro],mercado16)+SUMIFS(supercb[Qtde],supercb[Item],tab_higiene[[#This Row],[Item]],supercb[Bairro],mercado16)</f>
        <v>0</v>
      </c>
      <c r="BA264" s="4">
        <f>SUMIFS(super1[Qtde],super1[Item],tab_higiene[[#This Row],[Item]],super1[Bairro],mercado17)+SUMIFS(supercb[Qtde],supercb[Item],tab_higiene[[#This Row],[Item]],supercb[Bairro],mercado17)</f>
        <v>0</v>
      </c>
      <c r="BB264" s="4">
        <f>SUMIFS(super1[Qtde],super1[Item],tab_higiene[[#This Row],[Item]],super1[Bairro],mercado18)+SUMIFS(supercb[Qtde],supercb[Item],tab_higiene[[#This Row],[Item]],supercb[Bairro],mercado18)</f>
        <v>0</v>
      </c>
      <c r="BC264" s="31">
        <f>SUMIFS(super1[Qtde],super1[Item],tab_higiene[[#This Row],[Item]],super1[Bairro],extras)+SUMIFS(supercb[Qtde],supercb[Item],tab_higiene[[#This Row],[Item]],supercb[Bairro],extras)</f>
        <v>0</v>
      </c>
      <c r="BD264" s="9">
        <f t="shared" si="85"/>
        <v>0</v>
      </c>
      <c r="BE264" s="9">
        <f t="shared" si="86"/>
        <v>0</v>
      </c>
      <c r="BF264" s="18">
        <f t="shared" si="87"/>
        <v>0</v>
      </c>
    </row>
    <row r="265" spans="9:58" ht="15.75" thickBot="1" x14ac:dyDescent="0.3">
      <c r="I265" s="19" t="str">
        <f>alimentos[[#This Row],[Item]]</f>
        <v>Granulado (1kg)</v>
      </c>
      <c r="J265" s="4">
        <f>IFERROR(alimentos[[#This Row],[kg/embalagem]],0)</f>
        <v>1</v>
      </c>
      <c r="K265" s="4">
        <f>IFERROR(alimentos[[#This Row],[Preço]],0)</f>
        <v>17.690000000000001</v>
      </c>
      <c r="L265" s="4">
        <f>SUMIFS(super1[Qtde],super1[Item],tab_alimentos[[#This Row],[Item]],super1[Bairro],mercado1)+SUMIFS(supercb[Qtde],supercb[Item],tab_alimentos[[#This Row],[Item]],supercb[Bairro],mercado1)</f>
        <v>0</v>
      </c>
      <c r="M265" s="4">
        <f>SUMIFS(super1[Qtde],super1[Item],tab_alimentos[[#This Row],[Item]],super1[Bairro],mercado2)+SUMIFS(supercb[Qtde],supercb[Item],tab_alimentos[[#This Row],[Item]],supercb[Bairro],mercado2)</f>
        <v>0</v>
      </c>
      <c r="N265" s="4">
        <f>SUMIFS(super1[Qtde],super1[Item],tab_alimentos[[#This Row],[Item]],super1[Bairro],mercado3)+SUMIFS(supercb[Qtde],supercb[Item],tab_alimentos[[#This Row],[Item]],supercb[Bairro],mercado3)</f>
        <v>0</v>
      </c>
      <c r="O265" s="4">
        <f>SUMIFS(super1[Qtde],super1[Item],tab_alimentos[[#This Row],[Item]],super1[Bairro],mercado4)+SUMIFS(supercb[Qtde],supercb[Item],tab_alimentos[[#This Row],[Item]],supercb[Bairro],mercado4)</f>
        <v>0</v>
      </c>
      <c r="P265" s="4">
        <f>SUMIFS(super1[Qtde],super1[Item],tab_alimentos[[#This Row],[Item]],super1[Bairro],mercado5)+SUMIFS(supercb[Qtde],supercb[Item],tab_alimentos[[#This Row],[Item]],supercb[Bairro],mercado5)</f>
        <v>0</v>
      </c>
      <c r="Q265" s="4">
        <f>SUMIFS(super1[Qtde],super1[Item],tab_alimentos[[#This Row],[Item]],super1[Bairro],mercado6)+SUMIFS(supercb[Qtde],supercb[Item],tab_alimentos[[#This Row],[Item]],supercb[Bairro],mercado6)</f>
        <v>0</v>
      </c>
      <c r="R265" s="4">
        <f>SUMIFS(super1[Qtde],super1[Item],tab_alimentos[[#This Row],[Item]],super1[Bairro],mercado7)+SUMIFS(supercb[Qtde],supercb[Item],tab_alimentos[[#This Row],[Item]],supercb[Bairro],mercado7)</f>
        <v>0</v>
      </c>
      <c r="S265" s="4">
        <f>SUMIFS(super1[Qtde],super1[Item],tab_alimentos[[#This Row],[Item]],super1[Bairro],mercado8)+SUMIFS(supercb[Qtde],supercb[Item],tab_alimentos[[#This Row],[Item]],supercb[Bairro],mercado8)</f>
        <v>0</v>
      </c>
      <c r="T265" s="4">
        <f>SUMIFS(super1[Qtde],super1[Item],tab_alimentos[[#This Row],[Item]],super1[Bairro],mercado9)+SUMIFS(supercb[Qtde],supercb[Item],tab_alimentos[[#This Row],[Item]],supercb[Bairro],mercado9)</f>
        <v>0</v>
      </c>
      <c r="U265" s="4">
        <f>SUMIFS(super1[Qtde],super1[Item],tab_alimentos[[#This Row],[Item]],super1[Bairro],mercado10)+SUMIFS(supercb[Qtde],supercb[Item],tab_alimentos[[#This Row],[Item]],supercb[Bairro],mercado10)</f>
        <v>0</v>
      </c>
      <c r="V265" s="4">
        <f>SUMIFS(super1[Qtde],super1[Item],tab_alimentos[[#This Row],[Item]],super1[Bairro],mercado11)+SUMIFS(supercb[Qtde],supercb[Item],tab_alimentos[[#This Row],[Item]],supercb[Bairro],mercado11)</f>
        <v>0</v>
      </c>
      <c r="W265" s="4">
        <f>SUMIFS(super1[Qtde],super1[Item],tab_alimentos[[#This Row],[Item]],super1[Bairro],mercado12)+SUMIFS(supercb[Qtde],supercb[Item],tab_alimentos[[#This Row],[Item]],supercb[Bairro],mercado12)</f>
        <v>0</v>
      </c>
      <c r="X265" s="4">
        <f>SUMIFS(super1[Qtde],super1[Item],tab_alimentos[[#This Row],[Item]],super1[Bairro],mercado13)+SUMIFS(supercb[Qtde],supercb[Item],tab_alimentos[[#This Row],[Item]],supercb[Bairro],mercado13)</f>
        <v>0</v>
      </c>
      <c r="Y265" s="4">
        <f>SUMIFS(super1[Qtde],super1[Item],tab_alimentos[[#This Row],[Item]],super1[Bairro],mercado14)+SUMIFS(supercb[Qtde],supercb[Item],tab_alimentos[[#This Row],[Item]],supercb[Bairro],mercado14)</f>
        <v>0</v>
      </c>
      <c r="Z265" s="4">
        <f>SUMIFS(super1[Qtde],super1[Item],tab_alimentos[[#This Row],[Item]],super1[Bairro],mercado15)+SUMIFS(supercb[Qtde],supercb[Item],tab_alimentos[[#This Row],[Item]],supercb[Bairro],mercado15)</f>
        <v>0</v>
      </c>
      <c r="AA265" s="4">
        <f>SUMIFS(super1[Qtde],super1[Item],tab_alimentos[[#This Row],[Item]],super1[Bairro],mercado16)+SUMIFS(supercb[Qtde],supercb[Item],tab_alimentos[[#This Row],[Item]],supercb[Bairro],mercado16)</f>
        <v>0</v>
      </c>
      <c r="AB265" s="4">
        <f>SUMIFS(super1[Qtde],super1[Item],tab_alimentos[[#This Row],[Item]],super1[Bairro],mercado17)+SUMIFS(supercb[Qtde],supercb[Item],tab_alimentos[[#This Row],[Item]],supercb[Bairro],mercado17)</f>
        <v>0</v>
      </c>
      <c r="AC265" s="4">
        <f>SUMIFS(super1[Qtde],super1[Item],tab_alimentos[[#This Row],[Item]],super1[Bairro],mercado18)+SUMIFS(supercb[Qtde],supercb[Item],tab_alimentos[[#This Row],[Item]],supercb[Bairro],mercado18)</f>
        <v>0</v>
      </c>
      <c r="AD265" s="4">
        <f>SUMIFS(super1[Qtde],super1[Item],tab_alimentos[[#This Row],[Item]],super1[Bairro],extras)+SUMIFS(supercb[Qtde],supercb[Item],tab_alimentos[[#This Row],[Item]],supercb[Bairro],extras)</f>
        <v>0</v>
      </c>
      <c r="AE265" s="4">
        <f t="shared" si="82"/>
        <v>0</v>
      </c>
      <c r="AF265" s="4">
        <f t="shared" si="83"/>
        <v>0</v>
      </c>
      <c r="AG265" s="6">
        <f t="shared" si="84"/>
        <v>0</v>
      </c>
      <c r="AH265" s="13" t="str">
        <f>higiene[[#This Row],[Item]]</f>
        <v>V</v>
      </c>
      <c r="AI265" s="9">
        <f>IFERROR(higiene[[#This Row],[Kg equivalente]],0)</f>
        <v>0</v>
      </c>
      <c r="AJ265" s="9">
        <f>IFERROR(higiene[[#This Row],[Preço por produto]],0)</f>
        <v>0</v>
      </c>
      <c r="AK265" s="4">
        <f>SUMIFS(super1[Qtde],super1[Item],tab_higiene[[#This Row],[Item]],super1[Bairro],mercado1)+SUMIFS(supercb[Qtde],supercb[Item],tab_higiene[[#This Row],[Item]],supercb[Bairro],mercado1)</f>
        <v>0</v>
      </c>
      <c r="AL265" s="4">
        <f>SUMIFS(super1[Qtde],super1[Item],tab_higiene[[#This Row],[Item]],super1[Bairro],mercado2)+SUMIFS(supercb[Qtde],supercb[Item],tab_higiene[[#This Row],[Item]],supercb[Bairro],mercado2)</f>
        <v>0</v>
      </c>
      <c r="AM265" s="4">
        <f>SUMIFS(super1[Qtde],super1[Item],tab_higiene[[#This Row],[Item]],super1[Bairro],mercado3)+SUMIFS(supercb[Qtde],supercb[Item],tab_higiene[[#This Row],[Item]],supercb[Bairro],mercado3)</f>
        <v>0</v>
      </c>
      <c r="AN265" s="4">
        <f>SUMIFS(super1[Qtde],super1[Item],tab_higiene[[#This Row],[Item]],super1[Bairro],mercado4)+SUMIFS(supercb[Qtde],supercb[Item],tab_higiene[[#This Row],[Item]],supercb[Bairro],mercado4)</f>
        <v>0</v>
      </c>
      <c r="AO265" s="4">
        <f>SUMIFS(super1[Qtde],super1[Item],tab_higiene[[#This Row],[Item]],super1[Bairro],mercado5)+SUMIFS(supercb[Qtde],supercb[Item],tab_higiene[[#This Row],[Item]],supercb[Bairro],mercado5)</f>
        <v>0</v>
      </c>
      <c r="AP265" s="4">
        <f>SUMIFS(super1[Qtde],super1[Item],tab_higiene[[#This Row],[Item]],super1[Bairro],mercado6)+SUMIFS(supercb[Qtde],supercb[Item],tab_higiene[[#This Row],[Item]],supercb[Bairro],mercado6)</f>
        <v>0</v>
      </c>
      <c r="AQ265" s="4">
        <f>SUMIFS(super1[Qtde],super1[Item],tab_higiene[[#This Row],[Item]],super1[Bairro],mercado7)+SUMIFS(supercb[Qtde],supercb[Item],tab_higiene[[#This Row],[Item]],supercb[Bairro],mercado7)</f>
        <v>0</v>
      </c>
      <c r="AR265" s="4">
        <f>SUMIFS(super1[Qtde],super1[Item],tab_higiene[[#This Row],[Item]],super1[Bairro],mercado8)+SUMIFS(supercb[Qtde],supercb[Item],tab_higiene[[#This Row],[Item]],supercb[Bairro],mercado8)</f>
        <v>0</v>
      </c>
      <c r="AS265" s="4">
        <f>SUMIFS(super1[Qtde],super1[Item],tab_higiene[[#This Row],[Item]],super1[Bairro],mercado9)+SUMIFS(supercb[Qtde],supercb[Item],tab_higiene[[#This Row],[Item]],supercb[Bairro],mercado9)</f>
        <v>0</v>
      </c>
      <c r="AT265" s="4">
        <f>SUMIFS(super1[Qtde],super1[Item],tab_higiene[[#This Row],[Item]],super1[Bairro],mercado10)+SUMIFS(supercb[Qtde],supercb[Item],tab_higiene[[#This Row],[Item]],supercb[Bairro],mercado10)</f>
        <v>0</v>
      </c>
      <c r="AU265" s="4">
        <f>SUMIFS(super1[Qtde],super1[Item],tab_higiene[[#This Row],[Item]],super1[Bairro],mercado11)+SUMIFS(supercb[Qtde],supercb[Item],tab_higiene[[#This Row],[Item]],supercb[Bairro],mercado11)</f>
        <v>0</v>
      </c>
      <c r="AV265" s="4">
        <f>SUMIFS(super1[Qtde],super1[Item],tab_higiene[[#This Row],[Item]],super1[Bairro],mercado12)+SUMIFS(supercb[Qtde],supercb[Item],tab_higiene[[#This Row],[Item]],supercb[Bairro],mercado12)</f>
        <v>0</v>
      </c>
      <c r="AW265" s="4">
        <f>SUMIFS(super1[Qtde],super1[Item],tab_higiene[[#This Row],[Item]],super1[Bairro],mercado13)+SUMIFS(supercb[Qtde],supercb[Item],tab_higiene[[#This Row],[Item]],supercb[Bairro],mercado13)</f>
        <v>0</v>
      </c>
      <c r="AX265" s="4">
        <f>SUMIFS(super1[Qtde],super1[Item],tab_higiene[[#This Row],[Item]],super1[Bairro],mercado14)+SUMIFS(supercb[Qtde],supercb[Item],tab_higiene[[#This Row],[Item]],supercb[Bairro],mercado14)</f>
        <v>0</v>
      </c>
      <c r="AY265" s="4">
        <f>SUMIFS(super1[Qtde],super1[Item],tab_higiene[[#This Row],[Item]],super1[Bairro],mercado15)+SUMIFS(supercb[Qtde],supercb[Item],tab_higiene[[#This Row],[Item]],supercb[Bairro],mercado15)</f>
        <v>0</v>
      </c>
      <c r="AZ265" s="4">
        <f>SUMIFS(super1[Qtde],super1[Item],tab_higiene[[#This Row],[Item]],super1[Bairro],mercado16)+SUMIFS(supercb[Qtde],supercb[Item],tab_higiene[[#This Row],[Item]],supercb[Bairro],mercado16)</f>
        <v>0</v>
      </c>
      <c r="BA265" s="4">
        <f>SUMIFS(super1[Qtde],super1[Item],tab_higiene[[#This Row],[Item]],super1[Bairro],mercado17)+SUMIFS(supercb[Qtde],supercb[Item],tab_higiene[[#This Row],[Item]],supercb[Bairro],mercado17)</f>
        <v>0</v>
      </c>
      <c r="BB265" s="4">
        <f>SUMIFS(super1[Qtde],super1[Item],tab_higiene[[#This Row],[Item]],super1[Bairro],mercado18)+SUMIFS(supercb[Qtde],supercb[Item],tab_higiene[[#This Row],[Item]],supercb[Bairro],mercado18)</f>
        <v>0</v>
      </c>
      <c r="BC265" s="31">
        <f>SUMIFS(super1[Qtde],super1[Item],tab_higiene[[#This Row],[Item]],super1[Bairro],extras)+SUMIFS(supercb[Qtde],supercb[Item],tab_higiene[[#This Row],[Item]],supercb[Bairro],extras)</f>
        <v>0</v>
      </c>
      <c r="BD265" s="9">
        <f t="shared" si="85"/>
        <v>0</v>
      </c>
      <c r="BE265" s="9">
        <f t="shared" si="86"/>
        <v>0</v>
      </c>
      <c r="BF265" s="18">
        <f t="shared" si="87"/>
        <v>0</v>
      </c>
    </row>
    <row r="266" spans="9:58" ht="15.75" thickBot="1" x14ac:dyDescent="0.3">
      <c r="I266" s="19" t="str">
        <f>alimentos[[#This Row],[Item]]</f>
        <v>Granulado (500g)</v>
      </c>
      <c r="J266" s="4">
        <f>IFERROR(alimentos[[#This Row],[kg/embalagem]],0)</f>
        <v>0.5</v>
      </c>
      <c r="K266" s="4">
        <f>IFERROR(alimentos[[#This Row],[Preço]],0)</f>
        <v>6.19</v>
      </c>
      <c r="L266" s="4">
        <f>SUMIFS(super1[Qtde],super1[Item],tab_alimentos[[#This Row],[Item]],super1[Bairro],mercado1)+SUMIFS(supercb[Qtde],supercb[Item],tab_alimentos[[#This Row],[Item]],supercb[Bairro],mercado1)</f>
        <v>0</v>
      </c>
      <c r="M266" s="4">
        <f>SUMIFS(super1[Qtde],super1[Item],tab_alimentos[[#This Row],[Item]],super1[Bairro],mercado2)+SUMIFS(supercb[Qtde],supercb[Item],tab_alimentos[[#This Row],[Item]],supercb[Bairro],mercado2)</f>
        <v>0</v>
      </c>
      <c r="N266" s="4">
        <f>SUMIFS(super1[Qtde],super1[Item],tab_alimentos[[#This Row],[Item]],super1[Bairro],mercado3)+SUMIFS(supercb[Qtde],supercb[Item],tab_alimentos[[#This Row],[Item]],supercb[Bairro],mercado3)</f>
        <v>0</v>
      </c>
      <c r="O266" s="4">
        <f>SUMIFS(super1[Qtde],super1[Item],tab_alimentos[[#This Row],[Item]],super1[Bairro],mercado4)+SUMIFS(supercb[Qtde],supercb[Item],tab_alimentos[[#This Row],[Item]],supercb[Bairro],mercado4)</f>
        <v>0</v>
      </c>
      <c r="P266" s="4">
        <f>SUMIFS(super1[Qtde],super1[Item],tab_alimentos[[#This Row],[Item]],super1[Bairro],mercado5)+SUMIFS(supercb[Qtde],supercb[Item],tab_alimentos[[#This Row],[Item]],supercb[Bairro],mercado5)</f>
        <v>0</v>
      </c>
      <c r="Q266" s="4">
        <f>SUMIFS(super1[Qtde],super1[Item],tab_alimentos[[#This Row],[Item]],super1[Bairro],mercado6)+SUMIFS(supercb[Qtde],supercb[Item],tab_alimentos[[#This Row],[Item]],supercb[Bairro],mercado6)</f>
        <v>0</v>
      </c>
      <c r="R266" s="4">
        <f>SUMIFS(super1[Qtde],super1[Item],tab_alimentos[[#This Row],[Item]],super1[Bairro],mercado7)+SUMIFS(supercb[Qtde],supercb[Item],tab_alimentos[[#This Row],[Item]],supercb[Bairro],mercado7)</f>
        <v>0</v>
      </c>
      <c r="S266" s="4">
        <f>SUMIFS(super1[Qtde],super1[Item],tab_alimentos[[#This Row],[Item]],super1[Bairro],mercado8)+SUMIFS(supercb[Qtde],supercb[Item],tab_alimentos[[#This Row],[Item]],supercb[Bairro],mercado8)</f>
        <v>0</v>
      </c>
      <c r="T266" s="4">
        <f>SUMIFS(super1[Qtde],super1[Item],tab_alimentos[[#This Row],[Item]],super1[Bairro],mercado9)+SUMIFS(supercb[Qtde],supercb[Item],tab_alimentos[[#This Row],[Item]],supercb[Bairro],mercado9)</f>
        <v>0</v>
      </c>
      <c r="U266" s="4">
        <f>SUMIFS(super1[Qtde],super1[Item],tab_alimentos[[#This Row],[Item]],super1[Bairro],mercado10)+SUMIFS(supercb[Qtde],supercb[Item],tab_alimentos[[#This Row],[Item]],supercb[Bairro],mercado10)</f>
        <v>0</v>
      </c>
      <c r="V266" s="4">
        <f>SUMIFS(super1[Qtde],super1[Item],tab_alimentos[[#This Row],[Item]],super1[Bairro],mercado11)+SUMIFS(supercb[Qtde],supercb[Item],tab_alimentos[[#This Row],[Item]],supercb[Bairro],mercado11)</f>
        <v>0</v>
      </c>
      <c r="W266" s="4">
        <f>SUMIFS(super1[Qtde],super1[Item],tab_alimentos[[#This Row],[Item]],super1[Bairro],mercado12)+SUMIFS(supercb[Qtde],supercb[Item],tab_alimentos[[#This Row],[Item]],supercb[Bairro],mercado12)</f>
        <v>0</v>
      </c>
      <c r="X266" s="4">
        <f>SUMIFS(super1[Qtde],super1[Item],tab_alimentos[[#This Row],[Item]],super1[Bairro],mercado13)+SUMIFS(supercb[Qtde],supercb[Item],tab_alimentos[[#This Row],[Item]],supercb[Bairro],mercado13)</f>
        <v>0</v>
      </c>
      <c r="Y266" s="4">
        <f>SUMIFS(super1[Qtde],super1[Item],tab_alimentos[[#This Row],[Item]],super1[Bairro],mercado14)+SUMIFS(supercb[Qtde],supercb[Item],tab_alimentos[[#This Row],[Item]],supercb[Bairro],mercado14)</f>
        <v>0</v>
      </c>
      <c r="Z266" s="4">
        <f>SUMIFS(super1[Qtde],super1[Item],tab_alimentos[[#This Row],[Item]],super1[Bairro],mercado15)+SUMIFS(supercb[Qtde],supercb[Item],tab_alimentos[[#This Row],[Item]],supercb[Bairro],mercado15)</f>
        <v>0</v>
      </c>
      <c r="AA266" s="4">
        <f>SUMIFS(super1[Qtde],super1[Item],tab_alimentos[[#This Row],[Item]],super1[Bairro],mercado16)+SUMIFS(supercb[Qtde],supercb[Item],tab_alimentos[[#This Row],[Item]],supercb[Bairro],mercado16)</f>
        <v>0</v>
      </c>
      <c r="AB266" s="4">
        <f>SUMIFS(super1[Qtde],super1[Item],tab_alimentos[[#This Row],[Item]],super1[Bairro],mercado17)+SUMIFS(supercb[Qtde],supercb[Item],tab_alimentos[[#This Row],[Item]],supercb[Bairro],mercado17)</f>
        <v>0</v>
      </c>
      <c r="AC266" s="4">
        <f>SUMIFS(super1[Qtde],super1[Item],tab_alimentos[[#This Row],[Item]],super1[Bairro],mercado18)+SUMIFS(supercb[Qtde],supercb[Item],tab_alimentos[[#This Row],[Item]],supercb[Bairro],mercado18)</f>
        <v>0</v>
      </c>
      <c r="AD266" s="4">
        <f>SUMIFS(super1[Qtde],super1[Item],tab_alimentos[[#This Row],[Item]],super1[Bairro],extras)+SUMIFS(supercb[Qtde],supercb[Item],tab_alimentos[[#This Row],[Item]],supercb[Bairro],extras)</f>
        <v>0</v>
      </c>
      <c r="AE266" s="4">
        <f t="shared" si="82"/>
        <v>0</v>
      </c>
      <c r="AF266" s="4">
        <f t="shared" si="83"/>
        <v>0</v>
      </c>
      <c r="AG266" s="6">
        <f t="shared" si="84"/>
        <v>0</v>
      </c>
      <c r="AH266" s="13" t="str">
        <f>higiene[[#This Row],[Item]]</f>
        <v>Vanish (400g)</v>
      </c>
      <c r="AI266" s="9">
        <f>IFERROR(higiene[[#This Row],[Kg equivalente]],0)</f>
        <v>0</v>
      </c>
      <c r="AJ266" s="9">
        <f>IFERROR(higiene[[#This Row],[Preço por produto]],0)</f>
        <v>15.9</v>
      </c>
      <c r="AK266" s="4">
        <f>SUMIFS(super1[Qtde],super1[Item],tab_higiene[[#This Row],[Item]],super1[Bairro],mercado1)+SUMIFS(supercb[Qtde],supercb[Item],tab_higiene[[#This Row],[Item]],supercb[Bairro],mercado1)</f>
        <v>0</v>
      </c>
      <c r="AL266" s="4">
        <f>SUMIFS(super1[Qtde],super1[Item],tab_higiene[[#This Row],[Item]],super1[Bairro],mercado2)+SUMIFS(supercb[Qtde],supercb[Item],tab_higiene[[#This Row],[Item]],supercb[Bairro],mercado2)</f>
        <v>0</v>
      </c>
      <c r="AM266" s="4">
        <f>SUMIFS(super1[Qtde],super1[Item],tab_higiene[[#This Row],[Item]],super1[Bairro],mercado3)+SUMIFS(supercb[Qtde],supercb[Item],tab_higiene[[#This Row],[Item]],supercb[Bairro],mercado3)</f>
        <v>0</v>
      </c>
      <c r="AN266" s="4">
        <f>SUMIFS(super1[Qtde],super1[Item],tab_higiene[[#This Row],[Item]],super1[Bairro],mercado4)+SUMIFS(supercb[Qtde],supercb[Item],tab_higiene[[#This Row],[Item]],supercb[Bairro],mercado4)</f>
        <v>0</v>
      </c>
      <c r="AO266" s="4">
        <f>SUMIFS(super1[Qtde],super1[Item],tab_higiene[[#This Row],[Item]],super1[Bairro],mercado5)+SUMIFS(supercb[Qtde],supercb[Item],tab_higiene[[#This Row],[Item]],supercb[Bairro],mercado5)</f>
        <v>0</v>
      </c>
      <c r="AP266" s="4">
        <f>SUMIFS(super1[Qtde],super1[Item],tab_higiene[[#This Row],[Item]],super1[Bairro],mercado6)+SUMIFS(supercb[Qtde],supercb[Item],tab_higiene[[#This Row],[Item]],supercb[Bairro],mercado6)</f>
        <v>0</v>
      </c>
      <c r="AQ266" s="4">
        <f>SUMIFS(super1[Qtde],super1[Item],tab_higiene[[#This Row],[Item]],super1[Bairro],mercado7)+SUMIFS(supercb[Qtde],supercb[Item],tab_higiene[[#This Row],[Item]],supercb[Bairro],mercado7)</f>
        <v>0</v>
      </c>
      <c r="AR266" s="4">
        <f>SUMIFS(super1[Qtde],super1[Item],tab_higiene[[#This Row],[Item]],super1[Bairro],mercado8)+SUMIFS(supercb[Qtde],supercb[Item],tab_higiene[[#This Row],[Item]],supercb[Bairro],mercado8)</f>
        <v>0</v>
      </c>
      <c r="AS266" s="4">
        <f>SUMIFS(super1[Qtde],super1[Item],tab_higiene[[#This Row],[Item]],super1[Bairro],mercado9)+SUMIFS(supercb[Qtde],supercb[Item],tab_higiene[[#This Row],[Item]],supercb[Bairro],mercado9)</f>
        <v>0</v>
      </c>
      <c r="AT266" s="4">
        <f>SUMIFS(super1[Qtde],super1[Item],tab_higiene[[#This Row],[Item]],super1[Bairro],mercado10)+SUMIFS(supercb[Qtde],supercb[Item],tab_higiene[[#This Row],[Item]],supercb[Bairro],mercado10)</f>
        <v>0</v>
      </c>
      <c r="AU266" s="4">
        <f>SUMIFS(super1[Qtde],super1[Item],tab_higiene[[#This Row],[Item]],super1[Bairro],mercado11)+SUMIFS(supercb[Qtde],supercb[Item],tab_higiene[[#This Row],[Item]],supercb[Bairro],mercado11)</f>
        <v>0</v>
      </c>
      <c r="AV266" s="4">
        <f>SUMIFS(super1[Qtde],super1[Item],tab_higiene[[#This Row],[Item]],super1[Bairro],mercado12)+SUMIFS(supercb[Qtde],supercb[Item],tab_higiene[[#This Row],[Item]],supercb[Bairro],mercado12)</f>
        <v>0</v>
      </c>
      <c r="AW266" s="4">
        <f>SUMIFS(super1[Qtde],super1[Item],tab_higiene[[#This Row],[Item]],super1[Bairro],mercado13)+SUMIFS(supercb[Qtde],supercb[Item],tab_higiene[[#This Row],[Item]],supercb[Bairro],mercado13)</f>
        <v>0</v>
      </c>
      <c r="AX266" s="4">
        <f>SUMIFS(super1[Qtde],super1[Item],tab_higiene[[#This Row],[Item]],super1[Bairro],mercado14)+SUMIFS(supercb[Qtde],supercb[Item],tab_higiene[[#This Row],[Item]],supercb[Bairro],mercado14)</f>
        <v>0</v>
      </c>
      <c r="AY266" s="4">
        <f>SUMIFS(super1[Qtde],super1[Item],tab_higiene[[#This Row],[Item]],super1[Bairro],mercado15)+SUMIFS(supercb[Qtde],supercb[Item],tab_higiene[[#This Row],[Item]],supercb[Bairro],mercado15)</f>
        <v>0</v>
      </c>
      <c r="AZ266" s="4">
        <f>SUMIFS(super1[Qtde],super1[Item],tab_higiene[[#This Row],[Item]],super1[Bairro],mercado16)+SUMIFS(supercb[Qtde],supercb[Item],tab_higiene[[#This Row],[Item]],supercb[Bairro],mercado16)</f>
        <v>0</v>
      </c>
      <c r="BA266" s="4">
        <f>SUMIFS(super1[Qtde],super1[Item],tab_higiene[[#This Row],[Item]],super1[Bairro],mercado17)+SUMIFS(supercb[Qtde],supercb[Item],tab_higiene[[#This Row],[Item]],supercb[Bairro],mercado17)</f>
        <v>0</v>
      </c>
      <c r="BB266" s="4">
        <f>SUMIFS(super1[Qtde],super1[Item],tab_higiene[[#This Row],[Item]],super1[Bairro],mercado18)+SUMIFS(supercb[Qtde],supercb[Item],tab_higiene[[#This Row],[Item]],supercb[Bairro],mercado18)</f>
        <v>0</v>
      </c>
      <c r="BC266" s="31">
        <f>SUMIFS(super1[Qtde],super1[Item],tab_higiene[[#This Row],[Item]],super1[Bairro],extras)+SUMIFS(supercb[Qtde],supercb[Item],tab_higiene[[#This Row],[Item]],supercb[Bairro],extras)</f>
        <v>0</v>
      </c>
      <c r="BD266" s="9">
        <f t="shared" si="85"/>
        <v>0</v>
      </c>
      <c r="BE266" s="9">
        <f t="shared" si="86"/>
        <v>0</v>
      </c>
      <c r="BF266" s="18">
        <f t="shared" si="87"/>
        <v>0</v>
      </c>
    </row>
    <row r="267" spans="9:58" ht="15.75" thickBot="1" x14ac:dyDescent="0.3">
      <c r="I267" s="19" t="str">
        <f>alimentos[[#This Row],[Item]]</f>
        <v>Granulado (50g)</v>
      </c>
      <c r="J267" s="4">
        <f>IFERROR(alimentos[[#This Row],[kg/embalagem]],0)</f>
        <v>0.05</v>
      </c>
      <c r="K267" s="4">
        <f>IFERROR(alimentos[[#This Row],[Preço]],0)</f>
        <v>1.78</v>
      </c>
      <c r="L267" s="4">
        <f>SUMIFS(super1[Qtde],super1[Item],tab_alimentos[[#This Row],[Item]],super1[Bairro],mercado1)+SUMIFS(supercb[Qtde],supercb[Item],tab_alimentos[[#This Row],[Item]],supercb[Bairro],mercado1)</f>
        <v>0</v>
      </c>
      <c r="M267" s="4">
        <f>SUMIFS(super1[Qtde],super1[Item],tab_alimentos[[#This Row],[Item]],super1[Bairro],mercado2)+SUMIFS(supercb[Qtde],supercb[Item],tab_alimentos[[#This Row],[Item]],supercb[Bairro],mercado2)</f>
        <v>0</v>
      </c>
      <c r="N267" s="4">
        <f>SUMIFS(super1[Qtde],super1[Item],tab_alimentos[[#This Row],[Item]],super1[Bairro],mercado3)+SUMIFS(supercb[Qtde],supercb[Item],tab_alimentos[[#This Row],[Item]],supercb[Bairro],mercado3)</f>
        <v>0</v>
      </c>
      <c r="O267" s="4">
        <f>SUMIFS(super1[Qtde],super1[Item],tab_alimentos[[#This Row],[Item]],super1[Bairro],mercado4)+SUMIFS(supercb[Qtde],supercb[Item],tab_alimentos[[#This Row],[Item]],supercb[Bairro],mercado4)</f>
        <v>0</v>
      </c>
      <c r="P267" s="4">
        <f>SUMIFS(super1[Qtde],super1[Item],tab_alimentos[[#This Row],[Item]],super1[Bairro],mercado5)+SUMIFS(supercb[Qtde],supercb[Item],tab_alimentos[[#This Row],[Item]],supercb[Bairro],mercado5)</f>
        <v>0</v>
      </c>
      <c r="Q267" s="4">
        <f>SUMIFS(super1[Qtde],super1[Item],tab_alimentos[[#This Row],[Item]],super1[Bairro],mercado6)+SUMIFS(supercb[Qtde],supercb[Item],tab_alimentos[[#This Row],[Item]],supercb[Bairro],mercado6)</f>
        <v>0</v>
      </c>
      <c r="R267" s="4">
        <f>SUMIFS(super1[Qtde],super1[Item],tab_alimentos[[#This Row],[Item]],super1[Bairro],mercado7)+SUMIFS(supercb[Qtde],supercb[Item],tab_alimentos[[#This Row],[Item]],supercb[Bairro],mercado7)</f>
        <v>0</v>
      </c>
      <c r="S267" s="4">
        <f>SUMIFS(super1[Qtde],super1[Item],tab_alimentos[[#This Row],[Item]],super1[Bairro],mercado8)+SUMIFS(supercb[Qtde],supercb[Item],tab_alimentos[[#This Row],[Item]],supercb[Bairro],mercado8)</f>
        <v>0</v>
      </c>
      <c r="T267" s="4">
        <f>SUMIFS(super1[Qtde],super1[Item],tab_alimentos[[#This Row],[Item]],super1[Bairro],mercado9)+SUMIFS(supercb[Qtde],supercb[Item],tab_alimentos[[#This Row],[Item]],supercb[Bairro],mercado9)</f>
        <v>0</v>
      </c>
      <c r="U267" s="4">
        <f>SUMIFS(super1[Qtde],super1[Item],tab_alimentos[[#This Row],[Item]],super1[Bairro],mercado10)+SUMIFS(supercb[Qtde],supercb[Item],tab_alimentos[[#This Row],[Item]],supercb[Bairro],mercado10)</f>
        <v>0</v>
      </c>
      <c r="V267" s="4">
        <f>SUMIFS(super1[Qtde],super1[Item],tab_alimentos[[#This Row],[Item]],super1[Bairro],mercado11)+SUMIFS(supercb[Qtde],supercb[Item],tab_alimentos[[#This Row],[Item]],supercb[Bairro],mercado11)</f>
        <v>0</v>
      </c>
      <c r="W267" s="4">
        <f>SUMIFS(super1[Qtde],super1[Item],tab_alimentos[[#This Row],[Item]],super1[Bairro],mercado12)+SUMIFS(supercb[Qtde],supercb[Item],tab_alimentos[[#This Row],[Item]],supercb[Bairro],mercado12)</f>
        <v>0</v>
      </c>
      <c r="X267" s="4">
        <f>SUMIFS(super1[Qtde],super1[Item],tab_alimentos[[#This Row],[Item]],super1[Bairro],mercado13)+SUMIFS(supercb[Qtde],supercb[Item],tab_alimentos[[#This Row],[Item]],supercb[Bairro],mercado13)</f>
        <v>0</v>
      </c>
      <c r="Y267" s="4">
        <f>SUMIFS(super1[Qtde],super1[Item],tab_alimentos[[#This Row],[Item]],super1[Bairro],mercado14)+SUMIFS(supercb[Qtde],supercb[Item],tab_alimentos[[#This Row],[Item]],supercb[Bairro],mercado14)</f>
        <v>0</v>
      </c>
      <c r="Z267" s="4">
        <f>SUMIFS(super1[Qtde],super1[Item],tab_alimentos[[#This Row],[Item]],super1[Bairro],mercado15)+SUMIFS(supercb[Qtde],supercb[Item],tab_alimentos[[#This Row],[Item]],supercb[Bairro],mercado15)</f>
        <v>0</v>
      </c>
      <c r="AA267" s="4">
        <f>SUMIFS(super1[Qtde],super1[Item],tab_alimentos[[#This Row],[Item]],super1[Bairro],mercado16)+SUMIFS(supercb[Qtde],supercb[Item],tab_alimentos[[#This Row],[Item]],supercb[Bairro],mercado16)</f>
        <v>0</v>
      </c>
      <c r="AB267" s="4">
        <f>SUMIFS(super1[Qtde],super1[Item],tab_alimentos[[#This Row],[Item]],super1[Bairro],mercado17)+SUMIFS(supercb[Qtde],supercb[Item],tab_alimentos[[#This Row],[Item]],supercb[Bairro],mercado17)</f>
        <v>0</v>
      </c>
      <c r="AC267" s="4">
        <f>SUMIFS(super1[Qtde],super1[Item],tab_alimentos[[#This Row],[Item]],super1[Bairro],mercado18)+SUMIFS(supercb[Qtde],supercb[Item],tab_alimentos[[#This Row],[Item]],supercb[Bairro],mercado18)</f>
        <v>0</v>
      </c>
      <c r="AD267" s="4">
        <f>SUMIFS(super1[Qtde],super1[Item],tab_alimentos[[#This Row],[Item]],super1[Bairro],extras)+SUMIFS(supercb[Qtde],supercb[Item],tab_alimentos[[#This Row],[Item]],supercb[Bairro],extras)</f>
        <v>0</v>
      </c>
      <c r="AE267" s="4">
        <f t="shared" si="82"/>
        <v>0</v>
      </c>
      <c r="AF267" s="4">
        <f t="shared" si="83"/>
        <v>0</v>
      </c>
      <c r="AG267" s="6">
        <f t="shared" si="84"/>
        <v>0</v>
      </c>
      <c r="AH267" s="13" t="str">
        <f>higiene[[#This Row],[Item]]</f>
        <v>W</v>
      </c>
      <c r="AI267" s="9">
        <f>IFERROR(higiene[[#This Row],[Kg equivalente]],0)</f>
        <v>0</v>
      </c>
      <c r="AJ267" s="9">
        <f>IFERROR(higiene[[#This Row],[Preço por produto]],0)</f>
        <v>0</v>
      </c>
      <c r="AK267" s="4">
        <f>SUMIFS(super1[Qtde],super1[Item],tab_higiene[[#This Row],[Item]],super1[Bairro],mercado1)+SUMIFS(supercb[Qtde],supercb[Item],tab_higiene[[#This Row],[Item]],supercb[Bairro],mercado1)</f>
        <v>0</v>
      </c>
      <c r="AL267" s="4">
        <f>SUMIFS(super1[Qtde],super1[Item],tab_higiene[[#This Row],[Item]],super1[Bairro],mercado2)+SUMIFS(supercb[Qtde],supercb[Item],tab_higiene[[#This Row],[Item]],supercb[Bairro],mercado2)</f>
        <v>0</v>
      </c>
      <c r="AM267" s="4">
        <f>SUMIFS(super1[Qtde],super1[Item],tab_higiene[[#This Row],[Item]],super1[Bairro],mercado3)+SUMIFS(supercb[Qtde],supercb[Item],tab_higiene[[#This Row],[Item]],supercb[Bairro],mercado3)</f>
        <v>0</v>
      </c>
      <c r="AN267" s="4">
        <f>SUMIFS(super1[Qtde],super1[Item],tab_higiene[[#This Row],[Item]],super1[Bairro],mercado4)+SUMIFS(supercb[Qtde],supercb[Item],tab_higiene[[#This Row],[Item]],supercb[Bairro],mercado4)</f>
        <v>0</v>
      </c>
      <c r="AO267" s="4">
        <f>SUMIFS(super1[Qtde],super1[Item],tab_higiene[[#This Row],[Item]],super1[Bairro],mercado5)+SUMIFS(supercb[Qtde],supercb[Item],tab_higiene[[#This Row],[Item]],supercb[Bairro],mercado5)</f>
        <v>0</v>
      </c>
      <c r="AP267" s="4">
        <f>SUMIFS(super1[Qtde],super1[Item],tab_higiene[[#This Row],[Item]],super1[Bairro],mercado6)+SUMIFS(supercb[Qtde],supercb[Item],tab_higiene[[#This Row],[Item]],supercb[Bairro],mercado6)</f>
        <v>0</v>
      </c>
      <c r="AQ267" s="4">
        <f>SUMIFS(super1[Qtde],super1[Item],tab_higiene[[#This Row],[Item]],super1[Bairro],mercado7)+SUMIFS(supercb[Qtde],supercb[Item],tab_higiene[[#This Row],[Item]],supercb[Bairro],mercado7)</f>
        <v>0</v>
      </c>
      <c r="AR267" s="4">
        <f>SUMIFS(super1[Qtde],super1[Item],tab_higiene[[#This Row],[Item]],super1[Bairro],mercado8)+SUMIFS(supercb[Qtde],supercb[Item],tab_higiene[[#This Row],[Item]],supercb[Bairro],mercado8)</f>
        <v>0</v>
      </c>
      <c r="AS267" s="4">
        <f>SUMIFS(super1[Qtde],super1[Item],tab_higiene[[#This Row],[Item]],super1[Bairro],mercado9)+SUMIFS(supercb[Qtde],supercb[Item],tab_higiene[[#This Row],[Item]],supercb[Bairro],mercado9)</f>
        <v>0</v>
      </c>
      <c r="AT267" s="4">
        <f>SUMIFS(super1[Qtde],super1[Item],tab_higiene[[#This Row],[Item]],super1[Bairro],mercado10)+SUMIFS(supercb[Qtde],supercb[Item],tab_higiene[[#This Row],[Item]],supercb[Bairro],mercado10)</f>
        <v>0</v>
      </c>
      <c r="AU267" s="4">
        <f>SUMIFS(super1[Qtde],super1[Item],tab_higiene[[#This Row],[Item]],super1[Bairro],mercado11)+SUMIFS(supercb[Qtde],supercb[Item],tab_higiene[[#This Row],[Item]],supercb[Bairro],mercado11)</f>
        <v>0</v>
      </c>
      <c r="AV267" s="4">
        <f>SUMIFS(super1[Qtde],super1[Item],tab_higiene[[#This Row],[Item]],super1[Bairro],mercado12)+SUMIFS(supercb[Qtde],supercb[Item],tab_higiene[[#This Row],[Item]],supercb[Bairro],mercado12)</f>
        <v>0</v>
      </c>
      <c r="AW267" s="4">
        <f>SUMIFS(super1[Qtde],super1[Item],tab_higiene[[#This Row],[Item]],super1[Bairro],mercado13)+SUMIFS(supercb[Qtde],supercb[Item],tab_higiene[[#This Row],[Item]],supercb[Bairro],mercado13)</f>
        <v>0</v>
      </c>
      <c r="AX267" s="4">
        <f>SUMIFS(super1[Qtde],super1[Item],tab_higiene[[#This Row],[Item]],super1[Bairro],mercado14)+SUMIFS(supercb[Qtde],supercb[Item],tab_higiene[[#This Row],[Item]],supercb[Bairro],mercado14)</f>
        <v>0</v>
      </c>
      <c r="AY267" s="4">
        <f>SUMIFS(super1[Qtde],super1[Item],tab_higiene[[#This Row],[Item]],super1[Bairro],mercado15)+SUMIFS(supercb[Qtde],supercb[Item],tab_higiene[[#This Row],[Item]],supercb[Bairro],mercado15)</f>
        <v>0</v>
      </c>
      <c r="AZ267" s="4">
        <f>SUMIFS(super1[Qtde],super1[Item],tab_higiene[[#This Row],[Item]],super1[Bairro],mercado16)+SUMIFS(supercb[Qtde],supercb[Item],tab_higiene[[#This Row],[Item]],supercb[Bairro],mercado16)</f>
        <v>0</v>
      </c>
      <c r="BA267" s="4">
        <f>SUMIFS(super1[Qtde],super1[Item],tab_higiene[[#This Row],[Item]],super1[Bairro],mercado17)+SUMIFS(supercb[Qtde],supercb[Item],tab_higiene[[#This Row],[Item]],supercb[Bairro],mercado17)</f>
        <v>0</v>
      </c>
      <c r="BB267" s="4">
        <f>SUMIFS(super1[Qtde],super1[Item],tab_higiene[[#This Row],[Item]],super1[Bairro],mercado18)+SUMIFS(supercb[Qtde],supercb[Item],tab_higiene[[#This Row],[Item]],supercb[Bairro],mercado18)</f>
        <v>0</v>
      </c>
      <c r="BC267" s="31">
        <f>SUMIFS(super1[Qtde],super1[Item],tab_higiene[[#This Row],[Item]],super1[Bairro],extras)+SUMIFS(supercb[Qtde],supercb[Item],tab_higiene[[#This Row],[Item]],supercb[Bairro],extras)</f>
        <v>0</v>
      </c>
      <c r="BD267" s="9">
        <f t="shared" si="85"/>
        <v>0</v>
      </c>
      <c r="BE267" s="9">
        <f t="shared" si="86"/>
        <v>0</v>
      </c>
      <c r="BF267" s="18">
        <f t="shared" si="87"/>
        <v>0</v>
      </c>
    </row>
    <row r="268" spans="9:58" ht="15.75" thickBot="1" x14ac:dyDescent="0.3">
      <c r="I268" s="19" t="str">
        <f>alimentos[[#This Row],[Item]]</f>
        <v>Grão de Bico (300g)</v>
      </c>
      <c r="J268" s="4">
        <f>IFERROR(alimentos[[#This Row],[kg/embalagem]],0)</f>
        <v>0.3</v>
      </c>
      <c r="K268" s="4">
        <f>IFERROR(alimentos[[#This Row],[Preço]],0)</f>
        <v>3.09</v>
      </c>
      <c r="L268" s="4">
        <f>SUMIFS(super1[Qtde],super1[Item],tab_alimentos[[#This Row],[Item]],super1[Bairro],mercado1)+SUMIFS(supercb[Qtde],supercb[Item],tab_alimentos[[#This Row],[Item]],supercb[Bairro],mercado1)</f>
        <v>0</v>
      </c>
      <c r="M268" s="4">
        <f>SUMIFS(super1[Qtde],super1[Item],tab_alimentos[[#This Row],[Item]],super1[Bairro],mercado2)+SUMIFS(supercb[Qtde],supercb[Item],tab_alimentos[[#This Row],[Item]],supercb[Bairro],mercado2)</f>
        <v>0</v>
      </c>
      <c r="N268" s="4">
        <f>SUMIFS(super1[Qtde],super1[Item],tab_alimentos[[#This Row],[Item]],super1[Bairro],mercado3)+SUMIFS(supercb[Qtde],supercb[Item],tab_alimentos[[#This Row],[Item]],supercb[Bairro],mercado3)</f>
        <v>0</v>
      </c>
      <c r="O268" s="4">
        <f>SUMIFS(super1[Qtde],super1[Item],tab_alimentos[[#This Row],[Item]],super1[Bairro],mercado4)+SUMIFS(supercb[Qtde],supercb[Item],tab_alimentos[[#This Row],[Item]],supercb[Bairro],mercado4)</f>
        <v>0</v>
      </c>
      <c r="P268" s="4">
        <f>SUMIFS(super1[Qtde],super1[Item],tab_alimentos[[#This Row],[Item]],super1[Bairro],mercado5)+SUMIFS(supercb[Qtde],supercb[Item],tab_alimentos[[#This Row],[Item]],supercb[Bairro],mercado5)</f>
        <v>0</v>
      </c>
      <c r="Q268" s="4">
        <f>SUMIFS(super1[Qtde],super1[Item],tab_alimentos[[#This Row],[Item]],super1[Bairro],mercado6)+SUMIFS(supercb[Qtde],supercb[Item],tab_alimentos[[#This Row],[Item]],supercb[Bairro],mercado6)</f>
        <v>0</v>
      </c>
      <c r="R268" s="4">
        <f>SUMIFS(super1[Qtde],super1[Item],tab_alimentos[[#This Row],[Item]],super1[Bairro],mercado7)+SUMIFS(supercb[Qtde],supercb[Item],tab_alimentos[[#This Row],[Item]],supercb[Bairro],mercado7)</f>
        <v>0</v>
      </c>
      <c r="S268" s="4">
        <f>SUMIFS(super1[Qtde],super1[Item],tab_alimentos[[#This Row],[Item]],super1[Bairro],mercado8)+SUMIFS(supercb[Qtde],supercb[Item],tab_alimentos[[#This Row],[Item]],supercb[Bairro],mercado8)</f>
        <v>0</v>
      </c>
      <c r="T268" s="4">
        <f>SUMIFS(super1[Qtde],super1[Item],tab_alimentos[[#This Row],[Item]],super1[Bairro],mercado9)+SUMIFS(supercb[Qtde],supercb[Item],tab_alimentos[[#This Row],[Item]],supercb[Bairro],mercado9)</f>
        <v>0</v>
      </c>
      <c r="U268" s="4">
        <f>SUMIFS(super1[Qtde],super1[Item],tab_alimentos[[#This Row],[Item]],super1[Bairro],mercado10)+SUMIFS(supercb[Qtde],supercb[Item],tab_alimentos[[#This Row],[Item]],supercb[Bairro],mercado10)</f>
        <v>0</v>
      </c>
      <c r="V268" s="4">
        <f>SUMIFS(super1[Qtde],super1[Item],tab_alimentos[[#This Row],[Item]],super1[Bairro],mercado11)+SUMIFS(supercb[Qtde],supercb[Item],tab_alimentos[[#This Row],[Item]],supercb[Bairro],mercado11)</f>
        <v>0</v>
      </c>
      <c r="W268" s="4">
        <f>SUMIFS(super1[Qtde],super1[Item],tab_alimentos[[#This Row],[Item]],super1[Bairro],mercado12)+SUMIFS(supercb[Qtde],supercb[Item],tab_alimentos[[#This Row],[Item]],supercb[Bairro],mercado12)</f>
        <v>0</v>
      </c>
      <c r="X268" s="4">
        <f>SUMIFS(super1[Qtde],super1[Item],tab_alimentos[[#This Row],[Item]],super1[Bairro],mercado13)+SUMIFS(supercb[Qtde],supercb[Item],tab_alimentos[[#This Row],[Item]],supercb[Bairro],mercado13)</f>
        <v>0</v>
      </c>
      <c r="Y268" s="4">
        <f>SUMIFS(super1[Qtde],super1[Item],tab_alimentos[[#This Row],[Item]],super1[Bairro],mercado14)+SUMIFS(supercb[Qtde],supercb[Item],tab_alimentos[[#This Row],[Item]],supercb[Bairro],mercado14)</f>
        <v>0</v>
      </c>
      <c r="Z268" s="4">
        <f>SUMIFS(super1[Qtde],super1[Item],tab_alimentos[[#This Row],[Item]],super1[Bairro],mercado15)+SUMIFS(supercb[Qtde],supercb[Item],tab_alimentos[[#This Row],[Item]],supercb[Bairro],mercado15)</f>
        <v>0</v>
      </c>
      <c r="AA268" s="4">
        <f>SUMIFS(super1[Qtde],super1[Item],tab_alimentos[[#This Row],[Item]],super1[Bairro],mercado16)+SUMIFS(supercb[Qtde],supercb[Item],tab_alimentos[[#This Row],[Item]],supercb[Bairro],mercado16)</f>
        <v>0</v>
      </c>
      <c r="AB268" s="4">
        <f>SUMIFS(super1[Qtde],super1[Item],tab_alimentos[[#This Row],[Item]],super1[Bairro],mercado17)+SUMIFS(supercb[Qtde],supercb[Item],tab_alimentos[[#This Row],[Item]],supercb[Bairro],mercado17)</f>
        <v>0</v>
      </c>
      <c r="AC268" s="4">
        <f>SUMIFS(super1[Qtde],super1[Item],tab_alimentos[[#This Row],[Item]],super1[Bairro],mercado18)+SUMIFS(supercb[Qtde],supercb[Item],tab_alimentos[[#This Row],[Item]],supercb[Bairro],mercado18)</f>
        <v>0</v>
      </c>
      <c r="AD268" s="4">
        <f>SUMIFS(super1[Qtde],super1[Item],tab_alimentos[[#This Row],[Item]],super1[Bairro],extras)+SUMIFS(supercb[Qtde],supercb[Item],tab_alimentos[[#This Row],[Item]],supercb[Bairro],extras)</f>
        <v>0</v>
      </c>
      <c r="AE268" s="4">
        <f t="shared" si="82"/>
        <v>0</v>
      </c>
      <c r="AF268" s="4">
        <f t="shared" si="83"/>
        <v>0</v>
      </c>
      <c r="AG268" s="6">
        <f t="shared" si="84"/>
        <v>0</v>
      </c>
      <c r="AH268" s="13" t="str">
        <f>higiene[[#This Row],[Item]]</f>
        <v>X</v>
      </c>
      <c r="AI268" s="9">
        <f>IFERROR(higiene[[#This Row],[Kg equivalente]],0)</f>
        <v>0</v>
      </c>
      <c r="AJ268" s="9">
        <f>IFERROR(higiene[[#This Row],[Preço por produto]],0)</f>
        <v>0</v>
      </c>
      <c r="AK268" s="4">
        <f>SUMIFS(super1[Qtde],super1[Item],tab_higiene[[#This Row],[Item]],super1[Bairro],mercado1)+SUMIFS(supercb[Qtde],supercb[Item],tab_higiene[[#This Row],[Item]],supercb[Bairro],mercado1)</f>
        <v>0</v>
      </c>
      <c r="AL268" s="4">
        <f>SUMIFS(super1[Qtde],super1[Item],tab_higiene[[#This Row],[Item]],super1[Bairro],mercado2)+SUMIFS(supercb[Qtde],supercb[Item],tab_higiene[[#This Row],[Item]],supercb[Bairro],mercado2)</f>
        <v>0</v>
      </c>
      <c r="AM268" s="4">
        <f>SUMIFS(super1[Qtde],super1[Item],tab_higiene[[#This Row],[Item]],super1[Bairro],mercado3)+SUMIFS(supercb[Qtde],supercb[Item],tab_higiene[[#This Row],[Item]],supercb[Bairro],mercado3)</f>
        <v>0</v>
      </c>
      <c r="AN268" s="4">
        <f>SUMIFS(super1[Qtde],super1[Item],tab_higiene[[#This Row],[Item]],super1[Bairro],mercado4)+SUMIFS(supercb[Qtde],supercb[Item],tab_higiene[[#This Row],[Item]],supercb[Bairro],mercado4)</f>
        <v>0</v>
      </c>
      <c r="AO268" s="4">
        <f>SUMIFS(super1[Qtde],super1[Item],tab_higiene[[#This Row],[Item]],super1[Bairro],mercado5)+SUMIFS(supercb[Qtde],supercb[Item],tab_higiene[[#This Row],[Item]],supercb[Bairro],mercado5)</f>
        <v>0</v>
      </c>
      <c r="AP268" s="4">
        <f>SUMIFS(super1[Qtde],super1[Item],tab_higiene[[#This Row],[Item]],super1[Bairro],mercado6)+SUMIFS(supercb[Qtde],supercb[Item],tab_higiene[[#This Row],[Item]],supercb[Bairro],mercado6)</f>
        <v>0</v>
      </c>
      <c r="AQ268" s="4">
        <f>SUMIFS(super1[Qtde],super1[Item],tab_higiene[[#This Row],[Item]],super1[Bairro],mercado7)+SUMIFS(supercb[Qtde],supercb[Item],tab_higiene[[#This Row],[Item]],supercb[Bairro],mercado7)</f>
        <v>0</v>
      </c>
      <c r="AR268" s="4">
        <f>SUMIFS(super1[Qtde],super1[Item],tab_higiene[[#This Row],[Item]],super1[Bairro],mercado8)+SUMIFS(supercb[Qtde],supercb[Item],tab_higiene[[#This Row],[Item]],supercb[Bairro],mercado8)</f>
        <v>0</v>
      </c>
      <c r="AS268" s="4">
        <f>SUMIFS(super1[Qtde],super1[Item],tab_higiene[[#This Row],[Item]],super1[Bairro],mercado9)+SUMIFS(supercb[Qtde],supercb[Item],tab_higiene[[#This Row],[Item]],supercb[Bairro],mercado9)</f>
        <v>0</v>
      </c>
      <c r="AT268" s="4">
        <f>SUMIFS(super1[Qtde],super1[Item],tab_higiene[[#This Row],[Item]],super1[Bairro],mercado10)+SUMIFS(supercb[Qtde],supercb[Item],tab_higiene[[#This Row],[Item]],supercb[Bairro],mercado10)</f>
        <v>0</v>
      </c>
      <c r="AU268" s="4">
        <f>SUMIFS(super1[Qtde],super1[Item],tab_higiene[[#This Row],[Item]],super1[Bairro],mercado11)+SUMIFS(supercb[Qtde],supercb[Item],tab_higiene[[#This Row],[Item]],supercb[Bairro],mercado11)</f>
        <v>0</v>
      </c>
      <c r="AV268" s="4">
        <f>SUMIFS(super1[Qtde],super1[Item],tab_higiene[[#This Row],[Item]],super1[Bairro],mercado12)+SUMIFS(supercb[Qtde],supercb[Item],tab_higiene[[#This Row],[Item]],supercb[Bairro],mercado12)</f>
        <v>0</v>
      </c>
      <c r="AW268" s="4">
        <f>SUMIFS(super1[Qtde],super1[Item],tab_higiene[[#This Row],[Item]],super1[Bairro],mercado13)+SUMIFS(supercb[Qtde],supercb[Item],tab_higiene[[#This Row],[Item]],supercb[Bairro],mercado13)</f>
        <v>0</v>
      </c>
      <c r="AX268" s="4">
        <f>SUMIFS(super1[Qtde],super1[Item],tab_higiene[[#This Row],[Item]],super1[Bairro],mercado14)+SUMIFS(supercb[Qtde],supercb[Item],tab_higiene[[#This Row],[Item]],supercb[Bairro],mercado14)</f>
        <v>0</v>
      </c>
      <c r="AY268" s="4">
        <f>SUMIFS(super1[Qtde],super1[Item],tab_higiene[[#This Row],[Item]],super1[Bairro],mercado15)+SUMIFS(supercb[Qtde],supercb[Item],tab_higiene[[#This Row],[Item]],supercb[Bairro],mercado15)</f>
        <v>0</v>
      </c>
      <c r="AZ268" s="4">
        <f>SUMIFS(super1[Qtde],super1[Item],tab_higiene[[#This Row],[Item]],super1[Bairro],mercado16)+SUMIFS(supercb[Qtde],supercb[Item],tab_higiene[[#This Row],[Item]],supercb[Bairro],mercado16)</f>
        <v>0</v>
      </c>
      <c r="BA268" s="4">
        <f>SUMIFS(super1[Qtde],super1[Item],tab_higiene[[#This Row],[Item]],super1[Bairro],mercado17)+SUMIFS(supercb[Qtde],supercb[Item],tab_higiene[[#This Row],[Item]],supercb[Bairro],mercado17)</f>
        <v>0</v>
      </c>
      <c r="BB268" s="4">
        <f>SUMIFS(super1[Qtde],super1[Item],tab_higiene[[#This Row],[Item]],super1[Bairro],mercado18)+SUMIFS(supercb[Qtde],supercb[Item],tab_higiene[[#This Row],[Item]],supercb[Bairro],mercado18)</f>
        <v>0</v>
      </c>
      <c r="BC268" s="31">
        <f>SUMIFS(super1[Qtde],super1[Item],tab_higiene[[#This Row],[Item]],super1[Bairro],extras)+SUMIFS(supercb[Qtde],supercb[Item],tab_higiene[[#This Row],[Item]],supercb[Bairro],extras)</f>
        <v>0</v>
      </c>
      <c r="BD268" s="9">
        <f t="shared" si="85"/>
        <v>0</v>
      </c>
      <c r="BE268" s="9">
        <f t="shared" si="86"/>
        <v>0</v>
      </c>
      <c r="BF268" s="18">
        <f t="shared" si="87"/>
        <v>0</v>
      </c>
    </row>
    <row r="269" spans="9:58" ht="15.75" thickBot="1" x14ac:dyDescent="0.3">
      <c r="I269" s="19" t="str">
        <f>alimentos[[#This Row],[Item]]</f>
        <v>Grão de Bico (500g)</v>
      </c>
      <c r="J269" s="4">
        <f>IFERROR(alimentos[[#This Row],[kg/embalagem]],0)</f>
        <v>0.5</v>
      </c>
      <c r="K269" s="4">
        <f>IFERROR(alimentos[[#This Row],[Preço]],0)</f>
        <v>8.98</v>
      </c>
      <c r="L269" s="4">
        <f>SUMIFS(super1[Qtde],super1[Item],tab_alimentos[[#This Row],[Item]],super1[Bairro],mercado1)+SUMIFS(supercb[Qtde],supercb[Item],tab_alimentos[[#This Row],[Item]],supercb[Bairro],mercado1)</f>
        <v>0</v>
      </c>
      <c r="M269" s="4">
        <f>SUMIFS(super1[Qtde],super1[Item],tab_alimentos[[#This Row],[Item]],super1[Bairro],mercado2)+SUMIFS(supercb[Qtde],supercb[Item],tab_alimentos[[#This Row],[Item]],supercb[Bairro],mercado2)</f>
        <v>0</v>
      </c>
      <c r="N269" s="4">
        <f>SUMIFS(super1[Qtde],super1[Item],tab_alimentos[[#This Row],[Item]],super1[Bairro],mercado3)+SUMIFS(supercb[Qtde],supercb[Item],tab_alimentos[[#This Row],[Item]],supercb[Bairro],mercado3)</f>
        <v>0</v>
      </c>
      <c r="O269" s="4">
        <f>SUMIFS(super1[Qtde],super1[Item],tab_alimentos[[#This Row],[Item]],super1[Bairro],mercado4)+SUMIFS(supercb[Qtde],supercb[Item],tab_alimentos[[#This Row],[Item]],supercb[Bairro],mercado4)</f>
        <v>0</v>
      </c>
      <c r="P269" s="4">
        <f>SUMIFS(super1[Qtde],super1[Item],tab_alimentos[[#This Row],[Item]],super1[Bairro],mercado5)+SUMIFS(supercb[Qtde],supercb[Item],tab_alimentos[[#This Row],[Item]],supercb[Bairro],mercado5)</f>
        <v>0</v>
      </c>
      <c r="Q269" s="4">
        <f>SUMIFS(super1[Qtde],super1[Item],tab_alimentos[[#This Row],[Item]],super1[Bairro],mercado6)+SUMIFS(supercb[Qtde],supercb[Item],tab_alimentos[[#This Row],[Item]],supercb[Bairro],mercado6)</f>
        <v>0</v>
      </c>
      <c r="R269" s="4">
        <f>SUMIFS(super1[Qtde],super1[Item],tab_alimentos[[#This Row],[Item]],super1[Bairro],mercado7)+SUMIFS(supercb[Qtde],supercb[Item],tab_alimentos[[#This Row],[Item]],supercb[Bairro],mercado7)</f>
        <v>0</v>
      </c>
      <c r="S269" s="4">
        <f>SUMIFS(super1[Qtde],super1[Item],tab_alimentos[[#This Row],[Item]],super1[Bairro],mercado8)+SUMIFS(supercb[Qtde],supercb[Item],tab_alimentos[[#This Row],[Item]],supercb[Bairro],mercado8)</f>
        <v>0</v>
      </c>
      <c r="T269" s="4">
        <f>SUMIFS(super1[Qtde],super1[Item],tab_alimentos[[#This Row],[Item]],super1[Bairro],mercado9)+SUMIFS(supercb[Qtde],supercb[Item],tab_alimentos[[#This Row],[Item]],supercb[Bairro],mercado9)</f>
        <v>0</v>
      </c>
      <c r="U269" s="4">
        <f>SUMIFS(super1[Qtde],super1[Item],tab_alimentos[[#This Row],[Item]],super1[Bairro],mercado10)+SUMIFS(supercb[Qtde],supercb[Item],tab_alimentos[[#This Row],[Item]],supercb[Bairro],mercado10)</f>
        <v>0</v>
      </c>
      <c r="V269" s="4">
        <f>SUMIFS(super1[Qtde],super1[Item],tab_alimentos[[#This Row],[Item]],super1[Bairro],mercado11)+SUMIFS(supercb[Qtde],supercb[Item],tab_alimentos[[#This Row],[Item]],supercb[Bairro],mercado11)</f>
        <v>0</v>
      </c>
      <c r="W269" s="4">
        <f>SUMIFS(super1[Qtde],super1[Item],tab_alimentos[[#This Row],[Item]],super1[Bairro],mercado12)+SUMIFS(supercb[Qtde],supercb[Item],tab_alimentos[[#This Row],[Item]],supercb[Bairro],mercado12)</f>
        <v>0</v>
      </c>
      <c r="X269" s="4">
        <f>SUMIFS(super1[Qtde],super1[Item],tab_alimentos[[#This Row],[Item]],super1[Bairro],mercado13)+SUMIFS(supercb[Qtde],supercb[Item],tab_alimentos[[#This Row],[Item]],supercb[Bairro],mercado13)</f>
        <v>0</v>
      </c>
      <c r="Y269" s="4">
        <f>SUMIFS(super1[Qtde],super1[Item],tab_alimentos[[#This Row],[Item]],super1[Bairro],mercado14)+SUMIFS(supercb[Qtde],supercb[Item],tab_alimentos[[#This Row],[Item]],supercb[Bairro],mercado14)</f>
        <v>0</v>
      </c>
      <c r="Z269" s="4">
        <f>SUMIFS(super1[Qtde],super1[Item],tab_alimentos[[#This Row],[Item]],super1[Bairro],mercado15)+SUMIFS(supercb[Qtde],supercb[Item],tab_alimentos[[#This Row],[Item]],supercb[Bairro],mercado15)</f>
        <v>0</v>
      </c>
      <c r="AA269" s="4">
        <f>SUMIFS(super1[Qtde],super1[Item],tab_alimentos[[#This Row],[Item]],super1[Bairro],mercado16)+SUMIFS(supercb[Qtde],supercb[Item],tab_alimentos[[#This Row],[Item]],supercb[Bairro],mercado16)</f>
        <v>0</v>
      </c>
      <c r="AB269" s="4">
        <f>SUMIFS(super1[Qtde],super1[Item],tab_alimentos[[#This Row],[Item]],super1[Bairro],mercado17)+SUMIFS(supercb[Qtde],supercb[Item],tab_alimentos[[#This Row],[Item]],supercb[Bairro],mercado17)</f>
        <v>0</v>
      </c>
      <c r="AC269" s="4">
        <f>SUMIFS(super1[Qtde],super1[Item],tab_alimentos[[#This Row],[Item]],super1[Bairro],mercado18)+SUMIFS(supercb[Qtde],supercb[Item],tab_alimentos[[#This Row],[Item]],supercb[Bairro],mercado18)</f>
        <v>0</v>
      </c>
      <c r="AD269" s="4">
        <f>SUMIFS(super1[Qtde],super1[Item],tab_alimentos[[#This Row],[Item]],super1[Bairro],extras)+SUMIFS(supercb[Qtde],supercb[Item],tab_alimentos[[#This Row],[Item]],supercb[Bairro],extras)</f>
        <v>0</v>
      </c>
      <c r="AE269" s="4">
        <f t="shared" si="82"/>
        <v>0</v>
      </c>
      <c r="AF269" s="4">
        <f t="shared" si="83"/>
        <v>0</v>
      </c>
      <c r="AG269" s="6">
        <f t="shared" si="84"/>
        <v>0</v>
      </c>
      <c r="AH269" s="13" t="str">
        <f>higiene[[#This Row],[Item]]</f>
        <v>Y</v>
      </c>
      <c r="AI269" s="9">
        <f>IFERROR(higiene[[#This Row],[Kg equivalente]],0)</f>
        <v>0</v>
      </c>
      <c r="AJ269" s="9">
        <f>IFERROR(higiene[[#This Row],[Preço por produto]],0)</f>
        <v>0</v>
      </c>
      <c r="AK269" s="4">
        <f>SUMIFS(super1[Qtde],super1[Item],tab_higiene[[#This Row],[Item]],super1[Bairro],mercado1)+SUMIFS(supercb[Qtde],supercb[Item],tab_higiene[[#This Row],[Item]],supercb[Bairro],mercado1)</f>
        <v>0</v>
      </c>
      <c r="AL269" s="4">
        <f>SUMIFS(super1[Qtde],super1[Item],tab_higiene[[#This Row],[Item]],super1[Bairro],mercado2)+SUMIFS(supercb[Qtde],supercb[Item],tab_higiene[[#This Row],[Item]],supercb[Bairro],mercado2)</f>
        <v>0</v>
      </c>
      <c r="AM269" s="4">
        <f>SUMIFS(super1[Qtde],super1[Item],tab_higiene[[#This Row],[Item]],super1[Bairro],mercado3)+SUMIFS(supercb[Qtde],supercb[Item],tab_higiene[[#This Row],[Item]],supercb[Bairro],mercado3)</f>
        <v>0</v>
      </c>
      <c r="AN269" s="4">
        <f>SUMIFS(super1[Qtde],super1[Item],tab_higiene[[#This Row],[Item]],super1[Bairro],mercado4)+SUMIFS(supercb[Qtde],supercb[Item],tab_higiene[[#This Row],[Item]],supercb[Bairro],mercado4)</f>
        <v>0</v>
      </c>
      <c r="AO269" s="4">
        <f>SUMIFS(super1[Qtde],super1[Item],tab_higiene[[#This Row],[Item]],super1[Bairro],mercado5)+SUMIFS(supercb[Qtde],supercb[Item],tab_higiene[[#This Row],[Item]],supercb[Bairro],mercado5)</f>
        <v>0</v>
      </c>
      <c r="AP269" s="4">
        <f>SUMIFS(super1[Qtde],super1[Item],tab_higiene[[#This Row],[Item]],super1[Bairro],mercado6)+SUMIFS(supercb[Qtde],supercb[Item],tab_higiene[[#This Row],[Item]],supercb[Bairro],mercado6)</f>
        <v>0</v>
      </c>
      <c r="AQ269" s="4">
        <f>SUMIFS(super1[Qtde],super1[Item],tab_higiene[[#This Row],[Item]],super1[Bairro],mercado7)+SUMIFS(supercb[Qtde],supercb[Item],tab_higiene[[#This Row],[Item]],supercb[Bairro],mercado7)</f>
        <v>0</v>
      </c>
      <c r="AR269" s="4">
        <f>SUMIFS(super1[Qtde],super1[Item],tab_higiene[[#This Row],[Item]],super1[Bairro],mercado8)+SUMIFS(supercb[Qtde],supercb[Item],tab_higiene[[#This Row],[Item]],supercb[Bairro],mercado8)</f>
        <v>0</v>
      </c>
      <c r="AS269" s="4">
        <f>SUMIFS(super1[Qtde],super1[Item],tab_higiene[[#This Row],[Item]],super1[Bairro],mercado9)+SUMIFS(supercb[Qtde],supercb[Item],tab_higiene[[#This Row],[Item]],supercb[Bairro],mercado9)</f>
        <v>0</v>
      </c>
      <c r="AT269" s="4">
        <f>SUMIFS(super1[Qtde],super1[Item],tab_higiene[[#This Row],[Item]],super1[Bairro],mercado10)+SUMIFS(supercb[Qtde],supercb[Item],tab_higiene[[#This Row],[Item]],supercb[Bairro],mercado10)</f>
        <v>0</v>
      </c>
      <c r="AU269" s="4">
        <f>SUMIFS(super1[Qtde],super1[Item],tab_higiene[[#This Row],[Item]],super1[Bairro],mercado11)+SUMIFS(supercb[Qtde],supercb[Item],tab_higiene[[#This Row],[Item]],supercb[Bairro],mercado11)</f>
        <v>0</v>
      </c>
      <c r="AV269" s="4">
        <f>SUMIFS(super1[Qtde],super1[Item],tab_higiene[[#This Row],[Item]],super1[Bairro],mercado12)+SUMIFS(supercb[Qtde],supercb[Item],tab_higiene[[#This Row],[Item]],supercb[Bairro],mercado12)</f>
        <v>0</v>
      </c>
      <c r="AW269" s="4">
        <f>SUMIFS(super1[Qtde],super1[Item],tab_higiene[[#This Row],[Item]],super1[Bairro],mercado13)+SUMIFS(supercb[Qtde],supercb[Item],tab_higiene[[#This Row],[Item]],supercb[Bairro],mercado13)</f>
        <v>0</v>
      </c>
      <c r="AX269" s="4">
        <f>SUMIFS(super1[Qtde],super1[Item],tab_higiene[[#This Row],[Item]],super1[Bairro],mercado14)+SUMIFS(supercb[Qtde],supercb[Item],tab_higiene[[#This Row],[Item]],supercb[Bairro],mercado14)</f>
        <v>0</v>
      </c>
      <c r="AY269" s="4">
        <f>SUMIFS(super1[Qtde],super1[Item],tab_higiene[[#This Row],[Item]],super1[Bairro],mercado15)+SUMIFS(supercb[Qtde],supercb[Item],tab_higiene[[#This Row],[Item]],supercb[Bairro],mercado15)</f>
        <v>0</v>
      </c>
      <c r="AZ269" s="4">
        <f>SUMIFS(super1[Qtde],super1[Item],tab_higiene[[#This Row],[Item]],super1[Bairro],mercado16)+SUMIFS(supercb[Qtde],supercb[Item],tab_higiene[[#This Row],[Item]],supercb[Bairro],mercado16)</f>
        <v>0</v>
      </c>
      <c r="BA269" s="4">
        <f>SUMIFS(super1[Qtde],super1[Item],tab_higiene[[#This Row],[Item]],super1[Bairro],mercado17)+SUMIFS(supercb[Qtde],supercb[Item],tab_higiene[[#This Row],[Item]],supercb[Bairro],mercado17)</f>
        <v>0</v>
      </c>
      <c r="BB269" s="4">
        <f>SUMIFS(super1[Qtde],super1[Item],tab_higiene[[#This Row],[Item]],super1[Bairro],mercado18)+SUMIFS(supercb[Qtde],supercb[Item],tab_higiene[[#This Row],[Item]],supercb[Bairro],mercado18)</f>
        <v>0</v>
      </c>
      <c r="BC269" s="31">
        <f>SUMIFS(super1[Qtde],super1[Item],tab_higiene[[#This Row],[Item]],super1[Bairro],extras)+SUMIFS(supercb[Qtde],supercb[Item],tab_higiene[[#This Row],[Item]],supercb[Bairro],extras)</f>
        <v>0</v>
      </c>
      <c r="BD269" s="9">
        <f t="shared" si="85"/>
        <v>0</v>
      </c>
      <c r="BE269" s="9">
        <f t="shared" si="86"/>
        <v>0</v>
      </c>
      <c r="BF269" s="18">
        <f t="shared" si="87"/>
        <v>0</v>
      </c>
    </row>
    <row r="270" spans="9:58" ht="15.75" thickBot="1" x14ac:dyDescent="0.3">
      <c r="I270" s="19" t="str">
        <f>alimentos[[#This Row],[Item]]</f>
        <v>Grão de Bico (80g)</v>
      </c>
      <c r="J270" s="4">
        <f>IFERROR(alimentos[[#This Row],[kg/embalagem]],0)</f>
        <v>0.08</v>
      </c>
      <c r="K270" s="4">
        <f>IFERROR(alimentos[[#This Row],[Preço]],0)</f>
        <v>0.96</v>
      </c>
      <c r="L270" s="4">
        <f>SUMIFS(super1[Qtde],super1[Item],tab_alimentos[[#This Row],[Item]],super1[Bairro],mercado1)+SUMIFS(supercb[Qtde],supercb[Item],tab_alimentos[[#This Row],[Item]],supercb[Bairro],mercado1)</f>
        <v>0</v>
      </c>
      <c r="M270" s="4">
        <f>SUMIFS(super1[Qtde],super1[Item],tab_alimentos[[#This Row],[Item]],super1[Bairro],mercado2)+SUMIFS(supercb[Qtde],supercb[Item],tab_alimentos[[#This Row],[Item]],supercb[Bairro],mercado2)</f>
        <v>0</v>
      </c>
      <c r="N270" s="4">
        <f>SUMIFS(super1[Qtde],super1[Item],tab_alimentos[[#This Row],[Item]],super1[Bairro],mercado3)+SUMIFS(supercb[Qtde],supercb[Item],tab_alimentos[[#This Row],[Item]],supercb[Bairro],mercado3)</f>
        <v>0</v>
      </c>
      <c r="O270" s="4">
        <f>SUMIFS(super1[Qtde],super1[Item],tab_alimentos[[#This Row],[Item]],super1[Bairro],mercado4)+SUMIFS(supercb[Qtde],supercb[Item],tab_alimentos[[#This Row],[Item]],supercb[Bairro],mercado4)</f>
        <v>0</v>
      </c>
      <c r="P270" s="4">
        <f>SUMIFS(super1[Qtde],super1[Item],tab_alimentos[[#This Row],[Item]],super1[Bairro],mercado5)+SUMIFS(supercb[Qtde],supercb[Item],tab_alimentos[[#This Row],[Item]],supercb[Bairro],mercado5)</f>
        <v>0</v>
      </c>
      <c r="Q270" s="4">
        <f>SUMIFS(super1[Qtde],super1[Item],tab_alimentos[[#This Row],[Item]],super1[Bairro],mercado6)+SUMIFS(supercb[Qtde],supercb[Item],tab_alimentos[[#This Row],[Item]],supercb[Bairro],mercado6)</f>
        <v>0</v>
      </c>
      <c r="R270" s="4">
        <f>SUMIFS(super1[Qtde],super1[Item],tab_alimentos[[#This Row],[Item]],super1[Bairro],mercado7)+SUMIFS(supercb[Qtde],supercb[Item],tab_alimentos[[#This Row],[Item]],supercb[Bairro],mercado7)</f>
        <v>0</v>
      </c>
      <c r="S270" s="4">
        <f>SUMIFS(super1[Qtde],super1[Item],tab_alimentos[[#This Row],[Item]],super1[Bairro],mercado8)+SUMIFS(supercb[Qtde],supercb[Item],tab_alimentos[[#This Row],[Item]],supercb[Bairro],mercado8)</f>
        <v>0</v>
      </c>
      <c r="T270" s="4">
        <f>SUMIFS(super1[Qtde],super1[Item],tab_alimentos[[#This Row],[Item]],super1[Bairro],mercado9)+SUMIFS(supercb[Qtde],supercb[Item],tab_alimentos[[#This Row],[Item]],supercb[Bairro],mercado9)</f>
        <v>0</v>
      </c>
      <c r="U270" s="4">
        <f>SUMIFS(super1[Qtde],super1[Item],tab_alimentos[[#This Row],[Item]],super1[Bairro],mercado10)+SUMIFS(supercb[Qtde],supercb[Item],tab_alimentos[[#This Row],[Item]],supercb[Bairro],mercado10)</f>
        <v>0</v>
      </c>
      <c r="V270" s="4">
        <f>SUMIFS(super1[Qtde],super1[Item],tab_alimentos[[#This Row],[Item]],super1[Bairro],mercado11)+SUMIFS(supercb[Qtde],supercb[Item],tab_alimentos[[#This Row],[Item]],supercb[Bairro],mercado11)</f>
        <v>0</v>
      </c>
      <c r="W270" s="4">
        <f>SUMIFS(super1[Qtde],super1[Item],tab_alimentos[[#This Row],[Item]],super1[Bairro],mercado12)+SUMIFS(supercb[Qtde],supercb[Item],tab_alimentos[[#This Row],[Item]],supercb[Bairro],mercado12)</f>
        <v>0</v>
      </c>
      <c r="X270" s="4">
        <f>SUMIFS(super1[Qtde],super1[Item],tab_alimentos[[#This Row],[Item]],super1[Bairro],mercado13)+SUMIFS(supercb[Qtde],supercb[Item],tab_alimentos[[#This Row],[Item]],supercb[Bairro],mercado13)</f>
        <v>0</v>
      </c>
      <c r="Y270" s="4">
        <f>SUMIFS(super1[Qtde],super1[Item],tab_alimentos[[#This Row],[Item]],super1[Bairro],mercado14)+SUMIFS(supercb[Qtde],supercb[Item],tab_alimentos[[#This Row],[Item]],supercb[Bairro],mercado14)</f>
        <v>0</v>
      </c>
      <c r="Z270" s="4">
        <f>SUMIFS(super1[Qtde],super1[Item],tab_alimentos[[#This Row],[Item]],super1[Bairro],mercado15)+SUMIFS(supercb[Qtde],supercb[Item],tab_alimentos[[#This Row],[Item]],supercb[Bairro],mercado15)</f>
        <v>0</v>
      </c>
      <c r="AA270" s="4">
        <f>SUMIFS(super1[Qtde],super1[Item],tab_alimentos[[#This Row],[Item]],super1[Bairro],mercado16)+SUMIFS(supercb[Qtde],supercb[Item],tab_alimentos[[#This Row],[Item]],supercb[Bairro],mercado16)</f>
        <v>0</v>
      </c>
      <c r="AB270" s="4">
        <f>SUMIFS(super1[Qtde],super1[Item],tab_alimentos[[#This Row],[Item]],super1[Bairro],mercado17)+SUMIFS(supercb[Qtde],supercb[Item],tab_alimentos[[#This Row],[Item]],supercb[Bairro],mercado17)</f>
        <v>0</v>
      </c>
      <c r="AC270" s="4">
        <f>SUMIFS(super1[Qtde],super1[Item],tab_alimentos[[#This Row],[Item]],super1[Bairro],mercado18)+SUMIFS(supercb[Qtde],supercb[Item],tab_alimentos[[#This Row],[Item]],supercb[Bairro],mercado18)</f>
        <v>0</v>
      </c>
      <c r="AD270" s="4">
        <f>SUMIFS(super1[Qtde],super1[Item],tab_alimentos[[#This Row],[Item]],super1[Bairro],extras)+SUMIFS(supercb[Qtde],supercb[Item],tab_alimentos[[#This Row],[Item]],supercb[Bairro],extras)</f>
        <v>0</v>
      </c>
      <c r="AE270" s="4">
        <f t="shared" si="82"/>
        <v>0</v>
      </c>
      <c r="AF270" s="4">
        <f t="shared" si="83"/>
        <v>0</v>
      </c>
      <c r="AG270" s="6">
        <f t="shared" si="84"/>
        <v>0</v>
      </c>
      <c r="AH270" s="13" t="str">
        <f>higiene[[#This Row],[Item]]</f>
        <v>Z</v>
      </c>
      <c r="AI270" s="9">
        <f>IFERROR(higiene[[#This Row],[Kg equivalente]],0)</f>
        <v>0</v>
      </c>
      <c r="AJ270" s="9">
        <f>IFERROR(higiene[[#This Row],[Preço por produto]],0)</f>
        <v>0</v>
      </c>
      <c r="AK270" s="4">
        <f>SUMIFS(super1[Qtde],super1[Item],tab_higiene[[#This Row],[Item]],super1[Bairro],mercado1)+SUMIFS(supercb[Qtde],supercb[Item],tab_higiene[[#This Row],[Item]],supercb[Bairro],mercado1)</f>
        <v>0</v>
      </c>
      <c r="AL270" s="4">
        <f>SUMIFS(super1[Qtde],super1[Item],tab_higiene[[#This Row],[Item]],super1[Bairro],mercado2)+SUMIFS(supercb[Qtde],supercb[Item],tab_higiene[[#This Row],[Item]],supercb[Bairro],mercado2)</f>
        <v>0</v>
      </c>
      <c r="AM270" s="4">
        <f>SUMIFS(super1[Qtde],super1[Item],tab_higiene[[#This Row],[Item]],super1[Bairro],mercado3)+SUMIFS(supercb[Qtde],supercb[Item],tab_higiene[[#This Row],[Item]],supercb[Bairro],mercado3)</f>
        <v>0</v>
      </c>
      <c r="AN270" s="4">
        <f>SUMIFS(super1[Qtde],super1[Item],tab_higiene[[#This Row],[Item]],super1[Bairro],mercado4)+SUMIFS(supercb[Qtde],supercb[Item],tab_higiene[[#This Row],[Item]],supercb[Bairro],mercado4)</f>
        <v>0</v>
      </c>
      <c r="AO270" s="4">
        <f>SUMIFS(super1[Qtde],super1[Item],tab_higiene[[#This Row],[Item]],super1[Bairro],mercado5)+SUMIFS(supercb[Qtde],supercb[Item],tab_higiene[[#This Row],[Item]],supercb[Bairro],mercado5)</f>
        <v>0</v>
      </c>
      <c r="AP270" s="4">
        <f>SUMIFS(super1[Qtde],super1[Item],tab_higiene[[#This Row],[Item]],super1[Bairro],mercado6)+SUMIFS(supercb[Qtde],supercb[Item],tab_higiene[[#This Row],[Item]],supercb[Bairro],mercado6)</f>
        <v>0</v>
      </c>
      <c r="AQ270" s="4">
        <f>SUMIFS(super1[Qtde],super1[Item],tab_higiene[[#This Row],[Item]],super1[Bairro],mercado7)+SUMIFS(supercb[Qtde],supercb[Item],tab_higiene[[#This Row],[Item]],supercb[Bairro],mercado7)</f>
        <v>0</v>
      </c>
      <c r="AR270" s="4">
        <f>SUMIFS(super1[Qtde],super1[Item],tab_higiene[[#This Row],[Item]],super1[Bairro],mercado8)+SUMIFS(supercb[Qtde],supercb[Item],tab_higiene[[#This Row],[Item]],supercb[Bairro],mercado8)</f>
        <v>0</v>
      </c>
      <c r="AS270" s="4">
        <f>SUMIFS(super1[Qtde],super1[Item],tab_higiene[[#This Row],[Item]],super1[Bairro],mercado9)+SUMIFS(supercb[Qtde],supercb[Item],tab_higiene[[#This Row],[Item]],supercb[Bairro],mercado9)</f>
        <v>0</v>
      </c>
      <c r="AT270" s="4">
        <f>SUMIFS(super1[Qtde],super1[Item],tab_higiene[[#This Row],[Item]],super1[Bairro],mercado10)+SUMIFS(supercb[Qtde],supercb[Item],tab_higiene[[#This Row],[Item]],supercb[Bairro],mercado10)</f>
        <v>0</v>
      </c>
      <c r="AU270" s="4">
        <f>SUMIFS(super1[Qtde],super1[Item],tab_higiene[[#This Row],[Item]],super1[Bairro],mercado11)+SUMIFS(supercb[Qtde],supercb[Item],tab_higiene[[#This Row],[Item]],supercb[Bairro],mercado11)</f>
        <v>0</v>
      </c>
      <c r="AV270" s="4">
        <f>SUMIFS(super1[Qtde],super1[Item],tab_higiene[[#This Row],[Item]],super1[Bairro],mercado12)+SUMIFS(supercb[Qtde],supercb[Item],tab_higiene[[#This Row],[Item]],supercb[Bairro],mercado12)</f>
        <v>0</v>
      </c>
      <c r="AW270" s="4">
        <f>SUMIFS(super1[Qtde],super1[Item],tab_higiene[[#This Row],[Item]],super1[Bairro],mercado13)+SUMIFS(supercb[Qtde],supercb[Item],tab_higiene[[#This Row],[Item]],supercb[Bairro],mercado13)</f>
        <v>0</v>
      </c>
      <c r="AX270" s="4">
        <f>SUMIFS(super1[Qtde],super1[Item],tab_higiene[[#This Row],[Item]],super1[Bairro],mercado14)+SUMIFS(supercb[Qtde],supercb[Item],tab_higiene[[#This Row],[Item]],supercb[Bairro],mercado14)</f>
        <v>0</v>
      </c>
      <c r="AY270" s="4">
        <f>SUMIFS(super1[Qtde],super1[Item],tab_higiene[[#This Row],[Item]],super1[Bairro],mercado15)+SUMIFS(supercb[Qtde],supercb[Item],tab_higiene[[#This Row],[Item]],supercb[Bairro],mercado15)</f>
        <v>0</v>
      </c>
      <c r="AZ270" s="4">
        <f>SUMIFS(super1[Qtde],super1[Item],tab_higiene[[#This Row],[Item]],super1[Bairro],mercado16)+SUMIFS(supercb[Qtde],supercb[Item],tab_higiene[[#This Row],[Item]],supercb[Bairro],mercado16)</f>
        <v>0</v>
      </c>
      <c r="BA270" s="4">
        <f>SUMIFS(super1[Qtde],super1[Item],tab_higiene[[#This Row],[Item]],super1[Bairro],mercado17)+SUMIFS(supercb[Qtde],supercb[Item],tab_higiene[[#This Row],[Item]],supercb[Bairro],mercado17)</f>
        <v>0</v>
      </c>
      <c r="BB270" s="4">
        <f>SUMIFS(super1[Qtde],super1[Item],tab_higiene[[#This Row],[Item]],super1[Bairro],mercado18)+SUMIFS(supercb[Qtde],supercb[Item],tab_higiene[[#This Row],[Item]],supercb[Bairro],mercado18)</f>
        <v>0</v>
      </c>
      <c r="BC270" s="31">
        <f>SUMIFS(super1[Qtde],super1[Item],tab_higiene[[#This Row],[Item]],super1[Bairro],extras)+SUMIFS(supercb[Qtde],supercb[Item],tab_higiene[[#This Row],[Item]],supercb[Bairro],extras)</f>
        <v>0</v>
      </c>
      <c r="BD270" s="9">
        <f t="shared" si="85"/>
        <v>0</v>
      </c>
      <c r="BE270" s="9">
        <f t="shared" si="86"/>
        <v>0</v>
      </c>
      <c r="BF270" s="18">
        <f t="shared" si="87"/>
        <v>0</v>
      </c>
    </row>
    <row r="271" spans="9:58" ht="15.75" thickBot="1" x14ac:dyDescent="0.3">
      <c r="I271" s="19" t="str">
        <f>alimentos[[#This Row],[Item]]</f>
        <v>H</v>
      </c>
      <c r="J271" s="4">
        <f>IFERROR(alimentos[[#This Row],[kg/embalagem]],0)</f>
        <v>0</v>
      </c>
      <c r="K271" s="4">
        <f>IFERROR(alimentos[[#This Row],[Preço]],0)</f>
        <v>0</v>
      </c>
      <c r="L271" s="4">
        <f>SUMIFS(super1[Qtde],super1[Item],tab_alimentos[[#This Row],[Item]],super1[Bairro],mercado1)+SUMIFS(supercb[Qtde],supercb[Item],tab_alimentos[[#This Row],[Item]],supercb[Bairro],mercado1)</f>
        <v>0</v>
      </c>
      <c r="M271" s="4">
        <f>SUMIFS(super1[Qtde],super1[Item],tab_alimentos[[#This Row],[Item]],super1[Bairro],mercado2)+SUMIFS(supercb[Qtde],supercb[Item],tab_alimentos[[#This Row],[Item]],supercb[Bairro],mercado2)</f>
        <v>0</v>
      </c>
      <c r="N271" s="4">
        <f>SUMIFS(super1[Qtde],super1[Item],tab_alimentos[[#This Row],[Item]],super1[Bairro],mercado3)+SUMIFS(supercb[Qtde],supercb[Item],tab_alimentos[[#This Row],[Item]],supercb[Bairro],mercado3)</f>
        <v>0</v>
      </c>
      <c r="O271" s="4">
        <f>SUMIFS(super1[Qtde],super1[Item],tab_alimentos[[#This Row],[Item]],super1[Bairro],mercado4)+SUMIFS(supercb[Qtde],supercb[Item],tab_alimentos[[#This Row],[Item]],supercb[Bairro],mercado4)</f>
        <v>0</v>
      </c>
      <c r="P271" s="4">
        <f>SUMIFS(super1[Qtde],super1[Item],tab_alimentos[[#This Row],[Item]],super1[Bairro],mercado5)+SUMIFS(supercb[Qtde],supercb[Item],tab_alimentos[[#This Row],[Item]],supercb[Bairro],mercado5)</f>
        <v>0</v>
      </c>
      <c r="Q271" s="4">
        <f>SUMIFS(super1[Qtde],super1[Item],tab_alimentos[[#This Row],[Item]],super1[Bairro],mercado6)+SUMIFS(supercb[Qtde],supercb[Item],tab_alimentos[[#This Row],[Item]],supercb[Bairro],mercado6)</f>
        <v>0</v>
      </c>
      <c r="R271" s="4">
        <f>SUMIFS(super1[Qtde],super1[Item],tab_alimentos[[#This Row],[Item]],super1[Bairro],mercado7)+SUMIFS(supercb[Qtde],supercb[Item],tab_alimentos[[#This Row],[Item]],supercb[Bairro],mercado7)</f>
        <v>0</v>
      </c>
      <c r="S271" s="4">
        <f>SUMIFS(super1[Qtde],super1[Item],tab_alimentos[[#This Row],[Item]],super1[Bairro],mercado8)+SUMIFS(supercb[Qtde],supercb[Item],tab_alimentos[[#This Row],[Item]],supercb[Bairro],mercado8)</f>
        <v>0</v>
      </c>
      <c r="T271" s="4">
        <f>SUMIFS(super1[Qtde],super1[Item],tab_alimentos[[#This Row],[Item]],super1[Bairro],mercado9)+SUMIFS(supercb[Qtde],supercb[Item],tab_alimentos[[#This Row],[Item]],supercb[Bairro],mercado9)</f>
        <v>0</v>
      </c>
      <c r="U271" s="4">
        <f>SUMIFS(super1[Qtde],super1[Item],tab_alimentos[[#This Row],[Item]],super1[Bairro],mercado10)+SUMIFS(supercb[Qtde],supercb[Item],tab_alimentos[[#This Row],[Item]],supercb[Bairro],mercado10)</f>
        <v>0</v>
      </c>
      <c r="V271" s="4">
        <f>SUMIFS(super1[Qtde],super1[Item],tab_alimentos[[#This Row],[Item]],super1[Bairro],mercado11)+SUMIFS(supercb[Qtde],supercb[Item],tab_alimentos[[#This Row],[Item]],supercb[Bairro],mercado11)</f>
        <v>0</v>
      </c>
      <c r="W271" s="4">
        <f>SUMIFS(super1[Qtde],super1[Item],tab_alimentos[[#This Row],[Item]],super1[Bairro],mercado12)+SUMIFS(supercb[Qtde],supercb[Item],tab_alimentos[[#This Row],[Item]],supercb[Bairro],mercado12)</f>
        <v>0</v>
      </c>
      <c r="X271" s="4">
        <f>SUMIFS(super1[Qtde],super1[Item],tab_alimentos[[#This Row],[Item]],super1[Bairro],mercado13)+SUMIFS(supercb[Qtde],supercb[Item],tab_alimentos[[#This Row],[Item]],supercb[Bairro],mercado13)</f>
        <v>0</v>
      </c>
      <c r="Y271" s="4">
        <f>SUMIFS(super1[Qtde],super1[Item],tab_alimentos[[#This Row],[Item]],super1[Bairro],mercado14)+SUMIFS(supercb[Qtde],supercb[Item],tab_alimentos[[#This Row],[Item]],supercb[Bairro],mercado14)</f>
        <v>0</v>
      </c>
      <c r="Z271" s="4">
        <f>SUMIFS(super1[Qtde],super1[Item],tab_alimentos[[#This Row],[Item]],super1[Bairro],mercado15)+SUMIFS(supercb[Qtde],supercb[Item],tab_alimentos[[#This Row],[Item]],supercb[Bairro],mercado15)</f>
        <v>0</v>
      </c>
      <c r="AA271" s="4">
        <f>SUMIFS(super1[Qtde],super1[Item],tab_alimentos[[#This Row],[Item]],super1[Bairro],mercado16)+SUMIFS(supercb[Qtde],supercb[Item],tab_alimentos[[#This Row],[Item]],supercb[Bairro],mercado16)</f>
        <v>0</v>
      </c>
      <c r="AB271" s="4">
        <f>SUMIFS(super1[Qtde],super1[Item],tab_alimentos[[#This Row],[Item]],super1[Bairro],mercado17)+SUMIFS(supercb[Qtde],supercb[Item],tab_alimentos[[#This Row],[Item]],supercb[Bairro],mercado17)</f>
        <v>0</v>
      </c>
      <c r="AC271" s="4">
        <f>SUMIFS(super1[Qtde],super1[Item],tab_alimentos[[#This Row],[Item]],super1[Bairro],mercado18)+SUMIFS(supercb[Qtde],supercb[Item],tab_alimentos[[#This Row],[Item]],supercb[Bairro],mercado18)</f>
        <v>0</v>
      </c>
      <c r="AD271" s="4">
        <f>SUMIFS(super1[Qtde],super1[Item],tab_alimentos[[#This Row],[Item]],super1[Bairro],extras)+SUMIFS(supercb[Qtde],supercb[Item],tab_alimentos[[#This Row],[Item]],supercb[Bairro],extras)</f>
        <v>0</v>
      </c>
      <c r="AE271" s="4">
        <f t="shared" si="82"/>
        <v>0</v>
      </c>
      <c r="AF271" s="4">
        <f t="shared" si="83"/>
        <v>0</v>
      </c>
      <c r="AG271" s="6">
        <f t="shared" si="84"/>
        <v>0</v>
      </c>
      <c r="AH271" s="13" t="e">
        <f>higiene[[#This Row],[Item]]</f>
        <v>#VALUE!</v>
      </c>
      <c r="AI271" s="9">
        <f>IFERROR(higiene[[#This Row],[Kg equivalente]],0)</f>
        <v>0</v>
      </c>
      <c r="AJ271" s="9">
        <f>IFERROR(higiene[[#This Row],[Preço por produto]],0)</f>
        <v>0</v>
      </c>
      <c r="AK271" s="4">
        <f>SUMIFS(super1[Qtde],super1[Item],tab_higiene[[#This Row],[Item]],super1[Bairro],mercado1)+SUMIFS(supercb[Qtde],supercb[Item],tab_higiene[[#This Row],[Item]],supercb[Bairro],mercado1)</f>
        <v>0</v>
      </c>
      <c r="AL271" s="4">
        <f>SUMIFS(super1[Qtde],super1[Item],tab_higiene[[#This Row],[Item]],super1[Bairro],mercado2)+SUMIFS(supercb[Qtde],supercb[Item],tab_higiene[[#This Row],[Item]],supercb[Bairro],mercado2)</f>
        <v>0</v>
      </c>
      <c r="AM271" s="4">
        <f>SUMIFS(super1[Qtde],super1[Item],tab_higiene[[#This Row],[Item]],super1[Bairro],mercado3)+SUMIFS(supercb[Qtde],supercb[Item],tab_higiene[[#This Row],[Item]],supercb[Bairro],mercado3)</f>
        <v>0</v>
      </c>
      <c r="AN271" s="4">
        <f>SUMIFS(super1[Qtde],super1[Item],tab_higiene[[#This Row],[Item]],super1[Bairro],mercado4)+SUMIFS(supercb[Qtde],supercb[Item],tab_higiene[[#This Row],[Item]],supercb[Bairro],mercado4)</f>
        <v>0</v>
      </c>
      <c r="AO271" s="4">
        <f>SUMIFS(super1[Qtde],super1[Item],tab_higiene[[#This Row],[Item]],super1[Bairro],mercado5)+SUMIFS(supercb[Qtde],supercb[Item],tab_higiene[[#This Row],[Item]],supercb[Bairro],mercado5)</f>
        <v>0</v>
      </c>
      <c r="AP271" s="4">
        <f>SUMIFS(super1[Qtde],super1[Item],tab_higiene[[#This Row],[Item]],super1[Bairro],mercado6)+SUMIFS(supercb[Qtde],supercb[Item],tab_higiene[[#This Row],[Item]],supercb[Bairro],mercado6)</f>
        <v>0</v>
      </c>
      <c r="AQ271" s="4">
        <f>SUMIFS(super1[Qtde],super1[Item],tab_higiene[[#This Row],[Item]],super1[Bairro],mercado7)+SUMIFS(supercb[Qtde],supercb[Item],tab_higiene[[#This Row],[Item]],supercb[Bairro],mercado7)</f>
        <v>0</v>
      </c>
      <c r="AR271" s="4">
        <f>SUMIFS(super1[Qtde],super1[Item],tab_higiene[[#This Row],[Item]],super1[Bairro],mercado8)+SUMIFS(supercb[Qtde],supercb[Item],tab_higiene[[#This Row],[Item]],supercb[Bairro],mercado8)</f>
        <v>0</v>
      </c>
      <c r="AS271" s="4">
        <f>SUMIFS(super1[Qtde],super1[Item],tab_higiene[[#This Row],[Item]],super1[Bairro],mercado9)+SUMIFS(supercb[Qtde],supercb[Item],tab_higiene[[#This Row],[Item]],supercb[Bairro],mercado9)</f>
        <v>0</v>
      </c>
      <c r="AT271" s="4">
        <f>SUMIFS(super1[Qtde],super1[Item],tab_higiene[[#This Row],[Item]],super1[Bairro],mercado10)+SUMIFS(supercb[Qtde],supercb[Item],tab_higiene[[#This Row],[Item]],supercb[Bairro],mercado10)</f>
        <v>0</v>
      </c>
      <c r="AU271" s="4">
        <f>SUMIFS(super1[Qtde],super1[Item],tab_higiene[[#This Row],[Item]],super1[Bairro],mercado11)+SUMIFS(supercb[Qtde],supercb[Item],tab_higiene[[#This Row],[Item]],supercb[Bairro],mercado11)</f>
        <v>0</v>
      </c>
      <c r="AV271" s="4">
        <f>SUMIFS(super1[Qtde],super1[Item],tab_higiene[[#This Row],[Item]],super1[Bairro],mercado12)+SUMIFS(supercb[Qtde],supercb[Item],tab_higiene[[#This Row],[Item]],supercb[Bairro],mercado12)</f>
        <v>0</v>
      </c>
      <c r="AW271" s="4">
        <f>SUMIFS(super1[Qtde],super1[Item],tab_higiene[[#This Row],[Item]],super1[Bairro],mercado13)+SUMIFS(supercb[Qtde],supercb[Item],tab_higiene[[#This Row],[Item]],supercb[Bairro],mercado13)</f>
        <v>0</v>
      </c>
      <c r="AX271" s="4">
        <f>SUMIFS(super1[Qtde],super1[Item],tab_higiene[[#This Row],[Item]],super1[Bairro],mercado14)+SUMIFS(supercb[Qtde],supercb[Item],tab_higiene[[#This Row],[Item]],supercb[Bairro],mercado14)</f>
        <v>0</v>
      </c>
      <c r="AY271" s="4">
        <f>SUMIFS(super1[Qtde],super1[Item],tab_higiene[[#This Row],[Item]],super1[Bairro],mercado15)+SUMIFS(supercb[Qtde],supercb[Item],tab_higiene[[#This Row],[Item]],supercb[Bairro],mercado15)</f>
        <v>0</v>
      </c>
      <c r="AZ271" s="4">
        <f>SUMIFS(super1[Qtde],super1[Item],tab_higiene[[#This Row],[Item]],super1[Bairro],mercado16)+SUMIFS(supercb[Qtde],supercb[Item],tab_higiene[[#This Row],[Item]],supercb[Bairro],mercado16)</f>
        <v>0</v>
      </c>
      <c r="BA271" s="4">
        <f>SUMIFS(super1[Qtde],super1[Item],tab_higiene[[#This Row],[Item]],super1[Bairro],mercado17)+SUMIFS(supercb[Qtde],supercb[Item],tab_higiene[[#This Row],[Item]],supercb[Bairro],mercado17)</f>
        <v>0</v>
      </c>
      <c r="BB271" s="4">
        <f>SUMIFS(super1[Qtde],super1[Item],tab_higiene[[#This Row],[Item]],super1[Bairro],mercado18)+SUMIFS(supercb[Qtde],supercb[Item],tab_higiene[[#This Row],[Item]],supercb[Bairro],mercado18)</f>
        <v>0</v>
      </c>
      <c r="BC271" s="31">
        <f>SUMIFS(super1[Qtde],super1[Item],tab_higiene[[#This Row],[Item]],super1[Bairro],extras)+SUMIFS(supercb[Qtde],supercb[Item],tab_higiene[[#This Row],[Item]],supercb[Bairro],extras)</f>
        <v>0</v>
      </c>
      <c r="BD271" s="9">
        <f t="shared" si="85"/>
        <v>0</v>
      </c>
      <c r="BE271" s="9">
        <f t="shared" si="86"/>
        <v>0</v>
      </c>
      <c r="BF271" s="18">
        <f t="shared" si="87"/>
        <v>0</v>
      </c>
    </row>
    <row r="272" spans="9:58" ht="15.75" thickBot="1" x14ac:dyDescent="0.3">
      <c r="I272" s="19" t="str">
        <f>alimentos[[#This Row],[Item]]</f>
        <v>I</v>
      </c>
      <c r="J272" s="4">
        <f>IFERROR(alimentos[[#This Row],[kg/embalagem]],0)</f>
        <v>0</v>
      </c>
      <c r="K272" s="4">
        <f>IFERROR(alimentos[[#This Row],[Preço]],0)</f>
        <v>0</v>
      </c>
      <c r="L272" s="4">
        <f>SUMIFS(super1[Qtde],super1[Item],tab_alimentos[[#This Row],[Item]],super1[Bairro],mercado1)+SUMIFS(supercb[Qtde],supercb[Item],tab_alimentos[[#This Row],[Item]],supercb[Bairro],mercado1)</f>
        <v>0</v>
      </c>
      <c r="M272" s="4">
        <f>SUMIFS(super1[Qtde],super1[Item],tab_alimentos[[#This Row],[Item]],super1[Bairro],mercado2)+SUMIFS(supercb[Qtde],supercb[Item],tab_alimentos[[#This Row],[Item]],supercb[Bairro],mercado2)</f>
        <v>0</v>
      </c>
      <c r="N272" s="4">
        <f>SUMIFS(super1[Qtde],super1[Item],tab_alimentos[[#This Row],[Item]],super1[Bairro],mercado3)+SUMIFS(supercb[Qtde],supercb[Item],tab_alimentos[[#This Row],[Item]],supercb[Bairro],mercado3)</f>
        <v>0</v>
      </c>
      <c r="O272" s="4">
        <f>SUMIFS(super1[Qtde],super1[Item],tab_alimentos[[#This Row],[Item]],super1[Bairro],mercado4)+SUMIFS(supercb[Qtde],supercb[Item],tab_alimentos[[#This Row],[Item]],supercb[Bairro],mercado4)</f>
        <v>0</v>
      </c>
      <c r="P272" s="4">
        <f>SUMIFS(super1[Qtde],super1[Item],tab_alimentos[[#This Row],[Item]],super1[Bairro],mercado5)+SUMIFS(supercb[Qtde],supercb[Item],tab_alimentos[[#This Row],[Item]],supercb[Bairro],mercado5)</f>
        <v>0</v>
      </c>
      <c r="Q272" s="4">
        <f>SUMIFS(super1[Qtde],super1[Item],tab_alimentos[[#This Row],[Item]],super1[Bairro],mercado6)+SUMIFS(supercb[Qtde],supercb[Item],tab_alimentos[[#This Row],[Item]],supercb[Bairro],mercado6)</f>
        <v>0</v>
      </c>
      <c r="R272" s="4">
        <f>SUMIFS(super1[Qtde],super1[Item],tab_alimentos[[#This Row],[Item]],super1[Bairro],mercado7)+SUMIFS(supercb[Qtde],supercb[Item],tab_alimentos[[#This Row],[Item]],supercb[Bairro],mercado7)</f>
        <v>0</v>
      </c>
      <c r="S272" s="4">
        <f>SUMIFS(super1[Qtde],super1[Item],tab_alimentos[[#This Row],[Item]],super1[Bairro],mercado8)+SUMIFS(supercb[Qtde],supercb[Item],tab_alimentos[[#This Row],[Item]],supercb[Bairro],mercado8)</f>
        <v>0</v>
      </c>
      <c r="T272" s="4">
        <f>SUMIFS(super1[Qtde],super1[Item],tab_alimentos[[#This Row],[Item]],super1[Bairro],mercado9)+SUMIFS(supercb[Qtde],supercb[Item],tab_alimentos[[#This Row],[Item]],supercb[Bairro],mercado9)</f>
        <v>0</v>
      </c>
      <c r="U272" s="4">
        <f>SUMIFS(super1[Qtde],super1[Item],tab_alimentos[[#This Row],[Item]],super1[Bairro],mercado10)+SUMIFS(supercb[Qtde],supercb[Item],tab_alimentos[[#This Row],[Item]],supercb[Bairro],mercado10)</f>
        <v>0</v>
      </c>
      <c r="V272" s="4">
        <f>SUMIFS(super1[Qtde],super1[Item],tab_alimentos[[#This Row],[Item]],super1[Bairro],mercado11)+SUMIFS(supercb[Qtde],supercb[Item],tab_alimentos[[#This Row],[Item]],supercb[Bairro],mercado11)</f>
        <v>0</v>
      </c>
      <c r="W272" s="4">
        <f>SUMIFS(super1[Qtde],super1[Item],tab_alimentos[[#This Row],[Item]],super1[Bairro],mercado12)+SUMIFS(supercb[Qtde],supercb[Item],tab_alimentos[[#This Row],[Item]],supercb[Bairro],mercado12)</f>
        <v>0</v>
      </c>
      <c r="X272" s="4">
        <f>SUMIFS(super1[Qtde],super1[Item],tab_alimentos[[#This Row],[Item]],super1[Bairro],mercado13)+SUMIFS(supercb[Qtde],supercb[Item],tab_alimentos[[#This Row],[Item]],supercb[Bairro],mercado13)</f>
        <v>0</v>
      </c>
      <c r="Y272" s="4">
        <f>SUMIFS(super1[Qtde],super1[Item],tab_alimentos[[#This Row],[Item]],super1[Bairro],mercado14)+SUMIFS(supercb[Qtde],supercb[Item],tab_alimentos[[#This Row],[Item]],supercb[Bairro],mercado14)</f>
        <v>0</v>
      </c>
      <c r="Z272" s="4">
        <f>SUMIFS(super1[Qtde],super1[Item],tab_alimentos[[#This Row],[Item]],super1[Bairro],mercado15)+SUMIFS(supercb[Qtde],supercb[Item],tab_alimentos[[#This Row],[Item]],supercb[Bairro],mercado15)</f>
        <v>0</v>
      </c>
      <c r="AA272" s="4">
        <f>SUMIFS(super1[Qtde],super1[Item],tab_alimentos[[#This Row],[Item]],super1[Bairro],mercado16)+SUMIFS(supercb[Qtde],supercb[Item],tab_alimentos[[#This Row],[Item]],supercb[Bairro],mercado16)</f>
        <v>0</v>
      </c>
      <c r="AB272" s="4">
        <f>SUMIFS(super1[Qtde],super1[Item],tab_alimentos[[#This Row],[Item]],super1[Bairro],mercado17)+SUMIFS(supercb[Qtde],supercb[Item],tab_alimentos[[#This Row],[Item]],supercb[Bairro],mercado17)</f>
        <v>0</v>
      </c>
      <c r="AC272" s="4">
        <f>SUMIFS(super1[Qtde],super1[Item],tab_alimentos[[#This Row],[Item]],super1[Bairro],mercado18)+SUMIFS(supercb[Qtde],supercb[Item],tab_alimentos[[#This Row],[Item]],supercb[Bairro],mercado18)</f>
        <v>0</v>
      </c>
      <c r="AD272" s="4">
        <f>SUMIFS(super1[Qtde],super1[Item],tab_alimentos[[#This Row],[Item]],super1[Bairro],extras)+SUMIFS(supercb[Qtde],supercb[Item],tab_alimentos[[#This Row],[Item]],supercb[Bairro],extras)</f>
        <v>0</v>
      </c>
      <c r="AE272" s="4">
        <f t="shared" si="82"/>
        <v>0</v>
      </c>
      <c r="AF272" s="4">
        <f t="shared" si="83"/>
        <v>0</v>
      </c>
      <c r="AG272" s="6">
        <f t="shared" si="84"/>
        <v>0</v>
      </c>
      <c r="AH272" s="13" t="e">
        <f>higiene[[#This Row],[Item]]</f>
        <v>#VALUE!</v>
      </c>
      <c r="AI272" s="9">
        <f>IFERROR(higiene[[#This Row],[Kg equivalente]],0)</f>
        <v>0</v>
      </c>
      <c r="AJ272" s="9">
        <f>IFERROR(higiene[[#This Row],[Preço por produto]],0)</f>
        <v>0</v>
      </c>
      <c r="AK272" s="4">
        <f>SUMIFS(super1[Qtde],super1[Item],tab_higiene[[#This Row],[Item]],super1[Bairro],mercado1)+SUMIFS(supercb[Qtde],supercb[Item],tab_higiene[[#This Row],[Item]],supercb[Bairro],mercado1)</f>
        <v>0</v>
      </c>
      <c r="AL272" s="4">
        <f>SUMIFS(super1[Qtde],super1[Item],tab_higiene[[#This Row],[Item]],super1[Bairro],mercado2)+SUMIFS(supercb[Qtde],supercb[Item],tab_higiene[[#This Row],[Item]],supercb[Bairro],mercado2)</f>
        <v>0</v>
      </c>
      <c r="AM272" s="4">
        <f>SUMIFS(super1[Qtde],super1[Item],tab_higiene[[#This Row],[Item]],super1[Bairro],mercado3)+SUMIFS(supercb[Qtde],supercb[Item],tab_higiene[[#This Row],[Item]],supercb[Bairro],mercado3)</f>
        <v>0</v>
      </c>
      <c r="AN272" s="4">
        <f>SUMIFS(super1[Qtde],super1[Item],tab_higiene[[#This Row],[Item]],super1[Bairro],mercado4)+SUMIFS(supercb[Qtde],supercb[Item],tab_higiene[[#This Row],[Item]],supercb[Bairro],mercado4)</f>
        <v>0</v>
      </c>
      <c r="AO272" s="4">
        <f>SUMIFS(super1[Qtde],super1[Item],tab_higiene[[#This Row],[Item]],super1[Bairro],mercado5)+SUMIFS(supercb[Qtde],supercb[Item],tab_higiene[[#This Row],[Item]],supercb[Bairro],mercado5)</f>
        <v>0</v>
      </c>
      <c r="AP272" s="4">
        <f>SUMIFS(super1[Qtde],super1[Item],tab_higiene[[#This Row],[Item]],super1[Bairro],mercado6)+SUMIFS(supercb[Qtde],supercb[Item],tab_higiene[[#This Row],[Item]],supercb[Bairro],mercado6)</f>
        <v>0</v>
      </c>
      <c r="AQ272" s="4">
        <f>SUMIFS(super1[Qtde],super1[Item],tab_higiene[[#This Row],[Item]],super1[Bairro],mercado7)+SUMIFS(supercb[Qtde],supercb[Item],tab_higiene[[#This Row],[Item]],supercb[Bairro],mercado7)</f>
        <v>0</v>
      </c>
      <c r="AR272" s="4">
        <f>SUMIFS(super1[Qtde],super1[Item],tab_higiene[[#This Row],[Item]],super1[Bairro],mercado8)+SUMIFS(supercb[Qtde],supercb[Item],tab_higiene[[#This Row],[Item]],supercb[Bairro],mercado8)</f>
        <v>0</v>
      </c>
      <c r="AS272" s="4">
        <f>SUMIFS(super1[Qtde],super1[Item],tab_higiene[[#This Row],[Item]],super1[Bairro],mercado9)+SUMIFS(supercb[Qtde],supercb[Item],tab_higiene[[#This Row],[Item]],supercb[Bairro],mercado9)</f>
        <v>0</v>
      </c>
      <c r="AT272" s="4">
        <f>SUMIFS(super1[Qtde],super1[Item],tab_higiene[[#This Row],[Item]],super1[Bairro],mercado10)+SUMIFS(supercb[Qtde],supercb[Item],tab_higiene[[#This Row],[Item]],supercb[Bairro],mercado10)</f>
        <v>0</v>
      </c>
      <c r="AU272" s="4">
        <f>SUMIFS(super1[Qtde],super1[Item],tab_higiene[[#This Row],[Item]],super1[Bairro],mercado11)+SUMIFS(supercb[Qtde],supercb[Item],tab_higiene[[#This Row],[Item]],supercb[Bairro],mercado11)</f>
        <v>0</v>
      </c>
      <c r="AV272" s="4">
        <f>SUMIFS(super1[Qtde],super1[Item],tab_higiene[[#This Row],[Item]],super1[Bairro],mercado12)+SUMIFS(supercb[Qtde],supercb[Item],tab_higiene[[#This Row],[Item]],supercb[Bairro],mercado12)</f>
        <v>0</v>
      </c>
      <c r="AW272" s="4">
        <f>SUMIFS(super1[Qtde],super1[Item],tab_higiene[[#This Row],[Item]],super1[Bairro],mercado13)+SUMIFS(supercb[Qtde],supercb[Item],tab_higiene[[#This Row],[Item]],supercb[Bairro],mercado13)</f>
        <v>0</v>
      </c>
      <c r="AX272" s="4">
        <f>SUMIFS(super1[Qtde],super1[Item],tab_higiene[[#This Row],[Item]],super1[Bairro],mercado14)+SUMIFS(supercb[Qtde],supercb[Item],tab_higiene[[#This Row],[Item]],supercb[Bairro],mercado14)</f>
        <v>0</v>
      </c>
      <c r="AY272" s="4">
        <f>SUMIFS(super1[Qtde],super1[Item],tab_higiene[[#This Row],[Item]],super1[Bairro],mercado15)+SUMIFS(supercb[Qtde],supercb[Item],tab_higiene[[#This Row],[Item]],supercb[Bairro],mercado15)</f>
        <v>0</v>
      </c>
      <c r="AZ272" s="4">
        <f>SUMIFS(super1[Qtde],super1[Item],tab_higiene[[#This Row],[Item]],super1[Bairro],mercado16)+SUMIFS(supercb[Qtde],supercb[Item],tab_higiene[[#This Row],[Item]],supercb[Bairro],mercado16)</f>
        <v>0</v>
      </c>
      <c r="BA272" s="4">
        <f>SUMIFS(super1[Qtde],super1[Item],tab_higiene[[#This Row],[Item]],super1[Bairro],mercado17)+SUMIFS(supercb[Qtde],supercb[Item],tab_higiene[[#This Row],[Item]],supercb[Bairro],mercado17)</f>
        <v>0</v>
      </c>
      <c r="BB272" s="4">
        <f>SUMIFS(super1[Qtde],super1[Item],tab_higiene[[#This Row],[Item]],super1[Bairro],mercado18)+SUMIFS(supercb[Qtde],supercb[Item],tab_higiene[[#This Row],[Item]],supercb[Bairro],mercado18)</f>
        <v>0</v>
      </c>
      <c r="BC272" s="31">
        <f>SUMIFS(super1[Qtde],super1[Item],tab_higiene[[#This Row],[Item]],super1[Bairro],extras)+SUMIFS(supercb[Qtde],supercb[Item],tab_higiene[[#This Row],[Item]],supercb[Bairro],extras)</f>
        <v>0</v>
      </c>
      <c r="BD272" s="9">
        <f t="shared" si="85"/>
        <v>0</v>
      </c>
      <c r="BE272" s="9">
        <f t="shared" si="86"/>
        <v>0</v>
      </c>
      <c r="BF272" s="18">
        <f t="shared" si="87"/>
        <v>0</v>
      </c>
    </row>
    <row r="273" spans="9:58" ht="15.75" thickBot="1" x14ac:dyDescent="0.3">
      <c r="I273" s="19" t="str">
        <f>alimentos[[#This Row],[Item]]</f>
        <v>J</v>
      </c>
      <c r="J273" s="4">
        <f>IFERROR(alimentos[[#This Row],[kg/embalagem]],0)</f>
        <v>0</v>
      </c>
      <c r="K273" s="4">
        <f>IFERROR(alimentos[[#This Row],[Preço]],0)</f>
        <v>0</v>
      </c>
      <c r="L273" s="4">
        <f>SUMIFS(super1[Qtde],super1[Item],tab_alimentos[[#This Row],[Item]],super1[Bairro],mercado1)+SUMIFS(supercb[Qtde],supercb[Item],tab_alimentos[[#This Row],[Item]],supercb[Bairro],mercado1)</f>
        <v>0</v>
      </c>
      <c r="M273" s="4">
        <f>SUMIFS(super1[Qtde],super1[Item],tab_alimentos[[#This Row],[Item]],super1[Bairro],mercado2)+SUMIFS(supercb[Qtde],supercb[Item],tab_alimentos[[#This Row],[Item]],supercb[Bairro],mercado2)</f>
        <v>0</v>
      </c>
      <c r="N273" s="4">
        <f>SUMIFS(super1[Qtde],super1[Item],tab_alimentos[[#This Row],[Item]],super1[Bairro],mercado3)+SUMIFS(supercb[Qtde],supercb[Item],tab_alimentos[[#This Row],[Item]],supercb[Bairro],mercado3)</f>
        <v>0</v>
      </c>
      <c r="O273" s="4">
        <f>SUMIFS(super1[Qtde],super1[Item],tab_alimentos[[#This Row],[Item]],super1[Bairro],mercado4)+SUMIFS(supercb[Qtde],supercb[Item],tab_alimentos[[#This Row],[Item]],supercb[Bairro],mercado4)</f>
        <v>0</v>
      </c>
      <c r="P273" s="4">
        <f>SUMIFS(super1[Qtde],super1[Item],tab_alimentos[[#This Row],[Item]],super1[Bairro],mercado5)+SUMIFS(supercb[Qtde],supercb[Item],tab_alimentos[[#This Row],[Item]],supercb[Bairro],mercado5)</f>
        <v>0</v>
      </c>
      <c r="Q273" s="4">
        <f>SUMIFS(super1[Qtde],super1[Item],tab_alimentos[[#This Row],[Item]],super1[Bairro],mercado6)+SUMIFS(supercb[Qtde],supercb[Item],tab_alimentos[[#This Row],[Item]],supercb[Bairro],mercado6)</f>
        <v>0</v>
      </c>
      <c r="R273" s="4">
        <f>SUMIFS(super1[Qtde],super1[Item],tab_alimentos[[#This Row],[Item]],super1[Bairro],mercado7)+SUMIFS(supercb[Qtde],supercb[Item],tab_alimentos[[#This Row],[Item]],supercb[Bairro],mercado7)</f>
        <v>0</v>
      </c>
      <c r="S273" s="4">
        <f>SUMIFS(super1[Qtde],super1[Item],tab_alimentos[[#This Row],[Item]],super1[Bairro],mercado8)+SUMIFS(supercb[Qtde],supercb[Item],tab_alimentos[[#This Row],[Item]],supercb[Bairro],mercado8)</f>
        <v>0</v>
      </c>
      <c r="T273" s="4">
        <f>SUMIFS(super1[Qtde],super1[Item],tab_alimentos[[#This Row],[Item]],super1[Bairro],mercado9)+SUMIFS(supercb[Qtde],supercb[Item],tab_alimentos[[#This Row],[Item]],supercb[Bairro],mercado9)</f>
        <v>0</v>
      </c>
      <c r="U273" s="4">
        <f>SUMIFS(super1[Qtde],super1[Item],tab_alimentos[[#This Row],[Item]],super1[Bairro],mercado10)+SUMIFS(supercb[Qtde],supercb[Item],tab_alimentos[[#This Row],[Item]],supercb[Bairro],mercado10)</f>
        <v>0</v>
      </c>
      <c r="V273" s="4">
        <f>SUMIFS(super1[Qtde],super1[Item],tab_alimentos[[#This Row],[Item]],super1[Bairro],mercado11)+SUMIFS(supercb[Qtde],supercb[Item],tab_alimentos[[#This Row],[Item]],supercb[Bairro],mercado11)</f>
        <v>0</v>
      </c>
      <c r="W273" s="4">
        <f>SUMIFS(super1[Qtde],super1[Item],tab_alimentos[[#This Row],[Item]],super1[Bairro],mercado12)+SUMIFS(supercb[Qtde],supercb[Item],tab_alimentos[[#This Row],[Item]],supercb[Bairro],mercado12)</f>
        <v>0</v>
      </c>
      <c r="X273" s="4">
        <f>SUMIFS(super1[Qtde],super1[Item],tab_alimentos[[#This Row],[Item]],super1[Bairro],mercado13)+SUMIFS(supercb[Qtde],supercb[Item],tab_alimentos[[#This Row],[Item]],supercb[Bairro],mercado13)</f>
        <v>0</v>
      </c>
      <c r="Y273" s="4">
        <f>SUMIFS(super1[Qtde],super1[Item],tab_alimentos[[#This Row],[Item]],super1[Bairro],mercado14)+SUMIFS(supercb[Qtde],supercb[Item],tab_alimentos[[#This Row],[Item]],supercb[Bairro],mercado14)</f>
        <v>0</v>
      </c>
      <c r="Z273" s="4">
        <f>SUMIFS(super1[Qtde],super1[Item],tab_alimentos[[#This Row],[Item]],super1[Bairro],mercado15)+SUMIFS(supercb[Qtde],supercb[Item],tab_alimentos[[#This Row],[Item]],supercb[Bairro],mercado15)</f>
        <v>0</v>
      </c>
      <c r="AA273" s="4">
        <f>SUMIFS(super1[Qtde],super1[Item],tab_alimentos[[#This Row],[Item]],super1[Bairro],mercado16)+SUMIFS(supercb[Qtde],supercb[Item],tab_alimentos[[#This Row],[Item]],supercb[Bairro],mercado16)</f>
        <v>0</v>
      </c>
      <c r="AB273" s="4">
        <f>SUMIFS(super1[Qtde],super1[Item],tab_alimentos[[#This Row],[Item]],super1[Bairro],mercado17)+SUMIFS(supercb[Qtde],supercb[Item],tab_alimentos[[#This Row],[Item]],supercb[Bairro],mercado17)</f>
        <v>0</v>
      </c>
      <c r="AC273" s="4">
        <f>SUMIFS(super1[Qtde],super1[Item],tab_alimentos[[#This Row],[Item]],super1[Bairro],mercado18)+SUMIFS(supercb[Qtde],supercb[Item],tab_alimentos[[#This Row],[Item]],supercb[Bairro],mercado18)</f>
        <v>0</v>
      </c>
      <c r="AD273" s="4">
        <f>SUMIFS(super1[Qtde],super1[Item],tab_alimentos[[#This Row],[Item]],super1[Bairro],extras)+SUMIFS(supercb[Qtde],supercb[Item],tab_alimentos[[#This Row],[Item]],supercb[Bairro],extras)</f>
        <v>0</v>
      </c>
      <c r="AE273" s="4">
        <f t="shared" si="82"/>
        <v>0</v>
      </c>
      <c r="AF273" s="4">
        <f t="shared" si="83"/>
        <v>0</v>
      </c>
      <c r="AG273" s="6">
        <f t="shared" si="84"/>
        <v>0</v>
      </c>
      <c r="AH273" s="13" t="e">
        <f>higiene[[#This Row],[Item]]</f>
        <v>#VALUE!</v>
      </c>
      <c r="AI273" s="9">
        <f>IFERROR(higiene[[#This Row],[Kg equivalente]],0)</f>
        <v>0</v>
      </c>
      <c r="AJ273" s="9">
        <f>IFERROR(higiene[[#This Row],[Preço por produto]],0)</f>
        <v>0</v>
      </c>
      <c r="AK273" s="4">
        <f>SUMIFS(super1[Qtde],super1[Item],tab_higiene[[#This Row],[Item]],super1[Bairro],mercado1)+SUMIFS(supercb[Qtde],supercb[Item],tab_higiene[[#This Row],[Item]],supercb[Bairro],mercado1)</f>
        <v>0</v>
      </c>
      <c r="AL273" s="4">
        <f>SUMIFS(super1[Qtde],super1[Item],tab_higiene[[#This Row],[Item]],super1[Bairro],mercado2)+SUMIFS(supercb[Qtde],supercb[Item],tab_higiene[[#This Row],[Item]],supercb[Bairro],mercado2)</f>
        <v>0</v>
      </c>
      <c r="AM273" s="4">
        <f>SUMIFS(super1[Qtde],super1[Item],tab_higiene[[#This Row],[Item]],super1[Bairro],mercado3)+SUMIFS(supercb[Qtde],supercb[Item],tab_higiene[[#This Row],[Item]],supercb[Bairro],mercado3)</f>
        <v>0</v>
      </c>
      <c r="AN273" s="4">
        <f>SUMIFS(super1[Qtde],super1[Item],tab_higiene[[#This Row],[Item]],super1[Bairro],mercado4)+SUMIFS(supercb[Qtde],supercb[Item],tab_higiene[[#This Row],[Item]],supercb[Bairro],mercado4)</f>
        <v>0</v>
      </c>
      <c r="AO273" s="4">
        <f>SUMIFS(super1[Qtde],super1[Item],tab_higiene[[#This Row],[Item]],super1[Bairro],mercado5)+SUMIFS(supercb[Qtde],supercb[Item],tab_higiene[[#This Row],[Item]],supercb[Bairro],mercado5)</f>
        <v>0</v>
      </c>
      <c r="AP273" s="4">
        <f>SUMIFS(super1[Qtde],super1[Item],tab_higiene[[#This Row],[Item]],super1[Bairro],mercado6)+SUMIFS(supercb[Qtde],supercb[Item],tab_higiene[[#This Row],[Item]],supercb[Bairro],mercado6)</f>
        <v>0</v>
      </c>
      <c r="AQ273" s="4">
        <f>SUMIFS(super1[Qtde],super1[Item],tab_higiene[[#This Row],[Item]],super1[Bairro],mercado7)+SUMIFS(supercb[Qtde],supercb[Item],tab_higiene[[#This Row],[Item]],supercb[Bairro],mercado7)</f>
        <v>0</v>
      </c>
      <c r="AR273" s="4">
        <f>SUMIFS(super1[Qtde],super1[Item],tab_higiene[[#This Row],[Item]],super1[Bairro],mercado8)+SUMIFS(supercb[Qtde],supercb[Item],tab_higiene[[#This Row],[Item]],supercb[Bairro],mercado8)</f>
        <v>0</v>
      </c>
      <c r="AS273" s="4">
        <f>SUMIFS(super1[Qtde],super1[Item],tab_higiene[[#This Row],[Item]],super1[Bairro],mercado9)+SUMIFS(supercb[Qtde],supercb[Item],tab_higiene[[#This Row],[Item]],supercb[Bairro],mercado9)</f>
        <v>0</v>
      </c>
      <c r="AT273" s="4">
        <f>SUMIFS(super1[Qtde],super1[Item],tab_higiene[[#This Row],[Item]],super1[Bairro],mercado10)+SUMIFS(supercb[Qtde],supercb[Item],tab_higiene[[#This Row],[Item]],supercb[Bairro],mercado10)</f>
        <v>0</v>
      </c>
      <c r="AU273" s="4">
        <f>SUMIFS(super1[Qtde],super1[Item],tab_higiene[[#This Row],[Item]],super1[Bairro],mercado11)+SUMIFS(supercb[Qtde],supercb[Item],tab_higiene[[#This Row],[Item]],supercb[Bairro],mercado11)</f>
        <v>0</v>
      </c>
      <c r="AV273" s="4">
        <f>SUMIFS(super1[Qtde],super1[Item],tab_higiene[[#This Row],[Item]],super1[Bairro],mercado12)+SUMIFS(supercb[Qtde],supercb[Item],tab_higiene[[#This Row],[Item]],supercb[Bairro],mercado12)</f>
        <v>0</v>
      </c>
      <c r="AW273" s="4">
        <f>SUMIFS(super1[Qtde],super1[Item],tab_higiene[[#This Row],[Item]],super1[Bairro],mercado13)+SUMIFS(supercb[Qtde],supercb[Item],tab_higiene[[#This Row],[Item]],supercb[Bairro],mercado13)</f>
        <v>0</v>
      </c>
      <c r="AX273" s="4">
        <f>SUMIFS(super1[Qtde],super1[Item],tab_higiene[[#This Row],[Item]],super1[Bairro],mercado14)+SUMIFS(supercb[Qtde],supercb[Item],tab_higiene[[#This Row],[Item]],supercb[Bairro],mercado14)</f>
        <v>0</v>
      </c>
      <c r="AY273" s="4">
        <f>SUMIFS(super1[Qtde],super1[Item],tab_higiene[[#This Row],[Item]],super1[Bairro],mercado15)+SUMIFS(supercb[Qtde],supercb[Item],tab_higiene[[#This Row],[Item]],supercb[Bairro],mercado15)</f>
        <v>0</v>
      </c>
      <c r="AZ273" s="4">
        <f>SUMIFS(super1[Qtde],super1[Item],tab_higiene[[#This Row],[Item]],super1[Bairro],mercado16)+SUMIFS(supercb[Qtde],supercb[Item],tab_higiene[[#This Row],[Item]],supercb[Bairro],mercado16)</f>
        <v>0</v>
      </c>
      <c r="BA273" s="4">
        <f>SUMIFS(super1[Qtde],super1[Item],tab_higiene[[#This Row],[Item]],super1[Bairro],mercado17)+SUMIFS(supercb[Qtde],supercb[Item],tab_higiene[[#This Row],[Item]],supercb[Bairro],mercado17)</f>
        <v>0</v>
      </c>
      <c r="BB273" s="4">
        <f>SUMIFS(super1[Qtde],super1[Item],tab_higiene[[#This Row],[Item]],super1[Bairro],mercado18)+SUMIFS(supercb[Qtde],supercb[Item],tab_higiene[[#This Row],[Item]],supercb[Bairro],mercado18)</f>
        <v>0</v>
      </c>
      <c r="BC273" s="31">
        <f>SUMIFS(super1[Qtde],super1[Item],tab_higiene[[#This Row],[Item]],super1[Bairro],extras)+SUMIFS(supercb[Qtde],supercb[Item],tab_higiene[[#This Row],[Item]],supercb[Bairro],extras)</f>
        <v>0</v>
      </c>
      <c r="BD273" s="9">
        <f t="shared" si="85"/>
        <v>0</v>
      </c>
      <c r="BE273" s="9">
        <f t="shared" si="86"/>
        <v>0</v>
      </c>
      <c r="BF273" s="18">
        <f t="shared" si="87"/>
        <v>0</v>
      </c>
    </row>
    <row r="274" spans="9:58" ht="15.75" thickBot="1" x14ac:dyDescent="0.3">
      <c r="I274" s="19" t="str">
        <f>alimentos[[#This Row],[Item]]</f>
        <v>Jujuba (500g)</v>
      </c>
      <c r="J274" s="4">
        <f>IFERROR(alimentos[[#This Row],[kg/embalagem]],0)</f>
        <v>0.5</v>
      </c>
      <c r="K274" s="4">
        <f>IFERROR(alimentos[[#This Row],[Preço]],0)</f>
        <v>6.23</v>
      </c>
      <c r="L274" s="4">
        <f>SUMIFS(super1[Qtde],super1[Item],tab_alimentos[[#This Row],[Item]],super1[Bairro],mercado1)+SUMIFS(supercb[Qtde],supercb[Item],tab_alimentos[[#This Row],[Item]],supercb[Bairro],mercado1)</f>
        <v>0</v>
      </c>
      <c r="M274" s="4">
        <f>SUMIFS(super1[Qtde],super1[Item],tab_alimentos[[#This Row],[Item]],super1[Bairro],mercado2)+SUMIFS(supercb[Qtde],supercb[Item],tab_alimentos[[#This Row],[Item]],supercb[Bairro],mercado2)</f>
        <v>0</v>
      </c>
      <c r="N274" s="4">
        <f>SUMIFS(super1[Qtde],super1[Item],tab_alimentos[[#This Row],[Item]],super1[Bairro],mercado3)+SUMIFS(supercb[Qtde],supercb[Item],tab_alimentos[[#This Row],[Item]],supercb[Bairro],mercado3)</f>
        <v>0</v>
      </c>
      <c r="O274" s="4">
        <f>SUMIFS(super1[Qtde],super1[Item],tab_alimentos[[#This Row],[Item]],super1[Bairro],mercado4)+SUMIFS(supercb[Qtde],supercb[Item],tab_alimentos[[#This Row],[Item]],supercb[Bairro],mercado4)</f>
        <v>0</v>
      </c>
      <c r="P274" s="4">
        <f>SUMIFS(super1[Qtde],super1[Item],tab_alimentos[[#This Row],[Item]],super1[Bairro],mercado5)+SUMIFS(supercb[Qtde],supercb[Item],tab_alimentos[[#This Row],[Item]],supercb[Bairro],mercado5)</f>
        <v>0</v>
      </c>
      <c r="Q274" s="4">
        <f>SUMIFS(super1[Qtde],super1[Item],tab_alimentos[[#This Row],[Item]],super1[Bairro],mercado6)+SUMIFS(supercb[Qtde],supercb[Item],tab_alimentos[[#This Row],[Item]],supercb[Bairro],mercado6)</f>
        <v>0</v>
      </c>
      <c r="R274" s="4">
        <f>SUMIFS(super1[Qtde],super1[Item],tab_alimentos[[#This Row],[Item]],super1[Bairro],mercado7)+SUMIFS(supercb[Qtde],supercb[Item],tab_alimentos[[#This Row],[Item]],supercb[Bairro],mercado7)</f>
        <v>0</v>
      </c>
      <c r="S274" s="4">
        <f>SUMIFS(super1[Qtde],super1[Item],tab_alimentos[[#This Row],[Item]],super1[Bairro],mercado8)+SUMIFS(supercb[Qtde],supercb[Item],tab_alimentos[[#This Row],[Item]],supercb[Bairro],mercado8)</f>
        <v>0</v>
      </c>
      <c r="T274" s="4">
        <f>SUMIFS(super1[Qtde],super1[Item],tab_alimentos[[#This Row],[Item]],super1[Bairro],mercado9)+SUMIFS(supercb[Qtde],supercb[Item],tab_alimentos[[#This Row],[Item]],supercb[Bairro],mercado9)</f>
        <v>0</v>
      </c>
      <c r="U274" s="4">
        <f>SUMIFS(super1[Qtde],super1[Item],tab_alimentos[[#This Row],[Item]],super1[Bairro],mercado10)+SUMIFS(supercb[Qtde],supercb[Item],tab_alimentos[[#This Row],[Item]],supercb[Bairro],mercado10)</f>
        <v>0</v>
      </c>
      <c r="V274" s="4">
        <f>SUMIFS(super1[Qtde],super1[Item],tab_alimentos[[#This Row],[Item]],super1[Bairro],mercado11)+SUMIFS(supercb[Qtde],supercb[Item],tab_alimentos[[#This Row],[Item]],supercb[Bairro],mercado11)</f>
        <v>0</v>
      </c>
      <c r="W274" s="4">
        <f>SUMIFS(super1[Qtde],super1[Item],tab_alimentos[[#This Row],[Item]],super1[Bairro],mercado12)+SUMIFS(supercb[Qtde],supercb[Item],tab_alimentos[[#This Row],[Item]],supercb[Bairro],mercado12)</f>
        <v>0</v>
      </c>
      <c r="X274" s="4">
        <f>SUMIFS(super1[Qtde],super1[Item],tab_alimentos[[#This Row],[Item]],super1[Bairro],mercado13)+SUMIFS(supercb[Qtde],supercb[Item],tab_alimentos[[#This Row],[Item]],supercb[Bairro],mercado13)</f>
        <v>0</v>
      </c>
      <c r="Y274" s="4">
        <f>SUMIFS(super1[Qtde],super1[Item],tab_alimentos[[#This Row],[Item]],super1[Bairro],mercado14)+SUMIFS(supercb[Qtde],supercb[Item],tab_alimentos[[#This Row],[Item]],supercb[Bairro],mercado14)</f>
        <v>0</v>
      </c>
      <c r="Z274" s="4">
        <f>SUMIFS(super1[Qtde],super1[Item],tab_alimentos[[#This Row],[Item]],super1[Bairro],mercado15)+SUMIFS(supercb[Qtde],supercb[Item],tab_alimentos[[#This Row],[Item]],supercb[Bairro],mercado15)</f>
        <v>0</v>
      </c>
      <c r="AA274" s="4">
        <f>SUMIFS(super1[Qtde],super1[Item],tab_alimentos[[#This Row],[Item]],super1[Bairro],mercado16)+SUMIFS(supercb[Qtde],supercb[Item],tab_alimentos[[#This Row],[Item]],supercb[Bairro],mercado16)</f>
        <v>0</v>
      </c>
      <c r="AB274" s="4">
        <f>SUMIFS(super1[Qtde],super1[Item],tab_alimentos[[#This Row],[Item]],super1[Bairro],mercado17)+SUMIFS(supercb[Qtde],supercb[Item],tab_alimentos[[#This Row],[Item]],supercb[Bairro],mercado17)</f>
        <v>0</v>
      </c>
      <c r="AC274" s="4">
        <f>SUMIFS(super1[Qtde],super1[Item],tab_alimentos[[#This Row],[Item]],super1[Bairro],mercado18)+SUMIFS(supercb[Qtde],supercb[Item],tab_alimentos[[#This Row],[Item]],supercb[Bairro],mercado18)</f>
        <v>0</v>
      </c>
      <c r="AD274" s="4">
        <f>SUMIFS(super1[Qtde],super1[Item],tab_alimentos[[#This Row],[Item]],super1[Bairro],extras)+SUMIFS(supercb[Qtde],supercb[Item],tab_alimentos[[#This Row],[Item]],supercb[Bairro],extras)</f>
        <v>0</v>
      </c>
      <c r="AE274" s="4">
        <f t="shared" si="82"/>
        <v>0</v>
      </c>
      <c r="AF274" s="4">
        <f t="shared" si="83"/>
        <v>0</v>
      </c>
      <c r="AG274" s="6">
        <f t="shared" si="84"/>
        <v>0</v>
      </c>
      <c r="AH274" s="13" t="e">
        <f>higiene[[#This Row],[Item]]</f>
        <v>#VALUE!</v>
      </c>
      <c r="AI274" s="9">
        <f>IFERROR(higiene[[#This Row],[Kg equivalente]],0)</f>
        <v>0</v>
      </c>
      <c r="AJ274" s="9">
        <f>IFERROR(higiene[[#This Row],[Preço por produto]],0)</f>
        <v>0</v>
      </c>
      <c r="AK274" s="4">
        <f>SUMIFS(super1[Qtde],super1[Item],tab_higiene[[#This Row],[Item]],super1[Bairro],mercado1)+SUMIFS(supercb[Qtde],supercb[Item],tab_higiene[[#This Row],[Item]],supercb[Bairro],mercado1)</f>
        <v>0</v>
      </c>
      <c r="AL274" s="4">
        <f>SUMIFS(super1[Qtde],super1[Item],tab_higiene[[#This Row],[Item]],super1[Bairro],mercado2)+SUMIFS(supercb[Qtde],supercb[Item],tab_higiene[[#This Row],[Item]],supercb[Bairro],mercado2)</f>
        <v>0</v>
      </c>
      <c r="AM274" s="4">
        <f>SUMIFS(super1[Qtde],super1[Item],tab_higiene[[#This Row],[Item]],super1[Bairro],mercado3)+SUMIFS(supercb[Qtde],supercb[Item],tab_higiene[[#This Row],[Item]],supercb[Bairro],mercado3)</f>
        <v>0</v>
      </c>
      <c r="AN274" s="4">
        <f>SUMIFS(super1[Qtde],super1[Item],tab_higiene[[#This Row],[Item]],super1[Bairro],mercado4)+SUMIFS(supercb[Qtde],supercb[Item],tab_higiene[[#This Row],[Item]],supercb[Bairro],mercado4)</f>
        <v>0</v>
      </c>
      <c r="AO274" s="4">
        <f>SUMIFS(super1[Qtde],super1[Item],tab_higiene[[#This Row],[Item]],super1[Bairro],mercado5)+SUMIFS(supercb[Qtde],supercb[Item],tab_higiene[[#This Row],[Item]],supercb[Bairro],mercado5)</f>
        <v>0</v>
      </c>
      <c r="AP274" s="4">
        <f>SUMIFS(super1[Qtde],super1[Item],tab_higiene[[#This Row],[Item]],super1[Bairro],mercado6)+SUMIFS(supercb[Qtde],supercb[Item],tab_higiene[[#This Row],[Item]],supercb[Bairro],mercado6)</f>
        <v>0</v>
      </c>
      <c r="AQ274" s="4">
        <f>SUMIFS(super1[Qtde],super1[Item],tab_higiene[[#This Row],[Item]],super1[Bairro],mercado7)+SUMIFS(supercb[Qtde],supercb[Item],tab_higiene[[#This Row],[Item]],supercb[Bairro],mercado7)</f>
        <v>0</v>
      </c>
      <c r="AR274" s="4">
        <f>SUMIFS(super1[Qtde],super1[Item],tab_higiene[[#This Row],[Item]],super1[Bairro],mercado8)+SUMIFS(supercb[Qtde],supercb[Item],tab_higiene[[#This Row],[Item]],supercb[Bairro],mercado8)</f>
        <v>0</v>
      </c>
      <c r="AS274" s="4">
        <f>SUMIFS(super1[Qtde],super1[Item],tab_higiene[[#This Row],[Item]],super1[Bairro],mercado9)+SUMIFS(supercb[Qtde],supercb[Item],tab_higiene[[#This Row],[Item]],supercb[Bairro],mercado9)</f>
        <v>0</v>
      </c>
      <c r="AT274" s="4">
        <f>SUMIFS(super1[Qtde],super1[Item],tab_higiene[[#This Row],[Item]],super1[Bairro],mercado10)+SUMIFS(supercb[Qtde],supercb[Item],tab_higiene[[#This Row],[Item]],supercb[Bairro],mercado10)</f>
        <v>0</v>
      </c>
      <c r="AU274" s="4">
        <f>SUMIFS(super1[Qtde],super1[Item],tab_higiene[[#This Row],[Item]],super1[Bairro],mercado11)+SUMIFS(supercb[Qtde],supercb[Item],tab_higiene[[#This Row],[Item]],supercb[Bairro],mercado11)</f>
        <v>0</v>
      </c>
      <c r="AV274" s="4">
        <f>SUMIFS(super1[Qtde],super1[Item],tab_higiene[[#This Row],[Item]],super1[Bairro],mercado12)+SUMIFS(supercb[Qtde],supercb[Item],tab_higiene[[#This Row],[Item]],supercb[Bairro],mercado12)</f>
        <v>0</v>
      </c>
      <c r="AW274" s="4">
        <f>SUMIFS(super1[Qtde],super1[Item],tab_higiene[[#This Row],[Item]],super1[Bairro],mercado13)+SUMIFS(supercb[Qtde],supercb[Item],tab_higiene[[#This Row],[Item]],supercb[Bairro],mercado13)</f>
        <v>0</v>
      </c>
      <c r="AX274" s="4">
        <f>SUMIFS(super1[Qtde],super1[Item],tab_higiene[[#This Row],[Item]],super1[Bairro],mercado14)+SUMIFS(supercb[Qtde],supercb[Item],tab_higiene[[#This Row],[Item]],supercb[Bairro],mercado14)</f>
        <v>0</v>
      </c>
      <c r="AY274" s="4">
        <f>SUMIFS(super1[Qtde],super1[Item],tab_higiene[[#This Row],[Item]],super1[Bairro],mercado15)+SUMIFS(supercb[Qtde],supercb[Item],tab_higiene[[#This Row],[Item]],supercb[Bairro],mercado15)</f>
        <v>0</v>
      </c>
      <c r="AZ274" s="4">
        <f>SUMIFS(super1[Qtde],super1[Item],tab_higiene[[#This Row],[Item]],super1[Bairro],mercado16)+SUMIFS(supercb[Qtde],supercb[Item],tab_higiene[[#This Row],[Item]],supercb[Bairro],mercado16)</f>
        <v>0</v>
      </c>
      <c r="BA274" s="4">
        <f>SUMIFS(super1[Qtde],super1[Item],tab_higiene[[#This Row],[Item]],super1[Bairro],mercado17)+SUMIFS(supercb[Qtde],supercb[Item],tab_higiene[[#This Row],[Item]],supercb[Bairro],mercado17)</f>
        <v>0</v>
      </c>
      <c r="BB274" s="4">
        <f>SUMIFS(super1[Qtde],super1[Item],tab_higiene[[#This Row],[Item]],super1[Bairro],mercado18)+SUMIFS(supercb[Qtde],supercb[Item],tab_higiene[[#This Row],[Item]],supercb[Bairro],mercado18)</f>
        <v>0</v>
      </c>
      <c r="BC274" s="31">
        <f>SUMIFS(super1[Qtde],super1[Item],tab_higiene[[#This Row],[Item]],super1[Bairro],extras)+SUMIFS(supercb[Qtde],supercb[Item],tab_higiene[[#This Row],[Item]],supercb[Bairro],extras)</f>
        <v>0</v>
      </c>
      <c r="BD274" s="9">
        <f t="shared" si="85"/>
        <v>0</v>
      </c>
      <c r="BE274" s="9">
        <f t="shared" si="86"/>
        <v>0</v>
      </c>
      <c r="BF274" s="18">
        <f t="shared" si="87"/>
        <v>0</v>
      </c>
    </row>
    <row r="275" spans="9:58" ht="15.75" thickBot="1" x14ac:dyDescent="0.3">
      <c r="I275" s="19" t="str">
        <f>alimentos[[#This Row],[Item]]</f>
        <v>K</v>
      </c>
      <c r="J275" s="4">
        <f>IFERROR(alimentos[[#This Row],[kg/embalagem]],0)</f>
        <v>0</v>
      </c>
      <c r="K275" s="4">
        <f>IFERROR(alimentos[[#This Row],[Preço]],0)</f>
        <v>0</v>
      </c>
      <c r="L275" s="4">
        <f>SUMIFS(super1[Qtde],super1[Item],tab_alimentos[[#This Row],[Item]],super1[Bairro],mercado1)+SUMIFS(supercb[Qtde],supercb[Item],tab_alimentos[[#This Row],[Item]],supercb[Bairro],mercado1)</f>
        <v>0</v>
      </c>
      <c r="M275" s="4">
        <f>SUMIFS(super1[Qtde],super1[Item],tab_alimentos[[#This Row],[Item]],super1[Bairro],mercado2)+SUMIFS(supercb[Qtde],supercb[Item],tab_alimentos[[#This Row],[Item]],supercb[Bairro],mercado2)</f>
        <v>0</v>
      </c>
      <c r="N275" s="4">
        <f>SUMIFS(super1[Qtde],super1[Item],tab_alimentos[[#This Row],[Item]],super1[Bairro],mercado3)+SUMIFS(supercb[Qtde],supercb[Item],tab_alimentos[[#This Row],[Item]],supercb[Bairro],mercado3)</f>
        <v>0</v>
      </c>
      <c r="O275" s="4">
        <f>SUMIFS(super1[Qtde],super1[Item],tab_alimentos[[#This Row],[Item]],super1[Bairro],mercado4)+SUMIFS(supercb[Qtde],supercb[Item],tab_alimentos[[#This Row],[Item]],supercb[Bairro],mercado4)</f>
        <v>0</v>
      </c>
      <c r="P275" s="4">
        <f>SUMIFS(super1[Qtde],super1[Item],tab_alimentos[[#This Row],[Item]],super1[Bairro],mercado5)+SUMIFS(supercb[Qtde],supercb[Item],tab_alimentos[[#This Row],[Item]],supercb[Bairro],mercado5)</f>
        <v>0</v>
      </c>
      <c r="Q275" s="4">
        <f>SUMIFS(super1[Qtde],super1[Item],tab_alimentos[[#This Row],[Item]],super1[Bairro],mercado6)+SUMIFS(supercb[Qtde],supercb[Item],tab_alimentos[[#This Row],[Item]],supercb[Bairro],mercado6)</f>
        <v>0</v>
      </c>
      <c r="R275" s="4">
        <f>SUMIFS(super1[Qtde],super1[Item],tab_alimentos[[#This Row],[Item]],super1[Bairro],mercado7)+SUMIFS(supercb[Qtde],supercb[Item],tab_alimentos[[#This Row],[Item]],supercb[Bairro],mercado7)</f>
        <v>0</v>
      </c>
      <c r="S275" s="4">
        <f>SUMIFS(super1[Qtde],super1[Item],tab_alimentos[[#This Row],[Item]],super1[Bairro],mercado8)+SUMIFS(supercb[Qtde],supercb[Item],tab_alimentos[[#This Row],[Item]],supercb[Bairro],mercado8)</f>
        <v>0</v>
      </c>
      <c r="T275" s="4">
        <f>SUMIFS(super1[Qtde],super1[Item],tab_alimentos[[#This Row],[Item]],super1[Bairro],mercado9)+SUMIFS(supercb[Qtde],supercb[Item],tab_alimentos[[#This Row],[Item]],supercb[Bairro],mercado9)</f>
        <v>0</v>
      </c>
      <c r="U275" s="4">
        <f>SUMIFS(super1[Qtde],super1[Item],tab_alimentos[[#This Row],[Item]],super1[Bairro],mercado10)+SUMIFS(supercb[Qtde],supercb[Item],tab_alimentos[[#This Row],[Item]],supercb[Bairro],mercado10)</f>
        <v>0</v>
      </c>
      <c r="V275" s="4">
        <f>SUMIFS(super1[Qtde],super1[Item],tab_alimentos[[#This Row],[Item]],super1[Bairro],mercado11)+SUMIFS(supercb[Qtde],supercb[Item],tab_alimentos[[#This Row],[Item]],supercb[Bairro],mercado11)</f>
        <v>0</v>
      </c>
      <c r="W275" s="4">
        <f>SUMIFS(super1[Qtde],super1[Item],tab_alimentos[[#This Row],[Item]],super1[Bairro],mercado12)+SUMIFS(supercb[Qtde],supercb[Item],tab_alimentos[[#This Row],[Item]],supercb[Bairro],mercado12)</f>
        <v>0</v>
      </c>
      <c r="X275" s="4">
        <f>SUMIFS(super1[Qtde],super1[Item],tab_alimentos[[#This Row],[Item]],super1[Bairro],mercado13)+SUMIFS(supercb[Qtde],supercb[Item],tab_alimentos[[#This Row],[Item]],supercb[Bairro],mercado13)</f>
        <v>0</v>
      </c>
      <c r="Y275" s="4">
        <f>SUMIFS(super1[Qtde],super1[Item],tab_alimentos[[#This Row],[Item]],super1[Bairro],mercado14)+SUMIFS(supercb[Qtde],supercb[Item],tab_alimentos[[#This Row],[Item]],supercb[Bairro],mercado14)</f>
        <v>0</v>
      </c>
      <c r="Z275" s="4">
        <f>SUMIFS(super1[Qtde],super1[Item],tab_alimentos[[#This Row],[Item]],super1[Bairro],mercado15)+SUMIFS(supercb[Qtde],supercb[Item],tab_alimentos[[#This Row],[Item]],supercb[Bairro],mercado15)</f>
        <v>0</v>
      </c>
      <c r="AA275" s="4">
        <f>SUMIFS(super1[Qtde],super1[Item],tab_alimentos[[#This Row],[Item]],super1[Bairro],mercado16)+SUMIFS(supercb[Qtde],supercb[Item],tab_alimentos[[#This Row],[Item]],supercb[Bairro],mercado16)</f>
        <v>0</v>
      </c>
      <c r="AB275" s="4">
        <f>SUMIFS(super1[Qtde],super1[Item],tab_alimentos[[#This Row],[Item]],super1[Bairro],mercado17)+SUMIFS(supercb[Qtde],supercb[Item],tab_alimentos[[#This Row],[Item]],supercb[Bairro],mercado17)</f>
        <v>0</v>
      </c>
      <c r="AC275" s="4">
        <f>SUMIFS(super1[Qtde],super1[Item],tab_alimentos[[#This Row],[Item]],super1[Bairro],mercado18)+SUMIFS(supercb[Qtde],supercb[Item],tab_alimentos[[#This Row],[Item]],supercb[Bairro],mercado18)</f>
        <v>0</v>
      </c>
      <c r="AD275" s="4">
        <f>SUMIFS(super1[Qtde],super1[Item],tab_alimentos[[#This Row],[Item]],super1[Bairro],extras)+SUMIFS(supercb[Qtde],supercb[Item],tab_alimentos[[#This Row],[Item]],supercb[Bairro],extras)</f>
        <v>0</v>
      </c>
      <c r="AE275" s="4">
        <f t="shared" si="82"/>
        <v>0</v>
      </c>
      <c r="AF275" s="4">
        <f t="shared" si="83"/>
        <v>0</v>
      </c>
      <c r="AG275" s="6">
        <f t="shared" si="84"/>
        <v>0</v>
      </c>
      <c r="AH275" s="13" t="e">
        <f>higiene[[#This Row],[Item]]</f>
        <v>#VALUE!</v>
      </c>
      <c r="AI275" s="9">
        <f>IFERROR(higiene[[#This Row],[Kg equivalente]],0)</f>
        <v>0</v>
      </c>
      <c r="AJ275" s="9">
        <f>IFERROR(higiene[[#This Row],[Preço por produto]],0)</f>
        <v>0</v>
      </c>
      <c r="AK275" s="4">
        <f>SUMIFS(super1[Qtde],super1[Item],tab_higiene[[#This Row],[Item]],super1[Bairro],mercado1)+SUMIFS(supercb[Qtde],supercb[Item],tab_higiene[[#This Row],[Item]],supercb[Bairro],mercado1)</f>
        <v>0</v>
      </c>
      <c r="AL275" s="4">
        <f>SUMIFS(super1[Qtde],super1[Item],tab_higiene[[#This Row],[Item]],super1[Bairro],mercado2)+SUMIFS(supercb[Qtde],supercb[Item],tab_higiene[[#This Row],[Item]],supercb[Bairro],mercado2)</f>
        <v>0</v>
      </c>
      <c r="AM275" s="4">
        <f>SUMIFS(super1[Qtde],super1[Item],tab_higiene[[#This Row],[Item]],super1[Bairro],mercado3)+SUMIFS(supercb[Qtde],supercb[Item],tab_higiene[[#This Row],[Item]],supercb[Bairro],mercado3)</f>
        <v>0</v>
      </c>
      <c r="AN275" s="4">
        <f>SUMIFS(super1[Qtde],super1[Item],tab_higiene[[#This Row],[Item]],super1[Bairro],mercado4)+SUMIFS(supercb[Qtde],supercb[Item],tab_higiene[[#This Row],[Item]],supercb[Bairro],mercado4)</f>
        <v>0</v>
      </c>
      <c r="AO275" s="4">
        <f>SUMIFS(super1[Qtde],super1[Item],tab_higiene[[#This Row],[Item]],super1[Bairro],mercado5)+SUMIFS(supercb[Qtde],supercb[Item],tab_higiene[[#This Row],[Item]],supercb[Bairro],mercado5)</f>
        <v>0</v>
      </c>
      <c r="AP275" s="4">
        <f>SUMIFS(super1[Qtde],super1[Item],tab_higiene[[#This Row],[Item]],super1[Bairro],mercado6)+SUMIFS(supercb[Qtde],supercb[Item],tab_higiene[[#This Row],[Item]],supercb[Bairro],mercado6)</f>
        <v>0</v>
      </c>
      <c r="AQ275" s="4">
        <f>SUMIFS(super1[Qtde],super1[Item],tab_higiene[[#This Row],[Item]],super1[Bairro],mercado7)+SUMIFS(supercb[Qtde],supercb[Item],tab_higiene[[#This Row],[Item]],supercb[Bairro],mercado7)</f>
        <v>0</v>
      </c>
      <c r="AR275" s="4">
        <f>SUMIFS(super1[Qtde],super1[Item],tab_higiene[[#This Row],[Item]],super1[Bairro],mercado8)+SUMIFS(supercb[Qtde],supercb[Item],tab_higiene[[#This Row],[Item]],supercb[Bairro],mercado8)</f>
        <v>0</v>
      </c>
      <c r="AS275" s="4">
        <f>SUMIFS(super1[Qtde],super1[Item],tab_higiene[[#This Row],[Item]],super1[Bairro],mercado9)+SUMIFS(supercb[Qtde],supercb[Item],tab_higiene[[#This Row],[Item]],supercb[Bairro],mercado9)</f>
        <v>0</v>
      </c>
      <c r="AT275" s="4">
        <f>SUMIFS(super1[Qtde],super1[Item],tab_higiene[[#This Row],[Item]],super1[Bairro],mercado10)+SUMIFS(supercb[Qtde],supercb[Item],tab_higiene[[#This Row],[Item]],supercb[Bairro],mercado10)</f>
        <v>0</v>
      </c>
      <c r="AU275" s="4">
        <f>SUMIFS(super1[Qtde],super1[Item],tab_higiene[[#This Row],[Item]],super1[Bairro],mercado11)+SUMIFS(supercb[Qtde],supercb[Item],tab_higiene[[#This Row],[Item]],supercb[Bairro],mercado11)</f>
        <v>0</v>
      </c>
      <c r="AV275" s="4">
        <f>SUMIFS(super1[Qtde],super1[Item],tab_higiene[[#This Row],[Item]],super1[Bairro],mercado12)+SUMIFS(supercb[Qtde],supercb[Item],tab_higiene[[#This Row],[Item]],supercb[Bairro],mercado12)</f>
        <v>0</v>
      </c>
      <c r="AW275" s="4">
        <f>SUMIFS(super1[Qtde],super1[Item],tab_higiene[[#This Row],[Item]],super1[Bairro],mercado13)+SUMIFS(supercb[Qtde],supercb[Item],tab_higiene[[#This Row],[Item]],supercb[Bairro],mercado13)</f>
        <v>0</v>
      </c>
      <c r="AX275" s="4">
        <f>SUMIFS(super1[Qtde],super1[Item],tab_higiene[[#This Row],[Item]],super1[Bairro],mercado14)+SUMIFS(supercb[Qtde],supercb[Item],tab_higiene[[#This Row],[Item]],supercb[Bairro],mercado14)</f>
        <v>0</v>
      </c>
      <c r="AY275" s="4">
        <f>SUMIFS(super1[Qtde],super1[Item],tab_higiene[[#This Row],[Item]],super1[Bairro],mercado15)+SUMIFS(supercb[Qtde],supercb[Item],tab_higiene[[#This Row],[Item]],supercb[Bairro],mercado15)</f>
        <v>0</v>
      </c>
      <c r="AZ275" s="4">
        <f>SUMIFS(super1[Qtde],super1[Item],tab_higiene[[#This Row],[Item]],super1[Bairro],mercado16)+SUMIFS(supercb[Qtde],supercb[Item],tab_higiene[[#This Row],[Item]],supercb[Bairro],mercado16)</f>
        <v>0</v>
      </c>
      <c r="BA275" s="4">
        <f>SUMIFS(super1[Qtde],super1[Item],tab_higiene[[#This Row],[Item]],super1[Bairro],mercado17)+SUMIFS(supercb[Qtde],supercb[Item],tab_higiene[[#This Row],[Item]],supercb[Bairro],mercado17)</f>
        <v>0</v>
      </c>
      <c r="BB275" s="4">
        <f>SUMIFS(super1[Qtde],super1[Item],tab_higiene[[#This Row],[Item]],super1[Bairro],mercado18)+SUMIFS(supercb[Qtde],supercb[Item],tab_higiene[[#This Row],[Item]],supercb[Bairro],mercado18)</f>
        <v>0</v>
      </c>
      <c r="BC275" s="31">
        <f>SUMIFS(super1[Qtde],super1[Item],tab_higiene[[#This Row],[Item]],super1[Bairro],extras)+SUMIFS(supercb[Qtde],supercb[Item],tab_higiene[[#This Row],[Item]],supercb[Bairro],extras)</f>
        <v>0</v>
      </c>
      <c r="BD275" s="9">
        <f t="shared" si="85"/>
        <v>0</v>
      </c>
      <c r="BE275" s="9">
        <f t="shared" si="86"/>
        <v>0</v>
      </c>
      <c r="BF275" s="18">
        <f t="shared" si="87"/>
        <v>0</v>
      </c>
    </row>
    <row r="276" spans="9:58" ht="15.75" thickBot="1" x14ac:dyDescent="0.3">
      <c r="I276" s="19" t="str">
        <f>alimentos[[#This Row],[Item]]</f>
        <v>Ketchup (1kg)</v>
      </c>
      <c r="J276" s="4">
        <f>IFERROR(alimentos[[#This Row],[kg/embalagem]],0)</f>
        <v>1</v>
      </c>
      <c r="K276" s="4">
        <f>IFERROR(alimentos[[#This Row],[Preço]],0)</f>
        <v>20.2</v>
      </c>
      <c r="L276" s="4">
        <f>SUMIFS(super1[Qtde],super1[Item],tab_alimentos[[#This Row],[Item]],super1[Bairro],mercado1)+SUMIFS(supercb[Qtde],supercb[Item],tab_alimentos[[#This Row],[Item]],supercb[Bairro],mercado1)</f>
        <v>0</v>
      </c>
      <c r="M276" s="4">
        <f>SUMIFS(super1[Qtde],super1[Item],tab_alimentos[[#This Row],[Item]],super1[Bairro],mercado2)+SUMIFS(supercb[Qtde],supercb[Item],tab_alimentos[[#This Row],[Item]],supercb[Bairro],mercado2)</f>
        <v>0</v>
      </c>
      <c r="N276" s="4">
        <f>SUMIFS(super1[Qtde],super1[Item],tab_alimentos[[#This Row],[Item]],super1[Bairro],mercado3)+SUMIFS(supercb[Qtde],supercb[Item],tab_alimentos[[#This Row],[Item]],supercb[Bairro],mercado3)</f>
        <v>0</v>
      </c>
      <c r="O276" s="4">
        <f>SUMIFS(super1[Qtde],super1[Item],tab_alimentos[[#This Row],[Item]],super1[Bairro],mercado4)+SUMIFS(supercb[Qtde],supercb[Item],tab_alimentos[[#This Row],[Item]],supercb[Bairro],mercado4)</f>
        <v>0</v>
      </c>
      <c r="P276" s="4">
        <f>SUMIFS(super1[Qtde],super1[Item],tab_alimentos[[#This Row],[Item]],super1[Bairro],mercado5)+SUMIFS(supercb[Qtde],supercb[Item],tab_alimentos[[#This Row],[Item]],supercb[Bairro],mercado5)</f>
        <v>0</v>
      </c>
      <c r="Q276" s="4">
        <f>SUMIFS(super1[Qtde],super1[Item],tab_alimentos[[#This Row],[Item]],super1[Bairro],mercado6)+SUMIFS(supercb[Qtde],supercb[Item],tab_alimentos[[#This Row],[Item]],supercb[Bairro],mercado6)</f>
        <v>0</v>
      </c>
      <c r="R276" s="4">
        <f>SUMIFS(super1[Qtde],super1[Item],tab_alimentos[[#This Row],[Item]],super1[Bairro],mercado7)+SUMIFS(supercb[Qtde],supercb[Item],tab_alimentos[[#This Row],[Item]],supercb[Bairro],mercado7)</f>
        <v>0</v>
      </c>
      <c r="S276" s="4">
        <f>SUMIFS(super1[Qtde],super1[Item],tab_alimentos[[#This Row],[Item]],super1[Bairro],mercado8)+SUMIFS(supercb[Qtde],supercb[Item],tab_alimentos[[#This Row],[Item]],supercb[Bairro],mercado8)</f>
        <v>0</v>
      </c>
      <c r="T276" s="4">
        <f>SUMIFS(super1[Qtde],super1[Item],tab_alimentos[[#This Row],[Item]],super1[Bairro],mercado9)+SUMIFS(supercb[Qtde],supercb[Item],tab_alimentos[[#This Row],[Item]],supercb[Bairro],mercado9)</f>
        <v>0</v>
      </c>
      <c r="U276" s="4">
        <f>SUMIFS(super1[Qtde],super1[Item],tab_alimentos[[#This Row],[Item]],super1[Bairro],mercado10)+SUMIFS(supercb[Qtde],supercb[Item],tab_alimentos[[#This Row],[Item]],supercb[Bairro],mercado10)</f>
        <v>0</v>
      </c>
      <c r="V276" s="4">
        <f>SUMIFS(super1[Qtde],super1[Item],tab_alimentos[[#This Row],[Item]],super1[Bairro],mercado11)+SUMIFS(supercb[Qtde],supercb[Item],tab_alimentos[[#This Row],[Item]],supercb[Bairro],mercado11)</f>
        <v>0</v>
      </c>
      <c r="W276" s="4">
        <f>SUMIFS(super1[Qtde],super1[Item],tab_alimentos[[#This Row],[Item]],super1[Bairro],mercado12)+SUMIFS(supercb[Qtde],supercb[Item],tab_alimentos[[#This Row],[Item]],supercb[Bairro],mercado12)</f>
        <v>0</v>
      </c>
      <c r="X276" s="4">
        <f>SUMIFS(super1[Qtde],super1[Item],tab_alimentos[[#This Row],[Item]],super1[Bairro],mercado13)+SUMIFS(supercb[Qtde],supercb[Item],tab_alimentos[[#This Row],[Item]],supercb[Bairro],mercado13)</f>
        <v>0</v>
      </c>
      <c r="Y276" s="4">
        <f>SUMIFS(super1[Qtde],super1[Item],tab_alimentos[[#This Row],[Item]],super1[Bairro],mercado14)+SUMIFS(supercb[Qtde],supercb[Item],tab_alimentos[[#This Row],[Item]],supercb[Bairro],mercado14)</f>
        <v>0</v>
      </c>
      <c r="Z276" s="4">
        <f>SUMIFS(super1[Qtde],super1[Item],tab_alimentos[[#This Row],[Item]],super1[Bairro],mercado15)+SUMIFS(supercb[Qtde],supercb[Item],tab_alimentos[[#This Row],[Item]],supercb[Bairro],mercado15)</f>
        <v>0</v>
      </c>
      <c r="AA276" s="4">
        <f>SUMIFS(super1[Qtde],super1[Item],tab_alimentos[[#This Row],[Item]],super1[Bairro],mercado16)+SUMIFS(supercb[Qtde],supercb[Item],tab_alimentos[[#This Row],[Item]],supercb[Bairro],mercado16)</f>
        <v>0</v>
      </c>
      <c r="AB276" s="4">
        <f>SUMIFS(super1[Qtde],super1[Item],tab_alimentos[[#This Row],[Item]],super1[Bairro],mercado17)+SUMIFS(supercb[Qtde],supercb[Item],tab_alimentos[[#This Row],[Item]],supercb[Bairro],mercado17)</f>
        <v>0</v>
      </c>
      <c r="AC276" s="4">
        <f>SUMIFS(super1[Qtde],super1[Item],tab_alimentos[[#This Row],[Item]],super1[Bairro],mercado18)+SUMIFS(supercb[Qtde],supercb[Item],tab_alimentos[[#This Row],[Item]],supercb[Bairro],mercado18)</f>
        <v>0</v>
      </c>
      <c r="AD276" s="4">
        <f>SUMIFS(super1[Qtde],super1[Item],tab_alimentos[[#This Row],[Item]],super1[Bairro],extras)+SUMIFS(supercb[Qtde],supercb[Item],tab_alimentos[[#This Row],[Item]],supercb[Bairro],extras)</f>
        <v>0</v>
      </c>
      <c r="AE276" s="4">
        <f t="shared" ref="AE276:AE339" si="88">SUM(L276:AC276)</f>
        <v>0</v>
      </c>
      <c r="AF276" s="4">
        <f t="shared" ref="AF276:AF339" si="89">IFERROR(AE276*K276,0)</f>
        <v>0</v>
      </c>
      <c r="AG276" s="6">
        <f t="shared" ref="AG276:AG339" si="90">IFERROR(J276*AE276,0)</f>
        <v>0</v>
      </c>
      <c r="AH276" s="13" t="e">
        <f>higiene[[#This Row],[Item]]</f>
        <v>#VALUE!</v>
      </c>
      <c r="AI276" s="9">
        <f>IFERROR(higiene[[#This Row],[Kg equivalente]],0)</f>
        <v>0</v>
      </c>
      <c r="AJ276" s="9">
        <f>IFERROR(higiene[[#This Row],[Preço por produto]],0)</f>
        <v>0</v>
      </c>
      <c r="AK276" s="4">
        <f>SUMIFS(super1[Qtde],super1[Item],tab_higiene[[#This Row],[Item]],super1[Bairro],mercado1)+SUMIFS(supercb[Qtde],supercb[Item],tab_higiene[[#This Row],[Item]],supercb[Bairro],mercado1)</f>
        <v>0</v>
      </c>
      <c r="AL276" s="4">
        <f>SUMIFS(super1[Qtde],super1[Item],tab_higiene[[#This Row],[Item]],super1[Bairro],mercado2)+SUMIFS(supercb[Qtde],supercb[Item],tab_higiene[[#This Row],[Item]],supercb[Bairro],mercado2)</f>
        <v>0</v>
      </c>
      <c r="AM276" s="4">
        <f>SUMIFS(super1[Qtde],super1[Item],tab_higiene[[#This Row],[Item]],super1[Bairro],mercado3)+SUMIFS(supercb[Qtde],supercb[Item],tab_higiene[[#This Row],[Item]],supercb[Bairro],mercado3)</f>
        <v>0</v>
      </c>
      <c r="AN276" s="4">
        <f>SUMIFS(super1[Qtde],super1[Item],tab_higiene[[#This Row],[Item]],super1[Bairro],mercado4)+SUMIFS(supercb[Qtde],supercb[Item],tab_higiene[[#This Row],[Item]],supercb[Bairro],mercado4)</f>
        <v>0</v>
      </c>
      <c r="AO276" s="4">
        <f>SUMIFS(super1[Qtde],super1[Item],tab_higiene[[#This Row],[Item]],super1[Bairro],mercado5)+SUMIFS(supercb[Qtde],supercb[Item],tab_higiene[[#This Row],[Item]],supercb[Bairro],mercado5)</f>
        <v>0</v>
      </c>
      <c r="AP276" s="4">
        <f>SUMIFS(super1[Qtde],super1[Item],tab_higiene[[#This Row],[Item]],super1[Bairro],mercado6)+SUMIFS(supercb[Qtde],supercb[Item],tab_higiene[[#This Row],[Item]],supercb[Bairro],mercado6)</f>
        <v>0</v>
      </c>
      <c r="AQ276" s="4">
        <f>SUMIFS(super1[Qtde],super1[Item],tab_higiene[[#This Row],[Item]],super1[Bairro],mercado7)+SUMIFS(supercb[Qtde],supercb[Item],tab_higiene[[#This Row],[Item]],supercb[Bairro],mercado7)</f>
        <v>0</v>
      </c>
      <c r="AR276" s="4">
        <f>SUMIFS(super1[Qtde],super1[Item],tab_higiene[[#This Row],[Item]],super1[Bairro],mercado8)+SUMIFS(supercb[Qtde],supercb[Item],tab_higiene[[#This Row],[Item]],supercb[Bairro],mercado8)</f>
        <v>0</v>
      </c>
      <c r="AS276" s="4">
        <f>SUMIFS(super1[Qtde],super1[Item],tab_higiene[[#This Row],[Item]],super1[Bairro],mercado9)+SUMIFS(supercb[Qtde],supercb[Item],tab_higiene[[#This Row],[Item]],supercb[Bairro],mercado9)</f>
        <v>0</v>
      </c>
      <c r="AT276" s="4">
        <f>SUMIFS(super1[Qtde],super1[Item],tab_higiene[[#This Row],[Item]],super1[Bairro],mercado10)+SUMIFS(supercb[Qtde],supercb[Item],tab_higiene[[#This Row],[Item]],supercb[Bairro],mercado10)</f>
        <v>0</v>
      </c>
      <c r="AU276" s="4">
        <f>SUMIFS(super1[Qtde],super1[Item],tab_higiene[[#This Row],[Item]],super1[Bairro],mercado11)+SUMIFS(supercb[Qtde],supercb[Item],tab_higiene[[#This Row],[Item]],supercb[Bairro],mercado11)</f>
        <v>0</v>
      </c>
      <c r="AV276" s="4">
        <f>SUMIFS(super1[Qtde],super1[Item],tab_higiene[[#This Row],[Item]],super1[Bairro],mercado12)+SUMIFS(supercb[Qtde],supercb[Item],tab_higiene[[#This Row],[Item]],supercb[Bairro],mercado12)</f>
        <v>0</v>
      </c>
      <c r="AW276" s="4">
        <f>SUMIFS(super1[Qtde],super1[Item],tab_higiene[[#This Row],[Item]],super1[Bairro],mercado13)+SUMIFS(supercb[Qtde],supercb[Item],tab_higiene[[#This Row],[Item]],supercb[Bairro],mercado13)</f>
        <v>0</v>
      </c>
      <c r="AX276" s="4">
        <f>SUMIFS(super1[Qtde],super1[Item],tab_higiene[[#This Row],[Item]],super1[Bairro],mercado14)+SUMIFS(supercb[Qtde],supercb[Item],tab_higiene[[#This Row],[Item]],supercb[Bairro],mercado14)</f>
        <v>0</v>
      </c>
      <c r="AY276" s="4">
        <f>SUMIFS(super1[Qtde],super1[Item],tab_higiene[[#This Row],[Item]],super1[Bairro],mercado15)+SUMIFS(supercb[Qtde],supercb[Item],tab_higiene[[#This Row],[Item]],supercb[Bairro],mercado15)</f>
        <v>0</v>
      </c>
      <c r="AZ276" s="4">
        <f>SUMIFS(super1[Qtde],super1[Item],tab_higiene[[#This Row],[Item]],super1[Bairro],mercado16)+SUMIFS(supercb[Qtde],supercb[Item],tab_higiene[[#This Row],[Item]],supercb[Bairro],mercado16)</f>
        <v>0</v>
      </c>
      <c r="BA276" s="4">
        <f>SUMIFS(super1[Qtde],super1[Item],tab_higiene[[#This Row],[Item]],super1[Bairro],mercado17)+SUMIFS(supercb[Qtde],supercb[Item],tab_higiene[[#This Row],[Item]],supercb[Bairro],mercado17)</f>
        <v>0</v>
      </c>
      <c r="BB276" s="4">
        <f>SUMIFS(super1[Qtde],super1[Item],tab_higiene[[#This Row],[Item]],super1[Bairro],mercado18)+SUMIFS(supercb[Qtde],supercb[Item],tab_higiene[[#This Row],[Item]],supercb[Bairro],mercado18)</f>
        <v>0</v>
      </c>
      <c r="BC276" s="31">
        <f>SUMIFS(super1[Qtde],super1[Item],tab_higiene[[#This Row],[Item]],super1[Bairro],extras)+SUMIFS(supercb[Qtde],supercb[Item],tab_higiene[[#This Row],[Item]],supercb[Bairro],extras)</f>
        <v>0</v>
      </c>
      <c r="BD276" s="9">
        <f t="shared" si="85"/>
        <v>0</v>
      </c>
      <c r="BE276" s="9">
        <f t="shared" si="86"/>
        <v>0</v>
      </c>
      <c r="BF276" s="18">
        <f t="shared" si="87"/>
        <v>0</v>
      </c>
    </row>
    <row r="277" spans="9:58" ht="15.75" thickBot="1" x14ac:dyDescent="0.3">
      <c r="I277" s="19" t="str">
        <f>alimentos[[#This Row],[Item]]</f>
        <v>Ketchup (400g)</v>
      </c>
      <c r="J277" s="4">
        <f>IFERROR(alimentos[[#This Row],[kg/embalagem]],0)</f>
        <v>0.4</v>
      </c>
      <c r="K277" s="4">
        <f>IFERROR(alimentos[[#This Row],[Preço]],0)</f>
        <v>6.7</v>
      </c>
      <c r="L277" s="4">
        <f>SUMIFS(super1[Qtde],super1[Item],tab_alimentos[[#This Row],[Item]],super1[Bairro],mercado1)+SUMIFS(supercb[Qtde],supercb[Item],tab_alimentos[[#This Row],[Item]],supercb[Bairro],mercado1)</f>
        <v>0</v>
      </c>
      <c r="M277" s="4">
        <f>SUMIFS(super1[Qtde],super1[Item],tab_alimentos[[#This Row],[Item]],super1[Bairro],mercado2)+SUMIFS(supercb[Qtde],supercb[Item],tab_alimentos[[#This Row],[Item]],supercb[Bairro],mercado2)</f>
        <v>0</v>
      </c>
      <c r="N277" s="4">
        <f>SUMIFS(super1[Qtde],super1[Item],tab_alimentos[[#This Row],[Item]],super1[Bairro],mercado3)+SUMIFS(supercb[Qtde],supercb[Item],tab_alimentos[[#This Row],[Item]],supercb[Bairro],mercado3)</f>
        <v>0</v>
      </c>
      <c r="O277" s="4">
        <f>SUMIFS(super1[Qtde],super1[Item],tab_alimentos[[#This Row],[Item]],super1[Bairro],mercado4)+SUMIFS(supercb[Qtde],supercb[Item],tab_alimentos[[#This Row],[Item]],supercb[Bairro],mercado4)</f>
        <v>0</v>
      </c>
      <c r="P277" s="4">
        <f>SUMIFS(super1[Qtde],super1[Item],tab_alimentos[[#This Row],[Item]],super1[Bairro],mercado5)+SUMIFS(supercb[Qtde],supercb[Item],tab_alimentos[[#This Row],[Item]],supercb[Bairro],mercado5)</f>
        <v>0</v>
      </c>
      <c r="Q277" s="4">
        <f>SUMIFS(super1[Qtde],super1[Item],tab_alimentos[[#This Row],[Item]],super1[Bairro],mercado6)+SUMIFS(supercb[Qtde],supercb[Item],tab_alimentos[[#This Row],[Item]],supercb[Bairro],mercado6)</f>
        <v>0</v>
      </c>
      <c r="R277" s="4">
        <f>SUMIFS(super1[Qtde],super1[Item],tab_alimentos[[#This Row],[Item]],super1[Bairro],mercado7)+SUMIFS(supercb[Qtde],supercb[Item],tab_alimentos[[#This Row],[Item]],supercb[Bairro],mercado7)</f>
        <v>0</v>
      </c>
      <c r="S277" s="4">
        <f>SUMIFS(super1[Qtde],super1[Item],tab_alimentos[[#This Row],[Item]],super1[Bairro],mercado8)+SUMIFS(supercb[Qtde],supercb[Item],tab_alimentos[[#This Row],[Item]],supercb[Bairro],mercado8)</f>
        <v>0</v>
      </c>
      <c r="T277" s="4">
        <f>SUMIFS(super1[Qtde],super1[Item],tab_alimentos[[#This Row],[Item]],super1[Bairro],mercado9)+SUMIFS(supercb[Qtde],supercb[Item],tab_alimentos[[#This Row],[Item]],supercb[Bairro],mercado9)</f>
        <v>0</v>
      </c>
      <c r="U277" s="4">
        <f>SUMIFS(super1[Qtde],super1[Item],tab_alimentos[[#This Row],[Item]],super1[Bairro],mercado10)+SUMIFS(supercb[Qtde],supercb[Item],tab_alimentos[[#This Row],[Item]],supercb[Bairro],mercado10)</f>
        <v>0</v>
      </c>
      <c r="V277" s="4">
        <f>SUMIFS(super1[Qtde],super1[Item],tab_alimentos[[#This Row],[Item]],super1[Bairro],mercado11)+SUMIFS(supercb[Qtde],supercb[Item],tab_alimentos[[#This Row],[Item]],supercb[Bairro],mercado11)</f>
        <v>0</v>
      </c>
      <c r="W277" s="4">
        <f>SUMIFS(super1[Qtde],super1[Item],tab_alimentos[[#This Row],[Item]],super1[Bairro],mercado12)+SUMIFS(supercb[Qtde],supercb[Item],tab_alimentos[[#This Row],[Item]],supercb[Bairro],mercado12)</f>
        <v>0</v>
      </c>
      <c r="X277" s="4">
        <f>SUMIFS(super1[Qtde],super1[Item],tab_alimentos[[#This Row],[Item]],super1[Bairro],mercado13)+SUMIFS(supercb[Qtde],supercb[Item],tab_alimentos[[#This Row],[Item]],supercb[Bairro],mercado13)</f>
        <v>0</v>
      </c>
      <c r="Y277" s="4">
        <f>SUMIFS(super1[Qtde],super1[Item],tab_alimentos[[#This Row],[Item]],super1[Bairro],mercado14)+SUMIFS(supercb[Qtde],supercb[Item],tab_alimentos[[#This Row],[Item]],supercb[Bairro],mercado14)</f>
        <v>0</v>
      </c>
      <c r="Z277" s="4">
        <f>SUMIFS(super1[Qtde],super1[Item],tab_alimentos[[#This Row],[Item]],super1[Bairro],mercado15)+SUMIFS(supercb[Qtde],supercb[Item],tab_alimentos[[#This Row],[Item]],supercb[Bairro],mercado15)</f>
        <v>0</v>
      </c>
      <c r="AA277" s="4">
        <f>SUMIFS(super1[Qtde],super1[Item],tab_alimentos[[#This Row],[Item]],super1[Bairro],mercado16)+SUMIFS(supercb[Qtde],supercb[Item],tab_alimentos[[#This Row],[Item]],supercb[Bairro],mercado16)</f>
        <v>0</v>
      </c>
      <c r="AB277" s="4">
        <f>SUMIFS(super1[Qtde],super1[Item],tab_alimentos[[#This Row],[Item]],super1[Bairro],mercado17)+SUMIFS(supercb[Qtde],supercb[Item],tab_alimentos[[#This Row],[Item]],supercb[Bairro],mercado17)</f>
        <v>0</v>
      </c>
      <c r="AC277" s="4">
        <f>SUMIFS(super1[Qtde],super1[Item],tab_alimentos[[#This Row],[Item]],super1[Bairro],mercado18)+SUMIFS(supercb[Qtde],supercb[Item],tab_alimentos[[#This Row],[Item]],supercb[Bairro],mercado18)</f>
        <v>0</v>
      </c>
      <c r="AD277" s="4">
        <f>SUMIFS(super1[Qtde],super1[Item],tab_alimentos[[#This Row],[Item]],super1[Bairro],extras)+SUMIFS(supercb[Qtde],supercb[Item],tab_alimentos[[#This Row],[Item]],supercb[Bairro],extras)</f>
        <v>0</v>
      </c>
      <c r="AE277" s="4">
        <f t="shared" si="88"/>
        <v>0</v>
      </c>
      <c r="AF277" s="4">
        <f t="shared" si="89"/>
        <v>0</v>
      </c>
      <c r="AG277" s="6">
        <f t="shared" si="90"/>
        <v>0</v>
      </c>
      <c r="AH277" s="13" t="e">
        <f>higiene[[#This Row],[Item]]</f>
        <v>#VALUE!</v>
      </c>
      <c r="AI277" s="9">
        <f>IFERROR(higiene[[#This Row],[Kg equivalente]],0)</f>
        <v>0</v>
      </c>
      <c r="AJ277" s="9">
        <f>IFERROR(higiene[[#This Row],[Preço por produto]],0)</f>
        <v>0</v>
      </c>
      <c r="AK277" s="4">
        <f>SUMIFS(super1[Qtde],super1[Item],tab_higiene[[#This Row],[Item]],super1[Bairro],mercado1)+SUMIFS(supercb[Qtde],supercb[Item],tab_higiene[[#This Row],[Item]],supercb[Bairro],mercado1)</f>
        <v>0</v>
      </c>
      <c r="AL277" s="4">
        <f>SUMIFS(super1[Qtde],super1[Item],tab_higiene[[#This Row],[Item]],super1[Bairro],mercado2)+SUMIFS(supercb[Qtde],supercb[Item],tab_higiene[[#This Row],[Item]],supercb[Bairro],mercado2)</f>
        <v>0</v>
      </c>
      <c r="AM277" s="4">
        <f>SUMIFS(super1[Qtde],super1[Item],tab_higiene[[#This Row],[Item]],super1[Bairro],mercado3)+SUMIFS(supercb[Qtde],supercb[Item],tab_higiene[[#This Row],[Item]],supercb[Bairro],mercado3)</f>
        <v>0</v>
      </c>
      <c r="AN277" s="4">
        <f>SUMIFS(super1[Qtde],super1[Item],tab_higiene[[#This Row],[Item]],super1[Bairro],mercado4)+SUMIFS(supercb[Qtde],supercb[Item],tab_higiene[[#This Row],[Item]],supercb[Bairro],mercado4)</f>
        <v>0</v>
      </c>
      <c r="AO277" s="4">
        <f>SUMIFS(super1[Qtde],super1[Item],tab_higiene[[#This Row],[Item]],super1[Bairro],mercado5)+SUMIFS(supercb[Qtde],supercb[Item],tab_higiene[[#This Row],[Item]],supercb[Bairro],mercado5)</f>
        <v>0</v>
      </c>
      <c r="AP277" s="4">
        <f>SUMIFS(super1[Qtde],super1[Item],tab_higiene[[#This Row],[Item]],super1[Bairro],mercado6)+SUMIFS(supercb[Qtde],supercb[Item],tab_higiene[[#This Row],[Item]],supercb[Bairro],mercado6)</f>
        <v>0</v>
      </c>
      <c r="AQ277" s="4">
        <f>SUMIFS(super1[Qtde],super1[Item],tab_higiene[[#This Row],[Item]],super1[Bairro],mercado7)+SUMIFS(supercb[Qtde],supercb[Item],tab_higiene[[#This Row],[Item]],supercb[Bairro],mercado7)</f>
        <v>0</v>
      </c>
      <c r="AR277" s="4">
        <f>SUMIFS(super1[Qtde],super1[Item],tab_higiene[[#This Row],[Item]],super1[Bairro],mercado8)+SUMIFS(supercb[Qtde],supercb[Item],tab_higiene[[#This Row],[Item]],supercb[Bairro],mercado8)</f>
        <v>0</v>
      </c>
      <c r="AS277" s="4">
        <f>SUMIFS(super1[Qtde],super1[Item],tab_higiene[[#This Row],[Item]],super1[Bairro],mercado9)+SUMIFS(supercb[Qtde],supercb[Item],tab_higiene[[#This Row],[Item]],supercb[Bairro],mercado9)</f>
        <v>0</v>
      </c>
      <c r="AT277" s="4">
        <f>SUMIFS(super1[Qtde],super1[Item],tab_higiene[[#This Row],[Item]],super1[Bairro],mercado10)+SUMIFS(supercb[Qtde],supercb[Item],tab_higiene[[#This Row],[Item]],supercb[Bairro],mercado10)</f>
        <v>0</v>
      </c>
      <c r="AU277" s="4">
        <f>SUMIFS(super1[Qtde],super1[Item],tab_higiene[[#This Row],[Item]],super1[Bairro],mercado11)+SUMIFS(supercb[Qtde],supercb[Item],tab_higiene[[#This Row],[Item]],supercb[Bairro],mercado11)</f>
        <v>0</v>
      </c>
      <c r="AV277" s="4">
        <f>SUMIFS(super1[Qtde],super1[Item],tab_higiene[[#This Row],[Item]],super1[Bairro],mercado12)+SUMIFS(supercb[Qtde],supercb[Item],tab_higiene[[#This Row],[Item]],supercb[Bairro],mercado12)</f>
        <v>0</v>
      </c>
      <c r="AW277" s="4">
        <f>SUMIFS(super1[Qtde],super1[Item],tab_higiene[[#This Row],[Item]],super1[Bairro],mercado13)+SUMIFS(supercb[Qtde],supercb[Item],tab_higiene[[#This Row],[Item]],supercb[Bairro],mercado13)</f>
        <v>0</v>
      </c>
      <c r="AX277" s="4">
        <f>SUMIFS(super1[Qtde],super1[Item],tab_higiene[[#This Row],[Item]],super1[Bairro],mercado14)+SUMIFS(supercb[Qtde],supercb[Item],tab_higiene[[#This Row],[Item]],supercb[Bairro],mercado14)</f>
        <v>0</v>
      </c>
      <c r="AY277" s="4">
        <f>SUMIFS(super1[Qtde],super1[Item],tab_higiene[[#This Row],[Item]],super1[Bairro],mercado15)+SUMIFS(supercb[Qtde],supercb[Item],tab_higiene[[#This Row],[Item]],supercb[Bairro],mercado15)</f>
        <v>0</v>
      </c>
      <c r="AZ277" s="4">
        <f>SUMIFS(super1[Qtde],super1[Item],tab_higiene[[#This Row],[Item]],super1[Bairro],mercado16)+SUMIFS(supercb[Qtde],supercb[Item],tab_higiene[[#This Row],[Item]],supercb[Bairro],mercado16)</f>
        <v>0</v>
      </c>
      <c r="BA277" s="4">
        <f>SUMIFS(super1[Qtde],super1[Item],tab_higiene[[#This Row],[Item]],super1[Bairro],mercado17)+SUMIFS(supercb[Qtde],supercb[Item],tab_higiene[[#This Row],[Item]],supercb[Bairro],mercado17)</f>
        <v>0</v>
      </c>
      <c r="BB277" s="4">
        <f>SUMIFS(super1[Qtde],super1[Item],tab_higiene[[#This Row],[Item]],super1[Bairro],mercado18)+SUMIFS(supercb[Qtde],supercb[Item],tab_higiene[[#This Row],[Item]],supercb[Bairro],mercado18)</f>
        <v>0</v>
      </c>
      <c r="BC277" s="31">
        <f>SUMIFS(super1[Qtde],super1[Item],tab_higiene[[#This Row],[Item]],super1[Bairro],extras)+SUMIFS(supercb[Qtde],supercb[Item],tab_higiene[[#This Row],[Item]],supercb[Bairro],extras)</f>
        <v>0</v>
      </c>
      <c r="BD277" s="9">
        <f t="shared" si="85"/>
        <v>0</v>
      </c>
      <c r="BE277" s="9">
        <f t="shared" si="86"/>
        <v>0</v>
      </c>
      <c r="BF277" s="18">
        <f t="shared" si="87"/>
        <v>0</v>
      </c>
    </row>
    <row r="278" spans="9:58" ht="15.75" thickBot="1" x14ac:dyDescent="0.3">
      <c r="I278" s="19" t="str">
        <f>alimentos[[#This Row],[Item]]</f>
        <v>Kibe (500g)</v>
      </c>
      <c r="J278" s="4">
        <f>IFERROR(alimentos[[#This Row],[kg/embalagem]],0)</f>
        <v>0.5</v>
      </c>
      <c r="K278" s="4">
        <f>IFERROR(alimentos[[#This Row],[Preço]],0)</f>
        <v>18.989999999999998</v>
      </c>
      <c r="L278" s="4">
        <f>SUMIFS(super1[Qtde],super1[Item],tab_alimentos[[#This Row],[Item]],super1[Bairro],mercado1)+SUMIFS(supercb[Qtde],supercb[Item],tab_alimentos[[#This Row],[Item]],supercb[Bairro],mercado1)</f>
        <v>0</v>
      </c>
      <c r="M278" s="4">
        <f>SUMIFS(super1[Qtde],super1[Item],tab_alimentos[[#This Row],[Item]],super1[Bairro],mercado2)+SUMIFS(supercb[Qtde],supercb[Item],tab_alimentos[[#This Row],[Item]],supercb[Bairro],mercado2)</f>
        <v>0</v>
      </c>
      <c r="N278" s="4">
        <f>SUMIFS(super1[Qtde],super1[Item],tab_alimentos[[#This Row],[Item]],super1[Bairro],mercado3)+SUMIFS(supercb[Qtde],supercb[Item],tab_alimentos[[#This Row],[Item]],supercb[Bairro],mercado3)</f>
        <v>0</v>
      </c>
      <c r="O278" s="4">
        <f>SUMIFS(super1[Qtde],super1[Item],tab_alimentos[[#This Row],[Item]],super1[Bairro],mercado4)+SUMIFS(supercb[Qtde],supercb[Item],tab_alimentos[[#This Row],[Item]],supercb[Bairro],mercado4)</f>
        <v>0</v>
      </c>
      <c r="P278" s="4">
        <f>SUMIFS(super1[Qtde],super1[Item],tab_alimentos[[#This Row],[Item]],super1[Bairro],mercado5)+SUMIFS(supercb[Qtde],supercb[Item],tab_alimentos[[#This Row],[Item]],supercb[Bairro],mercado5)</f>
        <v>0</v>
      </c>
      <c r="Q278" s="4">
        <f>SUMIFS(super1[Qtde],super1[Item],tab_alimentos[[#This Row],[Item]],super1[Bairro],mercado6)+SUMIFS(supercb[Qtde],supercb[Item],tab_alimentos[[#This Row],[Item]],supercb[Bairro],mercado6)</f>
        <v>0</v>
      </c>
      <c r="R278" s="4">
        <f>SUMIFS(super1[Qtde],super1[Item],tab_alimentos[[#This Row],[Item]],super1[Bairro],mercado7)+SUMIFS(supercb[Qtde],supercb[Item],tab_alimentos[[#This Row],[Item]],supercb[Bairro],mercado7)</f>
        <v>0</v>
      </c>
      <c r="S278" s="4">
        <f>SUMIFS(super1[Qtde],super1[Item],tab_alimentos[[#This Row],[Item]],super1[Bairro],mercado8)+SUMIFS(supercb[Qtde],supercb[Item],tab_alimentos[[#This Row],[Item]],supercb[Bairro],mercado8)</f>
        <v>0</v>
      </c>
      <c r="T278" s="4">
        <f>SUMIFS(super1[Qtde],super1[Item],tab_alimentos[[#This Row],[Item]],super1[Bairro],mercado9)+SUMIFS(supercb[Qtde],supercb[Item],tab_alimentos[[#This Row],[Item]],supercb[Bairro],mercado9)</f>
        <v>0</v>
      </c>
      <c r="U278" s="4">
        <f>SUMIFS(super1[Qtde],super1[Item],tab_alimentos[[#This Row],[Item]],super1[Bairro],mercado10)+SUMIFS(supercb[Qtde],supercb[Item],tab_alimentos[[#This Row],[Item]],supercb[Bairro],mercado10)</f>
        <v>0</v>
      </c>
      <c r="V278" s="4">
        <f>SUMIFS(super1[Qtde],super1[Item],tab_alimentos[[#This Row],[Item]],super1[Bairro],mercado11)+SUMIFS(supercb[Qtde],supercb[Item],tab_alimentos[[#This Row],[Item]],supercb[Bairro],mercado11)</f>
        <v>0</v>
      </c>
      <c r="W278" s="4">
        <f>SUMIFS(super1[Qtde],super1[Item],tab_alimentos[[#This Row],[Item]],super1[Bairro],mercado12)+SUMIFS(supercb[Qtde],supercb[Item],tab_alimentos[[#This Row],[Item]],supercb[Bairro],mercado12)</f>
        <v>0</v>
      </c>
      <c r="X278" s="4">
        <f>SUMIFS(super1[Qtde],super1[Item],tab_alimentos[[#This Row],[Item]],super1[Bairro],mercado13)+SUMIFS(supercb[Qtde],supercb[Item],tab_alimentos[[#This Row],[Item]],supercb[Bairro],mercado13)</f>
        <v>0</v>
      </c>
      <c r="Y278" s="4">
        <f>SUMIFS(super1[Qtde],super1[Item],tab_alimentos[[#This Row],[Item]],super1[Bairro],mercado14)+SUMIFS(supercb[Qtde],supercb[Item],tab_alimentos[[#This Row],[Item]],supercb[Bairro],mercado14)</f>
        <v>0</v>
      </c>
      <c r="Z278" s="4">
        <f>SUMIFS(super1[Qtde],super1[Item],tab_alimentos[[#This Row],[Item]],super1[Bairro],mercado15)+SUMIFS(supercb[Qtde],supercb[Item],tab_alimentos[[#This Row],[Item]],supercb[Bairro],mercado15)</f>
        <v>0</v>
      </c>
      <c r="AA278" s="4">
        <f>SUMIFS(super1[Qtde],super1[Item],tab_alimentos[[#This Row],[Item]],super1[Bairro],mercado16)+SUMIFS(supercb[Qtde],supercb[Item],tab_alimentos[[#This Row],[Item]],supercb[Bairro],mercado16)</f>
        <v>0</v>
      </c>
      <c r="AB278" s="4">
        <f>SUMIFS(super1[Qtde],super1[Item],tab_alimentos[[#This Row],[Item]],super1[Bairro],mercado17)+SUMIFS(supercb[Qtde],supercb[Item],tab_alimentos[[#This Row],[Item]],supercb[Bairro],mercado17)</f>
        <v>0</v>
      </c>
      <c r="AC278" s="4">
        <f>SUMIFS(super1[Qtde],super1[Item],tab_alimentos[[#This Row],[Item]],super1[Bairro],mercado18)+SUMIFS(supercb[Qtde],supercb[Item],tab_alimentos[[#This Row],[Item]],supercb[Bairro],mercado18)</f>
        <v>0</v>
      </c>
      <c r="AD278" s="4">
        <f>SUMIFS(super1[Qtde],super1[Item],tab_alimentos[[#This Row],[Item]],super1[Bairro],extras)+SUMIFS(supercb[Qtde],supercb[Item],tab_alimentos[[#This Row],[Item]],supercb[Bairro],extras)</f>
        <v>0</v>
      </c>
      <c r="AE278" s="4">
        <f t="shared" si="88"/>
        <v>0</v>
      </c>
      <c r="AF278" s="4">
        <f t="shared" si="89"/>
        <v>0</v>
      </c>
      <c r="AG278" s="6">
        <f t="shared" si="90"/>
        <v>0</v>
      </c>
      <c r="AH278" s="13" t="e">
        <f>higiene[[#This Row],[Item]]</f>
        <v>#VALUE!</v>
      </c>
      <c r="AI278" s="9">
        <f>IFERROR(higiene[[#This Row],[Kg equivalente]],0)</f>
        <v>0</v>
      </c>
      <c r="AJ278" s="9">
        <f>IFERROR(higiene[[#This Row],[Preço por produto]],0)</f>
        <v>0</v>
      </c>
      <c r="AK278" s="4">
        <f>SUMIFS(super1[Qtde],super1[Item],tab_higiene[[#This Row],[Item]],super1[Bairro],mercado1)+SUMIFS(supercb[Qtde],supercb[Item],tab_higiene[[#This Row],[Item]],supercb[Bairro],mercado1)</f>
        <v>0</v>
      </c>
      <c r="AL278" s="4">
        <f>SUMIFS(super1[Qtde],super1[Item],tab_higiene[[#This Row],[Item]],super1[Bairro],mercado2)+SUMIFS(supercb[Qtde],supercb[Item],tab_higiene[[#This Row],[Item]],supercb[Bairro],mercado2)</f>
        <v>0</v>
      </c>
      <c r="AM278" s="4">
        <f>SUMIFS(super1[Qtde],super1[Item],tab_higiene[[#This Row],[Item]],super1[Bairro],mercado3)+SUMIFS(supercb[Qtde],supercb[Item],tab_higiene[[#This Row],[Item]],supercb[Bairro],mercado3)</f>
        <v>0</v>
      </c>
      <c r="AN278" s="4">
        <f>SUMIFS(super1[Qtde],super1[Item],tab_higiene[[#This Row],[Item]],super1[Bairro],mercado4)+SUMIFS(supercb[Qtde],supercb[Item],tab_higiene[[#This Row],[Item]],supercb[Bairro],mercado4)</f>
        <v>0</v>
      </c>
      <c r="AO278" s="4">
        <f>SUMIFS(super1[Qtde],super1[Item],tab_higiene[[#This Row],[Item]],super1[Bairro],mercado5)+SUMIFS(supercb[Qtde],supercb[Item],tab_higiene[[#This Row],[Item]],supercb[Bairro],mercado5)</f>
        <v>0</v>
      </c>
      <c r="AP278" s="4">
        <f>SUMIFS(super1[Qtde],super1[Item],tab_higiene[[#This Row],[Item]],super1[Bairro],mercado6)+SUMIFS(supercb[Qtde],supercb[Item],tab_higiene[[#This Row],[Item]],supercb[Bairro],mercado6)</f>
        <v>0</v>
      </c>
      <c r="AQ278" s="4">
        <f>SUMIFS(super1[Qtde],super1[Item],tab_higiene[[#This Row],[Item]],super1[Bairro],mercado7)+SUMIFS(supercb[Qtde],supercb[Item],tab_higiene[[#This Row],[Item]],supercb[Bairro],mercado7)</f>
        <v>0</v>
      </c>
      <c r="AR278" s="4">
        <f>SUMIFS(super1[Qtde],super1[Item],tab_higiene[[#This Row],[Item]],super1[Bairro],mercado8)+SUMIFS(supercb[Qtde],supercb[Item],tab_higiene[[#This Row],[Item]],supercb[Bairro],mercado8)</f>
        <v>0</v>
      </c>
      <c r="AS278" s="4">
        <f>SUMIFS(super1[Qtde],super1[Item],tab_higiene[[#This Row],[Item]],super1[Bairro],mercado9)+SUMIFS(supercb[Qtde],supercb[Item],tab_higiene[[#This Row],[Item]],supercb[Bairro],mercado9)</f>
        <v>0</v>
      </c>
      <c r="AT278" s="4">
        <f>SUMIFS(super1[Qtde],super1[Item],tab_higiene[[#This Row],[Item]],super1[Bairro],mercado10)+SUMIFS(supercb[Qtde],supercb[Item],tab_higiene[[#This Row],[Item]],supercb[Bairro],mercado10)</f>
        <v>0</v>
      </c>
      <c r="AU278" s="4">
        <f>SUMIFS(super1[Qtde],super1[Item],tab_higiene[[#This Row],[Item]],super1[Bairro],mercado11)+SUMIFS(supercb[Qtde],supercb[Item],tab_higiene[[#This Row],[Item]],supercb[Bairro],mercado11)</f>
        <v>0</v>
      </c>
      <c r="AV278" s="4">
        <f>SUMIFS(super1[Qtde],super1[Item],tab_higiene[[#This Row],[Item]],super1[Bairro],mercado12)+SUMIFS(supercb[Qtde],supercb[Item],tab_higiene[[#This Row],[Item]],supercb[Bairro],mercado12)</f>
        <v>0</v>
      </c>
      <c r="AW278" s="4">
        <f>SUMIFS(super1[Qtde],super1[Item],tab_higiene[[#This Row],[Item]],super1[Bairro],mercado13)+SUMIFS(supercb[Qtde],supercb[Item],tab_higiene[[#This Row],[Item]],supercb[Bairro],mercado13)</f>
        <v>0</v>
      </c>
      <c r="AX278" s="4">
        <f>SUMIFS(super1[Qtde],super1[Item],tab_higiene[[#This Row],[Item]],super1[Bairro],mercado14)+SUMIFS(supercb[Qtde],supercb[Item],tab_higiene[[#This Row],[Item]],supercb[Bairro],mercado14)</f>
        <v>0</v>
      </c>
      <c r="AY278" s="4">
        <f>SUMIFS(super1[Qtde],super1[Item],tab_higiene[[#This Row],[Item]],super1[Bairro],mercado15)+SUMIFS(supercb[Qtde],supercb[Item],tab_higiene[[#This Row],[Item]],supercb[Bairro],mercado15)</f>
        <v>0</v>
      </c>
      <c r="AZ278" s="4">
        <f>SUMIFS(super1[Qtde],super1[Item],tab_higiene[[#This Row],[Item]],super1[Bairro],mercado16)+SUMIFS(supercb[Qtde],supercb[Item],tab_higiene[[#This Row],[Item]],supercb[Bairro],mercado16)</f>
        <v>0</v>
      </c>
      <c r="BA278" s="4">
        <f>SUMIFS(super1[Qtde],super1[Item],tab_higiene[[#This Row],[Item]],super1[Bairro],mercado17)+SUMIFS(supercb[Qtde],supercb[Item],tab_higiene[[#This Row],[Item]],supercb[Bairro],mercado17)</f>
        <v>0</v>
      </c>
      <c r="BB278" s="4">
        <f>SUMIFS(super1[Qtde],super1[Item],tab_higiene[[#This Row],[Item]],super1[Bairro],mercado18)+SUMIFS(supercb[Qtde],supercb[Item],tab_higiene[[#This Row],[Item]],supercb[Bairro],mercado18)</f>
        <v>0</v>
      </c>
      <c r="BC278" s="31">
        <f>SUMIFS(super1[Qtde],super1[Item],tab_higiene[[#This Row],[Item]],super1[Bairro],extras)+SUMIFS(supercb[Qtde],supercb[Item],tab_higiene[[#This Row],[Item]],supercb[Bairro],extras)</f>
        <v>0</v>
      </c>
      <c r="BD278" s="9">
        <f t="shared" si="85"/>
        <v>0</v>
      </c>
      <c r="BE278" s="9">
        <f t="shared" si="86"/>
        <v>0</v>
      </c>
      <c r="BF278" s="18">
        <f t="shared" si="87"/>
        <v>0</v>
      </c>
    </row>
    <row r="279" spans="9:58" ht="15.75" thickBot="1" x14ac:dyDescent="0.3">
      <c r="I279" s="19" t="str">
        <f>alimentos[[#This Row],[Item]]</f>
        <v>L</v>
      </c>
      <c r="J279" s="4">
        <f>IFERROR(alimentos[[#This Row],[kg/embalagem]],0)</f>
        <v>0</v>
      </c>
      <c r="K279" s="4">
        <f>IFERROR(alimentos[[#This Row],[Preço]],0)</f>
        <v>0</v>
      </c>
      <c r="L279" s="4">
        <f>SUMIFS(super1[Qtde],super1[Item],tab_alimentos[[#This Row],[Item]],super1[Bairro],mercado1)+SUMIFS(supercb[Qtde],supercb[Item],tab_alimentos[[#This Row],[Item]],supercb[Bairro],mercado1)</f>
        <v>0</v>
      </c>
      <c r="M279" s="4">
        <f>SUMIFS(super1[Qtde],super1[Item],tab_alimentos[[#This Row],[Item]],super1[Bairro],mercado2)+SUMIFS(supercb[Qtde],supercb[Item],tab_alimentos[[#This Row],[Item]],supercb[Bairro],mercado2)</f>
        <v>0</v>
      </c>
      <c r="N279" s="4">
        <f>SUMIFS(super1[Qtde],super1[Item],tab_alimentos[[#This Row],[Item]],super1[Bairro],mercado3)+SUMIFS(supercb[Qtde],supercb[Item],tab_alimentos[[#This Row],[Item]],supercb[Bairro],mercado3)</f>
        <v>0</v>
      </c>
      <c r="O279" s="4">
        <f>SUMIFS(super1[Qtde],super1[Item],tab_alimentos[[#This Row],[Item]],super1[Bairro],mercado4)+SUMIFS(supercb[Qtde],supercb[Item],tab_alimentos[[#This Row],[Item]],supercb[Bairro],mercado4)</f>
        <v>0</v>
      </c>
      <c r="P279" s="4">
        <f>SUMIFS(super1[Qtde],super1[Item],tab_alimentos[[#This Row],[Item]],super1[Bairro],mercado5)+SUMIFS(supercb[Qtde],supercb[Item],tab_alimentos[[#This Row],[Item]],supercb[Bairro],mercado5)</f>
        <v>0</v>
      </c>
      <c r="Q279" s="4">
        <f>SUMIFS(super1[Qtde],super1[Item],tab_alimentos[[#This Row],[Item]],super1[Bairro],mercado6)+SUMIFS(supercb[Qtde],supercb[Item],tab_alimentos[[#This Row],[Item]],supercb[Bairro],mercado6)</f>
        <v>0</v>
      </c>
      <c r="R279" s="4">
        <f>SUMIFS(super1[Qtde],super1[Item],tab_alimentos[[#This Row],[Item]],super1[Bairro],mercado7)+SUMIFS(supercb[Qtde],supercb[Item],tab_alimentos[[#This Row],[Item]],supercb[Bairro],mercado7)</f>
        <v>0</v>
      </c>
      <c r="S279" s="4">
        <f>SUMIFS(super1[Qtde],super1[Item],tab_alimentos[[#This Row],[Item]],super1[Bairro],mercado8)+SUMIFS(supercb[Qtde],supercb[Item],tab_alimentos[[#This Row],[Item]],supercb[Bairro],mercado8)</f>
        <v>0</v>
      </c>
      <c r="T279" s="4">
        <f>SUMIFS(super1[Qtde],super1[Item],tab_alimentos[[#This Row],[Item]],super1[Bairro],mercado9)+SUMIFS(supercb[Qtde],supercb[Item],tab_alimentos[[#This Row],[Item]],supercb[Bairro],mercado9)</f>
        <v>0</v>
      </c>
      <c r="U279" s="4">
        <f>SUMIFS(super1[Qtde],super1[Item],tab_alimentos[[#This Row],[Item]],super1[Bairro],mercado10)+SUMIFS(supercb[Qtde],supercb[Item],tab_alimentos[[#This Row],[Item]],supercb[Bairro],mercado10)</f>
        <v>0</v>
      </c>
      <c r="V279" s="4">
        <f>SUMIFS(super1[Qtde],super1[Item],tab_alimentos[[#This Row],[Item]],super1[Bairro],mercado11)+SUMIFS(supercb[Qtde],supercb[Item],tab_alimentos[[#This Row],[Item]],supercb[Bairro],mercado11)</f>
        <v>0</v>
      </c>
      <c r="W279" s="4">
        <f>SUMIFS(super1[Qtde],super1[Item],tab_alimentos[[#This Row],[Item]],super1[Bairro],mercado12)+SUMIFS(supercb[Qtde],supercb[Item],tab_alimentos[[#This Row],[Item]],supercb[Bairro],mercado12)</f>
        <v>0</v>
      </c>
      <c r="X279" s="4">
        <f>SUMIFS(super1[Qtde],super1[Item],tab_alimentos[[#This Row],[Item]],super1[Bairro],mercado13)+SUMIFS(supercb[Qtde],supercb[Item],tab_alimentos[[#This Row],[Item]],supercb[Bairro],mercado13)</f>
        <v>0</v>
      </c>
      <c r="Y279" s="4">
        <f>SUMIFS(super1[Qtde],super1[Item],tab_alimentos[[#This Row],[Item]],super1[Bairro],mercado14)+SUMIFS(supercb[Qtde],supercb[Item],tab_alimentos[[#This Row],[Item]],supercb[Bairro],mercado14)</f>
        <v>0</v>
      </c>
      <c r="Z279" s="4">
        <f>SUMIFS(super1[Qtde],super1[Item],tab_alimentos[[#This Row],[Item]],super1[Bairro],mercado15)+SUMIFS(supercb[Qtde],supercb[Item],tab_alimentos[[#This Row],[Item]],supercb[Bairro],mercado15)</f>
        <v>0</v>
      </c>
      <c r="AA279" s="4">
        <f>SUMIFS(super1[Qtde],super1[Item],tab_alimentos[[#This Row],[Item]],super1[Bairro],mercado16)+SUMIFS(supercb[Qtde],supercb[Item],tab_alimentos[[#This Row],[Item]],supercb[Bairro],mercado16)</f>
        <v>0</v>
      </c>
      <c r="AB279" s="4">
        <f>SUMIFS(super1[Qtde],super1[Item],tab_alimentos[[#This Row],[Item]],super1[Bairro],mercado17)+SUMIFS(supercb[Qtde],supercb[Item],tab_alimentos[[#This Row],[Item]],supercb[Bairro],mercado17)</f>
        <v>0</v>
      </c>
      <c r="AC279" s="4">
        <f>SUMIFS(super1[Qtde],super1[Item],tab_alimentos[[#This Row],[Item]],super1[Bairro],mercado18)+SUMIFS(supercb[Qtde],supercb[Item],tab_alimentos[[#This Row],[Item]],supercb[Bairro],mercado18)</f>
        <v>0</v>
      </c>
      <c r="AD279" s="4">
        <f>SUMIFS(super1[Qtde],super1[Item],tab_alimentos[[#This Row],[Item]],super1[Bairro],extras)+SUMIFS(supercb[Qtde],supercb[Item],tab_alimentos[[#This Row],[Item]],supercb[Bairro],extras)</f>
        <v>0</v>
      </c>
      <c r="AE279" s="4">
        <f t="shared" si="88"/>
        <v>0</v>
      </c>
      <c r="AF279" s="4">
        <f t="shared" si="89"/>
        <v>0</v>
      </c>
      <c r="AG279" s="6">
        <f t="shared" si="90"/>
        <v>0</v>
      </c>
      <c r="AH279" s="13" t="e">
        <f>higiene[[#This Row],[Item]]</f>
        <v>#VALUE!</v>
      </c>
      <c r="AI279" s="9">
        <f>IFERROR(higiene[[#This Row],[Kg equivalente]],0)</f>
        <v>0</v>
      </c>
      <c r="AJ279" s="9">
        <f>IFERROR(higiene[[#This Row],[Preço por produto]],0)</f>
        <v>0</v>
      </c>
      <c r="AK279" s="4">
        <f>SUMIFS(super1[Qtde],super1[Item],tab_higiene[[#This Row],[Item]],super1[Bairro],mercado1)+SUMIFS(supercb[Qtde],supercb[Item],tab_higiene[[#This Row],[Item]],supercb[Bairro],mercado1)</f>
        <v>0</v>
      </c>
      <c r="AL279" s="4">
        <f>SUMIFS(super1[Qtde],super1[Item],tab_higiene[[#This Row],[Item]],super1[Bairro],mercado2)+SUMIFS(supercb[Qtde],supercb[Item],tab_higiene[[#This Row],[Item]],supercb[Bairro],mercado2)</f>
        <v>0</v>
      </c>
      <c r="AM279" s="4">
        <f>SUMIFS(super1[Qtde],super1[Item],tab_higiene[[#This Row],[Item]],super1[Bairro],mercado3)+SUMIFS(supercb[Qtde],supercb[Item],tab_higiene[[#This Row],[Item]],supercb[Bairro],mercado3)</f>
        <v>0</v>
      </c>
      <c r="AN279" s="4">
        <f>SUMIFS(super1[Qtde],super1[Item],tab_higiene[[#This Row],[Item]],super1[Bairro],mercado4)+SUMIFS(supercb[Qtde],supercb[Item],tab_higiene[[#This Row],[Item]],supercb[Bairro],mercado4)</f>
        <v>0</v>
      </c>
      <c r="AO279" s="4">
        <f>SUMIFS(super1[Qtde],super1[Item],tab_higiene[[#This Row],[Item]],super1[Bairro],mercado5)+SUMIFS(supercb[Qtde],supercb[Item],tab_higiene[[#This Row],[Item]],supercb[Bairro],mercado5)</f>
        <v>0</v>
      </c>
      <c r="AP279" s="4">
        <f>SUMIFS(super1[Qtde],super1[Item],tab_higiene[[#This Row],[Item]],super1[Bairro],mercado6)+SUMIFS(supercb[Qtde],supercb[Item],tab_higiene[[#This Row],[Item]],supercb[Bairro],mercado6)</f>
        <v>0</v>
      </c>
      <c r="AQ279" s="4">
        <f>SUMIFS(super1[Qtde],super1[Item],tab_higiene[[#This Row],[Item]],super1[Bairro],mercado7)+SUMIFS(supercb[Qtde],supercb[Item],tab_higiene[[#This Row],[Item]],supercb[Bairro],mercado7)</f>
        <v>0</v>
      </c>
      <c r="AR279" s="4">
        <f>SUMIFS(super1[Qtde],super1[Item],tab_higiene[[#This Row],[Item]],super1[Bairro],mercado8)+SUMIFS(supercb[Qtde],supercb[Item],tab_higiene[[#This Row],[Item]],supercb[Bairro],mercado8)</f>
        <v>0</v>
      </c>
      <c r="AS279" s="4">
        <f>SUMIFS(super1[Qtde],super1[Item],tab_higiene[[#This Row],[Item]],super1[Bairro],mercado9)+SUMIFS(supercb[Qtde],supercb[Item],tab_higiene[[#This Row],[Item]],supercb[Bairro],mercado9)</f>
        <v>0</v>
      </c>
      <c r="AT279" s="4">
        <f>SUMIFS(super1[Qtde],super1[Item],tab_higiene[[#This Row],[Item]],super1[Bairro],mercado10)+SUMIFS(supercb[Qtde],supercb[Item],tab_higiene[[#This Row],[Item]],supercb[Bairro],mercado10)</f>
        <v>0</v>
      </c>
      <c r="AU279" s="4">
        <f>SUMIFS(super1[Qtde],super1[Item],tab_higiene[[#This Row],[Item]],super1[Bairro],mercado11)+SUMIFS(supercb[Qtde],supercb[Item],tab_higiene[[#This Row],[Item]],supercb[Bairro],mercado11)</f>
        <v>0</v>
      </c>
      <c r="AV279" s="4">
        <f>SUMIFS(super1[Qtde],super1[Item],tab_higiene[[#This Row],[Item]],super1[Bairro],mercado12)+SUMIFS(supercb[Qtde],supercb[Item],tab_higiene[[#This Row],[Item]],supercb[Bairro],mercado12)</f>
        <v>0</v>
      </c>
      <c r="AW279" s="4">
        <f>SUMIFS(super1[Qtde],super1[Item],tab_higiene[[#This Row],[Item]],super1[Bairro],mercado13)+SUMIFS(supercb[Qtde],supercb[Item],tab_higiene[[#This Row],[Item]],supercb[Bairro],mercado13)</f>
        <v>0</v>
      </c>
      <c r="AX279" s="4">
        <f>SUMIFS(super1[Qtde],super1[Item],tab_higiene[[#This Row],[Item]],super1[Bairro],mercado14)+SUMIFS(supercb[Qtde],supercb[Item],tab_higiene[[#This Row],[Item]],supercb[Bairro],mercado14)</f>
        <v>0</v>
      </c>
      <c r="AY279" s="4">
        <f>SUMIFS(super1[Qtde],super1[Item],tab_higiene[[#This Row],[Item]],super1[Bairro],mercado15)+SUMIFS(supercb[Qtde],supercb[Item],tab_higiene[[#This Row],[Item]],supercb[Bairro],mercado15)</f>
        <v>0</v>
      </c>
      <c r="AZ279" s="4">
        <f>SUMIFS(super1[Qtde],super1[Item],tab_higiene[[#This Row],[Item]],super1[Bairro],mercado16)+SUMIFS(supercb[Qtde],supercb[Item],tab_higiene[[#This Row],[Item]],supercb[Bairro],mercado16)</f>
        <v>0</v>
      </c>
      <c r="BA279" s="4">
        <f>SUMIFS(super1[Qtde],super1[Item],tab_higiene[[#This Row],[Item]],super1[Bairro],mercado17)+SUMIFS(supercb[Qtde],supercb[Item],tab_higiene[[#This Row],[Item]],supercb[Bairro],mercado17)</f>
        <v>0</v>
      </c>
      <c r="BB279" s="4">
        <f>SUMIFS(super1[Qtde],super1[Item],tab_higiene[[#This Row],[Item]],super1[Bairro],mercado18)+SUMIFS(supercb[Qtde],supercb[Item],tab_higiene[[#This Row],[Item]],supercb[Bairro],mercado18)</f>
        <v>0</v>
      </c>
      <c r="BC279" s="31">
        <f>SUMIFS(super1[Qtde],super1[Item],tab_higiene[[#This Row],[Item]],super1[Bairro],extras)+SUMIFS(supercb[Qtde],supercb[Item],tab_higiene[[#This Row],[Item]],supercb[Bairro],extras)</f>
        <v>0</v>
      </c>
      <c r="BD279" s="9">
        <f t="shared" si="85"/>
        <v>0</v>
      </c>
      <c r="BE279" s="9">
        <f t="shared" si="86"/>
        <v>0</v>
      </c>
      <c r="BF279" s="18">
        <f t="shared" si="87"/>
        <v>0</v>
      </c>
    </row>
    <row r="280" spans="9:58" ht="15.75" thickBot="1" x14ac:dyDescent="0.3">
      <c r="I280" s="19" t="str">
        <f>alimentos[[#This Row],[Item]]</f>
        <v>Leite (12un)</v>
      </c>
      <c r="J280" s="4">
        <f>IFERROR(alimentos[[#This Row],[kg/embalagem]],0)</f>
        <v>12</v>
      </c>
      <c r="K280" s="4">
        <f>IFERROR(alimentos[[#This Row],[Preço]],0)</f>
        <v>45</v>
      </c>
      <c r="L280" s="4">
        <f>SUMIFS(super1[Qtde],super1[Item],tab_alimentos[[#This Row],[Item]],super1[Bairro],mercado1)+SUMIFS(supercb[Qtde],supercb[Item],tab_alimentos[[#This Row],[Item]],supercb[Bairro],mercado1)</f>
        <v>0</v>
      </c>
      <c r="M280" s="4">
        <f>SUMIFS(super1[Qtde],super1[Item],tab_alimentos[[#This Row],[Item]],super1[Bairro],mercado2)+SUMIFS(supercb[Qtde],supercb[Item],tab_alimentos[[#This Row],[Item]],supercb[Bairro],mercado2)</f>
        <v>0</v>
      </c>
      <c r="N280" s="4">
        <f>SUMIFS(super1[Qtde],super1[Item],tab_alimentos[[#This Row],[Item]],super1[Bairro],mercado3)+SUMIFS(supercb[Qtde],supercb[Item],tab_alimentos[[#This Row],[Item]],supercb[Bairro],mercado3)</f>
        <v>0</v>
      </c>
      <c r="O280" s="4">
        <f>SUMIFS(super1[Qtde],super1[Item],tab_alimentos[[#This Row],[Item]],super1[Bairro],mercado4)+SUMIFS(supercb[Qtde],supercb[Item],tab_alimentos[[#This Row],[Item]],supercb[Bairro],mercado4)</f>
        <v>0</v>
      </c>
      <c r="P280" s="4">
        <f>SUMIFS(super1[Qtde],super1[Item],tab_alimentos[[#This Row],[Item]],super1[Bairro],mercado5)+SUMIFS(supercb[Qtde],supercb[Item],tab_alimentos[[#This Row],[Item]],supercb[Bairro],mercado5)</f>
        <v>0</v>
      </c>
      <c r="Q280" s="4">
        <f>SUMIFS(super1[Qtde],super1[Item],tab_alimentos[[#This Row],[Item]],super1[Bairro],mercado6)+SUMIFS(supercb[Qtde],supercb[Item],tab_alimentos[[#This Row],[Item]],supercb[Bairro],mercado6)</f>
        <v>0</v>
      </c>
      <c r="R280" s="4">
        <f>SUMIFS(super1[Qtde],super1[Item],tab_alimentos[[#This Row],[Item]],super1[Bairro],mercado7)+SUMIFS(supercb[Qtde],supercb[Item],tab_alimentos[[#This Row],[Item]],supercb[Bairro],mercado7)</f>
        <v>0</v>
      </c>
      <c r="S280" s="4">
        <f>SUMIFS(super1[Qtde],super1[Item],tab_alimentos[[#This Row],[Item]],super1[Bairro],mercado8)+SUMIFS(supercb[Qtde],supercb[Item],tab_alimentos[[#This Row],[Item]],supercb[Bairro],mercado8)</f>
        <v>0</v>
      </c>
      <c r="T280" s="4">
        <f>SUMIFS(super1[Qtde],super1[Item],tab_alimentos[[#This Row],[Item]],super1[Bairro],mercado9)+SUMIFS(supercb[Qtde],supercb[Item],tab_alimentos[[#This Row],[Item]],supercb[Bairro],mercado9)</f>
        <v>0</v>
      </c>
      <c r="U280" s="4">
        <f>SUMIFS(super1[Qtde],super1[Item],tab_alimentos[[#This Row],[Item]],super1[Bairro],mercado10)+SUMIFS(supercb[Qtde],supercb[Item],tab_alimentos[[#This Row],[Item]],supercb[Bairro],mercado10)</f>
        <v>0</v>
      </c>
      <c r="V280" s="4">
        <f>SUMIFS(super1[Qtde],super1[Item],tab_alimentos[[#This Row],[Item]],super1[Bairro],mercado11)+SUMIFS(supercb[Qtde],supercb[Item],tab_alimentos[[#This Row],[Item]],supercb[Bairro],mercado11)</f>
        <v>0</v>
      </c>
      <c r="W280" s="4">
        <f>SUMIFS(super1[Qtde],super1[Item],tab_alimentos[[#This Row],[Item]],super1[Bairro],mercado12)+SUMIFS(supercb[Qtde],supercb[Item],tab_alimentos[[#This Row],[Item]],supercb[Bairro],mercado12)</f>
        <v>0</v>
      </c>
      <c r="X280" s="4">
        <f>SUMIFS(super1[Qtde],super1[Item],tab_alimentos[[#This Row],[Item]],super1[Bairro],mercado13)+SUMIFS(supercb[Qtde],supercb[Item],tab_alimentos[[#This Row],[Item]],supercb[Bairro],mercado13)</f>
        <v>0</v>
      </c>
      <c r="Y280" s="4">
        <f>SUMIFS(super1[Qtde],super1[Item],tab_alimentos[[#This Row],[Item]],super1[Bairro],mercado14)+SUMIFS(supercb[Qtde],supercb[Item],tab_alimentos[[#This Row],[Item]],supercb[Bairro],mercado14)</f>
        <v>0</v>
      </c>
      <c r="Z280" s="4">
        <f>SUMIFS(super1[Qtde],super1[Item],tab_alimentos[[#This Row],[Item]],super1[Bairro],mercado15)+SUMIFS(supercb[Qtde],supercb[Item],tab_alimentos[[#This Row],[Item]],supercb[Bairro],mercado15)</f>
        <v>0</v>
      </c>
      <c r="AA280" s="4">
        <f>SUMIFS(super1[Qtde],super1[Item],tab_alimentos[[#This Row],[Item]],super1[Bairro],mercado16)+SUMIFS(supercb[Qtde],supercb[Item],tab_alimentos[[#This Row],[Item]],supercb[Bairro],mercado16)</f>
        <v>0</v>
      </c>
      <c r="AB280" s="4">
        <f>SUMIFS(super1[Qtde],super1[Item],tab_alimentos[[#This Row],[Item]],super1[Bairro],mercado17)+SUMIFS(supercb[Qtde],supercb[Item],tab_alimentos[[#This Row],[Item]],supercb[Bairro],mercado17)</f>
        <v>0</v>
      </c>
      <c r="AC280" s="4">
        <f>SUMIFS(super1[Qtde],super1[Item],tab_alimentos[[#This Row],[Item]],super1[Bairro],mercado18)+SUMIFS(supercb[Qtde],supercb[Item],tab_alimentos[[#This Row],[Item]],supercb[Bairro],mercado18)</f>
        <v>0</v>
      </c>
      <c r="AD280" s="4">
        <f>SUMIFS(super1[Qtde],super1[Item],tab_alimentos[[#This Row],[Item]],super1[Bairro],extras)+SUMIFS(supercb[Qtde],supercb[Item],tab_alimentos[[#This Row],[Item]],supercb[Bairro],extras)</f>
        <v>0</v>
      </c>
      <c r="AE280" s="4">
        <f t="shared" si="88"/>
        <v>0</v>
      </c>
      <c r="AF280" s="4">
        <f t="shared" si="89"/>
        <v>0</v>
      </c>
      <c r="AG280" s="6">
        <f t="shared" si="90"/>
        <v>0</v>
      </c>
      <c r="AH280" s="13" t="e">
        <f>higiene[[#This Row],[Item]]</f>
        <v>#VALUE!</v>
      </c>
      <c r="AI280" s="9">
        <f>IFERROR(higiene[[#This Row],[Kg equivalente]],0)</f>
        <v>0</v>
      </c>
      <c r="AJ280" s="9">
        <f>IFERROR(higiene[[#This Row],[Preço por produto]],0)</f>
        <v>0</v>
      </c>
      <c r="AK280" s="4">
        <f>SUMIFS(super1[Qtde],super1[Item],tab_higiene[[#This Row],[Item]],super1[Bairro],mercado1)+SUMIFS(supercb[Qtde],supercb[Item],tab_higiene[[#This Row],[Item]],supercb[Bairro],mercado1)</f>
        <v>0</v>
      </c>
      <c r="AL280" s="4">
        <f>SUMIFS(super1[Qtde],super1[Item],tab_higiene[[#This Row],[Item]],super1[Bairro],mercado2)+SUMIFS(supercb[Qtde],supercb[Item],tab_higiene[[#This Row],[Item]],supercb[Bairro],mercado2)</f>
        <v>0</v>
      </c>
      <c r="AM280" s="4">
        <f>SUMIFS(super1[Qtde],super1[Item],tab_higiene[[#This Row],[Item]],super1[Bairro],mercado3)+SUMIFS(supercb[Qtde],supercb[Item],tab_higiene[[#This Row],[Item]],supercb[Bairro],mercado3)</f>
        <v>0</v>
      </c>
      <c r="AN280" s="4">
        <f>SUMIFS(super1[Qtde],super1[Item],tab_higiene[[#This Row],[Item]],super1[Bairro],mercado4)+SUMIFS(supercb[Qtde],supercb[Item],tab_higiene[[#This Row],[Item]],supercb[Bairro],mercado4)</f>
        <v>0</v>
      </c>
      <c r="AO280" s="4">
        <f>SUMIFS(super1[Qtde],super1[Item],tab_higiene[[#This Row],[Item]],super1[Bairro],mercado5)+SUMIFS(supercb[Qtde],supercb[Item],tab_higiene[[#This Row],[Item]],supercb[Bairro],mercado5)</f>
        <v>0</v>
      </c>
      <c r="AP280" s="4">
        <f>SUMIFS(super1[Qtde],super1[Item],tab_higiene[[#This Row],[Item]],super1[Bairro],mercado6)+SUMIFS(supercb[Qtde],supercb[Item],tab_higiene[[#This Row],[Item]],supercb[Bairro],mercado6)</f>
        <v>0</v>
      </c>
      <c r="AQ280" s="4">
        <f>SUMIFS(super1[Qtde],super1[Item],tab_higiene[[#This Row],[Item]],super1[Bairro],mercado7)+SUMIFS(supercb[Qtde],supercb[Item],tab_higiene[[#This Row],[Item]],supercb[Bairro],mercado7)</f>
        <v>0</v>
      </c>
      <c r="AR280" s="4">
        <f>SUMIFS(super1[Qtde],super1[Item],tab_higiene[[#This Row],[Item]],super1[Bairro],mercado8)+SUMIFS(supercb[Qtde],supercb[Item],tab_higiene[[#This Row],[Item]],supercb[Bairro],mercado8)</f>
        <v>0</v>
      </c>
      <c r="AS280" s="4">
        <f>SUMIFS(super1[Qtde],super1[Item],tab_higiene[[#This Row],[Item]],super1[Bairro],mercado9)+SUMIFS(supercb[Qtde],supercb[Item],tab_higiene[[#This Row],[Item]],supercb[Bairro],mercado9)</f>
        <v>0</v>
      </c>
      <c r="AT280" s="4">
        <f>SUMIFS(super1[Qtde],super1[Item],tab_higiene[[#This Row],[Item]],super1[Bairro],mercado10)+SUMIFS(supercb[Qtde],supercb[Item],tab_higiene[[#This Row],[Item]],supercb[Bairro],mercado10)</f>
        <v>0</v>
      </c>
      <c r="AU280" s="4">
        <f>SUMIFS(super1[Qtde],super1[Item],tab_higiene[[#This Row],[Item]],super1[Bairro],mercado11)+SUMIFS(supercb[Qtde],supercb[Item],tab_higiene[[#This Row],[Item]],supercb[Bairro],mercado11)</f>
        <v>0</v>
      </c>
      <c r="AV280" s="4">
        <f>SUMIFS(super1[Qtde],super1[Item],tab_higiene[[#This Row],[Item]],super1[Bairro],mercado12)+SUMIFS(supercb[Qtde],supercb[Item],tab_higiene[[#This Row],[Item]],supercb[Bairro],mercado12)</f>
        <v>0</v>
      </c>
      <c r="AW280" s="4">
        <f>SUMIFS(super1[Qtde],super1[Item],tab_higiene[[#This Row],[Item]],super1[Bairro],mercado13)+SUMIFS(supercb[Qtde],supercb[Item],tab_higiene[[#This Row],[Item]],supercb[Bairro],mercado13)</f>
        <v>0</v>
      </c>
      <c r="AX280" s="4">
        <f>SUMIFS(super1[Qtde],super1[Item],tab_higiene[[#This Row],[Item]],super1[Bairro],mercado14)+SUMIFS(supercb[Qtde],supercb[Item],tab_higiene[[#This Row],[Item]],supercb[Bairro],mercado14)</f>
        <v>0</v>
      </c>
      <c r="AY280" s="4">
        <f>SUMIFS(super1[Qtde],super1[Item],tab_higiene[[#This Row],[Item]],super1[Bairro],mercado15)+SUMIFS(supercb[Qtde],supercb[Item],tab_higiene[[#This Row],[Item]],supercb[Bairro],mercado15)</f>
        <v>0</v>
      </c>
      <c r="AZ280" s="4">
        <f>SUMIFS(super1[Qtde],super1[Item],tab_higiene[[#This Row],[Item]],super1[Bairro],mercado16)+SUMIFS(supercb[Qtde],supercb[Item],tab_higiene[[#This Row],[Item]],supercb[Bairro],mercado16)</f>
        <v>0</v>
      </c>
      <c r="BA280" s="4">
        <f>SUMIFS(super1[Qtde],super1[Item],tab_higiene[[#This Row],[Item]],super1[Bairro],mercado17)+SUMIFS(supercb[Qtde],supercb[Item],tab_higiene[[#This Row],[Item]],supercb[Bairro],mercado17)</f>
        <v>0</v>
      </c>
      <c r="BB280" s="4">
        <f>SUMIFS(super1[Qtde],super1[Item],tab_higiene[[#This Row],[Item]],super1[Bairro],mercado18)+SUMIFS(supercb[Qtde],supercb[Item],tab_higiene[[#This Row],[Item]],supercb[Bairro],mercado18)</f>
        <v>0</v>
      </c>
      <c r="BC280" s="31">
        <f>SUMIFS(super1[Qtde],super1[Item],tab_higiene[[#This Row],[Item]],super1[Bairro],extras)+SUMIFS(supercb[Qtde],supercb[Item],tab_higiene[[#This Row],[Item]],supercb[Bairro],extras)</f>
        <v>0</v>
      </c>
      <c r="BD280" s="9">
        <f t="shared" ref="BD280:BD315" si="91">SUM(AK280:BB280)</f>
        <v>0</v>
      </c>
      <c r="BE280" s="9">
        <f t="shared" ref="BE280:BE315" si="92">IFERROR(BD280*AJ280,0)</f>
        <v>0</v>
      </c>
      <c r="BF280" s="18">
        <f t="shared" ref="BF280:BF315" si="93">IFERROR(AI280*BD280,0)</f>
        <v>0</v>
      </c>
    </row>
    <row r="281" spans="9:58" ht="15.75" thickBot="1" x14ac:dyDescent="0.3">
      <c r="I281" s="19" t="str">
        <f>alimentos[[#This Row],[Item]]</f>
        <v>Leite (1L)</v>
      </c>
      <c r="J281" s="4">
        <f>IFERROR(alimentos[[#This Row],[kg/embalagem]],0)</f>
        <v>1</v>
      </c>
      <c r="K281" s="4">
        <f>IFERROR(alimentos[[#This Row],[Preço]],0)</f>
        <v>5.79</v>
      </c>
      <c r="L281" s="4">
        <f>SUMIFS(super1[Qtde],super1[Item],tab_alimentos[[#This Row],[Item]],super1[Bairro],mercado1)+SUMIFS(supercb[Qtde],supercb[Item],tab_alimentos[[#This Row],[Item]],supercb[Bairro],mercado1)</f>
        <v>0</v>
      </c>
      <c r="M281" s="4">
        <f>SUMIFS(super1[Qtde],super1[Item],tab_alimentos[[#This Row],[Item]],super1[Bairro],mercado2)+SUMIFS(supercb[Qtde],supercb[Item],tab_alimentos[[#This Row],[Item]],supercb[Bairro],mercado2)</f>
        <v>0</v>
      </c>
      <c r="N281" s="4">
        <f>SUMIFS(super1[Qtde],super1[Item],tab_alimentos[[#This Row],[Item]],super1[Bairro],mercado3)+SUMIFS(supercb[Qtde],supercb[Item],tab_alimentos[[#This Row],[Item]],supercb[Bairro],mercado3)</f>
        <v>0</v>
      </c>
      <c r="O281" s="4">
        <f>SUMIFS(super1[Qtde],super1[Item],tab_alimentos[[#This Row],[Item]],super1[Bairro],mercado4)+SUMIFS(supercb[Qtde],supercb[Item],tab_alimentos[[#This Row],[Item]],supercb[Bairro],mercado4)</f>
        <v>0</v>
      </c>
      <c r="P281" s="4">
        <f>SUMIFS(super1[Qtde],super1[Item],tab_alimentos[[#This Row],[Item]],super1[Bairro],mercado5)+SUMIFS(supercb[Qtde],supercb[Item],tab_alimentos[[#This Row],[Item]],supercb[Bairro],mercado5)</f>
        <v>0</v>
      </c>
      <c r="Q281" s="4">
        <f>SUMIFS(super1[Qtde],super1[Item],tab_alimentos[[#This Row],[Item]],super1[Bairro],mercado6)+SUMIFS(supercb[Qtde],supercb[Item],tab_alimentos[[#This Row],[Item]],supercb[Bairro],mercado6)</f>
        <v>0</v>
      </c>
      <c r="R281" s="4">
        <f>SUMIFS(super1[Qtde],super1[Item],tab_alimentos[[#This Row],[Item]],super1[Bairro],mercado7)+SUMIFS(supercb[Qtde],supercb[Item],tab_alimentos[[#This Row],[Item]],supercb[Bairro],mercado7)</f>
        <v>0</v>
      </c>
      <c r="S281" s="4">
        <f>SUMIFS(super1[Qtde],super1[Item],tab_alimentos[[#This Row],[Item]],super1[Bairro],mercado8)+SUMIFS(supercb[Qtde],supercb[Item],tab_alimentos[[#This Row],[Item]],supercb[Bairro],mercado8)</f>
        <v>0</v>
      </c>
      <c r="T281" s="4">
        <f>SUMIFS(super1[Qtde],super1[Item],tab_alimentos[[#This Row],[Item]],super1[Bairro],mercado9)+SUMIFS(supercb[Qtde],supercb[Item],tab_alimentos[[#This Row],[Item]],supercb[Bairro],mercado9)</f>
        <v>0</v>
      </c>
      <c r="U281" s="4">
        <f>SUMIFS(super1[Qtde],super1[Item],tab_alimentos[[#This Row],[Item]],super1[Bairro],mercado10)+SUMIFS(supercb[Qtde],supercb[Item],tab_alimentos[[#This Row],[Item]],supercb[Bairro],mercado10)</f>
        <v>0</v>
      </c>
      <c r="V281" s="4">
        <f>SUMIFS(super1[Qtde],super1[Item],tab_alimentos[[#This Row],[Item]],super1[Bairro],mercado11)+SUMIFS(supercb[Qtde],supercb[Item],tab_alimentos[[#This Row],[Item]],supercb[Bairro],mercado11)</f>
        <v>0</v>
      </c>
      <c r="W281" s="4">
        <f>SUMIFS(super1[Qtde],super1[Item],tab_alimentos[[#This Row],[Item]],super1[Bairro],mercado12)+SUMIFS(supercb[Qtde],supercb[Item],tab_alimentos[[#This Row],[Item]],supercb[Bairro],mercado12)</f>
        <v>0</v>
      </c>
      <c r="X281" s="4">
        <f>SUMIFS(super1[Qtde],super1[Item],tab_alimentos[[#This Row],[Item]],super1[Bairro],mercado13)+SUMIFS(supercb[Qtde],supercb[Item],tab_alimentos[[#This Row],[Item]],supercb[Bairro],mercado13)</f>
        <v>0</v>
      </c>
      <c r="Y281" s="4">
        <f>SUMIFS(super1[Qtde],super1[Item],tab_alimentos[[#This Row],[Item]],super1[Bairro],mercado14)+SUMIFS(supercb[Qtde],supercb[Item],tab_alimentos[[#This Row],[Item]],supercb[Bairro],mercado14)</f>
        <v>0</v>
      </c>
      <c r="Z281" s="4">
        <f>SUMIFS(super1[Qtde],super1[Item],tab_alimentos[[#This Row],[Item]],super1[Bairro],mercado15)+SUMIFS(supercb[Qtde],supercb[Item],tab_alimentos[[#This Row],[Item]],supercb[Bairro],mercado15)</f>
        <v>0</v>
      </c>
      <c r="AA281" s="4">
        <f>SUMIFS(super1[Qtde],super1[Item],tab_alimentos[[#This Row],[Item]],super1[Bairro],mercado16)+SUMIFS(supercb[Qtde],supercb[Item],tab_alimentos[[#This Row],[Item]],supercb[Bairro],mercado16)</f>
        <v>0</v>
      </c>
      <c r="AB281" s="4">
        <f>SUMIFS(super1[Qtde],super1[Item],tab_alimentos[[#This Row],[Item]],super1[Bairro],mercado17)+SUMIFS(supercb[Qtde],supercb[Item],tab_alimentos[[#This Row],[Item]],supercb[Bairro],mercado17)</f>
        <v>0</v>
      </c>
      <c r="AC281" s="4">
        <f>SUMIFS(super1[Qtde],super1[Item],tab_alimentos[[#This Row],[Item]],super1[Bairro],mercado18)+SUMIFS(supercb[Qtde],supercb[Item],tab_alimentos[[#This Row],[Item]],supercb[Bairro],mercado18)</f>
        <v>0</v>
      </c>
      <c r="AD281" s="4">
        <f>SUMIFS(super1[Qtde],super1[Item],tab_alimentos[[#This Row],[Item]],super1[Bairro],extras)+SUMIFS(supercb[Qtde],supercb[Item],tab_alimentos[[#This Row],[Item]],supercb[Bairro],extras)</f>
        <v>0</v>
      </c>
      <c r="AE281" s="4">
        <f t="shared" si="88"/>
        <v>0</v>
      </c>
      <c r="AF281" s="4">
        <f t="shared" si="89"/>
        <v>0</v>
      </c>
      <c r="AG281" s="6">
        <f t="shared" si="90"/>
        <v>0</v>
      </c>
      <c r="AH281" s="13" t="e">
        <f>higiene[[#This Row],[Item]]</f>
        <v>#VALUE!</v>
      </c>
      <c r="AI281" s="9">
        <f>IFERROR(higiene[[#This Row],[Kg equivalente]],0)</f>
        <v>0</v>
      </c>
      <c r="AJ281" s="9">
        <f>IFERROR(higiene[[#This Row],[Preço por produto]],0)</f>
        <v>0</v>
      </c>
      <c r="AK281" s="4">
        <f>SUMIFS(super1[Qtde],super1[Item],tab_higiene[[#This Row],[Item]],super1[Bairro],mercado1)+SUMIFS(supercb[Qtde],supercb[Item],tab_higiene[[#This Row],[Item]],supercb[Bairro],mercado1)</f>
        <v>0</v>
      </c>
      <c r="AL281" s="4">
        <f>SUMIFS(super1[Qtde],super1[Item],tab_higiene[[#This Row],[Item]],super1[Bairro],mercado2)+SUMIFS(supercb[Qtde],supercb[Item],tab_higiene[[#This Row],[Item]],supercb[Bairro],mercado2)</f>
        <v>0</v>
      </c>
      <c r="AM281" s="4">
        <f>SUMIFS(super1[Qtde],super1[Item],tab_higiene[[#This Row],[Item]],super1[Bairro],mercado3)+SUMIFS(supercb[Qtde],supercb[Item],tab_higiene[[#This Row],[Item]],supercb[Bairro],mercado3)</f>
        <v>0</v>
      </c>
      <c r="AN281" s="4">
        <f>SUMIFS(super1[Qtde],super1[Item],tab_higiene[[#This Row],[Item]],super1[Bairro],mercado4)+SUMIFS(supercb[Qtde],supercb[Item],tab_higiene[[#This Row],[Item]],supercb[Bairro],mercado4)</f>
        <v>0</v>
      </c>
      <c r="AO281" s="4">
        <f>SUMIFS(super1[Qtde],super1[Item],tab_higiene[[#This Row],[Item]],super1[Bairro],mercado5)+SUMIFS(supercb[Qtde],supercb[Item],tab_higiene[[#This Row],[Item]],supercb[Bairro],mercado5)</f>
        <v>0</v>
      </c>
      <c r="AP281" s="4">
        <f>SUMIFS(super1[Qtde],super1[Item],tab_higiene[[#This Row],[Item]],super1[Bairro],mercado6)+SUMIFS(supercb[Qtde],supercb[Item],tab_higiene[[#This Row],[Item]],supercb[Bairro],mercado6)</f>
        <v>0</v>
      </c>
      <c r="AQ281" s="4">
        <f>SUMIFS(super1[Qtde],super1[Item],tab_higiene[[#This Row],[Item]],super1[Bairro],mercado7)+SUMIFS(supercb[Qtde],supercb[Item],tab_higiene[[#This Row],[Item]],supercb[Bairro],mercado7)</f>
        <v>0</v>
      </c>
      <c r="AR281" s="4">
        <f>SUMIFS(super1[Qtde],super1[Item],tab_higiene[[#This Row],[Item]],super1[Bairro],mercado8)+SUMIFS(supercb[Qtde],supercb[Item],tab_higiene[[#This Row],[Item]],supercb[Bairro],mercado8)</f>
        <v>0</v>
      </c>
      <c r="AS281" s="4">
        <f>SUMIFS(super1[Qtde],super1[Item],tab_higiene[[#This Row],[Item]],super1[Bairro],mercado9)+SUMIFS(supercb[Qtde],supercb[Item],tab_higiene[[#This Row],[Item]],supercb[Bairro],mercado9)</f>
        <v>0</v>
      </c>
      <c r="AT281" s="4">
        <f>SUMIFS(super1[Qtde],super1[Item],tab_higiene[[#This Row],[Item]],super1[Bairro],mercado10)+SUMIFS(supercb[Qtde],supercb[Item],tab_higiene[[#This Row],[Item]],supercb[Bairro],mercado10)</f>
        <v>0</v>
      </c>
      <c r="AU281" s="4">
        <f>SUMIFS(super1[Qtde],super1[Item],tab_higiene[[#This Row],[Item]],super1[Bairro],mercado11)+SUMIFS(supercb[Qtde],supercb[Item],tab_higiene[[#This Row],[Item]],supercb[Bairro],mercado11)</f>
        <v>0</v>
      </c>
      <c r="AV281" s="4">
        <f>SUMIFS(super1[Qtde],super1[Item],tab_higiene[[#This Row],[Item]],super1[Bairro],mercado12)+SUMIFS(supercb[Qtde],supercb[Item],tab_higiene[[#This Row],[Item]],supercb[Bairro],mercado12)</f>
        <v>0</v>
      </c>
      <c r="AW281" s="4">
        <f>SUMIFS(super1[Qtde],super1[Item],tab_higiene[[#This Row],[Item]],super1[Bairro],mercado13)+SUMIFS(supercb[Qtde],supercb[Item],tab_higiene[[#This Row],[Item]],supercb[Bairro],mercado13)</f>
        <v>0</v>
      </c>
      <c r="AX281" s="4">
        <f>SUMIFS(super1[Qtde],super1[Item],tab_higiene[[#This Row],[Item]],super1[Bairro],mercado14)+SUMIFS(supercb[Qtde],supercb[Item],tab_higiene[[#This Row],[Item]],supercb[Bairro],mercado14)</f>
        <v>0</v>
      </c>
      <c r="AY281" s="4">
        <f>SUMIFS(super1[Qtde],super1[Item],tab_higiene[[#This Row],[Item]],super1[Bairro],mercado15)+SUMIFS(supercb[Qtde],supercb[Item],tab_higiene[[#This Row],[Item]],supercb[Bairro],mercado15)</f>
        <v>0</v>
      </c>
      <c r="AZ281" s="4">
        <f>SUMIFS(super1[Qtde],super1[Item],tab_higiene[[#This Row],[Item]],super1[Bairro],mercado16)+SUMIFS(supercb[Qtde],supercb[Item],tab_higiene[[#This Row],[Item]],supercb[Bairro],mercado16)</f>
        <v>0</v>
      </c>
      <c r="BA281" s="4">
        <f>SUMIFS(super1[Qtde],super1[Item],tab_higiene[[#This Row],[Item]],super1[Bairro],mercado17)+SUMIFS(supercb[Qtde],supercb[Item],tab_higiene[[#This Row],[Item]],supercb[Bairro],mercado17)</f>
        <v>0</v>
      </c>
      <c r="BB281" s="4">
        <f>SUMIFS(super1[Qtde],super1[Item],tab_higiene[[#This Row],[Item]],super1[Bairro],mercado18)+SUMIFS(supercb[Qtde],supercb[Item],tab_higiene[[#This Row],[Item]],supercb[Bairro],mercado18)</f>
        <v>0</v>
      </c>
      <c r="BC281" s="31">
        <f>SUMIFS(super1[Qtde],super1[Item],tab_higiene[[#This Row],[Item]],super1[Bairro],extras)+SUMIFS(supercb[Qtde],supercb[Item],tab_higiene[[#This Row],[Item]],supercb[Bairro],extras)</f>
        <v>0</v>
      </c>
      <c r="BD281" s="9">
        <f t="shared" si="91"/>
        <v>0</v>
      </c>
      <c r="BE281" s="9">
        <f t="shared" si="92"/>
        <v>0</v>
      </c>
      <c r="BF281" s="18">
        <f t="shared" si="93"/>
        <v>0</v>
      </c>
    </row>
    <row r="282" spans="9:58" ht="15.75" thickBot="1" x14ac:dyDescent="0.3">
      <c r="I282" s="19" t="str">
        <f>alimentos[[#This Row],[Item]]</f>
        <v>Leite (6un)</v>
      </c>
      <c r="J282" s="4">
        <f>IFERROR(alimentos[[#This Row],[kg/embalagem]],0)</f>
        <v>6</v>
      </c>
      <c r="K282" s="4">
        <f>IFERROR(alimentos[[#This Row],[Preço]],0)</f>
        <v>22.5</v>
      </c>
      <c r="L282" s="4">
        <f>SUMIFS(super1[Qtde],super1[Item],tab_alimentos[[#This Row],[Item]],super1[Bairro],mercado1)+SUMIFS(supercb[Qtde],supercb[Item],tab_alimentos[[#This Row],[Item]],supercb[Bairro],mercado1)</f>
        <v>0</v>
      </c>
      <c r="M282" s="4">
        <f>SUMIFS(super1[Qtde],super1[Item],tab_alimentos[[#This Row],[Item]],super1[Bairro],mercado2)+SUMIFS(supercb[Qtde],supercb[Item],tab_alimentos[[#This Row],[Item]],supercb[Bairro],mercado2)</f>
        <v>0</v>
      </c>
      <c r="N282" s="4">
        <f>SUMIFS(super1[Qtde],super1[Item],tab_alimentos[[#This Row],[Item]],super1[Bairro],mercado3)+SUMIFS(supercb[Qtde],supercb[Item],tab_alimentos[[#This Row],[Item]],supercb[Bairro],mercado3)</f>
        <v>0</v>
      </c>
      <c r="O282" s="4">
        <f>SUMIFS(super1[Qtde],super1[Item],tab_alimentos[[#This Row],[Item]],super1[Bairro],mercado4)+SUMIFS(supercb[Qtde],supercb[Item],tab_alimentos[[#This Row],[Item]],supercb[Bairro],mercado4)</f>
        <v>0</v>
      </c>
      <c r="P282" s="4">
        <f>SUMIFS(super1[Qtde],super1[Item],tab_alimentos[[#This Row],[Item]],super1[Bairro],mercado5)+SUMIFS(supercb[Qtde],supercb[Item],tab_alimentos[[#This Row],[Item]],supercb[Bairro],mercado5)</f>
        <v>0</v>
      </c>
      <c r="Q282" s="4">
        <f>SUMIFS(super1[Qtde],super1[Item],tab_alimentos[[#This Row],[Item]],super1[Bairro],mercado6)+SUMIFS(supercb[Qtde],supercb[Item],tab_alimentos[[#This Row],[Item]],supercb[Bairro],mercado6)</f>
        <v>0</v>
      </c>
      <c r="R282" s="4">
        <f>SUMIFS(super1[Qtde],super1[Item],tab_alimentos[[#This Row],[Item]],super1[Bairro],mercado7)+SUMIFS(supercb[Qtde],supercb[Item],tab_alimentos[[#This Row],[Item]],supercb[Bairro],mercado7)</f>
        <v>0</v>
      </c>
      <c r="S282" s="4">
        <f>SUMIFS(super1[Qtde],super1[Item],tab_alimentos[[#This Row],[Item]],super1[Bairro],mercado8)+SUMIFS(supercb[Qtde],supercb[Item],tab_alimentos[[#This Row],[Item]],supercb[Bairro],mercado8)</f>
        <v>0</v>
      </c>
      <c r="T282" s="4">
        <f>SUMIFS(super1[Qtde],super1[Item],tab_alimentos[[#This Row],[Item]],super1[Bairro],mercado9)+SUMIFS(supercb[Qtde],supercb[Item],tab_alimentos[[#This Row],[Item]],supercb[Bairro],mercado9)</f>
        <v>0</v>
      </c>
      <c r="U282" s="4">
        <f>SUMIFS(super1[Qtde],super1[Item],tab_alimentos[[#This Row],[Item]],super1[Bairro],mercado10)+SUMIFS(supercb[Qtde],supercb[Item],tab_alimentos[[#This Row],[Item]],supercb[Bairro],mercado10)</f>
        <v>0</v>
      </c>
      <c r="V282" s="4">
        <f>SUMIFS(super1[Qtde],super1[Item],tab_alimentos[[#This Row],[Item]],super1[Bairro],mercado11)+SUMIFS(supercb[Qtde],supercb[Item],tab_alimentos[[#This Row],[Item]],supercb[Bairro],mercado11)</f>
        <v>0</v>
      </c>
      <c r="W282" s="4">
        <f>SUMIFS(super1[Qtde],super1[Item],tab_alimentos[[#This Row],[Item]],super1[Bairro],mercado12)+SUMIFS(supercb[Qtde],supercb[Item],tab_alimentos[[#This Row],[Item]],supercb[Bairro],mercado12)</f>
        <v>0</v>
      </c>
      <c r="X282" s="4">
        <f>SUMIFS(super1[Qtde],super1[Item],tab_alimentos[[#This Row],[Item]],super1[Bairro],mercado13)+SUMIFS(supercb[Qtde],supercb[Item],tab_alimentos[[#This Row],[Item]],supercb[Bairro],mercado13)</f>
        <v>0</v>
      </c>
      <c r="Y282" s="4">
        <f>SUMIFS(super1[Qtde],super1[Item],tab_alimentos[[#This Row],[Item]],super1[Bairro],mercado14)+SUMIFS(supercb[Qtde],supercb[Item],tab_alimentos[[#This Row],[Item]],supercb[Bairro],mercado14)</f>
        <v>0</v>
      </c>
      <c r="Z282" s="4">
        <f>SUMIFS(super1[Qtde],super1[Item],tab_alimentos[[#This Row],[Item]],super1[Bairro],mercado15)+SUMIFS(supercb[Qtde],supercb[Item],tab_alimentos[[#This Row],[Item]],supercb[Bairro],mercado15)</f>
        <v>0</v>
      </c>
      <c r="AA282" s="4">
        <f>SUMIFS(super1[Qtde],super1[Item],tab_alimentos[[#This Row],[Item]],super1[Bairro],mercado16)+SUMIFS(supercb[Qtde],supercb[Item],tab_alimentos[[#This Row],[Item]],supercb[Bairro],mercado16)</f>
        <v>0</v>
      </c>
      <c r="AB282" s="4">
        <f>SUMIFS(super1[Qtde],super1[Item],tab_alimentos[[#This Row],[Item]],super1[Bairro],mercado17)+SUMIFS(supercb[Qtde],supercb[Item],tab_alimentos[[#This Row],[Item]],supercb[Bairro],mercado17)</f>
        <v>0</v>
      </c>
      <c r="AC282" s="4">
        <f>SUMIFS(super1[Qtde],super1[Item],tab_alimentos[[#This Row],[Item]],super1[Bairro],mercado18)+SUMIFS(supercb[Qtde],supercb[Item],tab_alimentos[[#This Row],[Item]],supercb[Bairro],mercado18)</f>
        <v>0</v>
      </c>
      <c r="AD282" s="4">
        <f>SUMIFS(super1[Qtde],super1[Item],tab_alimentos[[#This Row],[Item]],super1[Bairro],extras)+SUMIFS(supercb[Qtde],supercb[Item],tab_alimentos[[#This Row],[Item]],supercb[Bairro],extras)</f>
        <v>0</v>
      </c>
      <c r="AE282" s="4">
        <f t="shared" si="88"/>
        <v>0</v>
      </c>
      <c r="AF282" s="4">
        <f t="shared" si="89"/>
        <v>0</v>
      </c>
      <c r="AG282" s="6">
        <f t="shared" si="90"/>
        <v>0</v>
      </c>
      <c r="AH282" s="13" t="e">
        <f>higiene[[#This Row],[Item]]</f>
        <v>#VALUE!</v>
      </c>
      <c r="AI282" s="9">
        <f>IFERROR(higiene[[#This Row],[Kg equivalente]],0)</f>
        <v>0</v>
      </c>
      <c r="AJ282" s="9">
        <f>IFERROR(higiene[[#This Row],[Preço por produto]],0)</f>
        <v>0</v>
      </c>
      <c r="AK282" s="4">
        <f>SUMIFS(super1[Qtde],super1[Item],tab_higiene[[#This Row],[Item]],super1[Bairro],mercado1)+SUMIFS(supercb[Qtde],supercb[Item],tab_higiene[[#This Row],[Item]],supercb[Bairro],mercado1)</f>
        <v>0</v>
      </c>
      <c r="AL282" s="4">
        <f>SUMIFS(super1[Qtde],super1[Item],tab_higiene[[#This Row],[Item]],super1[Bairro],mercado2)+SUMIFS(supercb[Qtde],supercb[Item],tab_higiene[[#This Row],[Item]],supercb[Bairro],mercado2)</f>
        <v>0</v>
      </c>
      <c r="AM282" s="4">
        <f>SUMIFS(super1[Qtde],super1[Item],tab_higiene[[#This Row],[Item]],super1[Bairro],mercado3)+SUMIFS(supercb[Qtde],supercb[Item],tab_higiene[[#This Row],[Item]],supercb[Bairro],mercado3)</f>
        <v>0</v>
      </c>
      <c r="AN282" s="4">
        <f>SUMIFS(super1[Qtde],super1[Item],tab_higiene[[#This Row],[Item]],super1[Bairro],mercado4)+SUMIFS(supercb[Qtde],supercb[Item],tab_higiene[[#This Row],[Item]],supercb[Bairro],mercado4)</f>
        <v>0</v>
      </c>
      <c r="AO282" s="4">
        <f>SUMIFS(super1[Qtde],super1[Item],tab_higiene[[#This Row],[Item]],super1[Bairro],mercado5)+SUMIFS(supercb[Qtde],supercb[Item],tab_higiene[[#This Row],[Item]],supercb[Bairro],mercado5)</f>
        <v>0</v>
      </c>
      <c r="AP282" s="4">
        <f>SUMIFS(super1[Qtde],super1[Item],tab_higiene[[#This Row],[Item]],super1[Bairro],mercado6)+SUMIFS(supercb[Qtde],supercb[Item],tab_higiene[[#This Row],[Item]],supercb[Bairro],mercado6)</f>
        <v>0</v>
      </c>
      <c r="AQ282" s="4">
        <f>SUMIFS(super1[Qtde],super1[Item],tab_higiene[[#This Row],[Item]],super1[Bairro],mercado7)+SUMIFS(supercb[Qtde],supercb[Item],tab_higiene[[#This Row],[Item]],supercb[Bairro],mercado7)</f>
        <v>0</v>
      </c>
      <c r="AR282" s="4">
        <f>SUMIFS(super1[Qtde],super1[Item],tab_higiene[[#This Row],[Item]],super1[Bairro],mercado8)+SUMIFS(supercb[Qtde],supercb[Item],tab_higiene[[#This Row],[Item]],supercb[Bairro],mercado8)</f>
        <v>0</v>
      </c>
      <c r="AS282" s="4">
        <f>SUMIFS(super1[Qtde],super1[Item],tab_higiene[[#This Row],[Item]],super1[Bairro],mercado9)+SUMIFS(supercb[Qtde],supercb[Item],tab_higiene[[#This Row],[Item]],supercb[Bairro],mercado9)</f>
        <v>0</v>
      </c>
      <c r="AT282" s="4">
        <f>SUMIFS(super1[Qtde],super1[Item],tab_higiene[[#This Row],[Item]],super1[Bairro],mercado10)+SUMIFS(supercb[Qtde],supercb[Item],tab_higiene[[#This Row],[Item]],supercb[Bairro],mercado10)</f>
        <v>0</v>
      </c>
      <c r="AU282" s="4">
        <f>SUMIFS(super1[Qtde],super1[Item],tab_higiene[[#This Row],[Item]],super1[Bairro],mercado11)+SUMIFS(supercb[Qtde],supercb[Item],tab_higiene[[#This Row],[Item]],supercb[Bairro],mercado11)</f>
        <v>0</v>
      </c>
      <c r="AV282" s="4">
        <f>SUMIFS(super1[Qtde],super1[Item],tab_higiene[[#This Row],[Item]],super1[Bairro],mercado12)+SUMIFS(supercb[Qtde],supercb[Item],tab_higiene[[#This Row],[Item]],supercb[Bairro],mercado12)</f>
        <v>0</v>
      </c>
      <c r="AW282" s="4">
        <f>SUMIFS(super1[Qtde],super1[Item],tab_higiene[[#This Row],[Item]],super1[Bairro],mercado13)+SUMIFS(supercb[Qtde],supercb[Item],tab_higiene[[#This Row],[Item]],supercb[Bairro],mercado13)</f>
        <v>0</v>
      </c>
      <c r="AX282" s="4">
        <f>SUMIFS(super1[Qtde],super1[Item],tab_higiene[[#This Row],[Item]],super1[Bairro],mercado14)+SUMIFS(supercb[Qtde],supercb[Item],tab_higiene[[#This Row],[Item]],supercb[Bairro],mercado14)</f>
        <v>0</v>
      </c>
      <c r="AY282" s="4">
        <f>SUMIFS(super1[Qtde],super1[Item],tab_higiene[[#This Row],[Item]],super1[Bairro],mercado15)+SUMIFS(supercb[Qtde],supercb[Item],tab_higiene[[#This Row],[Item]],supercb[Bairro],mercado15)</f>
        <v>0</v>
      </c>
      <c r="AZ282" s="4">
        <f>SUMIFS(super1[Qtde],super1[Item],tab_higiene[[#This Row],[Item]],super1[Bairro],mercado16)+SUMIFS(supercb[Qtde],supercb[Item],tab_higiene[[#This Row],[Item]],supercb[Bairro],mercado16)</f>
        <v>0</v>
      </c>
      <c r="BA282" s="4">
        <f>SUMIFS(super1[Qtde],super1[Item],tab_higiene[[#This Row],[Item]],super1[Bairro],mercado17)+SUMIFS(supercb[Qtde],supercb[Item],tab_higiene[[#This Row],[Item]],supercb[Bairro],mercado17)</f>
        <v>0</v>
      </c>
      <c r="BB282" s="4">
        <f>SUMIFS(super1[Qtde],super1[Item],tab_higiene[[#This Row],[Item]],super1[Bairro],mercado18)+SUMIFS(supercb[Qtde],supercb[Item],tab_higiene[[#This Row],[Item]],supercb[Bairro],mercado18)</f>
        <v>0</v>
      </c>
      <c r="BC282" s="31">
        <f>SUMIFS(super1[Qtde],super1[Item],tab_higiene[[#This Row],[Item]],super1[Bairro],extras)+SUMIFS(supercb[Qtde],supercb[Item],tab_higiene[[#This Row],[Item]],supercb[Bairro],extras)</f>
        <v>0</v>
      </c>
      <c r="BD282" s="9">
        <f t="shared" si="91"/>
        <v>0</v>
      </c>
      <c r="BE282" s="9">
        <f t="shared" si="92"/>
        <v>0</v>
      </c>
      <c r="BF282" s="18">
        <f t="shared" si="93"/>
        <v>0</v>
      </c>
    </row>
    <row r="283" spans="9:58" ht="15.75" thickBot="1" x14ac:dyDescent="0.3">
      <c r="I283" s="19" t="str">
        <f>alimentos[[#This Row],[Item]]</f>
        <v>Leite Condensado (400g)</v>
      </c>
      <c r="J283" s="4">
        <f>IFERROR(alimentos[[#This Row],[kg/embalagem]],0)</f>
        <v>0.4</v>
      </c>
      <c r="K283" s="4">
        <f>IFERROR(alimentos[[#This Row],[Preço]],0)</f>
        <v>4.59</v>
      </c>
      <c r="L283" s="4">
        <f>SUMIFS(super1[Qtde],super1[Item],tab_alimentos[[#This Row],[Item]],super1[Bairro],mercado1)+SUMIFS(supercb[Qtde],supercb[Item],tab_alimentos[[#This Row],[Item]],supercb[Bairro],mercado1)</f>
        <v>0</v>
      </c>
      <c r="M283" s="4">
        <f>SUMIFS(super1[Qtde],super1[Item],tab_alimentos[[#This Row],[Item]],super1[Bairro],mercado2)+SUMIFS(supercb[Qtde],supercb[Item],tab_alimentos[[#This Row],[Item]],supercb[Bairro],mercado2)</f>
        <v>0</v>
      </c>
      <c r="N283" s="4">
        <f>SUMIFS(super1[Qtde],super1[Item],tab_alimentos[[#This Row],[Item]],super1[Bairro],mercado3)+SUMIFS(supercb[Qtde],supercb[Item],tab_alimentos[[#This Row],[Item]],supercb[Bairro],mercado3)</f>
        <v>0</v>
      </c>
      <c r="O283" s="4">
        <f>SUMIFS(super1[Qtde],super1[Item],tab_alimentos[[#This Row],[Item]],super1[Bairro],mercado4)+SUMIFS(supercb[Qtde],supercb[Item],tab_alimentos[[#This Row],[Item]],supercb[Bairro],mercado4)</f>
        <v>0</v>
      </c>
      <c r="P283" s="4">
        <f>SUMIFS(super1[Qtde],super1[Item],tab_alimentos[[#This Row],[Item]],super1[Bairro],mercado5)+SUMIFS(supercb[Qtde],supercb[Item],tab_alimentos[[#This Row],[Item]],supercb[Bairro],mercado5)</f>
        <v>0</v>
      </c>
      <c r="Q283" s="4">
        <f>SUMIFS(super1[Qtde],super1[Item],tab_alimentos[[#This Row],[Item]],super1[Bairro],mercado6)+SUMIFS(supercb[Qtde],supercb[Item],tab_alimentos[[#This Row],[Item]],supercb[Bairro],mercado6)</f>
        <v>0</v>
      </c>
      <c r="R283" s="4">
        <f>SUMIFS(super1[Qtde],super1[Item],tab_alimentos[[#This Row],[Item]],super1[Bairro],mercado7)+SUMIFS(supercb[Qtde],supercb[Item],tab_alimentos[[#This Row],[Item]],supercb[Bairro],mercado7)</f>
        <v>0</v>
      </c>
      <c r="S283" s="4">
        <f>SUMIFS(super1[Qtde],super1[Item],tab_alimentos[[#This Row],[Item]],super1[Bairro],mercado8)+SUMIFS(supercb[Qtde],supercb[Item],tab_alimentos[[#This Row],[Item]],supercb[Bairro],mercado8)</f>
        <v>0</v>
      </c>
      <c r="T283" s="4">
        <f>SUMIFS(super1[Qtde],super1[Item],tab_alimentos[[#This Row],[Item]],super1[Bairro],mercado9)+SUMIFS(supercb[Qtde],supercb[Item],tab_alimentos[[#This Row],[Item]],supercb[Bairro],mercado9)</f>
        <v>0</v>
      </c>
      <c r="U283" s="4">
        <f>SUMIFS(super1[Qtde],super1[Item],tab_alimentos[[#This Row],[Item]],super1[Bairro],mercado10)+SUMIFS(supercb[Qtde],supercb[Item],tab_alimentos[[#This Row],[Item]],supercb[Bairro],mercado10)</f>
        <v>0</v>
      </c>
      <c r="V283" s="4">
        <f>SUMIFS(super1[Qtde],super1[Item],tab_alimentos[[#This Row],[Item]],super1[Bairro],mercado11)+SUMIFS(supercb[Qtde],supercb[Item],tab_alimentos[[#This Row],[Item]],supercb[Bairro],mercado11)</f>
        <v>0</v>
      </c>
      <c r="W283" s="4">
        <f>SUMIFS(super1[Qtde],super1[Item],tab_alimentos[[#This Row],[Item]],super1[Bairro],mercado12)+SUMIFS(supercb[Qtde],supercb[Item],tab_alimentos[[#This Row],[Item]],supercb[Bairro],mercado12)</f>
        <v>0</v>
      </c>
      <c r="X283" s="4">
        <f>SUMIFS(super1[Qtde],super1[Item],tab_alimentos[[#This Row],[Item]],super1[Bairro],mercado13)+SUMIFS(supercb[Qtde],supercb[Item],tab_alimentos[[#This Row],[Item]],supercb[Bairro],mercado13)</f>
        <v>0</v>
      </c>
      <c r="Y283" s="4">
        <f>SUMIFS(super1[Qtde],super1[Item],tab_alimentos[[#This Row],[Item]],super1[Bairro],mercado14)+SUMIFS(supercb[Qtde],supercb[Item],tab_alimentos[[#This Row],[Item]],supercb[Bairro],mercado14)</f>
        <v>0</v>
      </c>
      <c r="Z283" s="4">
        <f>SUMIFS(super1[Qtde],super1[Item],tab_alimentos[[#This Row],[Item]],super1[Bairro],mercado15)+SUMIFS(supercb[Qtde],supercb[Item],tab_alimentos[[#This Row],[Item]],supercb[Bairro],mercado15)</f>
        <v>0</v>
      </c>
      <c r="AA283" s="4">
        <f>SUMIFS(super1[Qtde],super1[Item],tab_alimentos[[#This Row],[Item]],super1[Bairro],mercado16)+SUMIFS(supercb[Qtde],supercb[Item],tab_alimentos[[#This Row],[Item]],supercb[Bairro],mercado16)</f>
        <v>0</v>
      </c>
      <c r="AB283" s="4">
        <f>SUMIFS(super1[Qtde],super1[Item],tab_alimentos[[#This Row],[Item]],super1[Bairro],mercado17)+SUMIFS(supercb[Qtde],supercb[Item],tab_alimentos[[#This Row],[Item]],supercb[Bairro],mercado17)</f>
        <v>0</v>
      </c>
      <c r="AC283" s="4">
        <f>SUMIFS(super1[Qtde],super1[Item],tab_alimentos[[#This Row],[Item]],super1[Bairro],mercado18)+SUMIFS(supercb[Qtde],supercb[Item],tab_alimentos[[#This Row],[Item]],supercb[Bairro],mercado18)</f>
        <v>0</v>
      </c>
      <c r="AD283" s="4">
        <f>SUMIFS(super1[Qtde],super1[Item],tab_alimentos[[#This Row],[Item]],super1[Bairro],extras)+SUMIFS(supercb[Qtde],supercb[Item],tab_alimentos[[#This Row],[Item]],supercb[Bairro],extras)</f>
        <v>0</v>
      </c>
      <c r="AE283" s="4">
        <f t="shared" si="88"/>
        <v>0</v>
      </c>
      <c r="AF283" s="4">
        <f t="shared" si="89"/>
        <v>0</v>
      </c>
      <c r="AG283" s="6">
        <f t="shared" si="90"/>
        <v>0</v>
      </c>
      <c r="AH283" s="13" t="e">
        <f>higiene[[#This Row],[Item]]</f>
        <v>#VALUE!</v>
      </c>
      <c r="AI283" s="9">
        <f>IFERROR(higiene[[#This Row],[Kg equivalente]],0)</f>
        <v>0</v>
      </c>
      <c r="AJ283" s="9">
        <f>IFERROR(higiene[[#This Row],[Preço por produto]],0)</f>
        <v>0</v>
      </c>
      <c r="AK283" s="4">
        <f>SUMIFS(super1[Qtde],super1[Item],tab_higiene[[#This Row],[Item]],super1[Bairro],mercado1)+SUMIFS(supercb[Qtde],supercb[Item],tab_higiene[[#This Row],[Item]],supercb[Bairro],mercado1)</f>
        <v>0</v>
      </c>
      <c r="AL283" s="4">
        <f>SUMIFS(super1[Qtde],super1[Item],tab_higiene[[#This Row],[Item]],super1[Bairro],mercado2)+SUMIFS(supercb[Qtde],supercb[Item],tab_higiene[[#This Row],[Item]],supercb[Bairro],mercado2)</f>
        <v>0</v>
      </c>
      <c r="AM283" s="4">
        <f>SUMIFS(super1[Qtde],super1[Item],tab_higiene[[#This Row],[Item]],super1[Bairro],mercado3)+SUMIFS(supercb[Qtde],supercb[Item],tab_higiene[[#This Row],[Item]],supercb[Bairro],mercado3)</f>
        <v>0</v>
      </c>
      <c r="AN283" s="4">
        <f>SUMIFS(super1[Qtde],super1[Item],tab_higiene[[#This Row],[Item]],super1[Bairro],mercado4)+SUMIFS(supercb[Qtde],supercb[Item],tab_higiene[[#This Row],[Item]],supercb[Bairro],mercado4)</f>
        <v>0</v>
      </c>
      <c r="AO283" s="4">
        <f>SUMIFS(super1[Qtde],super1[Item],tab_higiene[[#This Row],[Item]],super1[Bairro],mercado5)+SUMIFS(supercb[Qtde],supercb[Item],tab_higiene[[#This Row],[Item]],supercb[Bairro],mercado5)</f>
        <v>0</v>
      </c>
      <c r="AP283" s="4">
        <f>SUMIFS(super1[Qtde],super1[Item],tab_higiene[[#This Row],[Item]],super1[Bairro],mercado6)+SUMIFS(supercb[Qtde],supercb[Item],tab_higiene[[#This Row],[Item]],supercb[Bairro],mercado6)</f>
        <v>0</v>
      </c>
      <c r="AQ283" s="4">
        <f>SUMIFS(super1[Qtde],super1[Item],tab_higiene[[#This Row],[Item]],super1[Bairro],mercado7)+SUMIFS(supercb[Qtde],supercb[Item],tab_higiene[[#This Row],[Item]],supercb[Bairro],mercado7)</f>
        <v>0</v>
      </c>
      <c r="AR283" s="4">
        <f>SUMIFS(super1[Qtde],super1[Item],tab_higiene[[#This Row],[Item]],super1[Bairro],mercado8)+SUMIFS(supercb[Qtde],supercb[Item],tab_higiene[[#This Row],[Item]],supercb[Bairro],mercado8)</f>
        <v>0</v>
      </c>
      <c r="AS283" s="4">
        <f>SUMIFS(super1[Qtde],super1[Item],tab_higiene[[#This Row],[Item]],super1[Bairro],mercado9)+SUMIFS(supercb[Qtde],supercb[Item],tab_higiene[[#This Row],[Item]],supercb[Bairro],mercado9)</f>
        <v>0</v>
      </c>
      <c r="AT283" s="4">
        <f>SUMIFS(super1[Qtde],super1[Item],tab_higiene[[#This Row],[Item]],super1[Bairro],mercado10)+SUMIFS(supercb[Qtde],supercb[Item],tab_higiene[[#This Row],[Item]],supercb[Bairro],mercado10)</f>
        <v>0</v>
      </c>
      <c r="AU283" s="4">
        <f>SUMIFS(super1[Qtde],super1[Item],tab_higiene[[#This Row],[Item]],super1[Bairro],mercado11)+SUMIFS(supercb[Qtde],supercb[Item],tab_higiene[[#This Row],[Item]],supercb[Bairro],mercado11)</f>
        <v>0</v>
      </c>
      <c r="AV283" s="4">
        <f>SUMIFS(super1[Qtde],super1[Item],tab_higiene[[#This Row],[Item]],super1[Bairro],mercado12)+SUMIFS(supercb[Qtde],supercb[Item],tab_higiene[[#This Row],[Item]],supercb[Bairro],mercado12)</f>
        <v>0</v>
      </c>
      <c r="AW283" s="4">
        <f>SUMIFS(super1[Qtde],super1[Item],tab_higiene[[#This Row],[Item]],super1[Bairro],mercado13)+SUMIFS(supercb[Qtde],supercb[Item],tab_higiene[[#This Row],[Item]],supercb[Bairro],mercado13)</f>
        <v>0</v>
      </c>
      <c r="AX283" s="4">
        <f>SUMIFS(super1[Qtde],super1[Item],tab_higiene[[#This Row],[Item]],super1[Bairro],mercado14)+SUMIFS(supercb[Qtde],supercb[Item],tab_higiene[[#This Row],[Item]],supercb[Bairro],mercado14)</f>
        <v>0</v>
      </c>
      <c r="AY283" s="4">
        <f>SUMIFS(super1[Qtde],super1[Item],tab_higiene[[#This Row],[Item]],super1[Bairro],mercado15)+SUMIFS(supercb[Qtde],supercb[Item],tab_higiene[[#This Row],[Item]],supercb[Bairro],mercado15)</f>
        <v>0</v>
      </c>
      <c r="AZ283" s="4">
        <f>SUMIFS(super1[Qtde],super1[Item],tab_higiene[[#This Row],[Item]],super1[Bairro],mercado16)+SUMIFS(supercb[Qtde],supercb[Item],tab_higiene[[#This Row],[Item]],supercb[Bairro],mercado16)</f>
        <v>0</v>
      </c>
      <c r="BA283" s="4">
        <f>SUMIFS(super1[Qtde],super1[Item],tab_higiene[[#This Row],[Item]],super1[Bairro],mercado17)+SUMIFS(supercb[Qtde],supercb[Item],tab_higiene[[#This Row],[Item]],supercb[Bairro],mercado17)</f>
        <v>0</v>
      </c>
      <c r="BB283" s="4">
        <f>SUMIFS(super1[Qtde],super1[Item],tab_higiene[[#This Row],[Item]],super1[Bairro],mercado18)+SUMIFS(supercb[Qtde],supercb[Item],tab_higiene[[#This Row],[Item]],supercb[Bairro],mercado18)</f>
        <v>0</v>
      </c>
      <c r="BC283" s="31">
        <f>SUMIFS(super1[Qtde],super1[Item],tab_higiene[[#This Row],[Item]],super1[Bairro],extras)+SUMIFS(supercb[Qtde],supercb[Item],tab_higiene[[#This Row],[Item]],supercb[Bairro],extras)</f>
        <v>0</v>
      </c>
      <c r="BD283" s="9">
        <f t="shared" si="91"/>
        <v>0</v>
      </c>
      <c r="BE283" s="9">
        <f t="shared" si="92"/>
        <v>0</v>
      </c>
      <c r="BF283" s="18">
        <f t="shared" si="93"/>
        <v>0</v>
      </c>
    </row>
    <row r="284" spans="9:58" ht="15.75" thickBot="1" x14ac:dyDescent="0.3">
      <c r="I284" s="19" t="str">
        <f>alimentos[[#This Row],[Item]]</f>
        <v>Leite de Coco (200mL)</v>
      </c>
      <c r="J284" s="4">
        <f>IFERROR(alimentos[[#This Row],[kg/embalagem]],0)</f>
        <v>0.2</v>
      </c>
      <c r="K284" s="4">
        <f>IFERROR(alimentos[[#This Row],[Preço]],0)</f>
        <v>4.99</v>
      </c>
      <c r="L284" s="4">
        <f>SUMIFS(super1[Qtde],super1[Item],tab_alimentos[[#This Row],[Item]],super1[Bairro],mercado1)+SUMIFS(supercb[Qtde],supercb[Item],tab_alimentos[[#This Row],[Item]],supercb[Bairro],mercado1)</f>
        <v>0</v>
      </c>
      <c r="M284" s="4">
        <f>SUMIFS(super1[Qtde],super1[Item],tab_alimentos[[#This Row],[Item]],super1[Bairro],mercado2)+SUMIFS(supercb[Qtde],supercb[Item],tab_alimentos[[#This Row],[Item]],supercb[Bairro],mercado2)</f>
        <v>0</v>
      </c>
      <c r="N284" s="4">
        <f>SUMIFS(super1[Qtde],super1[Item],tab_alimentos[[#This Row],[Item]],super1[Bairro],mercado3)+SUMIFS(supercb[Qtde],supercb[Item],tab_alimentos[[#This Row],[Item]],supercb[Bairro],mercado3)</f>
        <v>0</v>
      </c>
      <c r="O284" s="4">
        <f>SUMIFS(super1[Qtde],super1[Item],tab_alimentos[[#This Row],[Item]],super1[Bairro],mercado4)+SUMIFS(supercb[Qtde],supercb[Item],tab_alimentos[[#This Row],[Item]],supercb[Bairro],mercado4)</f>
        <v>0</v>
      </c>
      <c r="P284" s="4">
        <f>SUMIFS(super1[Qtde],super1[Item],tab_alimentos[[#This Row],[Item]],super1[Bairro],mercado5)+SUMIFS(supercb[Qtde],supercb[Item],tab_alimentos[[#This Row],[Item]],supercb[Bairro],mercado5)</f>
        <v>0</v>
      </c>
      <c r="Q284" s="4">
        <f>SUMIFS(super1[Qtde],super1[Item],tab_alimentos[[#This Row],[Item]],super1[Bairro],mercado6)+SUMIFS(supercb[Qtde],supercb[Item],tab_alimentos[[#This Row],[Item]],supercb[Bairro],mercado6)</f>
        <v>0</v>
      </c>
      <c r="R284" s="4">
        <f>SUMIFS(super1[Qtde],super1[Item],tab_alimentos[[#This Row],[Item]],super1[Bairro],mercado7)+SUMIFS(supercb[Qtde],supercb[Item],tab_alimentos[[#This Row],[Item]],supercb[Bairro],mercado7)</f>
        <v>0</v>
      </c>
      <c r="S284" s="4">
        <f>SUMIFS(super1[Qtde],super1[Item],tab_alimentos[[#This Row],[Item]],super1[Bairro],mercado8)+SUMIFS(supercb[Qtde],supercb[Item],tab_alimentos[[#This Row],[Item]],supercb[Bairro],mercado8)</f>
        <v>0</v>
      </c>
      <c r="T284" s="4">
        <f>SUMIFS(super1[Qtde],super1[Item],tab_alimentos[[#This Row],[Item]],super1[Bairro],mercado9)+SUMIFS(supercb[Qtde],supercb[Item],tab_alimentos[[#This Row],[Item]],supercb[Bairro],mercado9)</f>
        <v>0</v>
      </c>
      <c r="U284" s="4">
        <f>SUMIFS(super1[Qtde],super1[Item],tab_alimentos[[#This Row],[Item]],super1[Bairro],mercado10)+SUMIFS(supercb[Qtde],supercb[Item],tab_alimentos[[#This Row],[Item]],supercb[Bairro],mercado10)</f>
        <v>0</v>
      </c>
      <c r="V284" s="4">
        <f>SUMIFS(super1[Qtde],super1[Item],tab_alimentos[[#This Row],[Item]],super1[Bairro],mercado11)+SUMIFS(supercb[Qtde],supercb[Item],tab_alimentos[[#This Row],[Item]],supercb[Bairro],mercado11)</f>
        <v>0</v>
      </c>
      <c r="W284" s="4">
        <f>SUMIFS(super1[Qtde],super1[Item],tab_alimentos[[#This Row],[Item]],super1[Bairro],mercado12)+SUMIFS(supercb[Qtde],supercb[Item],tab_alimentos[[#This Row],[Item]],supercb[Bairro],mercado12)</f>
        <v>0</v>
      </c>
      <c r="X284" s="4">
        <f>SUMIFS(super1[Qtde],super1[Item],tab_alimentos[[#This Row],[Item]],super1[Bairro],mercado13)+SUMIFS(supercb[Qtde],supercb[Item],tab_alimentos[[#This Row],[Item]],supercb[Bairro],mercado13)</f>
        <v>0</v>
      </c>
      <c r="Y284" s="4">
        <f>SUMIFS(super1[Qtde],super1[Item],tab_alimentos[[#This Row],[Item]],super1[Bairro],mercado14)+SUMIFS(supercb[Qtde],supercb[Item],tab_alimentos[[#This Row],[Item]],supercb[Bairro],mercado14)</f>
        <v>0</v>
      </c>
      <c r="Z284" s="4">
        <f>SUMIFS(super1[Qtde],super1[Item],tab_alimentos[[#This Row],[Item]],super1[Bairro],mercado15)+SUMIFS(supercb[Qtde],supercb[Item],tab_alimentos[[#This Row],[Item]],supercb[Bairro],mercado15)</f>
        <v>0</v>
      </c>
      <c r="AA284" s="4">
        <f>SUMIFS(super1[Qtde],super1[Item],tab_alimentos[[#This Row],[Item]],super1[Bairro],mercado16)+SUMIFS(supercb[Qtde],supercb[Item],tab_alimentos[[#This Row],[Item]],supercb[Bairro],mercado16)</f>
        <v>0</v>
      </c>
      <c r="AB284" s="4">
        <f>SUMIFS(super1[Qtde],super1[Item],tab_alimentos[[#This Row],[Item]],super1[Bairro],mercado17)+SUMIFS(supercb[Qtde],supercb[Item],tab_alimentos[[#This Row],[Item]],supercb[Bairro],mercado17)</f>
        <v>0</v>
      </c>
      <c r="AC284" s="4">
        <f>SUMIFS(super1[Qtde],super1[Item],tab_alimentos[[#This Row],[Item]],super1[Bairro],mercado18)+SUMIFS(supercb[Qtde],supercb[Item],tab_alimentos[[#This Row],[Item]],supercb[Bairro],mercado18)</f>
        <v>0</v>
      </c>
      <c r="AD284" s="4">
        <f>SUMIFS(super1[Qtde],super1[Item],tab_alimentos[[#This Row],[Item]],super1[Bairro],extras)+SUMIFS(supercb[Qtde],supercb[Item],tab_alimentos[[#This Row],[Item]],supercb[Bairro],extras)</f>
        <v>0</v>
      </c>
      <c r="AE284" s="4">
        <f t="shared" si="88"/>
        <v>0</v>
      </c>
      <c r="AF284" s="4">
        <f t="shared" si="89"/>
        <v>0</v>
      </c>
      <c r="AG284" s="6">
        <f t="shared" si="90"/>
        <v>0</v>
      </c>
      <c r="AH284" s="13" t="e">
        <f>higiene[[#This Row],[Item]]</f>
        <v>#VALUE!</v>
      </c>
      <c r="AI284" s="9">
        <f>IFERROR(higiene[[#This Row],[Kg equivalente]],0)</f>
        <v>0</v>
      </c>
      <c r="AJ284" s="9">
        <f>IFERROR(higiene[[#This Row],[Preço por produto]],0)</f>
        <v>0</v>
      </c>
      <c r="AK284" s="4">
        <f>SUMIFS(super1[Qtde],super1[Item],tab_higiene[[#This Row],[Item]],super1[Bairro],mercado1)+SUMIFS(supercb[Qtde],supercb[Item],tab_higiene[[#This Row],[Item]],supercb[Bairro],mercado1)</f>
        <v>0</v>
      </c>
      <c r="AL284" s="4">
        <f>SUMIFS(super1[Qtde],super1[Item],tab_higiene[[#This Row],[Item]],super1[Bairro],mercado2)+SUMIFS(supercb[Qtde],supercb[Item],tab_higiene[[#This Row],[Item]],supercb[Bairro],mercado2)</f>
        <v>0</v>
      </c>
      <c r="AM284" s="4">
        <f>SUMIFS(super1[Qtde],super1[Item],tab_higiene[[#This Row],[Item]],super1[Bairro],mercado3)+SUMIFS(supercb[Qtde],supercb[Item],tab_higiene[[#This Row],[Item]],supercb[Bairro],mercado3)</f>
        <v>0</v>
      </c>
      <c r="AN284" s="4">
        <f>SUMIFS(super1[Qtde],super1[Item],tab_higiene[[#This Row],[Item]],super1[Bairro],mercado4)+SUMIFS(supercb[Qtde],supercb[Item],tab_higiene[[#This Row],[Item]],supercb[Bairro],mercado4)</f>
        <v>0</v>
      </c>
      <c r="AO284" s="4">
        <f>SUMIFS(super1[Qtde],super1[Item],tab_higiene[[#This Row],[Item]],super1[Bairro],mercado5)+SUMIFS(supercb[Qtde],supercb[Item],tab_higiene[[#This Row],[Item]],supercb[Bairro],mercado5)</f>
        <v>0</v>
      </c>
      <c r="AP284" s="4">
        <f>SUMIFS(super1[Qtde],super1[Item],tab_higiene[[#This Row],[Item]],super1[Bairro],mercado6)+SUMIFS(supercb[Qtde],supercb[Item],tab_higiene[[#This Row],[Item]],supercb[Bairro],mercado6)</f>
        <v>0</v>
      </c>
      <c r="AQ284" s="4">
        <f>SUMIFS(super1[Qtde],super1[Item],tab_higiene[[#This Row],[Item]],super1[Bairro],mercado7)+SUMIFS(supercb[Qtde],supercb[Item],tab_higiene[[#This Row],[Item]],supercb[Bairro],mercado7)</f>
        <v>0</v>
      </c>
      <c r="AR284" s="4">
        <f>SUMIFS(super1[Qtde],super1[Item],tab_higiene[[#This Row],[Item]],super1[Bairro],mercado8)+SUMIFS(supercb[Qtde],supercb[Item],tab_higiene[[#This Row],[Item]],supercb[Bairro],mercado8)</f>
        <v>0</v>
      </c>
      <c r="AS284" s="4">
        <f>SUMIFS(super1[Qtde],super1[Item],tab_higiene[[#This Row],[Item]],super1[Bairro],mercado9)+SUMIFS(supercb[Qtde],supercb[Item],tab_higiene[[#This Row],[Item]],supercb[Bairro],mercado9)</f>
        <v>0</v>
      </c>
      <c r="AT284" s="4">
        <f>SUMIFS(super1[Qtde],super1[Item],tab_higiene[[#This Row],[Item]],super1[Bairro],mercado10)+SUMIFS(supercb[Qtde],supercb[Item],tab_higiene[[#This Row],[Item]],supercb[Bairro],mercado10)</f>
        <v>0</v>
      </c>
      <c r="AU284" s="4">
        <f>SUMIFS(super1[Qtde],super1[Item],tab_higiene[[#This Row],[Item]],super1[Bairro],mercado11)+SUMIFS(supercb[Qtde],supercb[Item],tab_higiene[[#This Row],[Item]],supercb[Bairro],mercado11)</f>
        <v>0</v>
      </c>
      <c r="AV284" s="4">
        <f>SUMIFS(super1[Qtde],super1[Item],tab_higiene[[#This Row],[Item]],super1[Bairro],mercado12)+SUMIFS(supercb[Qtde],supercb[Item],tab_higiene[[#This Row],[Item]],supercb[Bairro],mercado12)</f>
        <v>0</v>
      </c>
      <c r="AW284" s="4">
        <f>SUMIFS(super1[Qtde],super1[Item],tab_higiene[[#This Row],[Item]],super1[Bairro],mercado13)+SUMIFS(supercb[Qtde],supercb[Item],tab_higiene[[#This Row],[Item]],supercb[Bairro],mercado13)</f>
        <v>0</v>
      </c>
      <c r="AX284" s="4">
        <f>SUMIFS(super1[Qtde],super1[Item],tab_higiene[[#This Row],[Item]],super1[Bairro],mercado14)+SUMIFS(supercb[Qtde],supercb[Item],tab_higiene[[#This Row],[Item]],supercb[Bairro],mercado14)</f>
        <v>0</v>
      </c>
      <c r="AY284" s="4">
        <f>SUMIFS(super1[Qtde],super1[Item],tab_higiene[[#This Row],[Item]],super1[Bairro],mercado15)+SUMIFS(supercb[Qtde],supercb[Item],tab_higiene[[#This Row],[Item]],supercb[Bairro],mercado15)</f>
        <v>0</v>
      </c>
      <c r="AZ284" s="4">
        <f>SUMIFS(super1[Qtde],super1[Item],tab_higiene[[#This Row],[Item]],super1[Bairro],mercado16)+SUMIFS(supercb[Qtde],supercb[Item],tab_higiene[[#This Row],[Item]],supercb[Bairro],mercado16)</f>
        <v>0</v>
      </c>
      <c r="BA284" s="4">
        <f>SUMIFS(super1[Qtde],super1[Item],tab_higiene[[#This Row],[Item]],super1[Bairro],mercado17)+SUMIFS(supercb[Qtde],supercb[Item],tab_higiene[[#This Row],[Item]],supercb[Bairro],mercado17)</f>
        <v>0</v>
      </c>
      <c r="BB284" s="4">
        <f>SUMIFS(super1[Qtde],super1[Item],tab_higiene[[#This Row],[Item]],super1[Bairro],mercado18)+SUMIFS(supercb[Qtde],supercb[Item],tab_higiene[[#This Row],[Item]],supercb[Bairro],mercado18)</f>
        <v>0</v>
      </c>
      <c r="BC284" s="31">
        <f>SUMIFS(super1[Qtde],super1[Item],tab_higiene[[#This Row],[Item]],super1[Bairro],extras)+SUMIFS(supercb[Qtde],supercb[Item],tab_higiene[[#This Row],[Item]],supercb[Bairro],extras)</f>
        <v>0</v>
      </c>
      <c r="BD284" s="9">
        <f t="shared" si="91"/>
        <v>0</v>
      </c>
      <c r="BE284" s="9">
        <f t="shared" si="92"/>
        <v>0</v>
      </c>
      <c r="BF284" s="18">
        <f t="shared" si="93"/>
        <v>0</v>
      </c>
    </row>
    <row r="285" spans="9:58" ht="15.75" thickBot="1" x14ac:dyDescent="0.3">
      <c r="I285" s="19" t="str">
        <f>alimentos[[#This Row],[Item]]</f>
        <v>Leite de Soja (1L)</v>
      </c>
      <c r="J285" s="4">
        <f>IFERROR(alimentos[[#This Row],[kg/embalagem]],0)</f>
        <v>1</v>
      </c>
      <c r="K285" s="4">
        <f>IFERROR(alimentos[[#This Row],[Preço]],0)</f>
        <v>7.39</v>
      </c>
      <c r="L285" s="4">
        <f>SUMIFS(super1[Qtde],super1[Item],tab_alimentos[[#This Row],[Item]],super1[Bairro],mercado1)+SUMIFS(supercb[Qtde],supercb[Item],tab_alimentos[[#This Row],[Item]],supercb[Bairro],mercado1)</f>
        <v>0</v>
      </c>
      <c r="M285" s="4">
        <f>SUMIFS(super1[Qtde],super1[Item],tab_alimentos[[#This Row],[Item]],super1[Bairro],mercado2)+SUMIFS(supercb[Qtde],supercb[Item],tab_alimentos[[#This Row],[Item]],supercb[Bairro],mercado2)</f>
        <v>0</v>
      </c>
      <c r="N285" s="4">
        <f>SUMIFS(super1[Qtde],super1[Item],tab_alimentos[[#This Row],[Item]],super1[Bairro],mercado3)+SUMIFS(supercb[Qtde],supercb[Item],tab_alimentos[[#This Row],[Item]],supercb[Bairro],mercado3)</f>
        <v>0</v>
      </c>
      <c r="O285" s="4">
        <f>SUMIFS(super1[Qtde],super1[Item],tab_alimentos[[#This Row],[Item]],super1[Bairro],mercado4)+SUMIFS(supercb[Qtde],supercb[Item],tab_alimentos[[#This Row],[Item]],supercb[Bairro],mercado4)</f>
        <v>0</v>
      </c>
      <c r="P285" s="4">
        <f>SUMIFS(super1[Qtde],super1[Item],tab_alimentos[[#This Row],[Item]],super1[Bairro],mercado5)+SUMIFS(supercb[Qtde],supercb[Item],tab_alimentos[[#This Row],[Item]],supercb[Bairro],mercado5)</f>
        <v>0</v>
      </c>
      <c r="Q285" s="4">
        <f>SUMIFS(super1[Qtde],super1[Item],tab_alimentos[[#This Row],[Item]],super1[Bairro],mercado6)+SUMIFS(supercb[Qtde],supercb[Item],tab_alimentos[[#This Row],[Item]],supercb[Bairro],mercado6)</f>
        <v>0</v>
      </c>
      <c r="R285" s="4">
        <f>SUMIFS(super1[Qtde],super1[Item],tab_alimentos[[#This Row],[Item]],super1[Bairro],mercado7)+SUMIFS(supercb[Qtde],supercb[Item],tab_alimentos[[#This Row],[Item]],supercb[Bairro],mercado7)</f>
        <v>0</v>
      </c>
      <c r="S285" s="4">
        <f>SUMIFS(super1[Qtde],super1[Item],tab_alimentos[[#This Row],[Item]],super1[Bairro],mercado8)+SUMIFS(supercb[Qtde],supercb[Item],tab_alimentos[[#This Row],[Item]],supercb[Bairro],mercado8)</f>
        <v>0</v>
      </c>
      <c r="T285" s="4">
        <f>SUMIFS(super1[Qtde],super1[Item],tab_alimentos[[#This Row],[Item]],super1[Bairro],mercado9)+SUMIFS(supercb[Qtde],supercb[Item],tab_alimentos[[#This Row],[Item]],supercb[Bairro],mercado9)</f>
        <v>0</v>
      </c>
      <c r="U285" s="4">
        <f>SUMIFS(super1[Qtde],super1[Item],tab_alimentos[[#This Row],[Item]],super1[Bairro],mercado10)+SUMIFS(supercb[Qtde],supercb[Item],tab_alimentos[[#This Row],[Item]],supercb[Bairro],mercado10)</f>
        <v>0</v>
      </c>
      <c r="V285" s="4">
        <f>SUMIFS(super1[Qtde],super1[Item],tab_alimentos[[#This Row],[Item]],super1[Bairro],mercado11)+SUMIFS(supercb[Qtde],supercb[Item],tab_alimentos[[#This Row],[Item]],supercb[Bairro],mercado11)</f>
        <v>0</v>
      </c>
      <c r="W285" s="4">
        <f>SUMIFS(super1[Qtde],super1[Item],tab_alimentos[[#This Row],[Item]],super1[Bairro],mercado12)+SUMIFS(supercb[Qtde],supercb[Item],tab_alimentos[[#This Row],[Item]],supercb[Bairro],mercado12)</f>
        <v>0</v>
      </c>
      <c r="X285" s="4">
        <f>SUMIFS(super1[Qtde],super1[Item],tab_alimentos[[#This Row],[Item]],super1[Bairro],mercado13)+SUMIFS(supercb[Qtde],supercb[Item],tab_alimentos[[#This Row],[Item]],supercb[Bairro],mercado13)</f>
        <v>0</v>
      </c>
      <c r="Y285" s="4">
        <f>SUMIFS(super1[Qtde],super1[Item],tab_alimentos[[#This Row],[Item]],super1[Bairro],mercado14)+SUMIFS(supercb[Qtde],supercb[Item],tab_alimentos[[#This Row],[Item]],supercb[Bairro],mercado14)</f>
        <v>0</v>
      </c>
      <c r="Z285" s="4">
        <f>SUMIFS(super1[Qtde],super1[Item],tab_alimentos[[#This Row],[Item]],super1[Bairro],mercado15)+SUMIFS(supercb[Qtde],supercb[Item],tab_alimentos[[#This Row],[Item]],supercb[Bairro],mercado15)</f>
        <v>0</v>
      </c>
      <c r="AA285" s="4">
        <f>SUMIFS(super1[Qtde],super1[Item],tab_alimentos[[#This Row],[Item]],super1[Bairro],mercado16)+SUMIFS(supercb[Qtde],supercb[Item],tab_alimentos[[#This Row],[Item]],supercb[Bairro],mercado16)</f>
        <v>0</v>
      </c>
      <c r="AB285" s="4">
        <f>SUMIFS(super1[Qtde],super1[Item],tab_alimentos[[#This Row],[Item]],super1[Bairro],mercado17)+SUMIFS(supercb[Qtde],supercb[Item],tab_alimentos[[#This Row],[Item]],supercb[Bairro],mercado17)</f>
        <v>0</v>
      </c>
      <c r="AC285" s="4">
        <f>SUMIFS(super1[Qtde],super1[Item],tab_alimentos[[#This Row],[Item]],super1[Bairro],mercado18)+SUMIFS(supercb[Qtde],supercb[Item],tab_alimentos[[#This Row],[Item]],supercb[Bairro],mercado18)</f>
        <v>0</v>
      </c>
      <c r="AD285" s="4">
        <f>SUMIFS(super1[Qtde],super1[Item],tab_alimentos[[#This Row],[Item]],super1[Bairro],extras)+SUMIFS(supercb[Qtde],supercb[Item],tab_alimentos[[#This Row],[Item]],supercb[Bairro],extras)</f>
        <v>0</v>
      </c>
      <c r="AE285" s="4">
        <f t="shared" si="88"/>
        <v>0</v>
      </c>
      <c r="AF285" s="4">
        <f t="shared" si="89"/>
        <v>0</v>
      </c>
      <c r="AG285" s="6">
        <f t="shared" si="90"/>
        <v>0</v>
      </c>
      <c r="AH285" s="13" t="e">
        <f>higiene[[#This Row],[Item]]</f>
        <v>#VALUE!</v>
      </c>
      <c r="AI285" s="9">
        <f>IFERROR(higiene[[#This Row],[Kg equivalente]],0)</f>
        <v>0</v>
      </c>
      <c r="AJ285" s="9">
        <f>IFERROR(higiene[[#This Row],[Preço por produto]],0)</f>
        <v>0</v>
      </c>
      <c r="AK285" s="4">
        <f>SUMIFS(super1[Qtde],super1[Item],tab_higiene[[#This Row],[Item]],super1[Bairro],mercado1)+SUMIFS(supercb[Qtde],supercb[Item],tab_higiene[[#This Row],[Item]],supercb[Bairro],mercado1)</f>
        <v>0</v>
      </c>
      <c r="AL285" s="4">
        <f>SUMIFS(super1[Qtde],super1[Item],tab_higiene[[#This Row],[Item]],super1[Bairro],mercado2)+SUMIFS(supercb[Qtde],supercb[Item],tab_higiene[[#This Row],[Item]],supercb[Bairro],mercado2)</f>
        <v>0</v>
      </c>
      <c r="AM285" s="4">
        <f>SUMIFS(super1[Qtde],super1[Item],tab_higiene[[#This Row],[Item]],super1[Bairro],mercado3)+SUMIFS(supercb[Qtde],supercb[Item],tab_higiene[[#This Row],[Item]],supercb[Bairro],mercado3)</f>
        <v>0</v>
      </c>
      <c r="AN285" s="4">
        <f>SUMIFS(super1[Qtde],super1[Item],tab_higiene[[#This Row],[Item]],super1[Bairro],mercado4)+SUMIFS(supercb[Qtde],supercb[Item],tab_higiene[[#This Row],[Item]],supercb[Bairro],mercado4)</f>
        <v>0</v>
      </c>
      <c r="AO285" s="4">
        <f>SUMIFS(super1[Qtde],super1[Item],tab_higiene[[#This Row],[Item]],super1[Bairro],mercado5)+SUMIFS(supercb[Qtde],supercb[Item],tab_higiene[[#This Row],[Item]],supercb[Bairro],mercado5)</f>
        <v>0</v>
      </c>
      <c r="AP285" s="4">
        <f>SUMIFS(super1[Qtde],super1[Item],tab_higiene[[#This Row],[Item]],super1[Bairro],mercado6)+SUMIFS(supercb[Qtde],supercb[Item],tab_higiene[[#This Row],[Item]],supercb[Bairro],mercado6)</f>
        <v>0</v>
      </c>
      <c r="AQ285" s="4">
        <f>SUMIFS(super1[Qtde],super1[Item],tab_higiene[[#This Row],[Item]],super1[Bairro],mercado7)+SUMIFS(supercb[Qtde],supercb[Item],tab_higiene[[#This Row],[Item]],supercb[Bairro],mercado7)</f>
        <v>0</v>
      </c>
      <c r="AR285" s="4">
        <f>SUMIFS(super1[Qtde],super1[Item],tab_higiene[[#This Row],[Item]],super1[Bairro],mercado8)+SUMIFS(supercb[Qtde],supercb[Item],tab_higiene[[#This Row],[Item]],supercb[Bairro],mercado8)</f>
        <v>0</v>
      </c>
      <c r="AS285" s="4">
        <f>SUMIFS(super1[Qtde],super1[Item],tab_higiene[[#This Row],[Item]],super1[Bairro],mercado9)+SUMIFS(supercb[Qtde],supercb[Item],tab_higiene[[#This Row],[Item]],supercb[Bairro],mercado9)</f>
        <v>0</v>
      </c>
      <c r="AT285" s="4">
        <f>SUMIFS(super1[Qtde],super1[Item],tab_higiene[[#This Row],[Item]],super1[Bairro],mercado10)+SUMIFS(supercb[Qtde],supercb[Item],tab_higiene[[#This Row],[Item]],supercb[Bairro],mercado10)</f>
        <v>0</v>
      </c>
      <c r="AU285" s="4">
        <f>SUMIFS(super1[Qtde],super1[Item],tab_higiene[[#This Row],[Item]],super1[Bairro],mercado11)+SUMIFS(supercb[Qtde],supercb[Item],tab_higiene[[#This Row],[Item]],supercb[Bairro],mercado11)</f>
        <v>0</v>
      </c>
      <c r="AV285" s="4">
        <f>SUMIFS(super1[Qtde],super1[Item],tab_higiene[[#This Row],[Item]],super1[Bairro],mercado12)+SUMIFS(supercb[Qtde],supercb[Item],tab_higiene[[#This Row],[Item]],supercb[Bairro],mercado12)</f>
        <v>0</v>
      </c>
      <c r="AW285" s="4">
        <f>SUMIFS(super1[Qtde],super1[Item],tab_higiene[[#This Row],[Item]],super1[Bairro],mercado13)+SUMIFS(supercb[Qtde],supercb[Item],tab_higiene[[#This Row],[Item]],supercb[Bairro],mercado13)</f>
        <v>0</v>
      </c>
      <c r="AX285" s="4">
        <f>SUMIFS(super1[Qtde],super1[Item],tab_higiene[[#This Row],[Item]],super1[Bairro],mercado14)+SUMIFS(supercb[Qtde],supercb[Item],tab_higiene[[#This Row],[Item]],supercb[Bairro],mercado14)</f>
        <v>0</v>
      </c>
      <c r="AY285" s="4">
        <f>SUMIFS(super1[Qtde],super1[Item],tab_higiene[[#This Row],[Item]],super1[Bairro],mercado15)+SUMIFS(supercb[Qtde],supercb[Item],tab_higiene[[#This Row],[Item]],supercb[Bairro],mercado15)</f>
        <v>0</v>
      </c>
      <c r="AZ285" s="4">
        <f>SUMIFS(super1[Qtde],super1[Item],tab_higiene[[#This Row],[Item]],super1[Bairro],mercado16)+SUMIFS(supercb[Qtde],supercb[Item],tab_higiene[[#This Row],[Item]],supercb[Bairro],mercado16)</f>
        <v>0</v>
      </c>
      <c r="BA285" s="4">
        <f>SUMIFS(super1[Qtde],super1[Item],tab_higiene[[#This Row],[Item]],super1[Bairro],mercado17)+SUMIFS(supercb[Qtde],supercb[Item],tab_higiene[[#This Row],[Item]],supercb[Bairro],mercado17)</f>
        <v>0</v>
      </c>
      <c r="BB285" s="4">
        <f>SUMIFS(super1[Qtde],super1[Item],tab_higiene[[#This Row],[Item]],super1[Bairro],mercado18)+SUMIFS(supercb[Qtde],supercb[Item],tab_higiene[[#This Row],[Item]],supercb[Bairro],mercado18)</f>
        <v>0</v>
      </c>
      <c r="BC285" s="31">
        <f>SUMIFS(super1[Qtde],super1[Item],tab_higiene[[#This Row],[Item]],super1[Bairro],extras)+SUMIFS(supercb[Qtde],supercb[Item],tab_higiene[[#This Row],[Item]],supercb[Bairro],extras)</f>
        <v>0</v>
      </c>
      <c r="BD285" s="9">
        <f t="shared" si="91"/>
        <v>0</v>
      </c>
      <c r="BE285" s="9">
        <f t="shared" si="92"/>
        <v>0</v>
      </c>
      <c r="BF285" s="18">
        <f t="shared" si="93"/>
        <v>0</v>
      </c>
    </row>
    <row r="286" spans="9:58" ht="15.75" thickBot="1" x14ac:dyDescent="0.3">
      <c r="I286" s="19" t="str">
        <f>alimentos[[#This Row],[Item]]</f>
        <v>Leite em Pó (1kg)</v>
      </c>
      <c r="J286" s="4">
        <f>IFERROR(alimentos[[#This Row],[kg/embalagem]],0)</f>
        <v>1</v>
      </c>
      <c r="K286" s="4">
        <f>IFERROR(alimentos[[#This Row],[Preço]],0)</f>
        <v>41.49</v>
      </c>
      <c r="L286" s="4">
        <f>SUMIFS(super1[Qtde],super1[Item],tab_alimentos[[#This Row],[Item]],super1[Bairro],mercado1)+SUMIFS(supercb[Qtde],supercb[Item],tab_alimentos[[#This Row],[Item]],supercb[Bairro],mercado1)</f>
        <v>0</v>
      </c>
      <c r="M286" s="4">
        <f>SUMIFS(super1[Qtde],super1[Item],tab_alimentos[[#This Row],[Item]],super1[Bairro],mercado2)+SUMIFS(supercb[Qtde],supercb[Item],tab_alimentos[[#This Row],[Item]],supercb[Bairro],mercado2)</f>
        <v>0</v>
      </c>
      <c r="N286" s="4">
        <f>SUMIFS(super1[Qtde],super1[Item],tab_alimentos[[#This Row],[Item]],super1[Bairro],mercado3)+SUMIFS(supercb[Qtde],supercb[Item],tab_alimentos[[#This Row],[Item]],supercb[Bairro],mercado3)</f>
        <v>0</v>
      </c>
      <c r="O286" s="4">
        <f>SUMIFS(super1[Qtde],super1[Item],tab_alimentos[[#This Row],[Item]],super1[Bairro],mercado4)+SUMIFS(supercb[Qtde],supercb[Item],tab_alimentos[[#This Row],[Item]],supercb[Bairro],mercado4)</f>
        <v>0</v>
      </c>
      <c r="P286" s="4">
        <f>SUMIFS(super1[Qtde],super1[Item],tab_alimentos[[#This Row],[Item]],super1[Bairro],mercado5)+SUMIFS(supercb[Qtde],supercb[Item],tab_alimentos[[#This Row],[Item]],supercb[Bairro],mercado5)</f>
        <v>0</v>
      </c>
      <c r="Q286" s="4">
        <f>SUMIFS(super1[Qtde],super1[Item],tab_alimentos[[#This Row],[Item]],super1[Bairro],mercado6)+SUMIFS(supercb[Qtde],supercb[Item],tab_alimentos[[#This Row],[Item]],supercb[Bairro],mercado6)</f>
        <v>0</v>
      </c>
      <c r="R286" s="4">
        <f>SUMIFS(super1[Qtde],super1[Item],tab_alimentos[[#This Row],[Item]],super1[Bairro],mercado7)+SUMIFS(supercb[Qtde],supercb[Item],tab_alimentos[[#This Row],[Item]],supercb[Bairro],mercado7)</f>
        <v>0</v>
      </c>
      <c r="S286" s="4">
        <f>SUMIFS(super1[Qtde],super1[Item],tab_alimentos[[#This Row],[Item]],super1[Bairro],mercado8)+SUMIFS(supercb[Qtde],supercb[Item],tab_alimentos[[#This Row],[Item]],supercb[Bairro],mercado8)</f>
        <v>0</v>
      </c>
      <c r="T286" s="4">
        <f>SUMIFS(super1[Qtde],super1[Item],tab_alimentos[[#This Row],[Item]],super1[Bairro],mercado9)+SUMIFS(supercb[Qtde],supercb[Item],tab_alimentos[[#This Row],[Item]],supercb[Bairro],mercado9)</f>
        <v>0</v>
      </c>
      <c r="U286" s="4">
        <f>SUMIFS(super1[Qtde],super1[Item],tab_alimentos[[#This Row],[Item]],super1[Bairro],mercado10)+SUMIFS(supercb[Qtde],supercb[Item],tab_alimentos[[#This Row],[Item]],supercb[Bairro],mercado10)</f>
        <v>0</v>
      </c>
      <c r="V286" s="4">
        <f>SUMIFS(super1[Qtde],super1[Item],tab_alimentos[[#This Row],[Item]],super1[Bairro],mercado11)+SUMIFS(supercb[Qtde],supercb[Item],tab_alimentos[[#This Row],[Item]],supercb[Bairro],mercado11)</f>
        <v>0</v>
      </c>
      <c r="W286" s="4">
        <f>SUMIFS(super1[Qtde],super1[Item],tab_alimentos[[#This Row],[Item]],super1[Bairro],mercado12)+SUMIFS(supercb[Qtde],supercb[Item],tab_alimentos[[#This Row],[Item]],supercb[Bairro],mercado12)</f>
        <v>0</v>
      </c>
      <c r="X286" s="4">
        <f>SUMIFS(super1[Qtde],super1[Item],tab_alimentos[[#This Row],[Item]],super1[Bairro],mercado13)+SUMIFS(supercb[Qtde],supercb[Item],tab_alimentos[[#This Row],[Item]],supercb[Bairro],mercado13)</f>
        <v>0</v>
      </c>
      <c r="Y286" s="4">
        <f>SUMIFS(super1[Qtde],super1[Item],tab_alimentos[[#This Row],[Item]],super1[Bairro],mercado14)+SUMIFS(supercb[Qtde],supercb[Item],tab_alimentos[[#This Row],[Item]],supercb[Bairro],mercado14)</f>
        <v>0</v>
      </c>
      <c r="Z286" s="4">
        <f>SUMIFS(super1[Qtde],super1[Item],tab_alimentos[[#This Row],[Item]],super1[Bairro],mercado15)+SUMIFS(supercb[Qtde],supercb[Item],tab_alimentos[[#This Row],[Item]],supercb[Bairro],mercado15)</f>
        <v>0</v>
      </c>
      <c r="AA286" s="4">
        <f>SUMIFS(super1[Qtde],super1[Item],tab_alimentos[[#This Row],[Item]],super1[Bairro],mercado16)+SUMIFS(supercb[Qtde],supercb[Item],tab_alimentos[[#This Row],[Item]],supercb[Bairro],mercado16)</f>
        <v>0</v>
      </c>
      <c r="AB286" s="4">
        <f>SUMIFS(super1[Qtde],super1[Item],tab_alimentos[[#This Row],[Item]],super1[Bairro],mercado17)+SUMIFS(supercb[Qtde],supercb[Item],tab_alimentos[[#This Row],[Item]],supercb[Bairro],mercado17)</f>
        <v>0</v>
      </c>
      <c r="AC286" s="4">
        <f>SUMIFS(super1[Qtde],super1[Item],tab_alimentos[[#This Row],[Item]],super1[Bairro],mercado18)+SUMIFS(supercb[Qtde],supercb[Item],tab_alimentos[[#This Row],[Item]],supercb[Bairro],mercado18)</f>
        <v>0</v>
      </c>
      <c r="AD286" s="4">
        <f>SUMIFS(super1[Qtde],super1[Item],tab_alimentos[[#This Row],[Item]],super1[Bairro],extras)+SUMIFS(supercb[Qtde],supercb[Item],tab_alimentos[[#This Row],[Item]],supercb[Bairro],extras)</f>
        <v>0</v>
      </c>
      <c r="AE286" s="4">
        <f t="shared" si="88"/>
        <v>0</v>
      </c>
      <c r="AF286" s="4">
        <f t="shared" si="89"/>
        <v>0</v>
      </c>
      <c r="AG286" s="6">
        <f t="shared" si="90"/>
        <v>0</v>
      </c>
      <c r="AH286" s="13" t="e">
        <f>higiene[[#This Row],[Item]]</f>
        <v>#VALUE!</v>
      </c>
      <c r="AI286" s="9">
        <f>IFERROR(higiene[[#This Row],[Kg equivalente]],0)</f>
        <v>0</v>
      </c>
      <c r="AJ286" s="9">
        <f>IFERROR(higiene[[#This Row],[Preço por produto]],0)</f>
        <v>0</v>
      </c>
      <c r="AK286" s="4">
        <f>SUMIFS(super1[Qtde],super1[Item],tab_higiene[[#This Row],[Item]],super1[Bairro],mercado1)+SUMIFS(supercb[Qtde],supercb[Item],tab_higiene[[#This Row],[Item]],supercb[Bairro],mercado1)</f>
        <v>0</v>
      </c>
      <c r="AL286" s="4">
        <f>SUMIFS(super1[Qtde],super1[Item],tab_higiene[[#This Row],[Item]],super1[Bairro],mercado2)+SUMIFS(supercb[Qtde],supercb[Item],tab_higiene[[#This Row],[Item]],supercb[Bairro],mercado2)</f>
        <v>0</v>
      </c>
      <c r="AM286" s="4">
        <f>SUMIFS(super1[Qtde],super1[Item],tab_higiene[[#This Row],[Item]],super1[Bairro],mercado3)+SUMIFS(supercb[Qtde],supercb[Item],tab_higiene[[#This Row],[Item]],supercb[Bairro],mercado3)</f>
        <v>0</v>
      </c>
      <c r="AN286" s="4">
        <f>SUMIFS(super1[Qtde],super1[Item],tab_higiene[[#This Row],[Item]],super1[Bairro],mercado4)+SUMIFS(supercb[Qtde],supercb[Item],tab_higiene[[#This Row],[Item]],supercb[Bairro],mercado4)</f>
        <v>0</v>
      </c>
      <c r="AO286" s="4">
        <f>SUMIFS(super1[Qtde],super1[Item],tab_higiene[[#This Row],[Item]],super1[Bairro],mercado5)+SUMIFS(supercb[Qtde],supercb[Item],tab_higiene[[#This Row],[Item]],supercb[Bairro],mercado5)</f>
        <v>0</v>
      </c>
      <c r="AP286" s="4">
        <f>SUMIFS(super1[Qtde],super1[Item],tab_higiene[[#This Row],[Item]],super1[Bairro],mercado6)+SUMIFS(supercb[Qtde],supercb[Item],tab_higiene[[#This Row],[Item]],supercb[Bairro],mercado6)</f>
        <v>0</v>
      </c>
      <c r="AQ286" s="4">
        <f>SUMIFS(super1[Qtde],super1[Item],tab_higiene[[#This Row],[Item]],super1[Bairro],mercado7)+SUMIFS(supercb[Qtde],supercb[Item],tab_higiene[[#This Row],[Item]],supercb[Bairro],mercado7)</f>
        <v>0</v>
      </c>
      <c r="AR286" s="4">
        <f>SUMIFS(super1[Qtde],super1[Item],tab_higiene[[#This Row],[Item]],super1[Bairro],mercado8)+SUMIFS(supercb[Qtde],supercb[Item],tab_higiene[[#This Row],[Item]],supercb[Bairro],mercado8)</f>
        <v>0</v>
      </c>
      <c r="AS286" s="4">
        <f>SUMIFS(super1[Qtde],super1[Item],tab_higiene[[#This Row],[Item]],super1[Bairro],mercado9)+SUMIFS(supercb[Qtde],supercb[Item],tab_higiene[[#This Row],[Item]],supercb[Bairro],mercado9)</f>
        <v>0</v>
      </c>
      <c r="AT286" s="4">
        <f>SUMIFS(super1[Qtde],super1[Item],tab_higiene[[#This Row],[Item]],super1[Bairro],mercado10)+SUMIFS(supercb[Qtde],supercb[Item],tab_higiene[[#This Row],[Item]],supercb[Bairro],mercado10)</f>
        <v>0</v>
      </c>
      <c r="AU286" s="4">
        <f>SUMIFS(super1[Qtde],super1[Item],tab_higiene[[#This Row],[Item]],super1[Bairro],mercado11)+SUMIFS(supercb[Qtde],supercb[Item],tab_higiene[[#This Row],[Item]],supercb[Bairro],mercado11)</f>
        <v>0</v>
      </c>
      <c r="AV286" s="4">
        <f>SUMIFS(super1[Qtde],super1[Item],tab_higiene[[#This Row],[Item]],super1[Bairro],mercado12)+SUMIFS(supercb[Qtde],supercb[Item],tab_higiene[[#This Row],[Item]],supercb[Bairro],mercado12)</f>
        <v>0</v>
      </c>
      <c r="AW286" s="4">
        <f>SUMIFS(super1[Qtde],super1[Item],tab_higiene[[#This Row],[Item]],super1[Bairro],mercado13)+SUMIFS(supercb[Qtde],supercb[Item],tab_higiene[[#This Row],[Item]],supercb[Bairro],mercado13)</f>
        <v>0</v>
      </c>
      <c r="AX286" s="4">
        <f>SUMIFS(super1[Qtde],super1[Item],tab_higiene[[#This Row],[Item]],super1[Bairro],mercado14)+SUMIFS(supercb[Qtde],supercb[Item],tab_higiene[[#This Row],[Item]],supercb[Bairro],mercado14)</f>
        <v>0</v>
      </c>
      <c r="AY286" s="4">
        <f>SUMIFS(super1[Qtde],super1[Item],tab_higiene[[#This Row],[Item]],super1[Bairro],mercado15)+SUMIFS(supercb[Qtde],supercb[Item],tab_higiene[[#This Row],[Item]],supercb[Bairro],mercado15)</f>
        <v>0</v>
      </c>
      <c r="AZ286" s="4">
        <f>SUMIFS(super1[Qtde],super1[Item],tab_higiene[[#This Row],[Item]],super1[Bairro],mercado16)+SUMIFS(supercb[Qtde],supercb[Item],tab_higiene[[#This Row],[Item]],supercb[Bairro],mercado16)</f>
        <v>0</v>
      </c>
      <c r="BA286" s="4">
        <f>SUMIFS(super1[Qtde],super1[Item],tab_higiene[[#This Row],[Item]],super1[Bairro],mercado17)+SUMIFS(supercb[Qtde],supercb[Item],tab_higiene[[#This Row],[Item]],supercb[Bairro],mercado17)</f>
        <v>0</v>
      </c>
      <c r="BB286" s="4">
        <f>SUMIFS(super1[Qtde],super1[Item],tab_higiene[[#This Row],[Item]],super1[Bairro],mercado18)+SUMIFS(supercb[Qtde],supercb[Item],tab_higiene[[#This Row],[Item]],supercb[Bairro],mercado18)</f>
        <v>0</v>
      </c>
      <c r="BC286" s="31">
        <f>SUMIFS(super1[Qtde],super1[Item],tab_higiene[[#This Row],[Item]],super1[Bairro],extras)+SUMIFS(supercb[Qtde],supercb[Item],tab_higiene[[#This Row],[Item]],supercb[Bairro],extras)</f>
        <v>0</v>
      </c>
      <c r="BD286" s="9">
        <f t="shared" si="91"/>
        <v>0</v>
      </c>
      <c r="BE286" s="9">
        <f t="shared" si="92"/>
        <v>0</v>
      </c>
      <c r="BF286" s="18">
        <f t="shared" si="93"/>
        <v>0</v>
      </c>
    </row>
    <row r="287" spans="9:58" ht="15.75" thickBot="1" x14ac:dyDescent="0.3">
      <c r="I287" s="19" t="str">
        <f>alimentos[[#This Row],[Item]]</f>
        <v>Leite em Pó (200g)</v>
      </c>
      <c r="J287" s="4">
        <f>IFERROR(alimentos[[#This Row],[kg/embalagem]],0)</f>
        <v>0.2</v>
      </c>
      <c r="K287" s="4">
        <f>IFERROR(alimentos[[#This Row],[Preço]],0)</f>
        <v>20.2</v>
      </c>
      <c r="L287" s="4">
        <f>SUMIFS(super1[Qtde],super1[Item],tab_alimentos[[#This Row],[Item]],super1[Bairro],mercado1)+SUMIFS(supercb[Qtde],supercb[Item],tab_alimentos[[#This Row],[Item]],supercb[Bairro],mercado1)</f>
        <v>0</v>
      </c>
      <c r="M287" s="4">
        <f>SUMIFS(super1[Qtde],super1[Item],tab_alimentos[[#This Row],[Item]],super1[Bairro],mercado2)+SUMIFS(supercb[Qtde],supercb[Item],tab_alimentos[[#This Row],[Item]],supercb[Bairro],mercado2)</f>
        <v>0</v>
      </c>
      <c r="N287" s="4">
        <f>SUMIFS(super1[Qtde],super1[Item],tab_alimentos[[#This Row],[Item]],super1[Bairro],mercado3)+SUMIFS(supercb[Qtde],supercb[Item],tab_alimentos[[#This Row],[Item]],supercb[Bairro],mercado3)</f>
        <v>0</v>
      </c>
      <c r="O287" s="4">
        <f>SUMIFS(super1[Qtde],super1[Item],tab_alimentos[[#This Row],[Item]],super1[Bairro],mercado4)+SUMIFS(supercb[Qtde],supercb[Item],tab_alimentos[[#This Row],[Item]],supercb[Bairro],mercado4)</f>
        <v>0</v>
      </c>
      <c r="P287" s="4">
        <f>SUMIFS(super1[Qtde],super1[Item],tab_alimentos[[#This Row],[Item]],super1[Bairro],mercado5)+SUMIFS(supercb[Qtde],supercb[Item],tab_alimentos[[#This Row],[Item]],supercb[Bairro],mercado5)</f>
        <v>0</v>
      </c>
      <c r="Q287" s="4">
        <f>SUMIFS(super1[Qtde],super1[Item],tab_alimentos[[#This Row],[Item]],super1[Bairro],mercado6)+SUMIFS(supercb[Qtde],supercb[Item],tab_alimentos[[#This Row],[Item]],supercb[Bairro],mercado6)</f>
        <v>0</v>
      </c>
      <c r="R287" s="4">
        <f>SUMIFS(super1[Qtde],super1[Item],tab_alimentos[[#This Row],[Item]],super1[Bairro],mercado7)+SUMIFS(supercb[Qtde],supercb[Item],tab_alimentos[[#This Row],[Item]],supercb[Bairro],mercado7)</f>
        <v>0</v>
      </c>
      <c r="S287" s="4">
        <f>SUMIFS(super1[Qtde],super1[Item],tab_alimentos[[#This Row],[Item]],super1[Bairro],mercado8)+SUMIFS(supercb[Qtde],supercb[Item],tab_alimentos[[#This Row],[Item]],supercb[Bairro],mercado8)</f>
        <v>0</v>
      </c>
      <c r="T287" s="4">
        <f>SUMIFS(super1[Qtde],super1[Item],tab_alimentos[[#This Row],[Item]],super1[Bairro],mercado9)+SUMIFS(supercb[Qtde],supercb[Item],tab_alimentos[[#This Row],[Item]],supercb[Bairro],mercado9)</f>
        <v>0</v>
      </c>
      <c r="U287" s="4">
        <f>SUMIFS(super1[Qtde],super1[Item],tab_alimentos[[#This Row],[Item]],super1[Bairro],mercado10)+SUMIFS(supercb[Qtde],supercb[Item],tab_alimentos[[#This Row],[Item]],supercb[Bairro],mercado10)</f>
        <v>0</v>
      </c>
      <c r="V287" s="4">
        <f>SUMIFS(super1[Qtde],super1[Item],tab_alimentos[[#This Row],[Item]],super1[Bairro],mercado11)+SUMIFS(supercb[Qtde],supercb[Item],tab_alimentos[[#This Row],[Item]],supercb[Bairro],mercado11)</f>
        <v>0</v>
      </c>
      <c r="W287" s="4">
        <f>SUMIFS(super1[Qtde],super1[Item],tab_alimentos[[#This Row],[Item]],super1[Bairro],mercado12)+SUMIFS(supercb[Qtde],supercb[Item],tab_alimentos[[#This Row],[Item]],supercb[Bairro],mercado12)</f>
        <v>0</v>
      </c>
      <c r="X287" s="4">
        <f>SUMIFS(super1[Qtde],super1[Item],tab_alimentos[[#This Row],[Item]],super1[Bairro],mercado13)+SUMIFS(supercb[Qtde],supercb[Item],tab_alimentos[[#This Row],[Item]],supercb[Bairro],mercado13)</f>
        <v>0</v>
      </c>
      <c r="Y287" s="4">
        <f>SUMIFS(super1[Qtde],super1[Item],tab_alimentos[[#This Row],[Item]],super1[Bairro],mercado14)+SUMIFS(supercb[Qtde],supercb[Item],tab_alimentos[[#This Row],[Item]],supercb[Bairro],mercado14)</f>
        <v>0</v>
      </c>
      <c r="Z287" s="4">
        <f>SUMIFS(super1[Qtde],super1[Item],tab_alimentos[[#This Row],[Item]],super1[Bairro],mercado15)+SUMIFS(supercb[Qtde],supercb[Item],tab_alimentos[[#This Row],[Item]],supercb[Bairro],mercado15)</f>
        <v>0</v>
      </c>
      <c r="AA287" s="4">
        <f>SUMIFS(super1[Qtde],super1[Item],tab_alimentos[[#This Row],[Item]],super1[Bairro],mercado16)+SUMIFS(supercb[Qtde],supercb[Item],tab_alimentos[[#This Row],[Item]],supercb[Bairro],mercado16)</f>
        <v>0</v>
      </c>
      <c r="AB287" s="4">
        <f>SUMIFS(super1[Qtde],super1[Item],tab_alimentos[[#This Row],[Item]],super1[Bairro],mercado17)+SUMIFS(supercb[Qtde],supercb[Item],tab_alimentos[[#This Row],[Item]],supercb[Bairro],mercado17)</f>
        <v>0</v>
      </c>
      <c r="AC287" s="4">
        <f>SUMIFS(super1[Qtde],super1[Item],tab_alimentos[[#This Row],[Item]],super1[Bairro],mercado18)+SUMIFS(supercb[Qtde],supercb[Item],tab_alimentos[[#This Row],[Item]],supercb[Bairro],mercado18)</f>
        <v>0</v>
      </c>
      <c r="AD287" s="4">
        <f>SUMIFS(super1[Qtde],super1[Item],tab_alimentos[[#This Row],[Item]],super1[Bairro],extras)+SUMIFS(supercb[Qtde],supercb[Item],tab_alimentos[[#This Row],[Item]],supercb[Bairro],extras)</f>
        <v>0</v>
      </c>
      <c r="AE287" s="4">
        <f t="shared" si="88"/>
        <v>0</v>
      </c>
      <c r="AF287" s="4">
        <f t="shared" si="89"/>
        <v>0</v>
      </c>
      <c r="AG287" s="6">
        <f t="shared" si="90"/>
        <v>0</v>
      </c>
      <c r="AH287" s="13" t="e">
        <f>higiene[[#This Row],[Item]]</f>
        <v>#VALUE!</v>
      </c>
      <c r="AI287" s="9">
        <f>IFERROR(higiene[[#This Row],[Kg equivalente]],0)</f>
        <v>0</v>
      </c>
      <c r="AJ287" s="9">
        <f>IFERROR(higiene[[#This Row],[Preço por produto]],0)</f>
        <v>0</v>
      </c>
      <c r="AK287" s="4">
        <f>SUMIFS(super1[Qtde],super1[Item],tab_higiene[[#This Row],[Item]],super1[Bairro],mercado1)+SUMIFS(supercb[Qtde],supercb[Item],tab_higiene[[#This Row],[Item]],supercb[Bairro],mercado1)</f>
        <v>0</v>
      </c>
      <c r="AL287" s="4">
        <f>SUMIFS(super1[Qtde],super1[Item],tab_higiene[[#This Row],[Item]],super1[Bairro],mercado2)+SUMIFS(supercb[Qtde],supercb[Item],tab_higiene[[#This Row],[Item]],supercb[Bairro],mercado2)</f>
        <v>0</v>
      </c>
      <c r="AM287" s="4">
        <f>SUMIFS(super1[Qtde],super1[Item],tab_higiene[[#This Row],[Item]],super1[Bairro],mercado3)+SUMIFS(supercb[Qtde],supercb[Item],tab_higiene[[#This Row],[Item]],supercb[Bairro],mercado3)</f>
        <v>0</v>
      </c>
      <c r="AN287" s="4">
        <f>SUMIFS(super1[Qtde],super1[Item],tab_higiene[[#This Row],[Item]],super1[Bairro],mercado4)+SUMIFS(supercb[Qtde],supercb[Item],tab_higiene[[#This Row],[Item]],supercb[Bairro],mercado4)</f>
        <v>0</v>
      </c>
      <c r="AO287" s="4">
        <f>SUMIFS(super1[Qtde],super1[Item],tab_higiene[[#This Row],[Item]],super1[Bairro],mercado5)+SUMIFS(supercb[Qtde],supercb[Item],tab_higiene[[#This Row],[Item]],supercb[Bairro],mercado5)</f>
        <v>0</v>
      </c>
      <c r="AP287" s="4">
        <f>SUMIFS(super1[Qtde],super1[Item],tab_higiene[[#This Row],[Item]],super1[Bairro],mercado6)+SUMIFS(supercb[Qtde],supercb[Item],tab_higiene[[#This Row],[Item]],supercb[Bairro],mercado6)</f>
        <v>0</v>
      </c>
      <c r="AQ287" s="4">
        <f>SUMIFS(super1[Qtde],super1[Item],tab_higiene[[#This Row],[Item]],super1[Bairro],mercado7)+SUMIFS(supercb[Qtde],supercb[Item],tab_higiene[[#This Row],[Item]],supercb[Bairro],mercado7)</f>
        <v>0</v>
      </c>
      <c r="AR287" s="4">
        <f>SUMIFS(super1[Qtde],super1[Item],tab_higiene[[#This Row],[Item]],super1[Bairro],mercado8)+SUMIFS(supercb[Qtde],supercb[Item],tab_higiene[[#This Row],[Item]],supercb[Bairro],mercado8)</f>
        <v>0</v>
      </c>
      <c r="AS287" s="4">
        <f>SUMIFS(super1[Qtde],super1[Item],tab_higiene[[#This Row],[Item]],super1[Bairro],mercado9)+SUMIFS(supercb[Qtde],supercb[Item],tab_higiene[[#This Row],[Item]],supercb[Bairro],mercado9)</f>
        <v>0</v>
      </c>
      <c r="AT287" s="4">
        <f>SUMIFS(super1[Qtde],super1[Item],tab_higiene[[#This Row],[Item]],super1[Bairro],mercado10)+SUMIFS(supercb[Qtde],supercb[Item],tab_higiene[[#This Row],[Item]],supercb[Bairro],mercado10)</f>
        <v>0</v>
      </c>
      <c r="AU287" s="4">
        <f>SUMIFS(super1[Qtde],super1[Item],tab_higiene[[#This Row],[Item]],super1[Bairro],mercado11)+SUMIFS(supercb[Qtde],supercb[Item],tab_higiene[[#This Row],[Item]],supercb[Bairro],mercado11)</f>
        <v>0</v>
      </c>
      <c r="AV287" s="4">
        <f>SUMIFS(super1[Qtde],super1[Item],tab_higiene[[#This Row],[Item]],super1[Bairro],mercado12)+SUMIFS(supercb[Qtde],supercb[Item],tab_higiene[[#This Row],[Item]],supercb[Bairro],mercado12)</f>
        <v>0</v>
      </c>
      <c r="AW287" s="4">
        <f>SUMIFS(super1[Qtde],super1[Item],tab_higiene[[#This Row],[Item]],super1[Bairro],mercado13)+SUMIFS(supercb[Qtde],supercb[Item],tab_higiene[[#This Row],[Item]],supercb[Bairro],mercado13)</f>
        <v>0</v>
      </c>
      <c r="AX287" s="4">
        <f>SUMIFS(super1[Qtde],super1[Item],tab_higiene[[#This Row],[Item]],super1[Bairro],mercado14)+SUMIFS(supercb[Qtde],supercb[Item],tab_higiene[[#This Row],[Item]],supercb[Bairro],mercado14)</f>
        <v>0</v>
      </c>
      <c r="AY287" s="4">
        <f>SUMIFS(super1[Qtde],super1[Item],tab_higiene[[#This Row],[Item]],super1[Bairro],mercado15)+SUMIFS(supercb[Qtde],supercb[Item],tab_higiene[[#This Row],[Item]],supercb[Bairro],mercado15)</f>
        <v>0</v>
      </c>
      <c r="AZ287" s="4">
        <f>SUMIFS(super1[Qtde],super1[Item],tab_higiene[[#This Row],[Item]],super1[Bairro],mercado16)+SUMIFS(supercb[Qtde],supercb[Item],tab_higiene[[#This Row],[Item]],supercb[Bairro],mercado16)</f>
        <v>0</v>
      </c>
      <c r="BA287" s="4">
        <f>SUMIFS(super1[Qtde],super1[Item],tab_higiene[[#This Row],[Item]],super1[Bairro],mercado17)+SUMIFS(supercb[Qtde],supercb[Item],tab_higiene[[#This Row],[Item]],supercb[Bairro],mercado17)</f>
        <v>0</v>
      </c>
      <c r="BB287" s="4">
        <f>SUMIFS(super1[Qtde],super1[Item],tab_higiene[[#This Row],[Item]],super1[Bairro],mercado18)+SUMIFS(supercb[Qtde],supercb[Item],tab_higiene[[#This Row],[Item]],supercb[Bairro],mercado18)</f>
        <v>0</v>
      </c>
      <c r="BC287" s="31">
        <f>SUMIFS(super1[Qtde],super1[Item],tab_higiene[[#This Row],[Item]],super1[Bairro],extras)+SUMIFS(supercb[Qtde],supercb[Item],tab_higiene[[#This Row],[Item]],supercb[Bairro],extras)</f>
        <v>0</v>
      </c>
      <c r="BD287" s="9">
        <f t="shared" si="91"/>
        <v>0</v>
      </c>
      <c r="BE287" s="9">
        <f t="shared" si="92"/>
        <v>0</v>
      </c>
      <c r="BF287" s="18">
        <f t="shared" si="93"/>
        <v>0</v>
      </c>
    </row>
    <row r="288" spans="9:58" ht="15.75" thickBot="1" x14ac:dyDescent="0.3">
      <c r="I288" s="19" t="str">
        <f>alimentos[[#This Row],[Item]]</f>
        <v>Leite em Pó (280g)</v>
      </c>
      <c r="J288" s="4">
        <f>IFERROR(alimentos[[#This Row],[kg/embalagem]],0)</f>
        <v>0.28000000000000003</v>
      </c>
      <c r="K288" s="4">
        <f>IFERROR(alimentos[[#This Row],[Preço]],0)</f>
        <v>24.2</v>
      </c>
      <c r="L288" s="4">
        <f>SUMIFS(super1[Qtde],super1[Item],tab_alimentos[[#This Row],[Item]],super1[Bairro],mercado1)+SUMIFS(supercb[Qtde],supercb[Item],tab_alimentos[[#This Row],[Item]],supercb[Bairro],mercado1)</f>
        <v>0</v>
      </c>
      <c r="M288" s="4">
        <f>SUMIFS(super1[Qtde],super1[Item],tab_alimentos[[#This Row],[Item]],super1[Bairro],mercado2)+SUMIFS(supercb[Qtde],supercb[Item],tab_alimentos[[#This Row],[Item]],supercb[Bairro],mercado2)</f>
        <v>0</v>
      </c>
      <c r="N288" s="4">
        <f>SUMIFS(super1[Qtde],super1[Item],tab_alimentos[[#This Row],[Item]],super1[Bairro],mercado3)+SUMIFS(supercb[Qtde],supercb[Item],tab_alimentos[[#This Row],[Item]],supercb[Bairro],mercado3)</f>
        <v>0</v>
      </c>
      <c r="O288" s="4">
        <f>SUMIFS(super1[Qtde],super1[Item],tab_alimentos[[#This Row],[Item]],super1[Bairro],mercado4)+SUMIFS(supercb[Qtde],supercb[Item],tab_alimentos[[#This Row],[Item]],supercb[Bairro],mercado4)</f>
        <v>0</v>
      </c>
      <c r="P288" s="4">
        <f>SUMIFS(super1[Qtde],super1[Item],tab_alimentos[[#This Row],[Item]],super1[Bairro],mercado5)+SUMIFS(supercb[Qtde],supercb[Item],tab_alimentos[[#This Row],[Item]],supercb[Bairro],mercado5)</f>
        <v>0</v>
      </c>
      <c r="Q288" s="4">
        <f>SUMIFS(super1[Qtde],super1[Item],tab_alimentos[[#This Row],[Item]],super1[Bairro],mercado6)+SUMIFS(supercb[Qtde],supercb[Item],tab_alimentos[[#This Row],[Item]],supercb[Bairro],mercado6)</f>
        <v>0</v>
      </c>
      <c r="R288" s="4">
        <f>SUMIFS(super1[Qtde],super1[Item],tab_alimentos[[#This Row],[Item]],super1[Bairro],mercado7)+SUMIFS(supercb[Qtde],supercb[Item],tab_alimentos[[#This Row],[Item]],supercb[Bairro],mercado7)</f>
        <v>0</v>
      </c>
      <c r="S288" s="4">
        <f>SUMIFS(super1[Qtde],super1[Item],tab_alimentos[[#This Row],[Item]],super1[Bairro],mercado8)+SUMIFS(supercb[Qtde],supercb[Item],tab_alimentos[[#This Row],[Item]],supercb[Bairro],mercado8)</f>
        <v>0</v>
      </c>
      <c r="T288" s="4">
        <f>SUMIFS(super1[Qtde],super1[Item],tab_alimentos[[#This Row],[Item]],super1[Bairro],mercado9)+SUMIFS(supercb[Qtde],supercb[Item],tab_alimentos[[#This Row],[Item]],supercb[Bairro],mercado9)</f>
        <v>0</v>
      </c>
      <c r="U288" s="4">
        <f>SUMIFS(super1[Qtde],super1[Item],tab_alimentos[[#This Row],[Item]],super1[Bairro],mercado10)+SUMIFS(supercb[Qtde],supercb[Item],tab_alimentos[[#This Row],[Item]],supercb[Bairro],mercado10)</f>
        <v>0</v>
      </c>
      <c r="V288" s="4">
        <f>SUMIFS(super1[Qtde],super1[Item],tab_alimentos[[#This Row],[Item]],super1[Bairro],mercado11)+SUMIFS(supercb[Qtde],supercb[Item],tab_alimentos[[#This Row],[Item]],supercb[Bairro],mercado11)</f>
        <v>0</v>
      </c>
      <c r="W288" s="4">
        <f>SUMIFS(super1[Qtde],super1[Item],tab_alimentos[[#This Row],[Item]],super1[Bairro],mercado12)+SUMIFS(supercb[Qtde],supercb[Item],tab_alimentos[[#This Row],[Item]],supercb[Bairro],mercado12)</f>
        <v>0</v>
      </c>
      <c r="X288" s="4">
        <f>SUMIFS(super1[Qtde],super1[Item],tab_alimentos[[#This Row],[Item]],super1[Bairro],mercado13)+SUMIFS(supercb[Qtde],supercb[Item],tab_alimentos[[#This Row],[Item]],supercb[Bairro],mercado13)</f>
        <v>0</v>
      </c>
      <c r="Y288" s="4">
        <f>SUMIFS(super1[Qtde],super1[Item],tab_alimentos[[#This Row],[Item]],super1[Bairro],mercado14)+SUMIFS(supercb[Qtde],supercb[Item],tab_alimentos[[#This Row],[Item]],supercb[Bairro],mercado14)</f>
        <v>0</v>
      </c>
      <c r="Z288" s="4">
        <f>SUMIFS(super1[Qtde],super1[Item],tab_alimentos[[#This Row],[Item]],super1[Bairro],mercado15)+SUMIFS(supercb[Qtde],supercb[Item],tab_alimentos[[#This Row],[Item]],supercb[Bairro],mercado15)</f>
        <v>0</v>
      </c>
      <c r="AA288" s="4">
        <f>SUMIFS(super1[Qtde],super1[Item],tab_alimentos[[#This Row],[Item]],super1[Bairro],mercado16)+SUMIFS(supercb[Qtde],supercb[Item],tab_alimentos[[#This Row],[Item]],supercb[Bairro],mercado16)</f>
        <v>0</v>
      </c>
      <c r="AB288" s="4">
        <f>SUMIFS(super1[Qtde],super1[Item],tab_alimentos[[#This Row],[Item]],super1[Bairro],mercado17)+SUMIFS(supercb[Qtde],supercb[Item],tab_alimentos[[#This Row],[Item]],supercb[Bairro],mercado17)</f>
        <v>0</v>
      </c>
      <c r="AC288" s="4">
        <f>SUMIFS(super1[Qtde],super1[Item],tab_alimentos[[#This Row],[Item]],super1[Bairro],mercado18)+SUMIFS(supercb[Qtde],supercb[Item],tab_alimentos[[#This Row],[Item]],supercb[Bairro],mercado18)</f>
        <v>0</v>
      </c>
      <c r="AD288" s="4">
        <f>SUMIFS(super1[Qtde],super1[Item],tab_alimentos[[#This Row],[Item]],super1[Bairro],extras)+SUMIFS(supercb[Qtde],supercb[Item],tab_alimentos[[#This Row],[Item]],supercb[Bairro],extras)</f>
        <v>0</v>
      </c>
      <c r="AE288" s="4">
        <f t="shared" si="88"/>
        <v>0</v>
      </c>
      <c r="AF288" s="4">
        <f t="shared" si="89"/>
        <v>0</v>
      </c>
      <c r="AG288" s="6">
        <f t="shared" si="90"/>
        <v>0</v>
      </c>
      <c r="AH288" s="13" t="e">
        <f>higiene[[#This Row],[Item]]</f>
        <v>#VALUE!</v>
      </c>
      <c r="AI288" s="9">
        <f>IFERROR(higiene[[#This Row],[Kg equivalente]],0)</f>
        <v>0</v>
      </c>
      <c r="AJ288" s="9">
        <f>IFERROR(higiene[[#This Row],[Preço por produto]],0)</f>
        <v>0</v>
      </c>
      <c r="AK288" s="4">
        <f>SUMIFS(super1[Qtde],super1[Item],tab_higiene[[#This Row],[Item]],super1[Bairro],mercado1)+SUMIFS(supercb[Qtde],supercb[Item],tab_higiene[[#This Row],[Item]],supercb[Bairro],mercado1)</f>
        <v>0</v>
      </c>
      <c r="AL288" s="4">
        <f>SUMIFS(super1[Qtde],super1[Item],tab_higiene[[#This Row],[Item]],super1[Bairro],mercado2)+SUMIFS(supercb[Qtde],supercb[Item],tab_higiene[[#This Row],[Item]],supercb[Bairro],mercado2)</f>
        <v>0</v>
      </c>
      <c r="AM288" s="4">
        <f>SUMIFS(super1[Qtde],super1[Item],tab_higiene[[#This Row],[Item]],super1[Bairro],mercado3)+SUMIFS(supercb[Qtde],supercb[Item],tab_higiene[[#This Row],[Item]],supercb[Bairro],mercado3)</f>
        <v>0</v>
      </c>
      <c r="AN288" s="4">
        <f>SUMIFS(super1[Qtde],super1[Item],tab_higiene[[#This Row],[Item]],super1[Bairro],mercado4)+SUMIFS(supercb[Qtde],supercb[Item],tab_higiene[[#This Row],[Item]],supercb[Bairro],mercado4)</f>
        <v>0</v>
      </c>
      <c r="AO288" s="4">
        <f>SUMIFS(super1[Qtde],super1[Item],tab_higiene[[#This Row],[Item]],super1[Bairro],mercado5)+SUMIFS(supercb[Qtde],supercb[Item],tab_higiene[[#This Row],[Item]],supercb[Bairro],mercado5)</f>
        <v>0</v>
      </c>
      <c r="AP288" s="4">
        <f>SUMIFS(super1[Qtde],super1[Item],tab_higiene[[#This Row],[Item]],super1[Bairro],mercado6)+SUMIFS(supercb[Qtde],supercb[Item],tab_higiene[[#This Row],[Item]],supercb[Bairro],mercado6)</f>
        <v>0</v>
      </c>
      <c r="AQ288" s="4">
        <f>SUMIFS(super1[Qtde],super1[Item],tab_higiene[[#This Row],[Item]],super1[Bairro],mercado7)+SUMIFS(supercb[Qtde],supercb[Item],tab_higiene[[#This Row],[Item]],supercb[Bairro],mercado7)</f>
        <v>0</v>
      </c>
      <c r="AR288" s="4">
        <f>SUMIFS(super1[Qtde],super1[Item],tab_higiene[[#This Row],[Item]],super1[Bairro],mercado8)+SUMIFS(supercb[Qtde],supercb[Item],tab_higiene[[#This Row],[Item]],supercb[Bairro],mercado8)</f>
        <v>0</v>
      </c>
      <c r="AS288" s="4">
        <f>SUMIFS(super1[Qtde],super1[Item],tab_higiene[[#This Row],[Item]],super1[Bairro],mercado9)+SUMIFS(supercb[Qtde],supercb[Item],tab_higiene[[#This Row],[Item]],supercb[Bairro],mercado9)</f>
        <v>0</v>
      </c>
      <c r="AT288" s="4">
        <f>SUMIFS(super1[Qtde],super1[Item],tab_higiene[[#This Row],[Item]],super1[Bairro],mercado10)+SUMIFS(supercb[Qtde],supercb[Item],tab_higiene[[#This Row],[Item]],supercb[Bairro],mercado10)</f>
        <v>0</v>
      </c>
      <c r="AU288" s="4">
        <f>SUMIFS(super1[Qtde],super1[Item],tab_higiene[[#This Row],[Item]],super1[Bairro],mercado11)+SUMIFS(supercb[Qtde],supercb[Item],tab_higiene[[#This Row],[Item]],supercb[Bairro],mercado11)</f>
        <v>0</v>
      </c>
      <c r="AV288" s="4">
        <f>SUMIFS(super1[Qtde],super1[Item],tab_higiene[[#This Row],[Item]],super1[Bairro],mercado12)+SUMIFS(supercb[Qtde],supercb[Item],tab_higiene[[#This Row],[Item]],supercb[Bairro],mercado12)</f>
        <v>0</v>
      </c>
      <c r="AW288" s="4">
        <f>SUMIFS(super1[Qtde],super1[Item],tab_higiene[[#This Row],[Item]],super1[Bairro],mercado13)+SUMIFS(supercb[Qtde],supercb[Item],tab_higiene[[#This Row],[Item]],supercb[Bairro],mercado13)</f>
        <v>0</v>
      </c>
      <c r="AX288" s="4">
        <f>SUMIFS(super1[Qtde],super1[Item],tab_higiene[[#This Row],[Item]],super1[Bairro],mercado14)+SUMIFS(supercb[Qtde],supercb[Item],tab_higiene[[#This Row],[Item]],supercb[Bairro],mercado14)</f>
        <v>0</v>
      </c>
      <c r="AY288" s="4">
        <f>SUMIFS(super1[Qtde],super1[Item],tab_higiene[[#This Row],[Item]],super1[Bairro],mercado15)+SUMIFS(supercb[Qtde],supercb[Item],tab_higiene[[#This Row],[Item]],supercb[Bairro],mercado15)</f>
        <v>0</v>
      </c>
      <c r="AZ288" s="4">
        <f>SUMIFS(super1[Qtde],super1[Item],tab_higiene[[#This Row],[Item]],super1[Bairro],mercado16)+SUMIFS(supercb[Qtde],supercb[Item],tab_higiene[[#This Row],[Item]],supercb[Bairro],mercado16)</f>
        <v>0</v>
      </c>
      <c r="BA288" s="4">
        <f>SUMIFS(super1[Qtde],super1[Item],tab_higiene[[#This Row],[Item]],super1[Bairro],mercado17)+SUMIFS(supercb[Qtde],supercb[Item],tab_higiene[[#This Row],[Item]],supercb[Bairro],mercado17)</f>
        <v>0</v>
      </c>
      <c r="BB288" s="4">
        <f>SUMIFS(super1[Qtde],super1[Item],tab_higiene[[#This Row],[Item]],super1[Bairro],mercado18)+SUMIFS(supercb[Qtde],supercb[Item],tab_higiene[[#This Row],[Item]],supercb[Bairro],mercado18)</f>
        <v>0</v>
      </c>
      <c r="BC288" s="31">
        <f>SUMIFS(super1[Qtde],super1[Item],tab_higiene[[#This Row],[Item]],super1[Bairro],extras)+SUMIFS(supercb[Qtde],supercb[Item],tab_higiene[[#This Row],[Item]],supercb[Bairro],extras)</f>
        <v>0</v>
      </c>
      <c r="BD288" s="9">
        <f t="shared" si="91"/>
        <v>0</v>
      </c>
      <c r="BE288" s="9">
        <f t="shared" si="92"/>
        <v>0</v>
      </c>
      <c r="BF288" s="18">
        <f t="shared" si="93"/>
        <v>0</v>
      </c>
    </row>
    <row r="289" spans="9:58" ht="15.75" thickBot="1" x14ac:dyDescent="0.3">
      <c r="I289" s="19" t="str">
        <f>alimentos[[#This Row],[Item]]</f>
        <v>Leite em Pó (300g)</v>
      </c>
      <c r="J289" s="4">
        <f>IFERROR(alimentos[[#This Row],[kg/embalagem]],0)</f>
        <v>0.3</v>
      </c>
      <c r="K289" s="4">
        <f>IFERROR(alimentos[[#This Row],[Preço]],0)</f>
        <v>12.9</v>
      </c>
      <c r="L289" s="4">
        <f>SUMIFS(super1[Qtde],super1[Item],tab_alimentos[[#This Row],[Item]],super1[Bairro],mercado1)+SUMIFS(supercb[Qtde],supercb[Item],tab_alimentos[[#This Row],[Item]],supercb[Bairro],mercado1)</f>
        <v>0</v>
      </c>
      <c r="M289" s="4">
        <f>SUMIFS(super1[Qtde],super1[Item],tab_alimentos[[#This Row],[Item]],super1[Bairro],mercado2)+SUMIFS(supercb[Qtde],supercb[Item],tab_alimentos[[#This Row],[Item]],supercb[Bairro],mercado2)</f>
        <v>0</v>
      </c>
      <c r="N289" s="4">
        <f>SUMIFS(super1[Qtde],super1[Item],tab_alimentos[[#This Row],[Item]],super1[Bairro],mercado3)+SUMIFS(supercb[Qtde],supercb[Item],tab_alimentos[[#This Row],[Item]],supercb[Bairro],mercado3)</f>
        <v>0</v>
      </c>
      <c r="O289" s="4">
        <f>SUMIFS(super1[Qtde],super1[Item],tab_alimentos[[#This Row],[Item]],super1[Bairro],mercado4)+SUMIFS(supercb[Qtde],supercb[Item],tab_alimentos[[#This Row],[Item]],supercb[Bairro],mercado4)</f>
        <v>0</v>
      </c>
      <c r="P289" s="4">
        <f>SUMIFS(super1[Qtde],super1[Item],tab_alimentos[[#This Row],[Item]],super1[Bairro],mercado5)+SUMIFS(supercb[Qtde],supercb[Item],tab_alimentos[[#This Row],[Item]],supercb[Bairro],mercado5)</f>
        <v>0</v>
      </c>
      <c r="Q289" s="4">
        <f>SUMIFS(super1[Qtde],super1[Item],tab_alimentos[[#This Row],[Item]],super1[Bairro],mercado6)+SUMIFS(supercb[Qtde],supercb[Item],tab_alimentos[[#This Row],[Item]],supercb[Bairro],mercado6)</f>
        <v>0</v>
      </c>
      <c r="R289" s="4">
        <f>SUMIFS(super1[Qtde],super1[Item],tab_alimentos[[#This Row],[Item]],super1[Bairro],mercado7)+SUMIFS(supercb[Qtde],supercb[Item],tab_alimentos[[#This Row],[Item]],supercb[Bairro],mercado7)</f>
        <v>0</v>
      </c>
      <c r="S289" s="4">
        <f>SUMIFS(super1[Qtde],super1[Item],tab_alimentos[[#This Row],[Item]],super1[Bairro],mercado8)+SUMIFS(supercb[Qtde],supercb[Item],tab_alimentos[[#This Row],[Item]],supercb[Bairro],mercado8)</f>
        <v>0</v>
      </c>
      <c r="T289" s="4">
        <f>SUMIFS(super1[Qtde],super1[Item],tab_alimentos[[#This Row],[Item]],super1[Bairro],mercado9)+SUMIFS(supercb[Qtde],supercb[Item],tab_alimentos[[#This Row],[Item]],supercb[Bairro],mercado9)</f>
        <v>0</v>
      </c>
      <c r="U289" s="4">
        <f>SUMIFS(super1[Qtde],super1[Item],tab_alimentos[[#This Row],[Item]],super1[Bairro],mercado10)+SUMIFS(supercb[Qtde],supercb[Item],tab_alimentos[[#This Row],[Item]],supercb[Bairro],mercado10)</f>
        <v>0</v>
      </c>
      <c r="V289" s="4">
        <f>SUMIFS(super1[Qtde],super1[Item],tab_alimentos[[#This Row],[Item]],super1[Bairro],mercado11)+SUMIFS(supercb[Qtde],supercb[Item],tab_alimentos[[#This Row],[Item]],supercb[Bairro],mercado11)</f>
        <v>0</v>
      </c>
      <c r="W289" s="4">
        <f>SUMIFS(super1[Qtde],super1[Item],tab_alimentos[[#This Row],[Item]],super1[Bairro],mercado12)+SUMIFS(supercb[Qtde],supercb[Item],tab_alimentos[[#This Row],[Item]],supercb[Bairro],mercado12)</f>
        <v>0</v>
      </c>
      <c r="X289" s="4">
        <f>SUMIFS(super1[Qtde],super1[Item],tab_alimentos[[#This Row],[Item]],super1[Bairro],mercado13)+SUMIFS(supercb[Qtde],supercb[Item],tab_alimentos[[#This Row],[Item]],supercb[Bairro],mercado13)</f>
        <v>0</v>
      </c>
      <c r="Y289" s="4">
        <f>SUMIFS(super1[Qtde],super1[Item],tab_alimentos[[#This Row],[Item]],super1[Bairro],mercado14)+SUMIFS(supercb[Qtde],supercb[Item],tab_alimentos[[#This Row],[Item]],supercb[Bairro],mercado14)</f>
        <v>0</v>
      </c>
      <c r="Z289" s="4">
        <f>SUMIFS(super1[Qtde],super1[Item],tab_alimentos[[#This Row],[Item]],super1[Bairro],mercado15)+SUMIFS(supercb[Qtde],supercb[Item],tab_alimentos[[#This Row],[Item]],supercb[Bairro],mercado15)</f>
        <v>0</v>
      </c>
      <c r="AA289" s="4">
        <f>SUMIFS(super1[Qtde],super1[Item],tab_alimentos[[#This Row],[Item]],super1[Bairro],mercado16)+SUMIFS(supercb[Qtde],supercb[Item],tab_alimentos[[#This Row],[Item]],supercb[Bairro],mercado16)</f>
        <v>0</v>
      </c>
      <c r="AB289" s="4">
        <f>SUMIFS(super1[Qtde],super1[Item],tab_alimentos[[#This Row],[Item]],super1[Bairro],mercado17)+SUMIFS(supercb[Qtde],supercb[Item],tab_alimentos[[#This Row],[Item]],supercb[Bairro],mercado17)</f>
        <v>0</v>
      </c>
      <c r="AC289" s="4">
        <f>SUMIFS(super1[Qtde],super1[Item],tab_alimentos[[#This Row],[Item]],super1[Bairro],mercado18)+SUMIFS(supercb[Qtde],supercb[Item],tab_alimentos[[#This Row],[Item]],supercb[Bairro],mercado18)</f>
        <v>0</v>
      </c>
      <c r="AD289" s="4">
        <f>SUMIFS(super1[Qtde],super1[Item],tab_alimentos[[#This Row],[Item]],super1[Bairro],extras)+SUMIFS(supercb[Qtde],supercb[Item],tab_alimentos[[#This Row],[Item]],supercb[Bairro],extras)</f>
        <v>0</v>
      </c>
      <c r="AE289" s="4">
        <f t="shared" si="88"/>
        <v>0</v>
      </c>
      <c r="AF289" s="4">
        <f t="shared" si="89"/>
        <v>0</v>
      </c>
      <c r="AG289" s="6">
        <f t="shared" si="90"/>
        <v>0</v>
      </c>
      <c r="AH289" s="13" t="e">
        <f>higiene[[#This Row],[Item]]</f>
        <v>#VALUE!</v>
      </c>
      <c r="AI289" s="9">
        <f>IFERROR(higiene[[#This Row],[Kg equivalente]],0)</f>
        <v>0</v>
      </c>
      <c r="AJ289" s="9">
        <f>IFERROR(higiene[[#This Row],[Preço por produto]],0)</f>
        <v>0</v>
      </c>
      <c r="AK289" s="4">
        <f>SUMIFS(super1[Qtde],super1[Item],tab_higiene[[#This Row],[Item]],super1[Bairro],mercado1)+SUMIFS(supercb[Qtde],supercb[Item],tab_higiene[[#This Row],[Item]],supercb[Bairro],mercado1)</f>
        <v>0</v>
      </c>
      <c r="AL289" s="4">
        <f>SUMIFS(super1[Qtde],super1[Item],tab_higiene[[#This Row],[Item]],super1[Bairro],mercado2)+SUMIFS(supercb[Qtde],supercb[Item],tab_higiene[[#This Row],[Item]],supercb[Bairro],mercado2)</f>
        <v>0</v>
      </c>
      <c r="AM289" s="4">
        <f>SUMIFS(super1[Qtde],super1[Item],tab_higiene[[#This Row],[Item]],super1[Bairro],mercado3)+SUMIFS(supercb[Qtde],supercb[Item],tab_higiene[[#This Row],[Item]],supercb[Bairro],mercado3)</f>
        <v>0</v>
      </c>
      <c r="AN289" s="4">
        <f>SUMIFS(super1[Qtde],super1[Item],tab_higiene[[#This Row],[Item]],super1[Bairro],mercado4)+SUMIFS(supercb[Qtde],supercb[Item],tab_higiene[[#This Row],[Item]],supercb[Bairro],mercado4)</f>
        <v>0</v>
      </c>
      <c r="AO289" s="4">
        <f>SUMIFS(super1[Qtde],super1[Item],tab_higiene[[#This Row],[Item]],super1[Bairro],mercado5)+SUMIFS(supercb[Qtde],supercb[Item],tab_higiene[[#This Row],[Item]],supercb[Bairro],mercado5)</f>
        <v>0</v>
      </c>
      <c r="AP289" s="4">
        <f>SUMIFS(super1[Qtde],super1[Item],tab_higiene[[#This Row],[Item]],super1[Bairro],mercado6)+SUMIFS(supercb[Qtde],supercb[Item],tab_higiene[[#This Row],[Item]],supercb[Bairro],mercado6)</f>
        <v>0</v>
      </c>
      <c r="AQ289" s="4">
        <f>SUMIFS(super1[Qtde],super1[Item],tab_higiene[[#This Row],[Item]],super1[Bairro],mercado7)+SUMIFS(supercb[Qtde],supercb[Item],tab_higiene[[#This Row],[Item]],supercb[Bairro],mercado7)</f>
        <v>0</v>
      </c>
      <c r="AR289" s="4">
        <f>SUMIFS(super1[Qtde],super1[Item],tab_higiene[[#This Row],[Item]],super1[Bairro],mercado8)+SUMIFS(supercb[Qtde],supercb[Item],tab_higiene[[#This Row],[Item]],supercb[Bairro],mercado8)</f>
        <v>0</v>
      </c>
      <c r="AS289" s="4">
        <f>SUMIFS(super1[Qtde],super1[Item],tab_higiene[[#This Row],[Item]],super1[Bairro],mercado9)+SUMIFS(supercb[Qtde],supercb[Item],tab_higiene[[#This Row],[Item]],supercb[Bairro],mercado9)</f>
        <v>0</v>
      </c>
      <c r="AT289" s="4">
        <f>SUMIFS(super1[Qtde],super1[Item],tab_higiene[[#This Row],[Item]],super1[Bairro],mercado10)+SUMIFS(supercb[Qtde],supercb[Item],tab_higiene[[#This Row],[Item]],supercb[Bairro],mercado10)</f>
        <v>0</v>
      </c>
      <c r="AU289" s="4">
        <f>SUMIFS(super1[Qtde],super1[Item],tab_higiene[[#This Row],[Item]],super1[Bairro],mercado11)+SUMIFS(supercb[Qtde],supercb[Item],tab_higiene[[#This Row],[Item]],supercb[Bairro],mercado11)</f>
        <v>0</v>
      </c>
      <c r="AV289" s="4">
        <f>SUMIFS(super1[Qtde],super1[Item],tab_higiene[[#This Row],[Item]],super1[Bairro],mercado12)+SUMIFS(supercb[Qtde],supercb[Item],tab_higiene[[#This Row],[Item]],supercb[Bairro],mercado12)</f>
        <v>0</v>
      </c>
      <c r="AW289" s="4">
        <f>SUMIFS(super1[Qtde],super1[Item],tab_higiene[[#This Row],[Item]],super1[Bairro],mercado13)+SUMIFS(supercb[Qtde],supercb[Item],tab_higiene[[#This Row],[Item]],supercb[Bairro],mercado13)</f>
        <v>0</v>
      </c>
      <c r="AX289" s="4">
        <f>SUMIFS(super1[Qtde],super1[Item],tab_higiene[[#This Row],[Item]],super1[Bairro],mercado14)+SUMIFS(supercb[Qtde],supercb[Item],tab_higiene[[#This Row],[Item]],supercb[Bairro],mercado14)</f>
        <v>0</v>
      </c>
      <c r="AY289" s="4">
        <f>SUMIFS(super1[Qtde],super1[Item],tab_higiene[[#This Row],[Item]],super1[Bairro],mercado15)+SUMIFS(supercb[Qtde],supercb[Item],tab_higiene[[#This Row],[Item]],supercb[Bairro],mercado15)</f>
        <v>0</v>
      </c>
      <c r="AZ289" s="4">
        <f>SUMIFS(super1[Qtde],super1[Item],tab_higiene[[#This Row],[Item]],super1[Bairro],mercado16)+SUMIFS(supercb[Qtde],supercb[Item],tab_higiene[[#This Row],[Item]],supercb[Bairro],mercado16)</f>
        <v>0</v>
      </c>
      <c r="BA289" s="4">
        <f>SUMIFS(super1[Qtde],super1[Item],tab_higiene[[#This Row],[Item]],super1[Bairro],mercado17)+SUMIFS(supercb[Qtde],supercb[Item],tab_higiene[[#This Row],[Item]],supercb[Bairro],mercado17)</f>
        <v>0</v>
      </c>
      <c r="BB289" s="4">
        <f>SUMIFS(super1[Qtde],super1[Item],tab_higiene[[#This Row],[Item]],super1[Bairro],mercado18)+SUMIFS(supercb[Qtde],supercb[Item],tab_higiene[[#This Row],[Item]],supercb[Bairro],mercado18)</f>
        <v>0</v>
      </c>
      <c r="BC289" s="31">
        <f>SUMIFS(super1[Qtde],super1[Item],tab_higiene[[#This Row],[Item]],super1[Bairro],extras)+SUMIFS(supercb[Qtde],supercb[Item],tab_higiene[[#This Row],[Item]],supercb[Bairro],extras)</f>
        <v>0</v>
      </c>
      <c r="BD289" s="9">
        <f t="shared" si="91"/>
        <v>0</v>
      </c>
      <c r="BE289" s="9">
        <f t="shared" si="92"/>
        <v>0</v>
      </c>
      <c r="BF289" s="18">
        <f t="shared" si="93"/>
        <v>0</v>
      </c>
    </row>
    <row r="290" spans="9:58" ht="15.75" thickBot="1" x14ac:dyDescent="0.3">
      <c r="I290" s="19" t="str">
        <f>alimentos[[#This Row],[Item]]</f>
        <v>Leite em Pó (380g)</v>
      </c>
      <c r="J290" s="4">
        <f>IFERROR(alimentos[[#This Row],[kg/embalagem]],0)</f>
        <v>0.38</v>
      </c>
      <c r="K290" s="4">
        <f>IFERROR(alimentos[[#This Row],[Preço]],0)</f>
        <v>17</v>
      </c>
      <c r="L290" s="4">
        <f>SUMIFS(super1[Qtde],super1[Item],tab_alimentos[[#This Row],[Item]],super1[Bairro],mercado1)+SUMIFS(supercb[Qtde],supercb[Item],tab_alimentos[[#This Row],[Item]],supercb[Bairro],mercado1)</f>
        <v>0</v>
      </c>
      <c r="M290" s="4">
        <f>SUMIFS(super1[Qtde],super1[Item],tab_alimentos[[#This Row],[Item]],super1[Bairro],mercado2)+SUMIFS(supercb[Qtde],supercb[Item],tab_alimentos[[#This Row],[Item]],supercb[Bairro],mercado2)</f>
        <v>0</v>
      </c>
      <c r="N290" s="4">
        <f>SUMIFS(super1[Qtde],super1[Item],tab_alimentos[[#This Row],[Item]],super1[Bairro],mercado3)+SUMIFS(supercb[Qtde],supercb[Item],tab_alimentos[[#This Row],[Item]],supercb[Bairro],mercado3)</f>
        <v>0</v>
      </c>
      <c r="O290" s="4">
        <f>SUMIFS(super1[Qtde],super1[Item],tab_alimentos[[#This Row],[Item]],super1[Bairro],mercado4)+SUMIFS(supercb[Qtde],supercb[Item],tab_alimentos[[#This Row],[Item]],supercb[Bairro],mercado4)</f>
        <v>0</v>
      </c>
      <c r="P290" s="4">
        <f>SUMIFS(super1[Qtde],super1[Item],tab_alimentos[[#This Row],[Item]],super1[Bairro],mercado5)+SUMIFS(supercb[Qtde],supercb[Item],tab_alimentos[[#This Row],[Item]],supercb[Bairro],mercado5)</f>
        <v>0</v>
      </c>
      <c r="Q290" s="4">
        <f>SUMIFS(super1[Qtde],super1[Item],tab_alimentos[[#This Row],[Item]],super1[Bairro],mercado6)+SUMIFS(supercb[Qtde],supercb[Item],tab_alimentos[[#This Row],[Item]],supercb[Bairro],mercado6)</f>
        <v>0</v>
      </c>
      <c r="R290" s="4">
        <f>SUMIFS(super1[Qtde],super1[Item],tab_alimentos[[#This Row],[Item]],super1[Bairro],mercado7)+SUMIFS(supercb[Qtde],supercb[Item],tab_alimentos[[#This Row],[Item]],supercb[Bairro],mercado7)</f>
        <v>0</v>
      </c>
      <c r="S290" s="4">
        <f>SUMIFS(super1[Qtde],super1[Item],tab_alimentos[[#This Row],[Item]],super1[Bairro],mercado8)+SUMIFS(supercb[Qtde],supercb[Item],tab_alimentos[[#This Row],[Item]],supercb[Bairro],mercado8)</f>
        <v>0</v>
      </c>
      <c r="T290" s="4">
        <f>SUMIFS(super1[Qtde],super1[Item],tab_alimentos[[#This Row],[Item]],super1[Bairro],mercado9)+SUMIFS(supercb[Qtde],supercb[Item],tab_alimentos[[#This Row],[Item]],supercb[Bairro],mercado9)</f>
        <v>0</v>
      </c>
      <c r="U290" s="4">
        <f>SUMIFS(super1[Qtde],super1[Item],tab_alimentos[[#This Row],[Item]],super1[Bairro],mercado10)+SUMIFS(supercb[Qtde],supercb[Item],tab_alimentos[[#This Row],[Item]],supercb[Bairro],mercado10)</f>
        <v>0</v>
      </c>
      <c r="V290" s="4">
        <f>SUMIFS(super1[Qtde],super1[Item],tab_alimentos[[#This Row],[Item]],super1[Bairro],mercado11)+SUMIFS(supercb[Qtde],supercb[Item],tab_alimentos[[#This Row],[Item]],supercb[Bairro],mercado11)</f>
        <v>0</v>
      </c>
      <c r="W290" s="4">
        <f>SUMIFS(super1[Qtde],super1[Item],tab_alimentos[[#This Row],[Item]],super1[Bairro],mercado12)+SUMIFS(supercb[Qtde],supercb[Item],tab_alimentos[[#This Row],[Item]],supercb[Bairro],mercado12)</f>
        <v>0</v>
      </c>
      <c r="X290" s="4">
        <f>SUMIFS(super1[Qtde],super1[Item],tab_alimentos[[#This Row],[Item]],super1[Bairro],mercado13)+SUMIFS(supercb[Qtde],supercb[Item],tab_alimentos[[#This Row],[Item]],supercb[Bairro],mercado13)</f>
        <v>0</v>
      </c>
      <c r="Y290" s="4">
        <f>SUMIFS(super1[Qtde],super1[Item],tab_alimentos[[#This Row],[Item]],super1[Bairro],mercado14)+SUMIFS(supercb[Qtde],supercb[Item],tab_alimentos[[#This Row],[Item]],supercb[Bairro],mercado14)</f>
        <v>0</v>
      </c>
      <c r="Z290" s="4">
        <f>SUMIFS(super1[Qtde],super1[Item],tab_alimentos[[#This Row],[Item]],super1[Bairro],mercado15)+SUMIFS(supercb[Qtde],supercb[Item],tab_alimentos[[#This Row],[Item]],supercb[Bairro],mercado15)</f>
        <v>0</v>
      </c>
      <c r="AA290" s="4">
        <f>SUMIFS(super1[Qtde],super1[Item],tab_alimentos[[#This Row],[Item]],super1[Bairro],mercado16)+SUMIFS(supercb[Qtde],supercb[Item],tab_alimentos[[#This Row],[Item]],supercb[Bairro],mercado16)</f>
        <v>0</v>
      </c>
      <c r="AB290" s="4">
        <f>SUMIFS(super1[Qtde],super1[Item],tab_alimentos[[#This Row],[Item]],super1[Bairro],mercado17)+SUMIFS(supercb[Qtde],supercb[Item],tab_alimentos[[#This Row],[Item]],supercb[Bairro],mercado17)</f>
        <v>0</v>
      </c>
      <c r="AC290" s="4">
        <f>SUMIFS(super1[Qtde],super1[Item],tab_alimentos[[#This Row],[Item]],super1[Bairro],mercado18)+SUMIFS(supercb[Qtde],supercb[Item],tab_alimentos[[#This Row],[Item]],supercb[Bairro],mercado18)</f>
        <v>0</v>
      </c>
      <c r="AD290" s="4">
        <f>SUMIFS(super1[Qtde],super1[Item],tab_alimentos[[#This Row],[Item]],super1[Bairro],extras)+SUMIFS(supercb[Qtde],supercb[Item],tab_alimentos[[#This Row],[Item]],supercb[Bairro],extras)</f>
        <v>0</v>
      </c>
      <c r="AE290" s="4">
        <f t="shared" si="88"/>
        <v>0</v>
      </c>
      <c r="AF290" s="4">
        <f t="shared" si="89"/>
        <v>0</v>
      </c>
      <c r="AG290" s="6">
        <f t="shared" si="90"/>
        <v>0</v>
      </c>
      <c r="AH290" s="13" t="e">
        <f>higiene[[#This Row],[Item]]</f>
        <v>#VALUE!</v>
      </c>
      <c r="AI290" s="9">
        <f>IFERROR(higiene[[#This Row],[Kg equivalente]],0)</f>
        <v>0</v>
      </c>
      <c r="AJ290" s="9">
        <f>IFERROR(higiene[[#This Row],[Preço por produto]],0)</f>
        <v>0</v>
      </c>
      <c r="AK290" s="4">
        <f>SUMIFS(super1[Qtde],super1[Item],tab_higiene[[#This Row],[Item]],super1[Bairro],mercado1)+SUMIFS(supercb[Qtde],supercb[Item],tab_higiene[[#This Row],[Item]],supercb[Bairro],mercado1)</f>
        <v>0</v>
      </c>
      <c r="AL290" s="4">
        <f>SUMIFS(super1[Qtde],super1[Item],tab_higiene[[#This Row],[Item]],super1[Bairro],mercado2)+SUMIFS(supercb[Qtde],supercb[Item],tab_higiene[[#This Row],[Item]],supercb[Bairro],mercado2)</f>
        <v>0</v>
      </c>
      <c r="AM290" s="4">
        <f>SUMIFS(super1[Qtde],super1[Item],tab_higiene[[#This Row],[Item]],super1[Bairro],mercado3)+SUMIFS(supercb[Qtde],supercb[Item],tab_higiene[[#This Row],[Item]],supercb[Bairro],mercado3)</f>
        <v>0</v>
      </c>
      <c r="AN290" s="4">
        <f>SUMIFS(super1[Qtde],super1[Item],tab_higiene[[#This Row],[Item]],super1[Bairro],mercado4)+SUMIFS(supercb[Qtde],supercb[Item],tab_higiene[[#This Row],[Item]],supercb[Bairro],mercado4)</f>
        <v>0</v>
      </c>
      <c r="AO290" s="4">
        <f>SUMIFS(super1[Qtde],super1[Item],tab_higiene[[#This Row],[Item]],super1[Bairro],mercado5)+SUMIFS(supercb[Qtde],supercb[Item],tab_higiene[[#This Row],[Item]],supercb[Bairro],mercado5)</f>
        <v>0</v>
      </c>
      <c r="AP290" s="4">
        <f>SUMIFS(super1[Qtde],super1[Item],tab_higiene[[#This Row],[Item]],super1[Bairro],mercado6)+SUMIFS(supercb[Qtde],supercb[Item],tab_higiene[[#This Row],[Item]],supercb[Bairro],mercado6)</f>
        <v>0</v>
      </c>
      <c r="AQ290" s="4">
        <f>SUMIFS(super1[Qtde],super1[Item],tab_higiene[[#This Row],[Item]],super1[Bairro],mercado7)+SUMIFS(supercb[Qtde],supercb[Item],tab_higiene[[#This Row],[Item]],supercb[Bairro],mercado7)</f>
        <v>0</v>
      </c>
      <c r="AR290" s="4">
        <f>SUMIFS(super1[Qtde],super1[Item],tab_higiene[[#This Row],[Item]],super1[Bairro],mercado8)+SUMIFS(supercb[Qtde],supercb[Item],tab_higiene[[#This Row],[Item]],supercb[Bairro],mercado8)</f>
        <v>0</v>
      </c>
      <c r="AS290" s="4">
        <f>SUMIFS(super1[Qtde],super1[Item],tab_higiene[[#This Row],[Item]],super1[Bairro],mercado9)+SUMIFS(supercb[Qtde],supercb[Item],tab_higiene[[#This Row],[Item]],supercb[Bairro],mercado9)</f>
        <v>0</v>
      </c>
      <c r="AT290" s="4">
        <f>SUMIFS(super1[Qtde],super1[Item],tab_higiene[[#This Row],[Item]],super1[Bairro],mercado10)+SUMIFS(supercb[Qtde],supercb[Item],tab_higiene[[#This Row],[Item]],supercb[Bairro],mercado10)</f>
        <v>0</v>
      </c>
      <c r="AU290" s="4">
        <f>SUMIFS(super1[Qtde],super1[Item],tab_higiene[[#This Row],[Item]],super1[Bairro],mercado11)+SUMIFS(supercb[Qtde],supercb[Item],tab_higiene[[#This Row],[Item]],supercb[Bairro],mercado11)</f>
        <v>0</v>
      </c>
      <c r="AV290" s="4">
        <f>SUMIFS(super1[Qtde],super1[Item],tab_higiene[[#This Row],[Item]],super1[Bairro],mercado12)+SUMIFS(supercb[Qtde],supercb[Item],tab_higiene[[#This Row],[Item]],supercb[Bairro],mercado12)</f>
        <v>0</v>
      </c>
      <c r="AW290" s="4">
        <f>SUMIFS(super1[Qtde],super1[Item],tab_higiene[[#This Row],[Item]],super1[Bairro],mercado13)+SUMIFS(supercb[Qtde],supercb[Item],tab_higiene[[#This Row],[Item]],supercb[Bairro],mercado13)</f>
        <v>0</v>
      </c>
      <c r="AX290" s="4">
        <f>SUMIFS(super1[Qtde],super1[Item],tab_higiene[[#This Row],[Item]],super1[Bairro],mercado14)+SUMIFS(supercb[Qtde],supercb[Item],tab_higiene[[#This Row],[Item]],supercb[Bairro],mercado14)</f>
        <v>0</v>
      </c>
      <c r="AY290" s="4">
        <f>SUMIFS(super1[Qtde],super1[Item],tab_higiene[[#This Row],[Item]],super1[Bairro],mercado15)+SUMIFS(supercb[Qtde],supercb[Item],tab_higiene[[#This Row],[Item]],supercb[Bairro],mercado15)</f>
        <v>0</v>
      </c>
      <c r="AZ290" s="4">
        <f>SUMIFS(super1[Qtde],super1[Item],tab_higiene[[#This Row],[Item]],super1[Bairro],mercado16)+SUMIFS(supercb[Qtde],supercb[Item],tab_higiene[[#This Row],[Item]],supercb[Bairro],mercado16)</f>
        <v>0</v>
      </c>
      <c r="BA290" s="4">
        <f>SUMIFS(super1[Qtde],super1[Item],tab_higiene[[#This Row],[Item]],super1[Bairro],mercado17)+SUMIFS(supercb[Qtde],supercb[Item],tab_higiene[[#This Row],[Item]],supercb[Bairro],mercado17)</f>
        <v>0</v>
      </c>
      <c r="BB290" s="4">
        <f>SUMIFS(super1[Qtde],super1[Item],tab_higiene[[#This Row],[Item]],super1[Bairro],mercado18)+SUMIFS(supercb[Qtde],supercb[Item],tab_higiene[[#This Row],[Item]],supercb[Bairro],mercado18)</f>
        <v>0</v>
      </c>
      <c r="BC290" s="31">
        <f>SUMIFS(super1[Qtde],super1[Item],tab_higiene[[#This Row],[Item]],super1[Bairro],extras)+SUMIFS(supercb[Qtde],supercb[Item],tab_higiene[[#This Row],[Item]],supercb[Bairro],extras)</f>
        <v>0</v>
      </c>
      <c r="BD290" s="9">
        <f t="shared" si="91"/>
        <v>0</v>
      </c>
      <c r="BE290" s="9">
        <f t="shared" si="92"/>
        <v>0</v>
      </c>
      <c r="BF290" s="18">
        <f t="shared" si="93"/>
        <v>0</v>
      </c>
    </row>
    <row r="291" spans="9:58" ht="15.75" thickBot="1" x14ac:dyDescent="0.3">
      <c r="I291" s="19" t="str">
        <f>alimentos[[#This Row],[Item]]</f>
        <v>Leite em Pó (400g)</v>
      </c>
      <c r="J291" s="4">
        <f>IFERROR(alimentos[[#This Row],[kg/embalagem]],0)</f>
        <v>0.4</v>
      </c>
      <c r="K291" s="4">
        <f>IFERROR(alimentos[[#This Row],[Preço]],0)</f>
        <v>17.8</v>
      </c>
      <c r="L291" s="4">
        <f>SUMIFS(super1[Qtde],super1[Item],tab_alimentos[[#This Row],[Item]],super1[Bairro],mercado1)+SUMIFS(supercb[Qtde],supercb[Item],tab_alimentos[[#This Row],[Item]],supercb[Bairro],mercado1)</f>
        <v>0</v>
      </c>
      <c r="M291" s="4">
        <f>SUMIFS(super1[Qtde],super1[Item],tab_alimentos[[#This Row],[Item]],super1[Bairro],mercado2)+SUMIFS(supercb[Qtde],supercb[Item],tab_alimentos[[#This Row],[Item]],supercb[Bairro],mercado2)</f>
        <v>0</v>
      </c>
      <c r="N291" s="4">
        <f>SUMIFS(super1[Qtde],super1[Item],tab_alimentos[[#This Row],[Item]],super1[Bairro],mercado3)+SUMIFS(supercb[Qtde],supercb[Item],tab_alimentos[[#This Row],[Item]],supercb[Bairro],mercado3)</f>
        <v>0</v>
      </c>
      <c r="O291" s="4">
        <f>SUMIFS(super1[Qtde],super1[Item],tab_alimentos[[#This Row],[Item]],super1[Bairro],mercado4)+SUMIFS(supercb[Qtde],supercb[Item],tab_alimentos[[#This Row],[Item]],supercb[Bairro],mercado4)</f>
        <v>0</v>
      </c>
      <c r="P291" s="4">
        <f>SUMIFS(super1[Qtde],super1[Item],tab_alimentos[[#This Row],[Item]],super1[Bairro],mercado5)+SUMIFS(supercb[Qtde],supercb[Item],tab_alimentos[[#This Row],[Item]],supercb[Bairro],mercado5)</f>
        <v>0</v>
      </c>
      <c r="Q291" s="4">
        <f>SUMIFS(super1[Qtde],super1[Item],tab_alimentos[[#This Row],[Item]],super1[Bairro],mercado6)+SUMIFS(supercb[Qtde],supercb[Item],tab_alimentos[[#This Row],[Item]],supercb[Bairro],mercado6)</f>
        <v>0</v>
      </c>
      <c r="R291" s="4">
        <f>SUMIFS(super1[Qtde],super1[Item],tab_alimentos[[#This Row],[Item]],super1[Bairro],mercado7)+SUMIFS(supercb[Qtde],supercb[Item],tab_alimentos[[#This Row],[Item]],supercb[Bairro],mercado7)</f>
        <v>0</v>
      </c>
      <c r="S291" s="4">
        <f>SUMIFS(super1[Qtde],super1[Item],tab_alimentos[[#This Row],[Item]],super1[Bairro],mercado8)+SUMIFS(supercb[Qtde],supercb[Item],tab_alimentos[[#This Row],[Item]],supercb[Bairro],mercado8)</f>
        <v>0</v>
      </c>
      <c r="T291" s="4">
        <f>SUMIFS(super1[Qtde],super1[Item],tab_alimentos[[#This Row],[Item]],super1[Bairro],mercado9)+SUMIFS(supercb[Qtde],supercb[Item],tab_alimentos[[#This Row],[Item]],supercb[Bairro],mercado9)</f>
        <v>0</v>
      </c>
      <c r="U291" s="4">
        <f>SUMIFS(super1[Qtde],super1[Item],tab_alimentos[[#This Row],[Item]],super1[Bairro],mercado10)+SUMIFS(supercb[Qtde],supercb[Item],tab_alimentos[[#This Row],[Item]],supercb[Bairro],mercado10)</f>
        <v>0</v>
      </c>
      <c r="V291" s="4">
        <f>SUMIFS(super1[Qtde],super1[Item],tab_alimentos[[#This Row],[Item]],super1[Bairro],mercado11)+SUMIFS(supercb[Qtde],supercb[Item],tab_alimentos[[#This Row],[Item]],supercb[Bairro],mercado11)</f>
        <v>0</v>
      </c>
      <c r="W291" s="4">
        <f>SUMIFS(super1[Qtde],super1[Item],tab_alimentos[[#This Row],[Item]],super1[Bairro],mercado12)+SUMIFS(supercb[Qtde],supercb[Item],tab_alimentos[[#This Row],[Item]],supercb[Bairro],mercado12)</f>
        <v>0</v>
      </c>
      <c r="X291" s="4">
        <f>SUMIFS(super1[Qtde],super1[Item],tab_alimentos[[#This Row],[Item]],super1[Bairro],mercado13)+SUMIFS(supercb[Qtde],supercb[Item],tab_alimentos[[#This Row],[Item]],supercb[Bairro],mercado13)</f>
        <v>0</v>
      </c>
      <c r="Y291" s="4">
        <f>SUMIFS(super1[Qtde],super1[Item],tab_alimentos[[#This Row],[Item]],super1[Bairro],mercado14)+SUMIFS(supercb[Qtde],supercb[Item],tab_alimentos[[#This Row],[Item]],supercb[Bairro],mercado14)</f>
        <v>0</v>
      </c>
      <c r="Z291" s="4">
        <f>SUMIFS(super1[Qtde],super1[Item],tab_alimentos[[#This Row],[Item]],super1[Bairro],mercado15)+SUMIFS(supercb[Qtde],supercb[Item],tab_alimentos[[#This Row],[Item]],supercb[Bairro],mercado15)</f>
        <v>0</v>
      </c>
      <c r="AA291" s="4">
        <f>SUMIFS(super1[Qtde],super1[Item],tab_alimentos[[#This Row],[Item]],super1[Bairro],mercado16)+SUMIFS(supercb[Qtde],supercb[Item],tab_alimentos[[#This Row],[Item]],supercb[Bairro],mercado16)</f>
        <v>0</v>
      </c>
      <c r="AB291" s="4">
        <f>SUMIFS(super1[Qtde],super1[Item],tab_alimentos[[#This Row],[Item]],super1[Bairro],mercado17)+SUMIFS(supercb[Qtde],supercb[Item],tab_alimentos[[#This Row],[Item]],supercb[Bairro],mercado17)</f>
        <v>0</v>
      </c>
      <c r="AC291" s="4">
        <f>SUMIFS(super1[Qtde],super1[Item],tab_alimentos[[#This Row],[Item]],super1[Bairro],mercado18)+SUMIFS(supercb[Qtde],supercb[Item],tab_alimentos[[#This Row],[Item]],supercb[Bairro],mercado18)</f>
        <v>0</v>
      </c>
      <c r="AD291" s="4">
        <f>SUMIFS(super1[Qtde],super1[Item],tab_alimentos[[#This Row],[Item]],super1[Bairro],extras)+SUMIFS(supercb[Qtde],supercb[Item],tab_alimentos[[#This Row],[Item]],supercb[Bairro],extras)</f>
        <v>0</v>
      </c>
      <c r="AE291" s="4">
        <f t="shared" si="88"/>
        <v>0</v>
      </c>
      <c r="AF291" s="4">
        <f t="shared" si="89"/>
        <v>0</v>
      </c>
      <c r="AG291" s="6">
        <f t="shared" si="90"/>
        <v>0</v>
      </c>
      <c r="AH291" s="13" t="e">
        <f>higiene[[#This Row],[Item]]</f>
        <v>#VALUE!</v>
      </c>
      <c r="AI291" s="9">
        <f>IFERROR(higiene[[#This Row],[Kg equivalente]],0)</f>
        <v>0</v>
      </c>
      <c r="AJ291" s="9">
        <f>IFERROR(higiene[[#This Row],[Preço por produto]],0)</f>
        <v>0</v>
      </c>
      <c r="AK291" s="4">
        <f>SUMIFS(super1[Qtde],super1[Item],tab_higiene[[#This Row],[Item]],super1[Bairro],mercado1)+SUMIFS(supercb[Qtde],supercb[Item],tab_higiene[[#This Row],[Item]],supercb[Bairro],mercado1)</f>
        <v>0</v>
      </c>
      <c r="AL291" s="4">
        <f>SUMIFS(super1[Qtde],super1[Item],tab_higiene[[#This Row],[Item]],super1[Bairro],mercado2)+SUMIFS(supercb[Qtde],supercb[Item],tab_higiene[[#This Row],[Item]],supercb[Bairro],mercado2)</f>
        <v>0</v>
      </c>
      <c r="AM291" s="4">
        <f>SUMIFS(super1[Qtde],super1[Item],tab_higiene[[#This Row],[Item]],super1[Bairro],mercado3)+SUMIFS(supercb[Qtde],supercb[Item],tab_higiene[[#This Row],[Item]],supercb[Bairro],mercado3)</f>
        <v>0</v>
      </c>
      <c r="AN291" s="4">
        <f>SUMIFS(super1[Qtde],super1[Item],tab_higiene[[#This Row],[Item]],super1[Bairro],mercado4)+SUMIFS(supercb[Qtde],supercb[Item],tab_higiene[[#This Row],[Item]],supercb[Bairro],mercado4)</f>
        <v>0</v>
      </c>
      <c r="AO291" s="4">
        <f>SUMIFS(super1[Qtde],super1[Item],tab_higiene[[#This Row],[Item]],super1[Bairro],mercado5)+SUMIFS(supercb[Qtde],supercb[Item],tab_higiene[[#This Row],[Item]],supercb[Bairro],mercado5)</f>
        <v>0</v>
      </c>
      <c r="AP291" s="4">
        <f>SUMIFS(super1[Qtde],super1[Item],tab_higiene[[#This Row],[Item]],super1[Bairro],mercado6)+SUMIFS(supercb[Qtde],supercb[Item],tab_higiene[[#This Row],[Item]],supercb[Bairro],mercado6)</f>
        <v>0</v>
      </c>
      <c r="AQ291" s="4">
        <f>SUMIFS(super1[Qtde],super1[Item],tab_higiene[[#This Row],[Item]],super1[Bairro],mercado7)+SUMIFS(supercb[Qtde],supercb[Item],tab_higiene[[#This Row],[Item]],supercb[Bairro],mercado7)</f>
        <v>0</v>
      </c>
      <c r="AR291" s="4">
        <f>SUMIFS(super1[Qtde],super1[Item],tab_higiene[[#This Row],[Item]],super1[Bairro],mercado8)+SUMIFS(supercb[Qtde],supercb[Item],tab_higiene[[#This Row],[Item]],supercb[Bairro],mercado8)</f>
        <v>0</v>
      </c>
      <c r="AS291" s="4">
        <f>SUMIFS(super1[Qtde],super1[Item],tab_higiene[[#This Row],[Item]],super1[Bairro],mercado9)+SUMIFS(supercb[Qtde],supercb[Item],tab_higiene[[#This Row],[Item]],supercb[Bairro],mercado9)</f>
        <v>0</v>
      </c>
      <c r="AT291" s="4">
        <f>SUMIFS(super1[Qtde],super1[Item],tab_higiene[[#This Row],[Item]],super1[Bairro],mercado10)+SUMIFS(supercb[Qtde],supercb[Item],tab_higiene[[#This Row],[Item]],supercb[Bairro],mercado10)</f>
        <v>0</v>
      </c>
      <c r="AU291" s="4">
        <f>SUMIFS(super1[Qtde],super1[Item],tab_higiene[[#This Row],[Item]],super1[Bairro],mercado11)+SUMIFS(supercb[Qtde],supercb[Item],tab_higiene[[#This Row],[Item]],supercb[Bairro],mercado11)</f>
        <v>0</v>
      </c>
      <c r="AV291" s="4">
        <f>SUMIFS(super1[Qtde],super1[Item],tab_higiene[[#This Row],[Item]],super1[Bairro],mercado12)+SUMIFS(supercb[Qtde],supercb[Item],tab_higiene[[#This Row],[Item]],supercb[Bairro],mercado12)</f>
        <v>0</v>
      </c>
      <c r="AW291" s="4">
        <f>SUMIFS(super1[Qtde],super1[Item],tab_higiene[[#This Row],[Item]],super1[Bairro],mercado13)+SUMIFS(supercb[Qtde],supercb[Item],tab_higiene[[#This Row],[Item]],supercb[Bairro],mercado13)</f>
        <v>0</v>
      </c>
      <c r="AX291" s="4">
        <f>SUMIFS(super1[Qtde],super1[Item],tab_higiene[[#This Row],[Item]],super1[Bairro],mercado14)+SUMIFS(supercb[Qtde],supercb[Item],tab_higiene[[#This Row],[Item]],supercb[Bairro],mercado14)</f>
        <v>0</v>
      </c>
      <c r="AY291" s="4">
        <f>SUMIFS(super1[Qtde],super1[Item],tab_higiene[[#This Row],[Item]],super1[Bairro],mercado15)+SUMIFS(supercb[Qtde],supercb[Item],tab_higiene[[#This Row],[Item]],supercb[Bairro],mercado15)</f>
        <v>0</v>
      </c>
      <c r="AZ291" s="4">
        <f>SUMIFS(super1[Qtde],super1[Item],tab_higiene[[#This Row],[Item]],super1[Bairro],mercado16)+SUMIFS(supercb[Qtde],supercb[Item],tab_higiene[[#This Row],[Item]],supercb[Bairro],mercado16)</f>
        <v>0</v>
      </c>
      <c r="BA291" s="4">
        <f>SUMIFS(super1[Qtde],super1[Item],tab_higiene[[#This Row],[Item]],super1[Bairro],mercado17)+SUMIFS(supercb[Qtde],supercb[Item],tab_higiene[[#This Row],[Item]],supercb[Bairro],mercado17)</f>
        <v>0</v>
      </c>
      <c r="BB291" s="4">
        <f>SUMIFS(super1[Qtde],super1[Item],tab_higiene[[#This Row],[Item]],super1[Bairro],mercado18)+SUMIFS(supercb[Qtde],supercb[Item],tab_higiene[[#This Row],[Item]],supercb[Bairro],mercado18)</f>
        <v>0</v>
      </c>
      <c r="BC291" s="31">
        <f>SUMIFS(super1[Qtde],super1[Item],tab_higiene[[#This Row],[Item]],super1[Bairro],extras)+SUMIFS(supercb[Qtde],supercb[Item],tab_higiene[[#This Row],[Item]],supercb[Bairro],extras)</f>
        <v>0</v>
      </c>
      <c r="BD291" s="9">
        <f t="shared" si="91"/>
        <v>0</v>
      </c>
      <c r="BE291" s="9">
        <f t="shared" si="92"/>
        <v>0</v>
      </c>
      <c r="BF291" s="18">
        <f t="shared" si="93"/>
        <v>0</v>
      </c>
    </row>
    <row r="292" spans="9:58" ht="15.75" thickBot="1" x14ac:dyDescent="0.3">
      <c r="I292" s="19" t="str">
        <f>alimentos[[#This Row],[Item]]</f>
        <v>Leite em Pó (500g)</v>
      </c>
      <c r="J292" s="4">
        <f>IFERROR(alimentos[[#This Row],[kg/embalagem]],0)</f>
        <v>0.5</v>
      </c>
      <c r="K292" s="4">
        <f>IFERROR(alimentos[[#This Row],[Preço]],0)</f>
        <v>41.89</v>
      </c>
      <c r="L292" s="4">
        <f>SUMIFS(super1[Qtde],super1[Item],tab_alimentos[[#This Row],[Item]],super1[Bairro],mercado1)+SUMIFS(supercb[Qtde],supercb[Item],tab_alimentos[[#This Row],[Item]],supercb[Bairro],mercado1)</f>
        <v>0</v>
      </c>
      <c r="M292" s="4">
        <f>SUMIFS(super1[Qtde],super1[Item],tab_alimentos[[#This Row],[Item]],super1[Bairro],mercado2)+SUMIFS(supercb[Qtde],supercb[Item],tab_alimentos[[#This Row],[Item]],supercb[Bairro],mercado2)</f>
        <v>0</v>
      </c>
      <c r="N292" s="4">
        <f>SUMIFS(super1[Qtde],super1[Item],tab_alimentos[[#This Row],[Item]],super1[Bairro],mercado3)+SUMIFS(supercb[Qtde],supercb[Item],tab_alimentos[[#This Row],[Item]],supercb[Bairro],mercado3)</f>
        <v>0</v>
      </c>
      <c r="O292" s="4">
        <f>SUMIFS(super1[Qtde],super1[Item],tab_alimentos[[#This Row],[Item]],super1[Bairro],mercado4)+SUMIFS(supercb[Qtde],supercb[Item],tab_alimentos[[#This Row],[Item]],supercb[Bairro],mercado4)</f>
        <v>0</v>
      </c>
      <c r="P292" s="4">
        <f>SUMIFS(super1[Qtde],super1[Item],tab_alimentos[[#This Row],[Item]],super1[Bairro],mercado5)+SUMIFS(supercb[Qtde],supercb[Item],tab_alimentos[[#This Row],[Item]],supercb[Bairro],mercado5)</f>
        <v>0</v>
      </c>
      <c r="Q292" s="4">
        <f>SUMIFS(super1[Qtde],super1[Item],tab_alimentos[[#This Row],[Item]],super1[Bairro],mercado6)+SUMIFS(supercb[Qtde],supercb[Item],tab_alimentos[[#This Row],[Item]],supercb[Bairro],mercado6)</f>
        <v>0</v>
      </c>
      <c r="R292" s="4">
        <f>SUMIFS(super1[Qtde],super1[Item],tab_alimentos[[#This Row],[Item]],super1[Bairro],mercado7)+SUMIFS(supercb[Qtde],supercb[Item],tab_alimentos[[#This Row],[Item]],supercb[Bairro],mercado7)</f>
        <v>0</v>
      </c>
      <c r="S292" s="4">
        <f>SUMIFS(super1[Qtde],super1[Item],tab_alimentos[[#This Row],[Item]],super1[Bairro],mercado8)+SUMIFS(supercb[Qtde],supercb[Item],tab_alimentos[[#This Row],[Item]],supercb[Bairro],mercado8)</f>
        <v>0</v>
      </c>
      <c r="T292" s="4">
        <f>SUMIFS(super1[Qtde],super1[Item],tab_alimentos[[#This Row],[Item]],super1[Bairro],mercado9)+SUMIFS(supercb[Qtde],supercb[Item],tab_alimentos[[#This Row],[Item]],supercb[Bairro],mercado9)</f>
        <v>0</v>
      </c>
      <c r="U292" s="4">
        <f>SUMIFS(super1[Qtde],super1[Item],tab_alimentos[[#This Row],[Item]],super1[Bairro],mercado10)+SUMIFS(supercb[Qtde],supercb[Item],tab_alimentos[[#This Row],[Item]],supercb[Bairro],mercado10)</f>
        <v>0</v>
      </c>
      <c r="V292" s="4">
        <f>SUMIFS(super1[Qtde],super1[Item],tab_alimentos[[#This Row],[Item]],super1[Bairro],mercado11)+SUMIFS(supercb[Qtde],supercb[Item],tab_alimentos[[#This Row],[Item]],supercb[Bairro],mercado11)</f>
        <v>0</v>
      </c>
      <c r="W292" s="4">
        <f>SUMIFS(super1[Qtde],super1[Item],tab_alimentos[[#This Row],[Item]],super1[Bairro],mercado12)+SUMIFS(supercb[Qtde],supercb[Item],tab_alimentos[[#This Row],[Item]],supercb[Bairro],mercado12)</f>
        <v>0</v>
      </c>
      <c r="X292" s="4">
        <f>SUMIFS(super1[Qtde],super1[Item],tab_alimentos[[#This Row],[Item]],super1[Bairro],mercado13)+SUMIFS(supercb[Qtde],supercb[Item],tab_alimentos[[#This Row],[Item]],supercb[Bairro],mercado13)</f>
        <v>0</v>
      </c>
      <c r="Y292" s="4">
        <f>SUMIFS(super1[Qtde],super1[Item],tab_alimentos[[#This Row],[Item]],super1[Bairro],mercado14)+SUMIFS(supercb[Qtde],supercb[Item],tab_alimentos[[#This Row],[Item]],supercb[Bairro],mercado14)</f>
        <v>0</v>
      </c>
      <c r="Z292" s="4">
        <f>SUMIFS(super1[Qtde],super1[Item],tab_alimentos[[#This Row],[Item]],super1[Bairro],mercado15)+SUMIFS(supercb[Qtde],supercb[Item],tab_alimentos[[#This Row],[Item]],supercb[Bairro],mercado15)</f>
        <v>0</v>
      </c>
      <c r="AA292" s="4">
        <f>SUMIFS(super1[Qtde],super1[Item],tab_alimentos[[#This Row],[Item]],super1[Bairro],mercado16)+SUMIFS(supercb[Qtde],supercb[Item],tab_alimentos[[#This Row],[Item]],supercb[Bairro],mercado16)</f>
        <v>0</v>
      </c>
      <c r="AB292" s="4">
        <f>SUMIFS(super1[Qtde],super1[Item],tab_alimentos[[#This Row],[Item]],super1[Bairro],mercado17)+SUMIFS(supercb[Qtde],supercb[Item],tab_alimentos[[#This Row],[Item]],supercb[Bairro],mercado17)</f>
        <v>0</v>
      </c>
      <c r="AC292" s="4">
        <f>SUMIFS(super1[Qtde],super1[Item],tab_alimentos[[#This Row],[Item]],super1[Bairro],mercado18)+SUMIFS(supercb[Qtde],supercb[Item],tab_alimentos[[#This Row],[Item]],supercb[Bairro],mercado18)</f>
        <v>0</v>
      </c>
      <c r="AD292" s="4">
        <f>SUMIFS(super1[Qtde],super1[Item],tab_alimentos[[#This Row],[Item]],super1[Bairro],extras)+SUMIFS(supercb[Qtde],supercb[Item],tab_alimentos[[#This Row],[Item]],supercb[Bairro],extras)</f>
        <v>0</v>
      </c>
      <c r="AE292" s="4">
        <f t="shared" si="88"/>
        <v>0</v>
      </c>
      <c r="AF292" s="4">
        <f t="shared" si="89"/>
        <v>0</v>
      </c>
      <c r="AG292" s="6">
        <f t="shared" si="90"/>
        <v>0</v>
      </c>
      <c r="AH292" s="13" t="e">
        <f>higiene[[#This Row],[Item]]</f>
        <v>#VALUE!</v>
      </c>
      <c r="AI292" s="9">
        <f>IFERROR(higiene[[#This Row],[Kg equivalente]],0)</f>
        <v>0</v>
      </c>
      <c r="AJ292" s="9">
        <f>IFERROR(higiene[[#This Row],[Preço por produto]],0)</f>
        <v>0</v>
      </c>
      <c r="AK292" s="4">
        <f>SUMIFS(super1[Qtde],super1[Item],tab_higiene[[#This Row],[Item]],super1[Bairro],mercado1)+SUMIFS(supercb[Qtde],supercb[Item],tab_higiene[[#This Row],[Item]],supercb[Bairro],mercado1)</f>
        <v>0</v>
      </c>
      <c r="AL292" s="4">
        <f>SUMIFS(super1[Qtde],super1[Item],tab_higiene[[#This Row],[Item]],super1[Bairro],mercado2)+SUMIFS(supercb[Qtde],supercb[Item],tab_higiene[[#This Row],[Item]],supercb[Bairro],mercado2)</f>
        <v>0</v>
      </c>
      <c r="AM292" s="4">
        <f>SUMIFS(super1[Qtde],super1[Item],tab_higiene[[#This Row],[Item]],super1[Bairro],mercado3)+SUMIFS(supercb[Qtde],supercb[Item],tab_higiene[[#This Row],[Item]],supercb[Bairro],mercado3)</f>
        <v>0</v>
      </c>
      <c r="AN292" s="4">
        <f>SUMIFS(super1[Qtde],super1[Item],tab_higiene[[#This Row],[Item]],super1[Bairro],mercado4)+SUMIFS(supercb[Qtde],supercb[Item],tab_higiene[[#This Row],[Item]],supercb[Bairro],mercado4)</f>
        <v>0</v>
      </c>
      <c r="AO292" s="4">
        <f>SUMIFS(super1[Qtde],super1[Item],tab_higiene[[#This Row],[Item]],super1[Bairro],mercado5)+SUMIFS(supercb[Qtde],supercb[Item],tab_higiene[[#This Row],[Item]],supercb[Bairro],mercado5)</f>
        <v>0</v>
      </c>
      <c r="AP292" s="4">
        <f>SUMIFS(super1[Qtde],super1[Item],tab_higiene[[#This Row],[Item]],super1[Bairro],mercado6)+SUMIFS(supercb[Qtde],supercb[Item],tab_higiene[[#This Row],[Item]],supercb[Bairro],mercado6)</f>
        <v>0</v>
      </c>
      <c r="AQ292" s="4">
        <f>SUMIFS(super1[Qtde],super1[Item],tab_higiene[[#This Row],[Item]],super1[Bairro],mercado7)+SUMIFS(supercb[Qtde],supercb[Item],tab_higiene[[#This Row],[Item]],supercb[Bairro],mercado7)</f>
        <v>0</v>
      </c>
      <c r="AR292" s="4">
        <f>SUMIFS(super1[Qtde],super1[Item],tab_higiene[[#This Row],[Item]],super1[Bairro],mercado8)+SUMIFS(supercb[Qtde],supercb[Item],tab_higiene[[#This Row],[Item]],supercb[Bairro],mercado8)</f>
        <v>0</v>
      </c>
      <c r="AS292" s="4">
        <f>SUMIFS(super1[Qtde],super1[Item],tab_higiene[[#This Row],[Item]],super1[Bairro],mercado9)+SUMIFS(supercb[Qtde],supercb[Item],tab_higiene[[#This Row],[Item]],supercb[Bairro],mercado9)</f>
        <v>0</v>
      </c>
      <c r="AT292" s="4">
        <f>SUMIFS(super1[Qtde],super1[Item],tab_higiene[[#This Row],[Item]],super1[Bairro],mercado10)+SUMIFS(supercb[Qtde],supercb[Item],tab_higiene[[#This Row],[Item]],supercb[Bairro],mercado10)</f>
        <v>0</v>
      </c>
      <c r="AU292" s="4">
        <f>SUMIFS(super1[Qtde],super1[Item],tab_higiene[[#This Row],[Item]],super1[Bairro],mercado11)+SUMIFS(supercb[Qtde],supercb[Item],tab_higiene[[#This Row],[Item]],supercb[Bairro],mercado11)</f>
        <v>0</v>
      </c>
      <c r="AV292" s="4">
        <f>SUMIFS(super1[Qtde],super1[Item],tab_higiene[[#This Row],[Item]],super1[Bairro],mercado12)+SUMIFS(supercb[Qtde],supercb[Item],tab_higiene[[#This Row],[Item]],supercb[Bairro],mercado12)</f>
        <v>0</v>
      </c>
      <c r="AW292" s="4">
        <f>SUMIFS(super1[Qtde],super1[Item],tab_higiene[[#This Row],[Item]],super1[Bairro],mercado13)+SUMIFS(supercb[Qtde],supercb[Item],tab_higiene[[#This Row],[Item]],supercb[Bairro],mercado13)</f>
        <v>0</v>
      </c>
      <c r="AX292" s="4">
        <f>SUMIFS(super1[Qtde],super1[Item],tab_higiene[[#This Row],[Item]],super1[Bairro],mercado14)+SUMIFS(supercb[Qtde],supercb[Item],tab_higiene[[#This Row],[Item]],supercb[Bairro],mercado14)</f>
        <v>0</v>
      </c>
      <c r="AY292" s="4">
        <f>SUMIFS(super1[Qtde],super1[Item],tab_higiene[[#This Row],[Item]],super1[Bairro],mercado15)+SUMIFS(supercb[Qtde],supercb[Item],tab_higiene[[#This Row],[Item]],supercb[Bairro],mercado15)</f>
        <v>0</v>
      </c>
      <c r="AZ292" s="4">
        <f>SUMIFS(super1[Qtde],super1[Item],tab_higiene[[#This Row],[Item]],super1[Bairro],mercado16)+SUMIFS(supercb[Qtde],supercb[Item],tab_higiene[[#This Row],[Item]],supercb[Bairro],mercado16)</f>
        <v>0</v>
      </c>
      <c r="BA292" s="4">
        <f>SUMIFS(super1[Qtde],super1[Item],tab_higiene[[#This Row],[Item]],super1[Bairro],mercado17)+SUMIFS(supercb[Qtde],supercb[Item],tab_higiene[[#This Row],[Item]],supercb[Bairro],mercado17)</f>
        <v>0</v>
      </c>
      <c r="BB292" s="4">
        <f>SUMIFS(super1[Qtde],super1[Item],tab_higiene[[#This Row],[Item]],super1[Bairro],mercado18)+SUMIFS(supercb[Qtde],supercb[Item],tab_higiene[[#This Row],[Item]],supercb[Bairro],mercado18)</f>
        <v>0</v>
      </c>
      <c r="BC292" s="31">
        <f>SUMIFS(super1[Qtde],super1[Item],tab_higiene[[#This Row],[Item]],super1[Bairro],extras)+SUMIFS(supercb[Qtde],supercb[Item],tab_higiene[[#This Row],[Item]],supercb[Bairro],extras)</f>
        <v>0</v>
      </c>
      <c r="BD292" s="9">
        <f t="shared" si="91"/>
        <v>0</v>
      </c>
      <c r="BE292" s="9">
        <f t="shared" si="92"/>
        <v>0</v>
      </c>
      <c r="BF292" s="18">
        <f t="shared" si="93"/>
        <v>0</v>
      </c>
    </row>
    <row r="293" spans="9:58" ht="15.75" thickBot="1" x14ac:dyDescent="0.3">
      <c r="I293" s="19" t="str">
        <f>alimentos[[#This Row],[Item]]</f>
        <v>Leite em Pó (800g)</v>
      </c>
      <c r="J293" s="4">
        <f>IFERROR(alimentos[[#This Row],[kg/embalagem]],0)</f>
        <v>0.8</v>
      </c>
      <c r="K293" s="4">
        <f>IFERROR(alimentos[[#This Row],[Preço]],0)</f>
        <v>39.89</v>
      </c>
      <c r="L293" s="4">
        <f>SUMIFS(super1[Qtde],super1[Item],tab_alimentos[[#This Row],[Item]],super1[Bairro],mercado1)+SUMIFS(supercb[Qtde],supercb[Item],tab_alimentos[[#This Row],[Item]],supercb[Bairro],mercado1)</f>
        <v>0</v>
      </c>
      <c r="M293" s="4">
        <f>SUMIFS(super1[Qtde],super1[Item],tab_alimentos[[#This Row],[Item]],super1[Bairro],mercado2)+SUMIFS(supercb[Qtde],supercb[Item],tab_alimentos[[#This Row],[Item]],supercb[Bairro],mercado2)</f>
        <v>0</v>
      </c>
      <c r="N293" s="4">
        <f>SUMIFS(super1[Qtde],super1[Item],tab_alimentos[[#This Row],[Item]],super1[Bairro],mercado3)+SUMIFS(supercb[Qtde],supercb[Item],tab_alimentos[[#This Row],[Item]],supercb[Bairro],mercado3)</f>
        <v>0</v>
      </c>
      <c r="O293" s="4">
        <f>SUMIFS(super1[Qtde],super1[Item],tab_alimentos[[#This Row],[Item]],super1[Bairro],mercado4)+SUMIFS(supercb[Qtde],supercb[Item],tab_alimentos[[#This Row],[Item]],supercb[Bairro],mercado4)</f>
        <v>0</v>
      </c>
      <c r="P293" s="4">
        <f>SUMIFS(super1[Qtde],super1[Item],tab_alimentos[[#This Row],[Item]],super1[Bairro],mercado5)+SUMIFS(supercb[Qtde],supercb[Item],tab_alimentos[[#This Row],[Item]],supercb[Bairro],mercado5)</f>
        <v>0</v>
      </c>
      <c r="Q293" s="4">
        <f>SUMIFS(super1[Qtde],super1[Item],tab_alimentos[[#This Row],[Item]],super1[Bairro],mercado6)+SUMIFS(supercb[Qtde],supercb[Item],tab_alimentos[[#This Row],[Item]],supercb[Bairro],mercado6)</f>
        <v>0</v>
      </c>
      <c r="R293" s="4">
        <f>SUMIFS(super1[Qtde],super1[Item],tab_alimentos[[#This Row],[Item]],super1[Bairro],mercado7)+SUMIFS(supercb[Qtde],supercb[Item],tab_alimentos[[#This Row],[Item]],supercb[Bairro],mercado7)</f>
        <v>0</v>
      </c>
      <c r="S293" s="4">
        <f>SUMIFS(super1[Qtde],super1[Item],tab_alimentos[[#This Row],[Item]],super1[Bairro],mercado8)+SUMIFS(supercb[Qtde],supercb[Item],tab_alimentos[[#This Row],[Item]],supercb[Bairro],mercado8)</f>
        <v>0</v>
      </c>
      <c r="T293" s="4">
        <f>SUMIFS(super1[Qtde],super1[Item],tab_alimentos[[#This Row],[Item]],super1[Bairro],mercado9)+SUMIFS(supercb[Qtde],supercb[Item],tab_alimentos[[#This Row],[Item]],supercb[Bairro],mercado9)</f>
        <v>0</v>
      </c>
      <c r="U293" s="4">
        <f>SUMIFS(super1[Qtde],super1[Item],tab_alimentos[[#This Row],[Item]],super1[Bairro],mercado10)+SUMIFS(supercb[Qtde],supercb[Item],tab_alimentos[[#This Row],[Item]],supercb[Bairro],mercado10)</f>
        <v>0</v>
      </c>
      <c r="V293" s="4">
        <f>SUMIFS(super1[Qtde],super1[Item],tab_alimentos[[#This Row],[Item]],super1[Bairro],mercado11)+SUMIFS(supercb[Qtde],supercb[Item],tab_alimentos[[#This Row],[Item]],supercb[Bairro],mercado11)</f>
        <v>0</v>
      </c>
      <c r="W293" s="4">
        <f>SUMIFS(super1[Qtde],super1[Item],tab_alimentos[[#This Row],[Item]],super1[Bairro],mercado12)+SUMIFS(supercb[Qtde],supercb[Item],tab_alimentos[[#This Row],[Item]],supercb[Bairro],mercado12)</f>
        <v>0</v>
      </c>
      <c r="X293" s="4">
        <f>SUMIFS(super1[Qtde],super1[Item],tab_alimentos[[#This Row],[Item]],super1[Bairro],mercado13)+SUMIFS(supercb[Qtde],supercb[Item],tab_alimentos[[#This Row],[Item]],supercb[Bairro],mercado13)</f>
        <v>0</v>
      </c>
      <c r="Y293" s="4">
        <f>SUMIFS(super1[Qtde],super1[Item],tab_alimentos[[#This Row],[Item]],super1[Bairro],mercado14)+SUMIFS(supercb[Qtde],supercb[Item],tab_alimentos[[#This Row],[Item]],supercb[Bairro],mercado14)</f>
        <v>0</v>
      </c>
      <c r="Z293" s="4">
        <f>SUMIFS(super1[Qtde],super1[Item],tab_alimentos[[#This Row],[Item]],super1[Bairro],mercado15)+SUMIFS(supercb[Qtde],supercb[Item],tab_alimentos[[#This Row],[Item]],supercb[Bairro],mercado15)</f>
        <v>0</v>
      </c>
      <c r="AA293" s="4">
        <f>SUMIFS(super1[Qtde],super1[Item],tab_alimentos[[#This Row],[Item]],super1[Bairro],mercado16)+SUMIFS(supercb[Qtde],supercb[Item],tab_alimentos[[#This Row],[Item]],supercb[Bairro],mercado16)</f>
        <v>0</v>
      </c>
      <c r="AB293" s="4">
        <f>SUMIFS(super1[Qtde],super1[Item],tab_alimentos[[#This Row],[Item]],super1[Bairro],mercado17)+SUMIFS(supercb[Qtde],supercb[Item],tab_alimentos[[#This Row],[Item]],supercb[Bairro],mercado17)</f>
        <v>0</v>
      </c>
      <c r="AC293" s="4">
        <f>SUMIFS(super1[Qtde],super1[Item],tab_alimentos[[#This Row],[Item]],super1[Bairro],mercado18)+SUMIFS(supercb[Qtde],supercb[Item],tab_alimentos[[#This Row],[Item]],supercb[Bairro],mercado18)</f>
        <v>0</v>
      </c>
      <c r="AD293" s="4">
        <f>SUMIFS(super1[Qtde],super1[Item],tab_alimentos[[#This Row],[Item]],super1[Bairro],extras)+SUMIFS(supercb[Qtde],supercb[Item],tab_alimentos[[#This Row],[Item]],supercb[Bairro],extras)</f>
        <v>0</v>
      </c>
      <c r="AE293" s="4">
        <f t="shared" si="88"/>
        <v>0</v>
      </c>
      <c r="AF293" s="4">
        <f t="shared" si="89"/>
        <v>0</v>
      </c>
      <c r="AG293" s="6">
        <f t="shared" si="90"/>
        <v>0</v>
      </c>
      <c r="AH293" s="13" t="e">
        <f>higiene[[#This Row],[Item]]</f>
        <v>#VALUE!</v>
      </c>
      <c r="AI293" s="9">
        <f>IFERROR(higiene[[#This Row],[Kg equivalente]],0)</f>
        <v>0</v>
      </c>
      <c r="AJ293" s="9">
        <f>IFERROR(higiene[[#This Row],[Preço por produto]],0)</f>
        <v>0</v>
      </c>
      <c r="AK293" s="4">
        <f>SUMIFS(super1[Qtde],super1[Item],tab_higiene[[#This Row],[Item]],super1[Bairro],mercado1)+SUMIFS(supercb[Qtde],supercb[Item],tab_higiene[[#This Row],[Item]],supercb[Bairro],mercado1)</f>
        <v>0</v>
      </c>
      <c r="AL293" s="4">
        <f>SUMIFS(super1[Qtde],super1[Item],tab_higiene[[#This Row],[Item]],super1[Bairro],mercado2)+SUMIFS(supercb[Qtde],supercb[Item],tab_higiene[[#This Row],[Item]],supercb[Bairro],mercado2)</f>
        <v>0</v>
      </c>
      <c r="AM293" s="4">
        <f>SUMIFS(super1[Qtde],super1[Item],tab_higiene[[#This Row],[Item]],super1[Bairro],mercado3)+SUMIFS(supercb[Qtde],supercb[Item],tab_higiene[[#This Row],[Item]],supercb[Bairro],mercado3)</f>
        <v>0</v>
      </c>
      <c r="AN293" s="4">
        <f>SUMIFS(super1[Qtde],super1[Item],tab_higiene[[#This Row],[Item]],super1[Bairro],mercado4)+SUMIFS(supercb[Qtde],supercb[Item],tab_higiene[[#This Row],[Item]],supercb[Bairro],mercado4)</f>
        <v>0</v>
      </c>
      <c r="AO293" s="4">
        <f>SUMIFS(super1[Qtde],super1[Item],tab_higiene[[#This Row],[Item]],super1[Bairro],mercado5)+SUMIFS(supercb[Qtde],supercb[Item],tab_higiene[[#This Row],[Item]],supercb[Bairro],mercado5)</f>
        <v>0</v>
      </c>
      <c r="AP293" s="4">
        <f>SUMIFS(super1[Qtde],super1[Item],tab_higiene[[#This Row],[Item]],super1[Bairro],mercado6)+SUMIFS(supercb[Qtde],supercb[Item],tab_higiene[[#This Row],[Item]],supercb[Bairro],mercado6)</f>
        <v>0</v>
      </c>
      <c r="AQ293" s="4">
        <f>SUMIFS(super1[Qtde],super1[Item],tab_higiene[[#This Row],[Item]],super1[Bairro],mercado7)+SUMIFS(supercb[Qtde],supercb[Item],tab_higiene[[#This Row],[Item]],supercb[Bairro],mercado7)</f>
        <v>0</v>
      </c>
      <c r="AR293" s="4">
        <f>SUMIFS(super1[Qtde],super1[Item],tab_higiene[[#This Row],[Item]],super1[Bairro],mercado8)+SUMIFS(supercb[Qtde],supercb[Item],tab_higiene[[#This Row],[Item]],supercb[Bairro],mercado8)</f>
        <v>0</v>
      </c>
      <c r="AS293" s="4">
        <f>SUMIFS(super1[Qtde],super1[Item],tab_higiene[[#This Row],[Item]],super1[Bairro],mercado9)+SUMIFS(supercb[Qtde],supercb[Item],tab_higiene[[#This Row],[Item]],supercb[Bairro],mercado9)</f>
        <v>0</v>
      </c>
      <c r="AT293" s="4">
        <f>SUMIFS(super1[Qtde],super1[Item],tab_higiene[[#This Row],[Item]],super1[Bairro],mercado10)+SUMIFS(supercb[Qtde],supercb[Item],tab_higiene[[#This Row],[Item]],supercb[Bairro],mercado10)</f>
        <v>0</v>
      </c>
      <c r="AU293" s="4">
        <f>SUMIFS(super1[Qtde],super1[Item],tab_higiene[[#This Row],[Item]],super1[Bairro],mercado11)+SUMIFS(supercb[Qtde],supercb[Item],tab_higiene[[#This Row],[Item]],supercb[Bairro],mercado11)</f>
        <v>0</v>
      </c>
      <c r="AV293" s="4">
        <f>SUMIFS(super1[Qtde],super1[Item],tab_higiene[[#This Row],[Item]],super1[Bairro],mercado12)+SUMIFS(supercb[Qtde],supercb[Item],tab_higiene[[#This Row],[Item]],supercb[Bairro],mercado12)</f>
        <v>0</v>
      </c>
      <c r="AW293" s="4">
        <f>SUMIFS(super1[Qtde],super1[Item],tab_higiene[[#This Row],[Item]],super1[Bairro],mercado13)+SUMIFS(supercb[Qtde],supercb[Item],tab_higiene[[#This Row],[Item]],supercb[Bairro],mercado13)</f>
        <v>0</v>
      </c>
      <c r="AX293" s="4">
        <f>SUMIFS(super1[Qtde],super1[Item],tab_higiene[[#This Row],[Item]],super1[Bairro],mercado14)+SUMIFS(supercb[Qtde],supercb[Item],tab_higiene[[#This Row],[Item]],supercb[Bairro],mercado14)</f>
        <v>0</v>
      </c>
      <c r="AY293" s="4">
        <f>SUMIFS(super1[Qtde],super1[Item],tab_higiene[[#This Row],[Item]],super1[Bairro],mercado15)+SUMIFS(supercb[Qtde],supercb[Item],tab_higiene[[#This Row],[Item]],supercb[Bairro],mercado15)</f>
        <v>0</v>
      </c>
      <c r="AZ293" s="4">
        <f>SUMIFS(super1[Qtde],super1[Item],tab_higiene[[#This Row],[Item]],super1[Bairro],mercado16)+SUMIFS(supercb[Qtde],supercb[Item],tab_higiene[[#This Row],[Item]],supercb[Bairro],mercado16)</f>
        <v>0</v>
      </c>
      <c r="BA293" s="4">
        <f>SUMIFS(super1[Qtde],super1[Item],tab_higiene[[#This Row],[Item]],super1[Bairro],mercado17)+SUMIFS(supercb[Qtde],supercb[Item],tab_higiene[[#This Row],[Item]],supercb[Bairro],mercado17)</f>
        <v>0</v>
      </c>
      <c r="BB293" s="4">
        <f>SUMIFS(super1[Qtde],super1[Item],tab_higiene[[#This Row],[Item]],super1[Bairro],mercado18)+SUMIFS(supercb[Qtde],supercb[Item],tab_higiene[[#This Row],[Item]],supercb[Bairro],mercado18)</f>
        <v>0</v>
      </c>
      <c r="BC293" s="31">
        <f>SUMIFS(super1[Qtde],super1[Item],tab_higiene[[#This Row],[Item]],super1[Bairro],extras)+SUMIFS(supercb[Qtde],supercb[Item],tab_higiene[[#This Row],[Item]],supercb[Bairro],extras)</f>
        <v>0</v>
      </c>
      <c r="BD293" s="9">
        <f t="shared" si="91"/>
        <v>0</v>
      </c>
      <c r="BE293" s="9">
        <f t="shared" si="92"/>
        <v>0</v>
      </c>
      <c r="BF293" s="18">
        <f t="shared" si="93"/>
        <v>0</v>
      </c>
    </row>
    <row r="294" spans="9:58" ht="15.75" thickBot="1" x14ac:dyDescent="0.3">
      <c r="I294" s="19" t="str">
        <f>alimentos[[#This Row],[Item]]</f>
        <v>Lentilha (1kg)</v>
      </c>
      <c r="J294" s="4">
        <f>IFERROR(alimentos[[#This Row],[kg/embalagem]],0)</f>
        <v>1</v>
      </c>
      <c r="K294" s="4">
        <f>IFERROR(alimentos[[#This Row],[Preço]],0)</f>
        <v>11.9</v>
      </c>
      <c r="L294" s="4">
        <f>SUMIFS(super1[Qtde],super1[Item],tab_alimentos[[#This Row],[Item]],super1[Bairro],mercado1)+SUMIFS(supercb[Qtde],supercb[Item],tab_alimentos[[#This Row],[Item]],supercb[Bairro],mercado1)</f>
        <v>0</v>
      </c>
      <c r="M294" s="4">
        <f>SUMIFS(super1[Qtde],super1[Item],tab_alimentos[[#This Row],[Item]],super1[Bairro],mercado2)+SUMIFS(supercb[Qtde],supercb[Item],tab_alimentos[[#This Row],[Item]],supercb[Bairro],mercado2)</f>
        <v>0</v>
      </c>
      <c r="N294" s="4">
        <f>SUMIFS(super1[Qtde],super1[Item],tab_alimentos[[#This Row],[Item]],super1[Bairro],mercado3)+SUMIFS(supercb[Qtde],supercb[Item],tab_alimentos[[#This Row],[Item]],supercb[Bairro],mercado3)</f>
        <v>0</v>
      </c>
      <c r="O294" s="4">
        <f>SUMIFS(super1[Qtde],super1[Item],tab_alimentos[[#This Row],[Item]],super1[Bairro],mercado4)+SUMIFS(supercb[Qtde],supercb[Item],tab_alimentos[[#This Row],[Item]],supercb[Bairro],mercado4)</f>
        <v>0</v>
      </c>
      <c r="P294" s="4">
        <f>SUMIFS(super1[Qtde],super1[Item],tab_alimentos[[#This Row],[Item]],super1[Bairro],mercado5)+SUMIFS(supercb[Qtde],supercb[Item],tab_alimentos[[#This Row],[Item]],supercb[Bairro],mercado5)</f>
        <v>0</v>
      </c>
      <c r="Q294" s="4">
        <f>SUMIFS(super1[Qtde],super1[Item],tab_alimentos[[#This Row],[Item]],super1[Bairro],mercado6)+SUMIFS(supercb[Qtde],supercb[Item],tab_alimentos[[#This Row],[Item]],supercb[Bairro],mercado6)</f>
        <v>0</v>
      </c>
      <c r="R294" s="4">
        <f>SUMIFS(super1[Qtde],super1[Item],tab_alimentos[[#This Row],[Item]],super1[Bairro],mercado7)+SUMIFS(supercb[Qtde],supercb[Item],tab_alimentos[[#This Row],[Item]],supercb[Bairro],mercado7)</f>
        <v>0</v>
      </c>
      <c r="S294" s="4">
        <f>SUMIFS(super1[Qtde],super1[Item],tab_alimentos[[#This Row],[Item]],super1[Bairro],mercado8)+SUMIFS(supercb[Qtde],supercb[Item],tab_alimentos[[#This Row],[Item]],supercb[Bairro],mercado8)</f>
        <v>0</v>
      </c>
      <c r="T294" s="4">
        <f>SUMIFS(super1[Qtde],super1[Item],tab_alimentos[[#This Row],[Item]],super1[Bairro],mercado9)+SUMIFS(supercb[Qtde],supercb[Item],tab_alimentos[[#This Row],[Item]],supercb[Bairro],mercado9)</f>
        <v>0</v>
      </c>
      <c r="U294" s="4">
        <f>SUMIFS(super1[Qtde],super1[Item],tab_alimentos[[#This Row],[Item]],super1[Bairro],mercado10)+SUMIFS(supercb[Qtde],supercb[Item],tab_alimentos[[#This Row],[Item]],supercb[Bairro],mercado10)</f>
        <v>0</v>
      </c>
      <c r="V294" s="4">
        <f>SUMIFS(super1[Qtde],super1[Item],tab_alimentos[[#This Row],[Item]],super1[Bairro],mercado11)+SUMIFS(supercb[Qtde],supercb[Item],tab_alimentos[[#This Row],[Item]],supercb[Bairro],mercado11)</f>
        <v>0</v>
      </c>
      <c r="W294" s="4">
        <f>SUMIFS(super1[Qtde],super1[Item],tab_alimentos[[#This Row],[Item]],super1[Bairro],mercado12)+SUMIFS(supercb[Qtde],supercb[Item],tab_alimentos[[#This Row],[Item]],supercb[Bairro],mercado12)</f>
        <v>0</v>
      </c>
      <c r="X294" s="4">
        <f>SUMIFS(super1[Qtde],super1[Item],tab_alimentos[[#This Row],[Item]],super1[Bairro],mercado13)+SUMIFS(supercb[Qtde],supercb[Item],tab_alimentos[[#This Row],[Item]],supercb[Bairro],mercado13)</f>
        <v>0</v>
      </c>
      <c r="Y294" s="4">
        <f>SUMIFS(super1[Qtde],super1[Item],tab_alimentos[[#This Row],[Item]],super1[Bairro],mercado14)+SUMIFS(supercb[Qtde],supercb[Item],tab_alimentos[[#This Row],[Item]],supercb[Bairro],mercado14)</f>
        <v>0</v>
      </c>
      <c r="Z294" s="4">
        <f>SUMIFS(super1[Qtde],super1[Item],tab_alimentos[[#This Row],[Item]],super1[Bairro],mercado15)+SUMIFS(supercb[Qtde],supercb[Item],tab_alimentos[[#This Row],[Item]],supercb[Bairro],mercado15)</f>
        <v>0</v>
      </c>
      <c r="AA294" s="4">
        <f>SUMIFS(super1[Qtde],super1[Item],tab_alimentos[[#This Row],[Item]],super1[Bairro],mercado16)+SUMIFS(supercb[Qtde],supercb[Item],tab_alimentos[[#This Row],[Item]],supercb[Bairro],mercado16)</f>
        <v>0</v>
      </c>
      <c r="AB294" s="4">
        <f>SUMIFS(super1[Qtde],super1[Item],tab_alimentos[[#This Row],[Item]],super1[Bairro],mercado17)+SUMIFS(supercb[Qtde],supercb[Item],tab_alimentos[[#This Row],[Item]],supercb[Bairro],mercado17)</f>
        <v>0</v>
      </c>
      <c r="AC294" s="4">
        <f>SUMIFS(super1[Qtde],super1[Item],tab_alimentos[[#This Row],[Item]],super1[Bairro],mercado18)+SUMIFS(supercb[Qtde],supercb[Item],tab_alimentos[[#This Row],[Item]],supercb[Bairro],mercado18)</f>
        <v>0</v>
      </c>
      <c r="AD294" s="4">
        <f>SUMIFS(super1[Qtde],super1[Item],tab_alimentos[[#This Row],[Item]],super1[Bairro],extras)+SUMIFS(supercb[Qtde],supercb[Item],tab_alimentos[[#This Row],[Item]],supercb[Bairro],extras)</f>
        <v>0</v>
      </c>
      <c r="AE294" s="4">
        <f t="shared" si="88"/>
        <v>0</v>
      </c>
      <c r="AF294" s="4">
        <f t="shared" si="89"/>
        <v>0</v>
      </c>
      <c r="AG294" s="6">
        <f t="shared" si="90"/>
        <v>0</v>
      </c>
      <c r="AH294" s="13" t="e">
        <f>higiene[[#This Row],[Item]]</f>
        <v>#VALUE!</v>
      </c>
      <c r="AI294" s="9">
        <f>IFERROR(higiene[[#This Row],[Kg equivalente]],0)</f>
        <v>0</v>
      </c>
      <c r="AJ294" s="9">
        <f>IFERROR(higiene[[#This Row],[Preço por produto]],0)</f>
        <v>0</v>
      </c>
      <c r="AK294" s="4">
        <f>SUMIFS(super1[Qtde],super1[Item],tab_higiene[[#This Row],[Item]],super1[Bairro],mercado1)+SUMIFS(supercb[Qtde],supercb[Item],tab_higiene[[#This Row],[Item]],supercb[Bairro],mercado1)</f>
        <v>0</v>
      </c>
      <c r="AL294" s="4">
        <f>SUMIFS(super1[Qtde],super1[Item],tab_higiene[[#This Row],[Item]],super1[Bairro],mercado2)+SUMIFS(supercb[Qtde],supercb[Item],tab_higiene[[#This Row],[Item]],supercb[Bairro],mercado2)</f>
        <v>0</v>
      </c>
      <c r="AM294" s="4">
        <f>SUMIFS(super1[Qtde],super1[Item],tab_higiene[[#This Row],[Item]],super1[Bairro],mercado3)+SUMIFS(supercb[Qtde],supercb[Item],tab_higiene[[#This Row],[Item]],supercb[Bairro],mercado3)</f>
        <v>0</v>
      </c>
      <c r="AN294" s="4">
        <f>SUMIFS(super1[Qtde],super1[Item],tab_higiene[[#This Row],[Item]],super1[Bairro],mercado4)+SUMIFS(supercb[Qtde],supercb[Item],tab_higiene[[#This Row],[Item]],supercb[Bairro],mercado4)</f>
        <v>0</v>
      </c>
      <c r="AO294" s="4">
        <f>SUMIFS(super1[Qtde],super1[Item],tab_higiene[[#This Row],[Item]],super1[Bairro],mercado5)+SUMIFS(supercb[Qtde],supercb[Item],tab_higiene[[#This Row],[Item]],supercb[Bairro],mercado5)</f>
        <v>0</v>
      </c>
      <c r="AP294" s="4">
        <f>SUMIFS(super1[Qtde],super1[Item],tab_higiene[[#This Row],[Item]],super1[Bairro],mercado6)+SUMIFS(supercb[Qtde],supercb[Item],tab_higiene[[#This Row],[Item]],supercb[Bairro],mercado6)</f>
        <v>0</v>
      </c>
      <c r="AQ294" s="4">
        <f>SUMIFS(super1[Qtde],super1[Item],tab_higiene[[#This Row],[Item]],super1[Bairro],mercado7)+SUMIFS(supercb[Qtde],supercb[Item],tab_higiene[[#This Row],[Item]],supercb[Bairro],mercado7)</f>
        <v>0</v>
      </c>
      <c r="AR294" s="4">
        <f>SUMIFS(super1[Qtde],super1[Item],tab_higiene[[#This Row],[Item]],super1[Bairro],mercado8)+SUMIFS(supercb[Qtde],supercb[Item],tab_higiene[[#This Row],[Item]],supercb[Bairro],mercado8)</f>
        <v>0</v>
      </c>
      <c r="AS294" s="4">
        <f>SUMIFS(super1[Qtde],super1[Item],tab_higiene[[#This Row],[Item]],super1[Bairro],mercado9)+SUMIFS(supercb[Qtde],supercb[Item],tab_higiene[[#This Row],[Item]],supercb[Bairro],mercado9)</f>
        <v>0</v>
      </c>
      <c r="AT294" s="4">
        <f>SUMIFS(super1[Qtde],super1[Item],tab_higiene[[#This Row],[Item]],super1[Bairro],mercado10)+SUMIFS(supercb[Qtde],supercb[Item],tab_higiene[[#This Row],[Item]],supercb[Bairro],mercado10)</f>
        <v>0</v>
      </c>
      <c r="AU294" s="4">
        <f>SUMIFS(super1[Qtde],super1[Item],tab_higiene[[#This Row],[Item]],super1[Bairro],mercado11)+SUMIFS(supercb[Qtde],supercb[Item],tab_higiene[[#This Row],[Item]],supercb[Bairro],mercado11)</f>
        <v>0</v>
      </c>
      <c r="AV294" s="4">
        <f>SUMIFS(super1[Qtde],super1[Item],tab_higiene[[#This Row],[Item]],super1[Bairro],mercado12)+SUMIFS(supercb[Qtde],supercb[Item],tab_higiene[[#This Row],[Item]],supercb[Bairro],mercado12)</f>
        <v>0</v>
      </c>
      <c r="AW294" s="4">
        <f>SUMIFS(super1[Qtde],super1[Item],tab_higiene[[#This Row],[Item]],super1[Bairro],mercado13)+SUMIFS(supercb[Qtde],supercb[Item],tab_higiene[[#This Row],[Item]],supercb[Bairro],mercado13)</f>
        <v>0</v>
      </c>
      <c r="AX294" s="4">
        <f>SUMIFS(super1[Qtde],super1[Item],tab_higiene[[#This Row],[Item]],super1[Bairro],mercado14)+SUMIFS(supercb[Qtde],supercb[Item],tab_higiene[[#This Row],[Item]],supercb[Bairro],mercado14)</f>
        <v>0</v>
      </c>
      <c r="AY294" s="4">
        <f>SUMIFS(super1[Qtde],super1[Item],tab_higiene[[#This Row],[Item]],super1[Bairro],mercado15)+SUMIFS(supercb[Qtde],supercb[Item],tab_higiene[[#This Row],[Item]],supercb[Bairro],mercado15)</f>
        <v>0</v>
      </c>
      <c r="AZ294" s="4">
        <f>SUMIFS(super1[Qtde],super1[Item],tab_higiene[[#This Row],[Item]],super1[Bairro],mercado16)+SUMIFS(supercb[Qtde],supercb[Item],tab_higiene[[#This Row],[Item]],supercb[Bairro],mercado16)</f>
        <v>0</v>
      </c>
      <c r="BA294" s="4">
        <f>SUMIFS(super1[Qtde],super1[Item],tab_higiene[[#This Row],[Item]],super1[Bairro],mercado17)+SUMIFS(supercb[Qtde],supercb[Item],tab_higiene[[#This Row],[Item]],supercb[Bairro],mercado17)</f>
        <v>0</v>
      </c>
      <c r="BB294" s="4">
        <f>SUMIFS(super1[Qtde],super1[Item],tab_higiene[[#This Row],[Item]],super1[Bairro],mercado18)+SUMIFS(supercb[Qtde],supercb[Item],tab_higiene[[#This Row],[Item]],supercb[Bairro],mercado18)</f>
        <v>0</v>
      </c>
      <c r="BC294" s="31">
        <f>SUMIFS(super1[Qtde],super1[Item],tab_higiene[[#This Row],[Item]],super1[Bairro],extras)+SUMIFS(supercb[Qtde],supercb[Item],tab_higiene[[#This Row],[Item]],supercb[Bairro],extras)</f>
        <v>0</v>
      </c>
      <c r="BD294" s="9">
        <f t="shared" si="91"/>
        <v>0</v>
      </c>
      <c r="BE294" s="9">
        <f t="shared" si="92"/>
        <v>0</v>
      </c>
      <c r="BF294" s="18">
        <f t="shared" si="93"/>
        <v>0</v>
      </c>
    </row>
    <row r="295" spans="9:58" ht="15.75" thickBot="1" x14ac:dyDescent="0.3">
      <c r="I295" s="19" t="str">
        <f>alimentos[[#This Row],[Item]]</f>
        <v>Lentilha (200g)</v>
      </c>
      <c r="J295" s="4">
        <f>IFERROR(alimentos[[#This Row],[kg/embalagem]],0)</f>
        <v>0.2</v>
      </c>
      <c r="K295" s="4">
        <f>IFERROR(alimentos[[#This Row],[Preço]],0)</f>
        <v>2.99</v>
      </c>
      <c r="L295" s="4">
        <f>SUMIFS(super1[Qtde],super1[Item],tab_alimentos[[#This Row],[Item]],super1[Bairro],mercado1)+SUMIFS(supercb[Qtde],supercb[Item],tab_alimentos[[#This Row],[Item]],supercb[Bairro],mercado1)</f>
        <v>0</v>
      </c>
      <c r="M295" s="4">
        <f>SUMIFS(super1[Qtde],super1[Item],tab_alimentos[[#This Row],[Item]],super1[Bairro],mercado2)+SUMIFS(supercb[Qtde],supercb[Item],tab_alimentos[[#This Row],[Item]],supercb[Bairro],mercado2)</f>
        <v>0</v>
      </c>
      <c r="N295" s="4">
        <f>SUMIFS(super1[Qtde],super1[Item],tab_alimentos[[#This Row],[Item]],super1[Bairro],mercado3)+SUMIFS(supercb[Qtde],supercb[Item],tab_alimentos[[#This Row],[Item]],supercb[Bairro],mercado3)</f>
        <v>0</v>
      </c>
      <c r="O295" s="4">
        <f>SUMIFS(super1[Qtde],super1[Item],tab_alimentos[[#This Row],[Item]],super1[Bairro],mercado4)+SUMIFS(supercb[Qtde],supercb[Item],tab_alimentos[[#This Row],[Item]],supercb[Bairro],mercado4)</f>
        <v>0</v>
      </c>
      <c r="P295" s="4">
        <f>SUMIFS(super1[Qtde],super1[Item],tab_alimentos[[#This Row],[Item]],super1[Bairro],mercado5)+SUMIFS(supercb[Qtde],supercb[Item],tab_alimentos[[#This Row],[Item]],supercb[Bairro],mercado5)</f>
        <v>0</v>
      </c>
      <c r="Q295" s="4">
        <f>SUMIFS(super1[Qtde],super1[Item],tab_alimentos[[#This Row],[Item]],super1[Bairro],mercado6)+SUMIFS(supercb[Qtde],supercb[Item],tab_alimentos[[#This Row],[Item]],supercb[Bairro],mercado6)</f>
        <v>0</v>
      </c>
      <c r="R295" s="4">
        <f>SUMIFS(super1[Qtde],super1[Item],tab_alimentos[[#This Row],[Item]],super1[Bairro],mercado7)+SUMIFS(supercb[Qtde],supercb[Item],tab_alimentos[[#This Row],[Item]],supercb[Bairro],mercado7)</f>
        <v>0</v>
      </c>
      <c r="S295" s="4">
        <f>SUMIFS(super1[Qtde],super1[Item],tab_alimentos[[#This Row],[Item]],super1[Bairro],mercado8)+SUMIFS(supercb[Qtde],supercb[Item],tab_alimentos[[#This Row],[Item]],supercb[Bairro],mercado8)</f>
        <v>0</v>
      </c>
      <c r="T295" s="4">
        <f>SUMIFS(super1[Qtde],super1[Item],tab_alimentos[[#This Row],[Item]],super1[Bairro],mercado9)+SUMIFS(supercb[Qtde],supercb[Item],tab_alimentos[[#This Row],[Item]],supercb[Bairro],mercado9)</f>
        <v>0</v>
      </c>
      <c r="U295" s="4">
        <f>SUMIFS(super1[Qtde],super1[Item],tab_alimentos[[#This Row],[Item]],super1[Bairro],mercado10)+SUMIFS(supercb[Qtde],supercb[Item],tab_alimentos[[#This Row],[Item]],supercb[Bairro],mercado10)</f>
        <v>0</v>
      </c>
      <c r="V295" s="4">
        <f>SUMIFS(super1[Qtde],super1[Item],tab_alimentos[[#This Row],[Item]],super1[Bairro],mercado11)+SUMIFS(supercb[Qtde],supercb[Item],tab_alimentos[[#This Row],[Item]],supercb[Bairro],mercado11)</f>
        <v>0</v>
      </c>
      <c r="W295" s="4">
        <f>SUMIFS(super1[Qtde],super1[Item],tab_alimentos[[#This Row],[Item]],super1[Bairro],mercado12)+SUMIFS(supercb[Qtde],supercb[Item],tab_alimentos[[#This Row],[Item]],supercb[Bairro],mercado12)</f>
        <v>0</v>
      </c>
      <c r="X295" s="4">
        <f>SUMIFS(super1[Qtde],super1[Item],tab_alimentos[[#This Row],[Item]],super1[Bairro],mercado13)+SUMIFS(supercb[Qtde],supercb[Item],tab_alimentos[[#This Row],[Item]],supercb[Bairro],mercado13)</f>
        <v>0</v>
      </c>
      <c r="Y295" s="4">
        <f>SUMIFS(super1[Qtde],super1[Item],tab_alimentos[[#This Row],[Item]],super1[Bairro],mercado14)+SUMIFS(supercb[Qtde],supercb[Item],tab_alimentos[[#This Row],[Item]],supercb[Bairro],mercado14)</f>
        <v>0</v>
      </c>
      <c r="Z295" s="4">
        <f>SUMIFS(super1[Qtde],super1[Item],tab_alimentos[[#This Row],[Item]],super1[Bairro],mercado15)+SUMIFS(supercb[Qtde],supercb[Item],tab_alimentos[[#This Row],[Item]],supercb[Bairro],mercado15)</f>
        <v>0</v>
      </c>
      <c r="AA295" s="4">
        <f>SUMIFS(super1[Qtde],super1[Item],tab_alimentos[[#This Row],[Item]],super1[Bairro],mercado16)+SUMIFS(supercb[Qtde],supercb[Item],tab_alimentos[[#This Row],[Item]],supercb[Bairro],mercado16)</f>
        <v>0</v>
      </c>
      <c r="AB295" s="4">
        <f>SUMIFS(super1[Qtde],super1[Item],tab_alimentos[[#This Row],[Item]],super1[Bairro],mercado17)+SUMIFS(supercb[Qtde],supercb[Item],tab_alimentos[[#This Row],[Item]],supercb[Bairro],mercado17)</f>
        <v>0</v>
      </c>
      <c r="AC295" s="4">
        <f>SUMIFS(super1[Qtde],super1[Item],tab_alimentos[[#This Row],[Item]],super1[Bairro],mercado18)+SUMIFS(supercb[Qtde],supercb[Item],tab_alimentos[[#This Row],[Item]],supercb[Bairro],mercado18)</f>
        <v>0</v>
      </c>
      <c r="AD295" s="4">
        <f>SUMIFS(super1[Qtde],super1[Item],tab_alimentos[[#This Row],[Item]],super1[Bairro],extras)+SUMIFS(supercb[Qtde],supercb[Item],tab_alimentos[[#This Row],[Item]],supercb[Bairro],extras)</f>
        <v>0</v>
      </c>
      <c r="AE295" s="4">
        <f t="shared" si="88"/>
        <v>0</v>
      </c>
      <c r="AF295" s="4">
        <f t="shared" si="89"/>
        <v>0</v>
      </c>
      <c r="AG295" s="6">
        <f t="shared" si="90"/>
        <v>0</v>
      </c>
      <c r="AH295" s="13" t="e">
        <f>higiene[[#This Row],[Item]]</f>
        <v>#VALUE!</v>
      </c>
      <c r="AI295" s="9">
        <f>IFERROR(higiene[[#This Row],[Kg equivalente]],0)</f>
        <v>0</v>
      </c>
      <c r="AJ295" s="9">
        <f>IFERROR(higiene[[#This Row],[Preço por produto]],0)</f>
        <v>0</v>
      </c>
      <c r="AK295" s="4">
        <f>SUMIFS(super1[Qtde],super1[Item],tab_higiene[[#This Row],[Item]],super1[Bairro],mercado1)+SUMIFS(supercb[Qtde],supercb[Item],tab_higiene[[#This Row],[Item]],supercb[Bairro],mercado1)</f>
        <v>0</v>
      </c>
      <c r="AL295" s="4">
        <f>SUMIFS(super1[Qtde],super1[Item],tab_higiene[[#This Row],[Item]],super1[Bairro],mercado2)+SUMIFS(supercb[Qtde],supercb[Item],tab_higiene[[#This Row],[Item]],supercb[Bairro],mercado2)</f>
        <v>0</v>
      </c>
      <c r="AM295" s="4">
        <f>SUMIFS(super1[Qtde],super1[Item],tab_higiene[[#This Row],[Item]],super1[Bairro],mercado3)+SUMIFS(supercb[Qtde],supercb[Item],tab_higiene[[#This Row],[Item]],supercb[Bairro],mercado3)</f>
        <v>0</v>
      </c>
      <c r="AN295" s="4">
        <f>SUMIFS(super1[Qtde],super1[Item],tab_higiene[[#This Row],[Item]],super1[Bairro],mercado4)+SUMIFS(supercb[Qtde],supercb[Item],tab_higiene[[#This Row],[Item]],supercb[Bairro],mercado4)</f>
        <v>0</v>
      </c>
      <c r="AO295" s="4">
        <f>SUMIFS(super1[Qtde],super1[Item],tab_higiene[[#This Row],[Item]],super1[Bairro],mercado5)+SUMIFS(supercb[Qtde],supercb[Item],tab_higiene[[#This Row],[Item]],supercb[Bairro],mercado5)</f>
        <v>0</v>
      </c>
      <c r="AP295" s="4">
        <f>SUMIFS(super1[Qtde],super1[Item],tab_higiene[[#This Row],[Item]],super1[Bairro],mercado6)+SUMIFS(supercb[Qtde],supercb[Item],tab_higiene[[#This Row],[Item]],supercb[Bairro],mercado6)</f>
        <v>0</v>
      </c>
      <c r="AQ295" s="4">
        <f>SUMIFS(super1[Qtde],super1[Item],tab_higiene[[#This Row],[Item]],super1[Bairro],mercado7)+SUMIFS(supercb[Qtde],supercb[Item],tab_higiene[[#This Row],[Item]],supercb[Bairro],mercado7)</f>
        <v>0</v>
      </c>
      <c r="AR295" s="4">
        <f>SUMIFS(super1[Qtde],super1[Item],tab_higiene[[#This Row],[Item]],super1[Bairro],mercado8)+SUMIFS(supercb[Qtde],supercb[Item],tab_higiene[[#This Row],[Item]],supercb[Bairro],mercado8)</f>
        <v>0</v>
      </c>
      <c r="AS295" s="4">
        <f>SUMIFS(super1[Qtde],super1[Item],tab_higiene[[#This Row],[Item]],super1[Bairro],mercado9)+SUMIFS(supercb[Qtde],supercb[Item],tab_higiene[[#This Row],[Item]],supercb[Bairro],mercado9)</f>
        <v>0</v>
      </c>
      <c r="AT295" s="4">
        <f>SUMIFS(super1[Qtde],super1[Item],tab_higiene[[#This Row],[Item]],super1[Bairro],mercado10)+SUMIFS(supercb[Qtde],supercb[Item],tab_higiene[[#This Row],[Item]],supercb[Bairro],mercado10)</f>
        <v>0</v>
      </c>
      <c r="AU295" s="4">
        <f>SUMIFS(super1[Qtde],super1[Item],tab_higiene[[#This Row],[Item]],super1[Bairro],mercado11)+SUMIFS(supercb[Qtde],supercb[Item],tab_higiene[[#This Row],[Item]],supercb[Bairro],mercado11)</f>
        <v>0</v>
      </c>
      <c r="AV295" s="4">
        <f>SUMIFS(super1[Qtde],super1[Item],tab_higiene[[#This Row],[Item]],super1[Bairro],mercado12)+SUMIFS(supercb[Qtde],supercb[Item],tab_higiene[[#This Row],[Item]],supercb[Bairro],mercado12)</f>
        <v>0</v>
      </c>
      <c r="AW295" s="4">
        <f>SUMIFS(super1[Qtde],super1[Item],tab_higiene[[#This Row],[Item]],super1[Bairro],mercado13)+SUMIFS(supercb[Qtde],supercb[Item],tab_higiene[[#This Row],[Item]],supercb[Bairro],mercado13)</f>
        <v>0</v>
      </c>
      <c r="AX295" s="4">
        <f>SUMIFS(super1[Qtde],super1[Item],tab_higiene[[#This Row],[Item]],super1[Bairro],mercado14)+SUMIFS(supercb[Qtde],supercb[Item],tab_higiene[[#This Row],[Item]],supercb[Bairro],mercado14)</f>
        <v>0</v>
      </c>
      <c r="AY295" s="4">
        <f>SUMIFS(super1[Qtde],super1[Item],tab_higiene[[#This Row],[Item]],super1[Bairro],mercado15)+SUMIFS(supercb[Qtde],supercb[Item],tab_higiene[[#This Row],[Item]],supercb[Bairro],mercado15)</f>
        <v>0</v>
      </c>
      <c r="AZ295" s="4">
        <f>SUMIFS(super1[Qtde],super1[Item],tab_higiene[[#This Row],[Item]],super1[Bairro],mercado16)+SUMIFS(supercb[Qtde],supercb[Item],tab_higiene[[#This Row],[Item]],supercb[Bairro],mercado16)</f>
        <v>0</v>
      </c>
      <c r="BA295" s="4">
        <f>SUMIFS(super1[Qtde],super1[Item],tab_higiene[[#This Row],[Item]],super1[Bairro],mercado17)+SUMIFS(supercb[Qtde],supercb[Item],tab_higiene[[#This Row],[Item]],supercb[Bairro],mercado17)</f>
        <v>0</v>
      </c>
      <c r="BB295" s="4">
        <f>SUMIFS(super1[Qtde],super1[Item],tab_higiene[[#This Row],[Item]],super1[Bairro],mercado18)+SUMIFS(supercb[Qtde],supercb[Item],tab_higiene[[#This Row],[Item]],supercb[Bairro],mercado18)</f>
        <v>0</v>
      </c>
      <c r="BC295" s="31">
        <f>SUMIFS(super1[Qtde],super1[Item],tab_higiene[[#This Row],[Item]],super1[Bairro],extras)+SUMIFS(supercb[Qtde],supercb[Item],tab_higiene[[#This Row],[Item]],supercb[Bairro],extras)</f>
        <v>0</v>
      </c>
      <c r="BD295" s="9">
        <f t="shared" si="91"/>
        <v>0</v>
      </c>
      <c r="BE295" s="9">
        <f t="shared" si="92"/>
        <v>0</v>
      </c>
      <c r="BF295" s="18">
        <f t="shared" si="93"/>
        <v>0</v>
      </c>
    </row>
    <row r="296" spans="9:58" ht="15.75" thickBot="1" x14ac:dyDescent="0.3">
      <c r="I296" s="19" t="str">
        <f>alimentos[[#This Row],[Item]]</f>
        <v>Lentilha (300g)</v>
      </c>
      <c r="J296" s="4">
        <f>IFERROR(alimentos[[#This Row],[kg/embalagem]],0)</f>
        <v>0.3</v>
      </c>
      <c r="K296" s="4">
        <f>IFERROR(alimentos[[#This Row],[Preço]],0)</f>
        <v>5.84</v>
      </c>
      <c r="L296" s="4">
        <f>SUMIFS(super1[Qtde],super1[Item],tab_alimentos[[#This Row],[Item]],super1[Bairro],mercado1)+SUMIFS(supercb[Qtde],supercb[Item],tab_alimentos[[#This Row],[Item]],supercb[Bairro],mercado1)</f>
        <v>0</v>
      </c>
      <c r="M296" s="4">
        <f>SUMIFS(super1[Qtde],super1[Item],tab_alimentos[[#This Row],[Item]],super1[Bairro],mercado2)+SUMIFS(supercb[Qtde],supercb[Item],tab_alimentos[[#This Row],[Item]],supercb[Bairro],mercado2)</f>
        <v>0</v>
      </c>
      <c r="N296" s="4">
        <f>SUMIFS(super1[Qtde],super1[Item],tab_alimentos[[#This Row],[Item]],super1[Bairro],mercado3)+SUMIFS(supercb[Qtde],supercb[Item],tab_alimentos[[#This Row],[Item]],supercb[Bairro],mercado3)</f>
        <v>0</v>
      </c>
      <c r="O296" s="4">
        <f>SUMIFS(super1[Qtde],super1[Item],tab_alimentos[[#This Row],[Item]],super1[Bairro],mercado4)+SUMIFS(supercb[Qtde],supercb[Item],tab_alimentos[[#This Row],[Item]],supercb[Bairro],mercado4)</f>
        <v>0</v>
      </c>
      <c r="P296" s="4">
        <f>SUMIFS(super1[Qtde],super1[Item],tab_alimentos[[#This Row],[Item]],super1[Bairro],mercado5)+SUMIFS(supercb[Qtde],supercb[Item],tab_alimentos[[#This Row],[Item]],supercb[Bairro],mercado5)</f>
        <v>0</v>
      </c>
      <c r="Q296" s="4">
        <f>SUMIFS(super1[Qtde],super1[Item],tab_alimentos[[#This Row],[Item]],super1[Bairro],mercado6)+SUMIFS(supercb[Qtde],supercb[Item],tab_alimentos[[#This Row],[Item]],supercb[Bairro],mercado6)</f>
        <v>0</v>
      </c>
      <c r="R296" s="4">
        <f>SUMIFS(super1[Qtde],super1[Item],tab_alimentos[[#This Row],[Item]],super1[Bairro],mercado7)+SUMIFS(supercb[Qtde],supercb[Item],tab_alimentos[[#This Row],[Item]],supercb[Bairro],mercado7)</f>
        <v>0</v>
      </c>
      <c r="S296" s="4">
        <f>SUMIFS(super1[Qtde],super1[Item],tab_alimentos[[#This Row],[Item]],super1[Bairro],mercado8)+SUMIFS(supercb[Qtde],supercb[Item],tab_alimentos[[#This Row],[Item]],supercb[Bairro],mercado8)</f>
        <v>0</v>
      </c>
      <c r="T296" s="4">
        <f>SUMIFS(super1[Qtde],super1[Item],tab_alimentos[[#This Row],[Item]],super1[Bairro],mercado9)+SUMIFS(supercb[Qtde],supercb[Item],tab_alimentos[[#This Row],[Item]],supercb[Bairro],mercado9)</f>
        <v>0</v>
      </c>
      <c r="U296" s="4">
        <f>SUMIFS(super1[Qtde],super1[Item],tab_alimentos[[#This Row],[Item]],super1[Bairro],mercado10)+SUMIFS(supercb[Qtde],supercb[Item],tab_alimentos[[#This Row],[Item]],supercb[Bairro],mercado10)</f>
        <v>0</v>
      </c>
      <c r="V296" s="4">
        <f>SUMIFS(super1[Qtde],super1[Item],tab_alimentos[[#This Row],[Item]],super1[Bairro],mercado11)+SUMIFS(supercb[Qtde],supercb[Item],tab_alimentos[[#This Row],[Item]],supercb[Bairro],mercado11)</f>
        <v>0</v>
      </c>
      <c r="W296" s="4">
        <f>SUMIFS(super1[Qtde],super1[Item],tab_alimentos[[#This Row],[Item]],super1[Bairro],mercado12)+SUMIFS(supercb[Qtde],supercb[Item],tab_alimentos[[#This Row],[Item]],supercb[Bairro],mercado12)</f>
        <v>0</v>
      </c>
      <c r="X296" s="4">
        <f>SUMIFS(super1[Qtde],super1[Item],tab_alimentos[[#This Row],[Item]],super1[Bairro],mercado13)+SUMIFS(supercb[Qtde],supercb[Item],tab_alimentos[[#This Row],[Item]],supercb[Bairro],mercado13)</f>
        <v>0</v>
      </c>
      <c r="Y296" s="4">
        <f>SUMIFS(super1[Qtde],super1[Item],tab_alimentos[[#This Row],[Item]],super1[Bairro],mercado14)+SUMIFS(supercb[Qtde],supercb[Item],tab_alimentos[[#This Row],[Item]],supercb[Bairro],mercado14)</f>
        <v>0</v>
      </c>
      <c r="Z296" s="4">
        <f>SUMIFS(super1[Qtde],super1[Item],tab_alimentos[[#This Row],[Item]],super1[Bairro],mercado15)+SUMIFS(supercb[Qtde],supercb[Item],tab_alimentos[[#This Row],[Item]],supercb[Bairro],mercado15)</f>
        <v>0</v>
      </c>
      <c r="AA296" s="4">
        <f>SUMIFS(super1[Qtde],super1[Item],tab_alimentos[[#This Row],[Item]],super1[Bairro],mercado16)+SUMIFS(supercb[Qtde],supercb[Item],tab_alimentos[[#This Row],[Item]],supercb[Bairro],mercado16)</f>
        <v>0</v>
      </c>
      <c r="AB296" s="4">
        <f>SUMIFS(super1[Qtde],super1[Item],tab_alimentos[[#This Row],[Item]],super1[Bairro],mercado17)+SUMIFS(supercb[Qtde],supercb[Item],tab_alimentos[[#This Row],[Item]],supercb[Bairro],mercado17)</f>
        <v>0</v>
      </c>
      <c r="AC296" s="4">
        <f>SUMIFS(super1[Qtde],super1[Item],tab_alimentos[[#This Row],[Item]],super1[Bairro],mercado18)+SUMIFS(supercb[Qtde],supercb[Item],tab_alimentos[[#This Row],[Item]],supercb[Bairro],mercado18)</f>
        <v>0</v>
      </c>
      <c r="AD296" s="4">
        <f>SUMIFS(super1[Qtde],super1[Item],tab_alimentos[[#This Row],[Item]],super1[Bairro],extras)+SUMIFS(supercb[Qtde],supercb[Item],tab_alimentos[[#This Row],[Item]],supercb[Bairro],extras)</f>
        <v>0</v>
      </c>
      <c r="AE296" s="4">
        <f t="shared" si="88"/>
        <v>0</v>
      </c>
      <c r="AF296" s="4">
        <f t="shared" si="89"/>
        <v>0</v>
      </c>
      <c r="AG296" s="6">
        <f t="shared" si="90"/>
        <v>0</v>
      </c>
      <c r="AH296" s="13" t="e">
        <f>higiene[[#This Row],[Item]]</f>
        <v>#VALUE!</v>
      </c>
      <c r="AI296" s="9">
        <f>IFERROR(higiene[[#This Row],[Kg equivalente]],0)</f>
        <v>0</v>
      </c>
      <c r="AJ296" s="9">
        <f>IFERROR(higiene[[#This Row],[Preço por produto]],0)</f>
        <v>0</v>
      </c>
      <c r="AK296" s="4">
        <f>SUMIFS(super1[Qtde],super1[Item],tab_higiene[[#This Row],[Item]],super1[Bairro],mercado1)+SUMIFS(supercb[Qtde],supercb[Item],tab_higiene[[#This Row],[Item]],supercb[Bairro],mercado1)</f>
        <v>0</v>
      </c>
      <c r="AL296" s="4">
        <f>SUMIFS(super1[Qtde],super1[Item],tab_higiene[[#This Row],[Item]],super1[Bairro],mercado2)+SUMIFS(supercb[Qtde],supercb[Item],tab_higiene[[#This Row],[Item]],supercb[Bairro],mercado2)</f>
        <v>0</v>
      </c>
      <c r="AM296" s="4">
        <f>SUMIFS(super1[Qtde],super1[Item],tab_higiene[[#This Row],[Item]],super1[Bairro],mercado3)+SUMIFS(supercb[Qtde],supercb[Item],tab_higiene[[#This Row],[Item]],supercb[Bairro],mercado3)</f>
        <v>0</v>
      </c>
      <c r="AN296" s="4">
        <f>SUMIFS(super1[Qtde],super1[Item],tab_higiene[[#This Row],[Item]],super1[Bairro],mercado4)+SUMIFS(supercb[Qtde],supercb[Item],tab_higiene[[#This Row],[Item]],supercb[Bairro],mercado4)</f>
        <v>0</v>
      </c>
      <c r="AO296" s="4">
        <f>SUMIFS(super1[Qtde],super1[Item],tab_higiene[[#This Row],[Item]],super1[Bairro],mercado5)+SUMIFS(supercb[Qtde],supercb[Item],tab_higiene[[#This Row],[Item]],supercb[Bairro],mercado5)</f>
        <v>0</v>
      </c>
      <c r="AP296" s="4">
        <f>SUMIFS(super1[Qtde],super1[Item],tab_higiene[[#This Row],[Item]],super1[Bairro],mercado6)+SUMIFS(supercb[Qtde],supercb[Item],tab_higiene[[#This Row],[Item]],supercb[Bairro],mercado6)</f>
        <v>0</v>
      </c>
      <c r="AQ296" s="4">
        <f>SUMIFS(super1[Qtde],super1[Item],tab_higiene[[#This Row],[Item]],super1[Bairro],mercado7)+SUMIFS(supercb[Qtde],supercb[Item],tab_higiene[[#This Row],[Item]],supercb[Bairro],mercado7)</f>
        <v>0</v>
      </c>
      <c r="AR296" s="4">
        <f>SUMIFS(super1[Qtde],super1[Item],tab_higiene[[#This Row],[Item]],super1[Bairro],mercado8)+SUMIFS(supercb[Qtde],supercb[Item],tab_higiene[[#This Row],[Item]],supercb[Bairro],mercado8)</f>
        <v>0</v>
      </c>
      <c r="AS296" s="4">
        <f>SUMIFS(super1[Qtde],super1[Item],tab_higiene[[#This Row],[Item]],super1[Bairro],mercado9)+SUMIFS(supercb[Qtde],supercb[Item],tab_higiene[[#This Row],[Item]],supercb[Bairro],mercado9)</f>
        <v>0</v>
      </c>
      <c r="AT296" s="4">
        <f>SUMIFS(super1[Qtde],super1[Item],tab_higiene[[#This Row],[Item]],super1[Bairro],mercado10)+SUMIFS(supercb[Qtde],supercb[Item],tab_higiene[[#This Row],[Item]],supercb[Bairro],mercado10)</f>
        <v>0</v>
      </c>
      <c r="AU296" s="4">
        <f>SUMIFS(super1[Qtde],super1[Item],tab_higiene[[#This Row],[Item]],super1[Bairro],mercado11)+SUMIFS(supercb[Qtde],supercb[Item],tab_higiene[[#This Row],[Item]],supercb[Bairro],mercado11)</f>
        <v>0</v>
      </c>
      <c r="AV296" s="4">
        <f>SUMIFS(super1[Qtde],super1[Item],tab_higiene[[#This Row],[Item]],super1[Bairro],mercado12)+SUMIFS(supercb[Qtde],supercb[Item],tab_higiene[[#This Row],[Item]],supercb[Bairro],mercado12)</f>
        <v>0</v>
      </c>
      <c r="AW296" s="4">
        <f>SUMIFS(super1[Qtde],super1[Item],tab_higiene[[#This Row],[Item]],super1[Bairro],mercado13)+SUMIFS(supercb[Qtde],supercb[Item],tab_higiene[[#This Row],[Item]],supercb[Bairro],mercado13)</f>
        <v>0</v>
      </c>
      <c r="AX296" s="4">
        <f>SUMIFS(super1[Qtde],super1[Item],tab_higiene[[#This Row],[Item]],super1[Bairro],mercado14)+SUMIFS(supercb[Qtde],supercb[Item],tab_higiene[[#This Row],[Item]],supercb[Bairro],mercado14)</f>
        <v>0</v>
      </c>
      <c r="AY296" s="4">
        <f>SUMIFS(super1[Qtde],super1[Item],tab_higiene[[#This Row],[Item]],super1[Bairro],mercado15)+SUMIFS(supercb[Qtde],supercb[Item],tab_higiene[[#This Row],[Item]],supercb[Bairro],mercado15)</f>
        <v>0</v>
      </c>
      <c r="AZ296" s="4">
        <f>SUMIFS(super1[Qtde],super1[Item],tab_higiene[[#This Row],[Item]],super1[Bairro],mercado16)+SUMIFS(supercb[Qtde],supercb[Item],tab_higiene[[#This Row],[Item]],supercb[Bairro],mercado16)</f>
        <v>0</v>
      </c>
      <c r="BA296" s="4">
        <f>SUMIFS(super1[Qtde],super1[Item],tab_higiene[[#This Row],[Item]],super1[Bairro],mercado17)+SUMIFS(supercb[Qtde],supercb[Item],tab_higiene[[#This Row],[Item]],supercb[Bairro],mercado17)</f>
        <v>0</v>
      </c>
      <c r="BB296" s="4">
        <f>SUMIFS(super1[Qtde],super1[Item],tab_higiene[[#This Row],[Item]],super1[Bairro],mercado18)+SUMIFS(supercb[Qtde],supercb[Item],tab_higiene[[#This Row],[Item]],supercb[Bairro],mercado18)</f>
        <v>0</v>
      </c>
      <c r="BC296" s="31">
        <f>SUMIFS(super1[Qtde],super1[Item],tab_higiene[[#This Row],[Item]],super1[Bairro],extras)+SUMIFS(supercb[Qtde],supercb[Item],tab_higiene[[#This Row],[Item]],supercb[Bairro],extras)</f>
        <v>0</v>
      </c>
      <c r="BD296" s="9">
        <f t="shared" si="91"/>
        <v>0</v>
      </c>
      <c r="BE296" s="9">
        <f t="shared" si="92"/>
        <v>0</v>
      </c>
      <c r="BF296" s="18">
        <f t="shared" si="93"/>
        <v>0</v>
      </c>
    </row>
    <row r="297" spans="9:58" ht="15.75" thickBot="1" x14ac:dyDescent="0.3">
      <c r="I297" s="19" t="str">
        <f>alimentos[[#This Row],[Item]]</f>
        <v>Lentilha (380g)</v>
      </c>
      <c r="J297" s="4">
        <f>IFERROR(alimentos[[#This Row],[kg/embalagem]],0)</f>
        <v>0.38</v>
      </c>
      <c r="K297" s="4">
        <f>IFERROR(alimentos[[#This Row],[Preço]],0)</f>
        <v>7.69</v>
      </c>
      <c r="L297" s="4">
        <f>SUMIFS(super1[Qtde],super1[Item],tab_alimentos[[#This Row],[Item]],super1[Bairro],mercado1)+SUMIFS(supercb[Qtde],supercb[Item],tab_alimentos[[#This Row],[Item]],supercb[Bairro],mercado1)</f>
        <v>0</v>
      </c>
      <c r="M297" s="4">
        <f>SUMIFS(super1[Qtde],super1[Item],tab_alimentos[[#This Row],[Item]],super1[Bairro],mercado2)+SUMIFS(supercb[Qtde],supercb[Item],tab_alimentos[[#This Row],[Item]],supercb[Bairro],mercado2)</f>
        <v>0</v>
      </c>
      <c r="N297" s="4">
        <f>SUMIFS(super1[Qtde],super1[Item],tab_alimentos[[#This Row],[Item]],super1[Bairro],mercado3)+SUMIFS(supercb[Qtde],supercb[Item],tab_alimentos[[#This Row],[Item]],supercb[Bairro],mercado3)</f>
        <v>0</v>
      </c>
      <c r="O297" s="4">
        <f>SUMIFS(super1[Qtde],super1[Item],tab_alimentos[[#This Row],[Item]],super1[Bairro],mercado4)+SUMIFS(supercb[Qtde],supercb[Item],tab_alimentos[[#This Row],[Item]],supercb[Bairro],mercado4)</f>
        <v>0</v>
      </c>
      <c r="P297" s="4">
        <f>SUMIFS(super1[Qtde],super1[Item],tab_alimentos[[#This Row],[Item]],super1[Bairro],mercado5)+SUMIFS(supercb[Qtde],supercb[Item],tab_alimentos[[#This Row],[Item]],supercb[Bairro],mercado5)</f>
        <v>0</v>
      </c>
      <c r="Q297" s="4">
        <f>SUMIFS(super1[Qtde],super1[Item],tab_alimentos[[#This Row],[Item]],super1[Bairro],mercado6)+SUMIFS(supercb[Qtde],supercb[Item],tab_alimentos[[#This Row],[Item]],supercb[Bairro],mercado6)</f>
        <v>0</v>
      </c>
      <c r="R297" s="4">
        <f>SUMIFS(super1[Qtde],super1[Item],tab_alimentos[[#This Row],[Item]],super1[Bairro],mercado7)+SUMIFS(supercb[Qtde],supercb[Item],tab_alimentos[[#This Row],[Item]],supercb[Bairro],mercado7)</f>
        <v>0</v>
      </c>
      <c r="S297" s="4">
        <f>SUMIFS(super1[Qtde],super1[Item],tab_alimentos[[#This Row],[Item]],super1[Bairro],mercado8)+SUMIFS(supercb[Qtde],supercb[Item],tab_alimentos[[#This Row],[Item]],supercb[Bairro],mercado8)</f>
        <v>0</v>
      </c>
      <c r="T297" s="4">
        <f>SUMIFS(super1[Qtde],super1[Item],tab_alimentos[[#This Row],[Item]],super1[Bairro],mercado9)+SUMIFS(supercb[Qtde],supercb[Item],tab_alimentos[[#This Row],[Item]],supercb[Bairro],mercado9)</f>
        <v>0</v>
      </c>
      <c r="U297" s="4">
        <f>SUMIFS(super1[Qtde],super1[Item],tab_alimentos[[#This Row],[Item]],super1[Bairro],mercado10)+SUMIFS(supercb[Qtde],supercb[Item],tab_alimentos[[#This Row],[Item]],supercb[Bairro],mercado10)</f>
        <v>0</v>
      </c>
      <c r="V297" s="4">
        <f>SUMIFS(super1[Qtde],super1[Item],tab_alimentos[[#This Row],[Item]],super1[Bairro],mercado11)+SUMIFS(supercb[Qtde],supercb[Item],tab_alimentos[[#This Row],[Item]],supercb[Bairro],mercado11)</f>
        <v>0</v>
      </c>
      <c r="W297" s="4">
        <f>SUMIFS(super1[Qtde],super1[Item],tab_alimentos[[#This Row],[Item]],super1[Bairro],mercado12)+SUMIFS(supercb[Qtde],supercb[Item],tab_alimentos[[#This Row],[Item]],supercb[Bairro],mercado12)</f>
        <v>0</v>
      </c>
      <c r="X297" s="4">
        <f>SUMIFS(super1[Qtde],super1[Item],tab_alimentos[[#This Row],[Item]],super1[Bairro],mercado13)+SUMIFS(supercb[Qtde],supercb[Item],tab_alimentos[[#This Row],[Item]],supercb[Bairro],mercado13)</f>
        <v>0</v>
      </c>
      <c r="Y297" s="4">
        <f>SUMIFS(super1[Qtde],super1[Item],tab_alimentos[[#This Row],[Item]],super1[Bairro],mercado14)+SUMIFS(supercb[Qtde],supercb[Item],tab_alimentos[[#This Row],[Item]],supercb[Bairro],mercado14)</f>
        <v>0</v>
      </c>
      <c r="Z297" s="4">
        <f>SUMIFS(super1[Qtde],super1[Item],tab_alimentos[[#This Row],[Item]],super1[Bairro],mercado15)+SUMIFS(supercb[Qtde],supercb[Item],tab_alimentos[[#This Row],[Item]],supercb[Bairro],mercado15)</f>
        <v>0</v>
      </c>
      <c r="AA297" s="4">
        <f>SUMIFS(super1[Qtde],super1[Item],tab_alimentos[[#This Row],[Item]],super1[Bairro],mercado16)+SUMIFS(supercb[Qtde],supercb[Item],tab_alimentos[[#This Row],[Item]],supercb[Bairro],mercado16)</f>
        <v>0</v>
      </c>
      <c r="AB297" s="4">
        <f>SUMIFS(super1[Qtde],super1[Item],tab_alimentos[[#This Row],[Item]],super1[Bairro],mercado17)+SUMIFS(supercb[Qtde],supercb[Item],tab_alimentos[[#This Row],[Item]],supercb[Bairro],mercado17)</f>
        <v>0</v>
      </c>
      <c r="AC297" s="4">
        <f>SUMIFS(super1[Qtde],super1[Item],tab_alimentos[[#This Row],[Item]],super1[Bairro],mercado18)+SUMIFS(supercb[Qtde],supercb[Item],tab_alimentos[[#This Row],[Item]],supercb[Bairro],mercado18)</f>
        <v>0</v>
      </c>
      <c r="AD297" s="4">
        <f>SUMIFS(super1[Qtde],super1[Item],tab_alimentos[[#This Row],[Item]],super1[Bairro],extras)+SUMIFS(supercb[Qtde],supercb[Item],tab_alimentos[[#This Row],[Item]],supercb[Bairro],extras)</f>
        <v>0</v>
      </c>
      <c r="AE297" s="4">
        <f t="shared" si="88"/>
        <v>0</v>
      </c>
      <c r="AF297" s="4">
        <f t="shared" si="89"/>
        <v>0</v>
      </c>
      <c r="AG297" s="6">
        <f t="shared" si="90"/>
        <v>0</v>
      </c>
      <c r="AH297" s="13" t="e">
        <f>higiene[[#This Row],[Item]]</f>
        <v>#VALUE!</v>
      </c>
      <c r="AI297" s="9">
        <f>IFERROR(higiene[[#This Row],[Kg equivalente]],0)</f>
        <v>0</v>
      </c>
      <c r="AJ297" s="9">
        <f>IFERROR(higiene[[#This Row],[Preço por produto]],0)</f>
        <v>0</v>
      </c>
      <c r="AK297" s="4">
        <f>SUMIFS(super1[Qtde],super1[Item],tab_higiene[[#This Row],[Item]],super1[Bairro],mercado1)+SUMIFS(supercb[Qtde],supercb[Item],tab_higiene[[#This Row],[Item]],supercb[Bairro],mercado1)</f>
        <v>0</v>
      </c>
      <c r="AL297" s="4">
        <f>SUMIFS(super1[Qtde],super1[Item],tab_higiene[[#This Row],[Item]],super1[Bairro],mercado2)+SUMIFS(supercb[Qtde],supercb[Item],tab_higiene[[#This Row],[Item]],supercb[Bairro],mercado2)</f>
        <v>0</v>
      </c>
      <c r="AM297" s="4">
        <f>SUMIFS(super1[Qtde],super1[Item],tab_higiene[[#This Row],[Item]],super1[Bairro],mercado3)+SUMIFS(supercb[Qtde],supercb[Item],tab_higiene[[#This Row],[Item]],supercb[Bairro],mercado3)</f>
        <v>0</v>
      </c>
      <c r="AN297" s="4">
        <f>SUMIFS(super1[Qtde],super1[Item],tab_higiene[[#This Row],[Item]],super1[Bairro],mercado4)+SUMIFS(supercb[Qtde],supercb[Item],tab_higiene[[#This Row],[Item]],supercb[Bairro],mercado4)</f>
        <v>0</v>
      </c>
      <c r="AO297" s="4">
        <f>SUMIFS(super1[Qtde],super1[Item],tab_higiene[[#This Row],[Item]],super1[Bairro],mercado5)+SUMIFS(supercb[Qtde],supercb[Item],tab_higiene[[#This Row],[Item]],supercb[Bairro],mercado5)</f>
        <v>0</v>
      </c>
      <c r="AP297" s="4">
        <f>SUMIFS(super1[Qtde],super1[Item],tab_higiene[[#This Row],[Item]],super1[Bairro],mercado6)+SUMIFS(supercb[Qtde],supercb[Item],tab_higiene[[#This Row],[Item]],supercb[Bairro],mercado6)</f>
        <v>0</v>
      </c>
      <c r="AQ297" s="4">
        <f>SUMIFS(super1[Qtde],super1[Item],tab_higiene[[#This Row],[Item]],super1[Bairro],mercado7)+SUMIFS(supercb[Qtde],supercb[Item],tab_higiene[[#This Row],[Item]],supercb[Bairro],mercado7)</f>
        <v>0</v>
      </c>
      <c r="AR297" s="4">
        <f>SUMIFS(super1[Qtde],super1[Item],tab_higiene[[#This Row],[Item]],super1[Bairro],mercado8)+SUMIFS(supercb[Qtde],supercb[Item],tab_higiene[[#This Row],[Item]],supercb[Bairro],mercado8)</f>
        <v>0</v>
      </c>
      <c r="AS297" s="4">
        <f>SUMIFS(super1[Qtde],super1[Item],tab_higiene[[#This Row],[Item]],super1[Bairro],mercado9)+SUMIFS(supercb[Qtde],supercb[Item],tab_higiene[[#This Row],[Item]],supercb[Bairro],mercado9)</f>
        <v>0</v>
      </c>
      <c r="AT297" s="4">
        <f>SUMIFS(super1[Qtde],super1[Item],tab_higiene[[#This Row],[Item]],super1[Bairro],mercado10)+SUMIFS(supercb[Qtde],supercb[Item],tab_higiene[[#This Row],[Item]],supercb[Bairro],mercado10)</f>
        <v>0</v>
      </c>
      <c r="AU297" s="4">
        <f>SUMIFS(super1[Qtde],super1[Item],tab_higiene[[#This Row],[Item]],super1[Bairro],mercado11)+SUMIFS(supercb[Qtde],supercb[Item],tab_higiene[[#This Row],[Item]],supercb[Bairro],mercado11)</f>
        <v>0</v>
      </c>
      <c r="AV297" s="4">
        <f>SUMIFS(super1[Qtde],super1[Item],tab_higiene[[#This Row],[Item]],super1[Bairro],mercado12)+SUMIFS(supercb[Qtde],supercb[Item],tab_higiene[[#This Row],[Item]],supercb[Bairro],mercado12)</f>
        <v>0</v>
      </c>
      <c r="AW297" s="4">
        <f>SUMIFS(super1[Qtde],super1[Item],tab_higiene[[#This Row],[Item]],super1[Bairro],mercado13)+SUMIFS(supercb[Qtde],supercb[Item],tab_higiene[[#This Row],[Item]],supercb[Bairro],mercado13)</f>
        <v>0</v>
      </c>
      <c r="AX297" s="4">
        <f>SUMIFS(super1[Qtde],super1[Item],tab_higiene[[#This Row],[Item]],super1[Bairro],mercado14)+SUMIFS(supercb[Qtde],supercb[Item],tab_higiene[[#This Row],[Item]],supercb[Bairro],mercado14)</f>
        <v>0</v>
      </c>
      <c r="AY297" s="4">
        <f>SUMIFS(super1[Qtde],super1[Item],tab_higiene[[#This Row],[Item]],super1[Bairro],mercado15)+SUMIFS(supercb[Qtde],supercb[Item],tab_higiene[[#This Row],[Item]],supercb[Bairro],mercado15)</f>
        <v>0</v>
      </c>
      <c r="AZ297" s="4">
        <f>SUMIFS(super1[Qtde],super1[Item],tab_higiene[[#This Row],[Item]],super1[Bairro],mercado16)+SUMIFS(supercb[Qtde],supercb[Item],tab_higiene[[#This Row],[Item]],supercb[Bairro],mercado16)</f>
        <v>0</v>
      </c>
      <c r="BA297" s="4">
        <f>SUMIFS(super1[Qtde],super1[Item],tab_higiene[[#This Row],[Item]],super1[Bairro],mercado17)+SUMIFS(supercb[Qtde],supercb[Item],tab_higiene[[#This Row],[Item]],supercb[Bairro],mercado17)</f>
        <v>0</v>
      </c>
      <c r="BB297" s="4">
        <f>SUMIFS(super1[Qtde],super1[Item],tab_higiene[[#This Row],[Item]],super1[Bairro],mercado18)+SUMIFS(supercb[Qtde],supercb[Item],tab_higiene[[#This Row],[Item]],supercb[Bairro],mercado18)</f>
        <v>0</v>
      </c>
      <c r="BC297" s="31">
        <f>SUMIFS(super1[Qtde],super1[Item],tab_higiene[[#This Row],[Item]],super1[Bairro],extras)+SUMIFS(supercb[Qtde],supercb[Item],tab_higiene[[#This Row],[Item]],supercb[Bairro],extras)</f>
        <v>0</v>
      </c>
      <c r="BD297" s="9">
        <f t="shared" si="91"/>
        <v>0</v>
      </c>
      <c r="BE297" s="9">
        <f t="shared" si="92"/>
        <v>0</v>
      </c>
      <c r="BF297" s="18">
        <f t="shared" si="93"/>
        <v>0</v>
      </c>
    </row>
    <row r="298" spans="9:58" ht="15.75" thickBot="1" x14ac:dyDescent="0.3">
      <c r="I298" s="19" t="str">
        <f>alimentos[[#This Row],[Item]]</f>
        <v>Lentilha (500g)</v>
      </c>
      <c r="J298" s="4">
        <f>IFERROR(alimentos[[#This Row],[kg/embalagem]],0)</f>
        <v>0.5</v>
      </c>
      <c r="K298" s="4">
        <f>IFERROR(alimentos[[#This Row],[Preço]],0)</f>
        <v>11.8</v>
      </c>
      <c r="L298" s="4">
        <f>SUMIFS(super1[Qtde],super1[Item],tab_alimentos[[#This Row],[Item]],super1[Bairro],mercado1)+SUMIFS(supercb[Qtde],supercb[Item],tab_alimentos[[#This Row],[Item]],supercb[Bairro],mercado1)</f>
        <v>0</v>
      </c>
      <c r="M298" s="4">
        <f>SUMIFS(super1[Qtde],super1[Item],tab_alimentos[[#This Row],[Item]],super1[Bairro],mercado2)+SUMIFS(supercb[Qtde],supercb[Item],tab_alimentos[[#This Row],[Item]],supercb[Bairro],mercado2)</f>
        <v>0</v>
      </c>
      <c r="N298" s="4">
        <f>SUMIFS(super1[Qtde],super1[Item],tab_alimentos[[#This Row],[Item]],super1[Bairro],mercado3)+SUMIFS(supercb[Qtde],supercb[Item],tab_alimentos[[#This Row],[Item]],supercb[Bairro],mercado3)</f>
        <v>0</v>
      </c>
      <c r="O298" s="4">
        <f>SUMIFS(super1[Qtde],super1[Item],tab_alimentos[[#This Row],[Item]],super1[Bairro],mercado4)+SUMIFS(supercb[Qtde],supercb[Item],tab_alimentos[[#This Row],[Item]],supercb[Bairro],mercado4)</f>
        <v>0</v>
      </c>
      <c r="P298" s="4">
        <f>SUMIFS(super1[Qtde],super1[Item],tab_alimentos[[#This Row],[Item]],super1[Bairro],mercado5)+SUMIFS(supercb[Qtde],supercb[Item],tab_alimentos[[#This Row],[Item]],supercb[Bairro],mercado5)</f>
        <v>0</v>
      </c>
      <c r="Q298" s="4">
        <f>SUMIFS(super1[Qtde],super1[Item],tab_alimentos[[#This Row],[Item]],super1[Bairro],mercado6)+SUMIFS(supercb[Qtde],supercb[Item],tab_alimentos[[#This Row],[Item]],supercb[Bairro],mercado6)</f>
        <v>0</v>
      </c>
      <c r="R298" s="4">
        <f>SUMIFS(super1[Qtde],super1[Item],tab_alimentos[[#This Row],[Item]],super1[Bairro],mercado7)+SUMIFS(supercb[Qtde],supercb[Item],tab_alimentos[[#This Row],[Item]],supercb[Bairro],mercado7)</f>
        <v>0</v>
      </c>
      <c r="S298" s="4">
        <f>SUMIFS(super1[Qtde],super1[Item],tab_alimentos[[#This Row],[Item]],super1[Bairro],mercado8)+SUMIFS(supercb[Qtde],supercb[Item],tab_alimentos[[#This Row],[Item]],supercb[Bairro],mercado8)</f>
        <v>0</v>
      </c>
      <c r="T298" s="4">
        <f>SUMIFS(super1[Qtde],super1[Item],tab_alimentos[[#This Row],[Item]],super1[Bairro],mercado9)+SUMIFS(supercb[Qtde],supercb[Item],tab_alimentos[[#This Row],[Item]],supercb[Bairro],mercado9)</f>
        <v>0</v>
      </c>
      <c r="U298" s="4">
        <f>SUMIFS(super1[Qtde],super1[Item],tab_alimentos[[#This Row],[Item]],super1[Bairro],mercado10)+SUMIFS(supercb[Qtde],supercb[Item],tab_alimentos[[#This Row],[Item]],supercb[Bairro],mercado10)</f>
        <v>0</v>
      </c>
      <c r="V298" s="4">
        <f>SUMIFS(super1[Qtde],super1[Item],tab_alimentos[[#This Row],[Item]],super1[Bairro],mercado11)+SUMIFS(supercb[Qtde],supercb[Item],tab_alimentos[[#This Row],[Item]],supercb[Bairro],mercado11)</f>
        <v>0</v>
      </c>
      <c r="W298" s="4">
        <f>SUMIFS(super1[Qtde],super1[Item],tab_alimentos[[#This Row],[Item]],super1[Bairro],mercado12)+SUMIFS(supercb[Qtde],supercb[Item],tab_alimentos[[#This Row],[Item]],supercb[Bairro],mercado12)</f>
        <v>0</v>
      </c>
      <c r="X298" s="4">
        <f>SUMIFS(super1[Qtde],super1[Item],tab_alimentos[[#This Row],[Item]],super1[Bairro],mercado13)+SUMIFS(supercb[Qtde],supercb[Item],tab_alimentos[[#This Row],[Item]],supercb[Bairro],mercado13)</f>
        <v>0</v>
      </c>
      <c r="Y298" s="4">
        <f>SUMIFS(super1[Qtde],super1[Item],tab_alimentos[[#This Row],[Item]],super1[Bairro],mercado14)+SUMIFS(supercb[Qtde],supercb[Item],tab_alimentos[[#This Row],[Item]],supercb[Bairro],mercado14)</f>
        <v>0</v>
      </c>
      <c r="Z298" s="4">
        <f>SUMIFS(super1[Qtde],super1[Item],tab_alimentos[[#This Row],[Item]],super1[Bairro],mercado15)+SUMIFS(supercb[Qtde],supercb[Item],tab_alimentos[[#This Row],[Item]],supercb[Bairro],mercado15)</f>
        <v>0</v>
      </c>
      <c r="AA298" s="4">
        <f>SUMIFS(super1[Qtde],super1[Item],tab_alimentos[[#This Row],[Item]],super1[Bairro],mercado16)+SUMIFS(supercb[Qtde],supercb[Item],tab_alimentos[[#This Row],[Item]],supercb[Bairro],mercado16)</f>
        <v>0</v>
      </c>
      <c r="AB298" s="4">
        <f>SUMIFS(super1[Qtde],super1[Item],tab_alimentos[[#This Row],[Item]],super1[Bairro],mercado17)+SUMIFS(supercb[Qtde],supercb[Item],tab_alimentos[[#This Row],[Item]],supercb[Bairro],mercado17)</f>
        <v>0</v>
      </c>
      <c r="AC298" s="4">
        <f>SUMIFS(super1[Qtde],super1[Item],tab_alimentos[[#This Row],[Item]],super1[Bairro],mercado18)+SUMIFS(supercb[Qtde],supercb[Item],tab_alimentos[[#This Row],[Item]],supercb[Bairro],mercado18)</f>
        <v>0</v>
      </c>
      <c r="AD298" s="4">
        <f>SUMIFS(super1[Qtde],super1[Item],tab_alimentos[[#This Row],[Item]],super1[Bairro],extras)+SUMIFS(supercb[Qtde],supercb[Item],tab_alimentos[[#This Row],[Item]],supercb[Bairro],extras)</f>
        <v>0</v>
      </c>
      <c r="AE298" s="4">
        <f t="shared" si="88"/>
        <v>0</v>
      </c>
      <c r="AF298" s="4">
        <f t="shared" si="89"/>
        <v>0</v>
      </c>
      <c r="AG298" s="6">
        <f t="shared" si="90"/>
        <v>0</v>
      </c>
      <c r="AH298" s="13" t="e">
        <f>higiene[[#This Row],[Item]]</f>
        <v>#VALUE!</v>
      </c>
      <c r="AI298" s="9">
        <f>IFERROR(higiene[[#This Row],[Kg equivalente]],0)</f>
        <v>0</v>
      </c>
      <c r="AJ298" s="9">
        <f>IFERROR(higiene[[#This Row],[Preço por produto]],0)</f>
        <v>0</v>
      </c>
      <c r="AK298" s="4">
        <f>SUMIFS(super1[Qtde],super1[Item],tab_higiene[[#This Row],[Item]],super1[Bairro],mercado1)+SUMIFS(supercb[Qtde],supercb[Item],tab_higiene[[#This Row],[Item]],supercb[Bairro],mercado1)</f>
        <v>0</v>
      </c>
      <c r="AL298" s="4">
        <f>SUMIFS(super1[Qtde],super1[Item],tab_higiene[[#This Row],[Item]],super1[Bairro],mercado2)+SUMIFS(supercb[Qtde],supercb[Item],tab_higiene[[#This Row],[Item]],supercb[Bairro],mercado2)</f>
        <v>0</v>
      </c>
      <c r="AM298" s="4">
        <f>SUMIFS(super1[Qtde],super1[Item],tab_higiene[[#This Row],[Item]],super1[Bairro],mercado3)+SUMIFS(supercb[Qtde],supercb[Item],tab_higiene[[#This Row],[Item]],supercb[Bairro],mercado3)</f>
        <v>0</v>
      </c>
      <c r="AN298" s="4">
        <f>SUMIFS(super1[Qtde],super1[Item],tab_higiene[[#This Row],[Item]],super1[Bairro],mercado4)+SUMIFS(supercb[Qtde],supercb[Item],tab_higiene[[#This Row],[Item]],supercb[Bairro],mercado4)</f>
        <v>0</v>
      </c>
      <c r="AO298" s="4">
        <f>SUMIFS(super1[Qtde],super1[Item],tab_higiene[[#This Row],[Item]],super1[Bairro],mercado5)+SUMIFS(supercb[Qtde],supercb[Item],tab_higiene[[#This Row],[Item]],supercb[Bairro],mercado5)</f>
        <v>0</v>
      </c>
      <c r="AP298" s="4">
        <f>SUMIFS(super1[Qtde],super1[Item],tab_higiene[[#This Row],[Item]],super1[Bairro],mercado6)+SUMIFS(supercb[Qtde],supercb[Item],tab_higiene[[#This Row],[Item]],supercb[Bairro],mercado6)</f>
        <v>0</v>
      </c>
      <c r="AQ298" s="4">
        <f>SUMIFS(super1[Qtde],super1[Item],tab_higiene[[#This Row],[Item]],super1[Bairro],mercado7)+SUMIFS(supercb[Qtde],supercb[Item],tab_higiene[[#This Row],[Item]],supercb[Bairro],mercado7)</f>
        <v>0</v>
      </c>
      <c r="AR298" s="4">
        <f>SUMIFS(super1[Qtde],super1[Item],tab_higiene[[#This Row],[Item]],super1[Bairro],mercado8)+SUMIFS(supercb[Qtde],supercb[Item],tab_higiene[[#This Row],[Item]],supercb[Bairro],mercado8)</f>
        <v>0</v>
      </c>
      <c r="AS298" s="4">
        <f>SUMIFS(super1[Qtde],super1[Item],tab_higiene[[#This Row],[Item]],super1[Bairro],mercado9)+SUMIFS(supercb[Qtde],supercb[Item],tab_higiene[[#This Row],[Item]],supercb[Bairro],mercado9)</f>
        <v>0</v>
      </c>
      <c r="AT298" s="4">
        <f>SUMIFS(super1[Qtde],super1[Item],tab_higiene[[#This Row],[Item]],super1[Bairro],mercado10)+SUMIFS(supercb[Qtde],supercb[Item],tab_higiene[[#This Row],[Item]],supercb[Bairro],mercado10)</f>
        <v>0</v>
      </c>
      <c r="AU298" s="4">
        <f>SUMIFS(super1[Qtde],super1[Item],tab_higiene[[#This Row],[Item]],super1[Bairro],mercado11)+SUMIFS(supercb[Qtde],supercb[Item],tab_higiene[[#This Row],[Item]],supercb[Bairro],mercado11)</f>
        <v>0</v>
      </c>
      <c r="AV298" s="4">
        <f>SUMIFS(super1[Qtde],super1[Item],tab_higiene[[#This Row],[Item]],super1[Bairro],mercado12)+SUMIFS(supercb[Qtde],supercb[Item],tab_higiene[[#This Row],[Item]],supercb[Bairro],mercado12)</f>
        <v>0</v>
      </c>
      <c r="AW298" s="4">
        <f>SUMIFS(super1[Qtde],super1[Item],tab_higiene[[#This Row],[Item]],super1[Bairro],mercado13)+SUMIFS(supercb[Qtde],supercb[Item],tab_higiene[[#This Row],[Item]],supercb[Bairro],mercado13)</f>
        <v>0</v>
      </c>
      <c r="AX298" s="4">
        <f>SUMIFS(super1[Qtde],super1[Item],tab_higiene[[#This Row],[Item]],super1[Bairro],mercado14)+SUMIFS(supercb[Qtde],supercb[Item],tab_higiene[[#This Row],[Item]],supercb[Bairro],mercado14)</f>
        <v>0</v>
      </c>
      <c r="AY298" s="4">
        <f>SUMIFS(super1[Qtde],super1[Item],tab_higiene[[#This Row],[Item]],super1[Bairro],mercado15)+SUMIFS(supercb[Qtde],supercb[Item],tab_higiene[[#This Row],[Item]],supercb[Bairro],mercado15)</f>
        <v>0</v>
      </c>
      <c r="AZ298" s="4">
        <f>SUMIFS(super1[Qtde],super1[Item],tab_higiene[[#This Row],[Item]],super1[Bairro],mercado16)+SUMIFS(supercb[Qtde],supercb[Item],tab_higiene[[#This Row],[Item]],supercb[Bairro],mercado16)</f>
        <v>0</v>
      </c>
      <c r="BA298" s="4">
        <f>SUMIFS(super1[Qtde],super1[Item],tab_higiene[[#This Row],[Item]],super1[Bairro],mercado17)+SUMIFS(supercb[Qtde],supercb[Item],tab_higiene[[#This Row],[Item]],supercb[Bairro],mercado17)</f>
        <v>0</v>
      </c>
      <c r="BB298" s="4">
        <f>SUMIFS(super1[Qtde],super1[Item],tab_higiene[[#This Row],[Item]],super1[Bairro],mercado18)+SUMIFS(supercb[Qtde],supercb[Item],tab_higiene[[#This Row],[Item]],supercb[Bairro],mercado18)</f>
        <v>0</v>
      </c>
      <c r="BC298" s="31">
        <f>SUMIFS(super1[Qtde],super1[Item],tab_higiene[[#This Row],[Item]],super1[Bairro],extras)+SUMIFS(supercb[Qtde],supercb[Item],tab_higiene[[#This Row],[Item]],supercb[Bairro],extras)</f>
        <v>0</v>
      </c>
      <c r="BD298" s="9">
        <f t="shared" si="91"/>
        <v>0</v>
      </c>
      <c r="BE298" s="9">
        <f t="shared" si="92"/>
        <v>0</v>
      </c>
      <c r="BF298" s="18">
        <f t="shared" si="93"/>
        <v>0</v>
      </c>
    </row>
    <row r="299" spans="9:58" ht="15.75" thickBot="1" x14ac:dyDescent="0.3">
      <c r="I299" s="19" t="str">
        <f>alimentos[[#This Row],[Item]]</f>
        <v>M</v>
      </c>
      <c r="J299" s="4">
        <f>IFERROR(alimentos[[#This Row],[kg/embalagem]],0)</f>
        <v>0</v>
      </c>
      <c r="K299" s="4">
        <f>IFERROR(alimentos[[#This Row],[Preço]],0)</f>
        <v>0</v>
      </c>
      <c r="L299" s="4">
        <f>SUMIFS(super1[Qtde],super1[Item],tab_alimentos[[#This Row],[Item]],super1[Bairro],mercado1)+SUMIFS(supercb[Qtde],supercb[Item],tab_alimentos[[#This Row],[Item]],supercb[Bairro],mercado1)</f>
        <v>0</v>
      </c>
      <c r="M299" s="4">
        <f>SUMIFS(super1[Qtde],super1[Item],tab_alimentos[[#This Row],[Item]],super1[Bairro],mercado2)+SUMIFS(supercb[Qtde],supercb[Item],tab_alimentos[[#This Row],[Item]],supercb[Bairro],mercado2)</f>
        <v>0</v>
      </c>
      <c r="N299" s="4">
        <f>SUMIFS(super1[Qtde],super1[Item],tab_alimentos[[#This Row],[Item]],super1[Bairro],mercado3)+SUMIFS(supercb[Qtde],supercb[Item],tab_alimentos[[#This Row],[Item]],supercb[Bairro],mercado3)</f>
        <v>0</v>
      </c>
      <c r="O299" s="4">
        <f>SUMIFS(super1[Qtde],super1[Item],tab_alimentos[[#This Row],[Item]],super1[Bairro],mercado4)+SUMIFS(supercb[Qtde],supercb[Item],tab_alimentos[[#This Row],[Item]],supercb[Bairro],mercado4)</f>
        <v>0</v>
      </c>
      <c r="P299" s="4">
        <f>SUMIFS(super1[Qtde],super1[Item],tab_alimentos[[#This Row],[Item]],super1[Bairro],mercado5)+SUMIFS(supercb[Qtde],supercb[Item],tab_alimentos[[#This Row],[Item]],supercb[Bairro],mercado5)</f>
        <v>0</v>
      </c>
      <c r="Q299" s="4">
        <f>SUMIFS(super1[Qtde],super1[Item],tab_alimentos[[#This Row],[Item]],super1[Bairro],mercado6)+SUMIFS(supercb[Qtde],supercb[Item],tab_alimentos[[#This Row],[Item]],supercb[Bairro],mercado6)</f>
        <v>0</v>
      </c>
      <c r="R299" s="4">
        <f>SUMIFS(super1[Qtde],super1[Item],tab_alimentos[[#This Row],[Item]],super1[Bairro],mercado7)+SUMIFS(supercb[Qtde],supercb[Item],tab_alimentos[[#This Row],[Item]],supercb[Bairro],mercado7)</f>
        <v>0</v>
      </c>
      <c r="S299" s="4">
        <f>SUMIFS(super1[Qtde],super1[Item],tab_alimentos[[#This Row],[Item]],super1[Bairro],mercado8)+SUMIFS(supercb[Qtde],supercb[Item],tab_alimentos[[#This Row],[Item]],supercb[Bairro],mercado8)</f>
        <v>0</v>
      </c>
      <c r="T299" s="4">
        <f>SUMIFS(super1[Qtde],super1[Item],tab_alimentos[[#This Row],[Item]],super1[Bairro],mercado9)+SUMIFS(supercb[Qtde],supercb[Item],tab_alimentos[[#This Row],[Item]],supercb[Bairro],mercado9)</f>
        <v>0</v>
      </c>
      <c r="U299" s="4">
        <f>SUMIFS(super1[Qtde],super1[Item],tab_alimentos[[#This Row],[Item]],super1[Bairro],mercado10)+SUMIFS(supercb[Qtde],supercb[Item],tab_alimentos[[#This Row],[Item]],supercb[Bairro],mercado10)</f>
        <v>0</v>
      </c>
      <c r="V299" s="4">
        <f>SUMIFS(super1[Qtde],super1[Item],tab_alimentos[[#This Row],[Item]],super1[Bairro],mercado11)+SUMIFS(supercb[Qtde],supercb[Item],tab_alimentos[[#This Row],[Item]],supercb[Bairro],mercado11)</f>
        <v>0</v>
      </c>
      <c r="W299" s="4">
        <f>SUMIFS(super1[Qtde],super1[Item],tab_alimentos[[#This Row],[Item]],super1[Bairro],mercado12)+SUMIFS(supercb[Qtde],supercb[Item],tab_alimentos[[#This Row],[Item]],supercb[Bairro],mercado12)</f>
        <v>0</v>
      </c>
      <c r="X299" s="4">
        <f>SUMIFS(super1[Qtde],super1[Item],tab_alimentos[[#This Row],[Item]],super1[Bairro],mercado13)+SUMIFS(supercb[Qtde],supercb[Item],tab_alimentos[[#This Row],[Item]],supercb[Bairro],mercado13)</f>
        <v>0</v>
      </c>
      <c r="Y299" s="4">
        <f>SUMIFS(super1[Qtde],super1[Item],tab_alimentos[[#This Row],[Item]],super1[Bairro],mercado14)+SUMIFS(supercb[Qtde],supercb[Item],tab_alimentos[[#This Row],[Item]],supercb[Bairro],mercado14)</f>
        <v>0</v>
      </c>
      <c r="Z299" s="4">
        <f>SUMIFS(super1[Qtde],super1[Item],tab_alimentos[[#This Row],[Item]],super1[Bairro],mercado15)+SUMIFS(supercb[Qtde],supercb[Item],tab_alimentos[[#This Row],[Item]],supercb[Bairro],mercado15)</f>
        <v>0</v>
      </c>
      <c r="AA299" s="4">
        <f>SUMIFS(super1[Qtde],super1[Item],tab_alimentos[[#This Row],[Item]],super1[Bairro],mercado16)+SUMIFS(supercb[Qtde],supercb[Item],tab_alimentos[[#This Row],[Item]],supercb[Bairro],mercado16)</f>
        <v>0</v>
      </c>
      <c r="AB299" s="4">
        <f>SUMIFS(super1[Qtde],super1[Item],tab_alimentos[[#This Row],[Item]],super1[Bairro],mercado17)+SUMIFS(supercb[Qtde],supercb[Item],tab_alimentos[[#This Row],[Item]],supercb[Bairro],mercado17)</f>
        <v>0</v>
      </c>
      <c r="AC299" s="4">
        <f>SUMIFS(super1[Qtde],super1[Item],tab_alimentos[[#This Row],[Item]],super1[Bairro],mercado18)+SUMIFS(supercb[Qtde],supercb[Item],tab_alimentos[[#This Row],[Item]],supercb[Bairro],mercado18)</f>
        <v>0</v>
      </c>
      <c r="AD299" s="4">
        <f>SUMIFS(super1[Qtde],super1[Item],tab_alimentos[[#This Row],[Item]],super1[Bairro],extras)+SUMIFS(supercb[Qtde],supercb[Item],tab_alimentos[[#This Row],[Item]],supercb[Bairro],extras)</f>
        <v>0</v>
      </c>
      <c r="AE299" s="4">
        <f t="shared" si="88"/>
        <v>0</v>
      </c>
      <c r="AF299" s="4">
        <f t="shared" si="89"/>
        <v>0</v>
      </c>
      <c r="AG299" s="6">
        <f t="shared" si="90"/>
        <v>0</v>
      </c>
      <c r="AH299" s="13" t="e">
        <f>higiene[[#This Row],[Item]]</f>
        <v>#VALUE!</v>
      </c>
      <c r="AI299" s="9">
        <f>IFERROR(higiene[[#This Row],[Kg equivalente]],0)</f>
        <v>0</v>
      </c>
      <c r="AJ299" s="9">
        <f>IFERROR(higiene[[#This Row],[Preço por produto]],0)</f>
        <v>0</v>
      </c>
      <c r="AK299" s="4">
        <f>SUMIFS(super1[Qtde],super1[Item],tab_higiene[[#This Row],[Item]],super1[Bairro],mercado1)+SUMIFS(supercb[Qtde],supercb[Item],tab_higiene[[#This Row],[Item]],supercb[Bairro],mercado1)</f>
        <v>0</v>
      </c>
      <c r="AL299" s="4">
        <f>SUMIFS(super1[Qtde],super1[Item],tab_higiene[[#This Row],[Item]],super1[Bairro],mercado2)+SUMIFS(supercb[Qtde],supercb[Item],tab_higiene[[#This Row],[Item]],supercb[Bairro],mercado2)</f>
        <v>0</v>
      </c>
      <c r="AM299" s="4">
        <f>SUMIFS(super1[Qtde],super1[Item],tab_higiene[[#This Row],[Item]],super1[Bairro],mercado3)+SUMIFS(supercb[Qtde],supercb[Item],tab_higiene[[#This Row],[Item]],supercb[Bairro],mercado3)</f>
        <v>0</v>
      </c>
      <c r="AN299" s="4">
        <f>SUMIFS(super1[Qtde],super1[Item],tab_higiene[[#This Row],[Item]],super1[Bairro],mercado4)+SUMIFS(supercb[Qtde],supercb[Item],tab_higiene[[#This Row],[Item]],supercb[Bairro],mercado4)</f>
        <v>0</v>
      </c>
      <c r="AO299" s="4">
        <f>SUMIFS(super1[Qtde],super1[Item],tab_higiene[[#This Row],[Item]],super1[Bairro],mercado5)+SUMIFS(supercb[Qtde],supercb[Item],tab_higiene[[#This Row],[Item]],supercb[Bairro],mercado5)</f>
        <v>0</v>
      </c>
      <c r="AP299" s="4">
        <f>SUMIFS(super1[Qtde],super1[Item],tab_higiene[[#This Row],[Item]],super1[Bairro],mercado6)+SUMIFS(supercb[Qtde],supercb[Item],tab_higiene[[#This Row],[Item]],supercb[Bairro],mercado6)</f>
        <v>0</v>
      </c>
      <c r="AQ299" s="4">
        <f>SUMIFS(super1[Qtde],super1[Item],tab_higiene[[#This Row],[Item]],super1[Bairro],mercado7)+SUMIFS(supercb[Qtde],supercb[Item],tab_higiene[[#This Row],[Item]],supercb[Bairro],mercado7)</f>
        <v>0</v>
      </c>
      <c r="AR299" s="4">
        <f>SUMIFS(super1[Qtde],super1[Item],tab_higiene[[#This Row],[Item]],super1[Bairro],mercado8)+SUMIFS(supercb[Qtde],supercb[Item],tab_higiene[[#This Row],[Item]],supercb[Bairro],mercado8)</f>
        <v>0</v>
      </c>
      <c r="AS299" s="4">
        <f>SUMIFS(super1[Qtde],super1[Item],tab_higiene[[#This Row],[Item]],super1[Bairro],mercado9)+SUMIFS(supercb[Qtde],supercb[Item],tab_higiene[[#This Row],[Item]],supercb[Bairro],mercado9)</f>
        <v>0</v>
      </c>
      <c r="AT299" s="4">
        <f>SUMIFS(super1[Qtde],super1[Item],tab_higiene[[#This Row],[Item]],super1[Bairro],mercado10)+SUMIFS(supercb[Qtde],supercb[Item],tab_higiene[[#This Row],[Item]],supercb[Bairro],mercado10)</f>
        <v>0</v>
      </c>
      <c r="AU299" s="4">
        <f>SUMIFS(super1[Qtde],super1[Item],tab_higiene[[#This Row],[Item]],super1[Bairro],mercado11)+SUMIFS(supercb[Qtde],supercb[Item],tab_higiene[[#This Row],[Item]],supercb[Bairro],mercado11)</f>
        <v>0</v>
      </c>
      <c r="AV299" s="4">
        <f>SUMIFS(super1[Qtde],super1[Item],tab_higiene[[#This Row],[Item]],super1[Bairro],mercado12)+SUMIFS(supercb[Qtde],supercb[Item],tab_higiene[[#This Row],[Item]],supercb[Bairro],mercado12)</f>
        <v>0</v>
      </c>
      <c r="AW299" s="4">
        <f>SUMIFS(super1[Qtde],super1[Item],tab_higiene[[#This Row],[Item]],super1[Bairro],mercado13)+SUMIFS(supercb[Qtde],supercb[Item],tab_higiene[[#This Row],[Item]],supercb[Bairro],mercado13)</f>
        <v>0</v>
      </c>
      <c r="AX299" s="4">
        <f>SUMIFS(super1[Qtde],super1[Item],tab_higiene[[#This Row],[Item]],super1[Bairro],mercado14)+SUMIFS(supercb[Qtde],supercb[Item],tab_higiene[[#This Row],[Item]],supercb[Bairro],mercado14)</f>
        <v>0</v>
      </c>
      <c r="AY299" s="4">
        <f>SUMIFS(super1[Qtde],super1[Item],tab_higiene[[#This Row],[Item]],super1[Bairro],mercado15)+SUMIFS(supercb[Qtde],supercb[Item],tab_higiene[[#This Row],[Item]],supercb[Bairro],mercado15)</f>
        <v>0</v>
      </c>
      <c r="AZ299" s="4">
        <f>SUMIFS(super1[Qtde],super1[Item],tab_higiene[[#This Row],[Item]],super1[Bairro],mercado16)+SUMIFS(supercb[Qtde],supercb[Item],tab_higiene[[#This Row],[Item]],supercb[Bairro],mercado16)</f>
        <v>0</v>
      </c>
      <c r="BA299" s="4">
        <f>SUMIFS(super1[Qtde],super1[Item],tab_higiene[[#This Row],[Item]],super1[Bairro],mercado17)+SUMIFS(supercb[Qtde],supercb[Item],tab_higiene[[#This Row],[Item]],supercb[Bairro],mercado17)</f>
        <v>0</v>
      </c>
      <c r="BB299" s="4">
        <f>SUMIFS(super1[Qtde],super1[Item],tab_higiene[[#This Row],[Item]],super1[Bairro],mercado18)+SUMIFS(supercb[Qtde],supercb[Item],tab_higiene[[#This Row],[Item]],supercb[Bairro],mercado18)</f>
        <v>0</v>
      </c>
      <c r="BC299" s="31">
        <f>SUMIFS(super1[Qtde],super1[Item],tab_higiene[[#This Row],[Item]],super1[Bairro],extras)+SUMIFS(supercb[Qtde],supercb[Item],tab_higiene[[#This Row],[Item]],supercb[Bairro],extras)</f>
        <v>0</v>
      </c>
      <c r="BD299" s="9">
        <f t="shared" si="91"/>
        <v>0</v>
      </c>
      <c r="BE299" s="9">
        <f t="shared" si="92"/>
        <v>0</v>
      </c>
      <c r="BF299" s="18">
        <f t="shared" si="93"/>
        <v>0</v>
      </c>
    </row>
    <row r="300" spans="9:58" ht="15.75" thickBot="1" x14ac:dyDescent="0.3">
      <c r="I300" s="19" t="str">
        <f>alimentos[[#This Row],[Item]]</f>
        <v>M&amp;M (45g)</v>
      </c>
      <c r="J300" s="4">
        <f>IFERROR(alimentos[[#This Row],[kg/embalagem]],0)</f>
        <v>4.4999999999999998E-2</v>
      </c>
      <c r="K300" s="4">
        <f>IFERROR(alimentos[[#This Row],[Preço]],0)</f>
        <v>3.99</v>
      </c>
      <c r="L300" s="4">
        <f>SUMIFS(super1[Qtde],super1[Item],tab_alimentos[[#This Row],[Item]],super1[Bairro],mercado1)+SUMIFS(supercb[Qtde],supercb[Item],tab_alimentos[[#This Row],[Item]],supercb[Bairro],mercado1)</f>
        <v>0</v>
      </c>
      <c r="M300" s="4">
        <f>SUMIFS(super1[Qtde],super1[Item],tab_alimentos[[#This Row],[Item]],super1[Bairro],mercado2)+SUMIFS(supercb[Qtde],supercb[Item],tab_alimentos[[#This Row],[Item]],supercb[Bairro],mercado2)</f>
        <v>0</v>
      </c>
      <c r="N300" s="4">
        <f>SUMIFS(super1[Qtde],super1[Item],tab_alimentos[[#This Row],[Item]],super1[Bairro],mercado3)+SUMIFS(supercb[Qtde],supercb[Item],tab_alimentos[[#This Row],[Item]],supercb[Bairro],mercado3)</f>
        <v>0</v>
      </c>
      <c r="O300" s="4">
        <f>SUMIFS(super1[Qtde],super1[Item],tab_alimentos[[#This Row],[Item]],super1[Bairro],mercado4)+SUMIFS(supercb[Qtde],supercb[Item],tab_alimentos[[#This Row],[Item]],supercb[Bairro],mercado4)</f>
        <v>0</v>
      </c>
      <c r="P300" s="4">
        <f>SUMIFS(super1[Qtde],super1[Item],tab_alimentos[[#This Row],[Item]],super1[Bairro],mercado5)+SUMIFS(supercb[Qtde],supercb[Item],tab_alimentos[[#This Row],[Item]],supercb[Bairro],mercado5)</f>
        <v>0</v>
      </c>
      <c r="Q300" s="4">
        <f>SUMIFS(super1[Qtde],super1[Item],tab_alimentos[[#This Row],[Item]],super1[Bairro],mercado6)+SUMIFS(supercb[Qtde],supercb[Item],tab_alimentos[[#This Row],[Item]],supercb[Bairro],mercado6)</f>
        <v>0</v>
      </c>
      <c r="R300" s="4">
        <f>SUMIFS(super1[Qtde],super1[Item],tab_alimentos[[#This Row],[Item]],super1[Bairro],mercado7)+SUMIFS(supercb[Qtde],supercb[Item],tab_alimentos[[#This Row],[Item]],supercb[Bairro],mercado7)</f>
        <v>0</v>
      </c>
      <c r="S300" s="4">
        <f>SUMIFS(super1[Qtde],super1[Item],tab_alimentos[[#This Row],[Item]],super1[Bairro],mercado8)+SUMIFS(supercb[Qtde],supercb[Item],tab_alimentos[[#This Row],[Item]],supercb[Bairro],mercado8)</f>
        <v>0</v>
      </c>
      <c r="T300" s="4">
        <f>SUMIFS(super1[Qtde],super1[Item],tab_alimentos[[#This Row],[Item]],super1[Bairro],mercado9)+SUMIFS(supercb[Qtde],supercb[Item],tab_alimentos[[#This Row],[Item]],supercb[Bairro],mercado9)</f>
        <v>0</v>
      </c>
      <c r="U300" s="4">
        <f>SUMIFS(super1[Qtde],super1[Item],tab_alimentos[[#This Row],[Item]],super1[Bairro],mercado10)+SUMIFS(supercb[Qtde],supercb[Item],tab_alimentos[[#This Row],[Item]],supercb[Bairro],mercado10)</f>
        <v>0</v>
      </c>
      <c r="V300" s="4">
        <f>SUMIFS(super1[Qtde],super1[Item],tab_alimentos[[#This Row],[Item]],super1[Bairro],mercado11)+SUMIFS(supercb[Qtde],supercb[Item],tab_alimentos[[#This Row],[Item]],supercb[Bairro],mercado11)</f>
        <v>0</v>
      </c>
      <c r="W300" s="4">
        <f>SUMIFS(super1[Qtde],super1[Item],tab_alimentos[[#This Row],[Item]],super1[Bairro],mercado12)+SUMIFS(supercb[Qtde],supercb[Item],tab_alimentos[[#This Row],[Item]],supercb[Bairro],mercado12)</f>
        <v>0</v>
      </c>
      <c r="X300" s="4">
        <f>SUMIFS(super1[Qtde],super1[Item],tab_alimentos[[#This Row],[Item]],super1[Bairro],mercado13)+SUMIFS(supercb[Qtde],supercb[Item],tab_alimentos[[#This Row],[Item]],supercb[Bairro],mercado13)</f>
        <v>0</v>
      </c>
      <c r="Y300" s="4">
        <f>SUMIFS(super1[Qtde],super1[Item],tab_alimentos[[#This Row],[Item]],super1[Bairro],mercado14)+SUMIFS(supercb[Qtde],supercb[Item],tab_alimentos[[#This Row],[Item]],supercb[Bairro],mercado14)</f>
        <v>0</v>
      </c>
      <c r="Z300" s="4">
        <f>SUMIFS(super1[Qtde],super1[Item],tab_alimentos[[#This Row],[Item]],super1[Bairro],mercado15)+SUMIFS(supercb[Qtde],supercb[Item],tab_alimentos[[#This Row],[Item]],supercb[Bairro],mercado15)</f>
        <v>0</v>
      </c>
      <c r="AA300" s="4">
        <f>SUMIFS(super1[Qtde],super1[Item],tab_alimentos[[#This Row],[Item]],super1[Bairro],mercado16)+SUMIFS(supercb[Qtde],supercb[Item],tab_alimentos[[#This Row],[Item]],supercb[Bairro],mercado16)</f>
        <v>0</v>
      </c>
      <c r="AB300" s="4">
        <f>SUMIFS(super1[Qtde],super1[Item],tab_alimentos[[#This Row],[Item]],super1[Bairro],mercado17)+SUMIFS(supercb[Qtde],supercb[Item],tab_alimentos[[#This Row],[Item]],supercb[Bairro],mercado17)</f>
        <v>0</v>
      </c>
      <c r="AC300" s="4">
        <f>SUMIFS(super1[Qtde],super1[Item],tab_alimentos[[#This Row],[Item]],super1[Bairro],mercado18)+SUMIFS(supercb[Qtde],supercb[Item],tab_alimentos[[#This Row],[Item]],supercb[Bairro],mercado18)</f>
        <v>0</v>
      </c>
      <c r="AD300" s="4">
        <f>SUMIFS(super1[Qtde],super1[Item],tab_alimentos[[#This Row],[Item]],super1[Bairro],extras)+SUMIFS(supercb[Qtde],supercb[Item],tab_alimentos[[#This Row],[Item]],supercb[Bairro],extras)</f>
        <v>0</v>
      </c>
      <c r="AE300" s="4">
        <f t="shared" si="88"/>
        <v>0</v>
      </c>
      <c r="AF300" s="4">
        <f t="shared" si="89"/>
        <v>0</v>
      </c>
      <c r="AG300" s="6">
        <f t="shared" si="90"/>
        <v>0</v>
      </c>
      <c r="AH300" s="13" t="e">
        <f>higiene[[#This Row],[Item]]</f>
        <v>#VALUE!</v>
      </c>
      <c r="AI300" s="9">
        <f>IFERROR(higiene[[#This Row],[Kg equivalente]],0)</f>
        <v>0</v>
      </c>
      <c r="AJ300" s="9">
        <f>IFERROR(higiene[[#This Row],[Preço por produto]],0)</f>
        <v>0</v>
      </c>
      <c r="AK300" s="4">
        <f>SUMIFS(super1[Qtde],super1[Item],tab_higiene[[#This Row],[Item]],super1[Bairro],mercado1)+SUMIFS(supercb[Qtde],supercb[Item],tab_higiene[[#This Row],[Item]],supercb[Bairro],mercado1)</f>
        <v>0</v>
      </c>
      <c r="AL300" s="4">
        <f>SUMIFS(super1[Qtde],super1[Item],tab_higiene[[#This Row],[Item]],super1[Bairro],mercado2)+SUMIFS(supercb[Qtde],supercb[Item],tab_higiene[[#This Row],[Item]],supercb[Bairro],mercado2)</f>
        <v>0</v>
      </c>
      <c r="AM300" s="4">
        <f>SUMIFS(super1[Qtde],super1[Item],tab_higiene[[#This Row],[Item]],super1[Bairro],mercado3)+SUMIFS(supercb[Qtde],supercb[Item],tab_higiene[[#This Row],[Item]],supercb[Bairro],mercado3)</f>
        <v>0</v>
      </c>
      <c r="AN300" s="4">
        <f>SUMIFS(super1[Qtde],super1[Item],tab_higiene[[#This Row],[Item]],super1[Bairro],mercado4)+SUMIFS(supercb[Qtde],supercb[Item],tab_higiene[[#This Row],[Item]],supercb[Bairro],mercado4)</f>
        <v>0</v>
      </c>
      <c r="AO300" s="4">
        <f>SUMIFS(super1[Qtde],super1[Item],tab_higiene[[#This Row],[Item]],super1[Bairro],mercado5)+SUMIFS(supercb[Qtde],supercb[Item],tab_higiene[[#This Row],[Item]],supercb[Bairro],mercado5)</f>
        <v>0</v>
      </c>
      <c r="AP300" s="4">
        <f>SUMIFS(super1[Qtde],super1[Item],tab_higiene[[#This Row],[Item]],super1[Bairro],mercado6)+SUMIFS(supercb[Qtde],supercb[Item],tab_higiene[[#This Row],[Item]],supercb[Bairro],mercado6)</f>
        <v>0</v>
      </c>
      <c r="AQ300" s="4">
        <f>SUMIFS(super1[Qtde],super1[Item],tab_higiene[[#This Row],[Item]],super1[Bairro],mercado7)+SUMIFS(supercb[Qtde],supercb[Item],tab_higiene[[#This Row],[Item]],supercb[Bairro],mercado7)</f>
        <v>0</v>
      </c>
      <c r="AR300" s="4">
        <f>SUMIFS(super1[Qtde],super1[Item],tab_higiene[[#This Row],[Item]],super1[Bairro],mercado8)+SUMIFS(supercb[Qtde],supercb[Item],tab_higiene[[#This Row],[Item]],supercb[Bairro],mercado8)</f>
        <v>0</v>
      </c>
      <c r="AS300" s="4">
        <f>SUMIFS(super1[Qtde],super1[Item],tab_higiene[[#This Row],[Item]],super1[Bairro],mercado9)+SUMIFS(supercb[Qtde],supercb[Item],tab_higiene[[#This Row],[Item]],supercb[Bairro],mercado9)</f>
        <v>0</v>
      </c>
      <c r="AT300" s="4">
        <f>SUMIFS(super1[Qtde],super1[Item],tab_higiene[[#This Row],[Item]],super1[Bairro],mercado10)+SUMIFS(supercb[Qtde],supercb[Item],tab_higiene[[#This Row],[Item]],supercb[Bairro],mercado10)</f>
        <v>0</v>
      </c>
      <c r="AU300" s="4">
        <f>SUMIFS(super1[Qtde],super1[Item],tab_higiene[[#This Row],[Item]],super1[Bairro],mercado11)+SUMIFS(supercb[Qtde],supercb[Item],tab_higiene[[#This Row],[Item]],supercb[Bairro],mercado11)</f>
        <v>0</v>
      </c>
      <c r="AV300" s="4">
        <f>SUMIFS(super1[Qtde],super1[Item],tab_higiene[[#This Row],[Item]],super1[Bairro],mercado12)+SUMIFS(supercb[Qtde],supercb[Item],tab_higiene[[#This Row],[Item]],supercb[Bairro],mercado12)</f>
        <v>0</v>
      </c>
      <c r="AW300" s="4">
        <f>SUMIFS(super1[Qtde],super1[Item],tab_higiene[[#This Row],[Item]],super1[Bairro],mercado13)+SUMIFS(supercb[Qtde],supercb[Item],tab_higiene[[#This Row],[Item]],supercb[Bairro],mercado13)</f>
        <v>0</v>
      </c>
      <c r="AX300" s="4">
        <f>SUMIFS(super1[Qtde],super1[Item],tab_higiene[[#This Row],[Item]],super1[Bairro],mercado14)+SUMIFS(supercb[Qtde],supercb[Item],tab_higiene[[#This Row],[Item]],supercb[Bairro],mercado14)</f>
        <v>0</v>
      </c>
      <c r="AY300" s="4">
        <f>SUMIFS(super1[Qtde],super1[Item],tab_higiene[[#This Row],[Item]],super1[Bairro],mercado15)+SUMIFS(supercb[Qtde],supercb[Item],tab_higiene[[#This Row],[Item]],supercb[Bairro],mercado15)</f>
        <v>0</v>
      </c>
      <c r="AZ300" s="4">
        <f>SUMIFS(super1[Qtde],super1[Item],tab_higiene[[#This Row],[Item]],super1[Bairro],mercado16)+SUMIFS(supercb[Qtde],supercb[Item],tab_higiene[[#This Row],[Item]],supercb[Bairro],mercado16)</f>
        <v>0</v>
      </c>
      <c r="BA300" s="4">
        <f>SUMIFS(super1[Qtde],super1[Item],tab_higiene[[#This Row],[Item]],super1[Bairro],mercado17)+SUMIFS(supercb[Qtde],supercb[Item],tab_higiene[[#This Row],[Item]],supercb[Bairro],mercado17)</f>
        <v>0</v>
      </c>
      <c r="BB300" s="4">
        <f>SUMIFS(super1[Qtde],super1[Item],tab_higiene[[#This Row],[Item]],super1[Bairro],mercado18)+SUMIFS(supercb[Qtde],supercb[Item],tab_higiene[[#This Row],[Item]],supercb[Bairro],mercado18)</f>
        <v>0</v>
      </c>
      <c r="BC300" s="31">
        <f>SUMIFS(super1[Qtde],super1[Item],tab_higiene[[#This Row],[Item]],super1[Bairro],extras)+SUMIFS(supercb[Qtde],supercb[Item],tab_higiene[[#This Row],[Item]],supercb[Bairro],extras)</f>
        <v>0</v>
      </c>
      <c r="BD300" s="9">
        <f t="shared" si="91"/>
        <v>0</v>
      </c>
      <c r="BE300" s="9">
        <f t="shared" si="92"/>
        <v>0</v>
      </c>
      <c r="BF300" s="18">
        <f t="shared" si="93"/>
        <v>0</v>
      </c>
    </row>
    <row r="301" spans="9:58" ht="15.75" thickBot="1" x14ac:dyDescent="0.3">
      <c r="I301" s="19" t="str">
        <f>alimentos[[#This Row],[Item]]</f>
        <v>Macarrão (1kg)</v>
      </c>
      <c r="J301" s="4">
        <f>IFERROR(alimentos[[#This Row],[kg/embalagem]],0)</f>
        <v>1</v>
      </c>
      <c r="K301" s="4">
        <f>IFERROR(alimentos[[#This Row],[Preço]],0)</f>
        <v>18.38</v>
      </c>
      <c r="L301" s="4">
        <f>SUMIFS(super1[Qtde],super1[Item],tab_alimentos[[#This Row],[Item]],super1[Bairro],mercado1)+SUMIFS(supercb[Qtde],supercb[Item],tab_alimentos[[#This Row],[Item]],supercb[Bairro],mercado1)</f>
        <v>0</v>
      </c>
      <c r="M301" s="4">
        <f>SUMIFS(super1[Qtde],super1[Item],tab_alimentos[[#This Row],[Item]],super1[Bairro],mercado2)+SUMIFS(supercb[Qtde],supercb[Item],tab_alimentos[[#This Row],[Item]],supercb[Bairro],mercado2)</f>
        <v>0</v>
      </c>
      <c r="N301" s="4">
        <f>SUMIFS(super1[Qtde],super1[Item],tab_alimentos[[#This Row],[Item]],super1[Bairro],mercado3)+SUMIFS(supercb[Qtde],supercb[Item],tab_alimentos[[#This Row],[Item]],supercb[Bairro],mercado3)</f>
        <v>0</v>
      </c>
      <c r="O301" s="4">
        <f>SUMIFS(super1[Qtde],super1[Item],tab_alimentos[[#This Row],[Item]],super1[Bairro],mercado4)+SUMIFS(supercb[Qtde],supercb[Item],tab_alimentos[[#This Row],[Item]],supercb[Bairro],mercado4)</f>
        <v>0</v>
      </c>
      <c r="P301" s="4">
        <f>SUMIFS(super1[Qtde],super1[Item],tab_alimentos[[#This Row],[Item]],super1[Bairro],mercado5)+SUMIFS(supercb[Qtde],supercb[Item],tab_alimentos[[#This Row],[Item]],supercb[Bairro],mercado5)</f>
        <v>0</v>
      </c>
      <c r="Q301" s="4">
        <f>SUMIFS(super1[Qtde],super1[Item],tab_alimentos[[#This Row],[Item]],super1[Bairro],mercado6)+SUMIFS(supercb[Qtde],supercb[Item],tab_alimentos[[#This Row],[Item]],supercb[Bairro],mercado6)</f>
        <v>0</v>
      </c>
      <c r="R301" s="4">
        <f>SUMIFS(super1[Qtde],super1[Item],tab_alimentos[[#This Row],[Item]],super1[Bairro],mercado7)+SUMIFS(supercb[Qtde],supercb[Item],tab_alimentos[[#This Row],[Item]],supercb[Bairro],mercado7)</f>
        <v>0</v>
      </c>
      <c r="S301" s="4">
        <f>SUMIFS(super1[Qtde],super1[Item],tab_alimentos[[#This Row],[Item]],super1[Bairro],mercado8)+SUMIFS(supercb[Qtde],supercb[Item],tab_alimentos[[#This Row],[Item]],supercb[Bairro],mercado8)</f>
        <v>0</v>
      </c>
      <c r="T301" s="4">
        <f>SUMIFS(super1[Qtde],super1[Item],tab_alimentos[[#This Row],[Item]],super1[Bairro],mercado9)+SUMIFS(supercb[Qtde],supercb[Item],tab_alimentos[[#This Row],[Item]],supercb[Bairro],mercado9)</f>
        <v>0</v>
      </c>
      <c r="U301" s="4">
        <f>SUMIFS(super1[Qtde],super1[Item],tab_alimentos[[#This Row],[Item]],super1[Bairro],mercado10)+SUMIFS(supercb[Qtde],supercb[Item],tab_alimentos[[#This Row],[Item]],supercb[Bairro],mercado10)</f>
        <v>0</v>
      </c>
      <c r="V301" s="4">
        <f>SUMIFS(super1[Qtde],super1[Item],tab_alimentos[[#This Row],[Item]],super1[Bairro],mercado11)+SUMIFS(supercb[Qtde],supercb[Item],tab_alimentos[[#This Row],[Item]],supercb[Bairro],mercado11)</f>
        <v>0</v>
      </c>
      <c r="W301" s="4">
        <f>SUMIFS(super1[Qtde],super1[Item],tab_alimentos[[#This Row],[Item]],super1[Bairro],mercado12)+SUMIFS(supercb[Qtde],supercb[Item],tab_alimentos[[#This Row],[Item]],supercb[Bairro],mercado12)</f>
        <v>0</v>
      </c>
      <c r="X301" s="4">
        <f>SUMIFS(super1[Qtde],super1[Item],tab_alimentos[[#This Row],[Item]],super1[Bairro],mercado13)+SUMIFS(supercb[Qtde],supercb[Item],tab_alimentos[[#This Row],[Item]],supercb[Bairro],mercado13)</f>
        <v>0</v>
      </c>
      <c r="Y301" s="4">
        <f>SUMIFS(super1[Qtde],super1[Item],tab_alimentos[[#This Row],[Item]],super1[Bairro],mercado14)+SUMIFS(supercb[Qtde],supercb[Item],tab_alimentos[[#This Row],[Item]],supercb[Bairro],mercado14)</f>
        <v>0</v>
      </c>
      <c r="Z301" s="4">
        <f>SUMIFS(super1[Qtde],super1[Item],tab_alimentos[[#This Row],[Item]],super1[Bairro],mercado15)+SUMIFS(supercb[Qtde],supercb[Item],tab_alimentos[[#This Row],[Item]],supercb[Bairro],mercado15)</f>
        <v>0</v>
      </c>
      <c r="AA301" s="4">
        <f>SUMIFS(super1[Qtde],super1[Item],tab_alimentos[[#This Row],[Item]],super1[Bairro],mercado16)+SUMIFS(supercb[Qtde],supercb[Item],tab_alimentos[[#This Row],[Item]],supercb[Bairro],mercado16)</f>
        <v>0</v>
      </c>
      <c r="AB301" s="4">
        <f>SUMIFS(super1[Qtde],super1[Item],tab_alimentos[[#This Row],[Item]],super1[Bairro],mercado17)+SUMIFS(supercb[Qtde],supercb[Item],tab_alimentos[[#This Row],[Item]],supercb[Bairro],mercado17)</f>
        <v>0</v>
      </c>
      <c r="AC301" s="4">
        <f>SUMIFS(super1[Qtde],super1[Item],tab_alimentos[[#This Row],[Item]],super1[Bairro],mercado18)+SUMIFS(supercb[Qtde],supercb[Item],tab_alimentos[[#This Row],[Item]],supercb[Bairro],mercado18)</f>
        <v>0</v>
      </c>
      <c r="AD301" s="4">
        <f>SUMIFS(super1[Qtde],super1[Item],tab_alimentos[[#This Row],[Item]],super1[Bairro],extras)+SUMIFS(supercb[Qtde],supercb[Item],tab_alimentos[[#This Row],[Item]],supercb[Bairro],extras)</f>
        <v>0</v>
      </c>
      <c r="AE301" s="4">
        <f t="shared" si="88"/>
        <v>0</v>
      </c>
      <c r="AF301" s="4">
        <f t="shared" si="89"/>
        <v>0</v>
      </c>
      <c r="AG301" s="6">
        <f t="shared" si="90"/>
        <v>0</v>
      </c>
      <c r="AH301" s="13" t="e">
        <f>higiene[[#This Row],[Item]]</f>
        <v>#VALUE!</v>
      </c>
      <c r="AI301" s="9">
        <f>IFERROR(higiene[[#This Row],[Kg equivalente]],0)</f>
        <v>0</v>
      </c>
      <c r="AJ301" s="9">
        <f>IFERROR(higiene[[#This Row],[Preço por produto]],0)</f>
        <v>0</v>
      </c>
      <c r="AK301" s="4">
        <f>SUMIFS(super1[Qtde],super1[Item],tab_higiene[[#This Row],[Item]],super1[Bairro],mercado1)+SUMIFS(supercb[Qtde],supercb[Item],tab_higiene[[#This Row],[Item]],supercb[Bairro],mercado1)</f>
        <v>0</v>
      </c>
      <c r="AL301" s="4">
        <f>SUMIFS(super1[Qtde],super1[Item],tab_higiene[[#This Row],[Item]],super1[Bairro],mercado2)+SUMIFS(supercb[Qtde],supercb[Item],tab_higiene[[#This Row],[Item]],supercb[Bairro],mercado2)</f>
        <v>0</v>
      </c>
      <c r="AM301" s="4">
        <f>SUMIFS(super1[Qtde],super1[Item],tab_higiene[[#This Row],[Item]],super1[Bairro],mercado3)+SUMIFS(supercb[Qtde],supercb[Item],tab_higiene[[#This Row],[Item]],supercb[Bairro],mercado3)</f>
        <v>0</v>
      </c>
      <c r="AN301" s="4">
        <f>SUMIFS(super1[Qtde],super1[Item],tab_higiene[[#This Row],[Item]],super1[Bairro],mercado4)+SUMIFS(supercb[Qtde],supercb[Item],tab_higiene[[#This Row],[Item]],supercb[Bairro],mercado4)</f>
        <v>0</v>
      </c>
      <c r="AO301" s="4">
        <f>SUMIFS(super1[Qtde],super1[Item],tab_higiene[[#This Row],[Item]],super1[Bairro],mercado5)+SUMIFS(supercb[Qtde],supercb[Item],tab_higiene[[#This Row],[Item]],supercb[Bairro],mercado5)</f>
        <v>0</v>
      </c>
      <c r="AP301" s="4">
        <f>SUMIFS(super1[Qtde],super1[Item],tab_higiene[[#This Row],[Item]],super1[Bairro],mercado6)+SUMIFS(supercb[Qtde],supercb[Item],tab_higiene[[#This Row],[Item]],supercb[Bairro],mercado6)</f>
        <v>0</v>
      </c>
      <c r="AQ301" s="4">
        <f>SUMIFS(super1[Qtde],super1[Item],tab_higiene[[#This Row],[Item]],super1[Bairro],mercado7)+SUMIFS(supercb[Qtde],supercb[Item],tab_higiene[[#This Row],[Item]],supercb[Bairro],mercado7)</f>
        <v>0</v>
      </c>
      <c r="AR301" s="4">
        <f>SUMIFS(super1[Qtde],super1[Item],tab_higiene[[#This Row],[Item]],super1[Bairro],mercado8)+SUMIFS(supercb[Qtde],supercb[Item],tab_higiene[[#This Row],[Item]],supercb[Bairro],mercado8)</f>
        <v>0</v>
      </c>
      <c r="AS301" s="4">
        <f>SUMIFS(super1[Qtde],super1[Item],tab_higiene[[#This Row],[Item]],super1[Bairro],mercado9)+SUMIFS(supercb[Qtde],supercb[Item],tab_higiene[[#This Row],[Item]],supercb[Bairro],mercado9)</f>
        <v>0</v>
      </c>
      <c r="AT301" s="4">
        <f>SUMIFS(super1[Qtde],super1[Item],tab_higiene[[#This Row],[Item]],super1[Bairro],mercado10)+SUMIFS(supercb[Qtde],supercb[Item],tab_higiene[[#This Row],[Item]],supercb[Bairro],mercado10)</f>
        <v>0</v>
      </c>
      <c r="AU301" s="4">
        <f>SUMIFS(super1[Qtde],super1[Item],tab_higiene[[#This Row],[Item]],super1[Bairro],mercado11)+SUMIFS(supercb[Qtde],supercb[Item],tab_higiene[[#This Row],[Item]],supercb[Bairro],mercado11)</f>
        <v>0</v>
      </c>
      <c r="AV301" s="4">
        <f>SUMIFS(super1[Qtde],super1[Item],tab_higiene[[#This Row],[Item]],super1[Bairro],mercado12)+SUMIFS(supercb[Qtde],supercb[Item],tab_higiene[[#This Row],[Item]],supercb[Bairro],mercado12)</f>
        <v>0</v>
      </c>
      <c r="AW301" s="4">
        <f>SUMIFS(super1[Qtde],super1[Item],tab_higiene[[#This Row],[Item]],super1[Bairro],mercado13)+SUMIFS(supercb[Qtde],supercb[Item],tab_higiene[[#This Row],[Item]],supercb[Bairro],mercado13)</f>
        <v>0</v>
      </c>
      <c r="AX301" s="4">
        <f>SUMIFS(super1[Qtde],super1[Item],tab_higiene[[#This Row],[Item]],super1[Bairro],mercado14)+SUMIFS(supercb[Qtde],supercb[Item],tab_higiene[[#This Row],[Item]],supercb[Bairro],mercado14)</f>
        <v>0</v>
      </c>
      <c r="AY301" s="4">
        <f>SUMIFS(super1[Qtde],super1[Item],tab_higiene[[#This Row],[Item]],super1[Bairro],mercado15)+SUMIFS(supercb[Qtde],supercb[Item],tab_higiene[[#This Row],[Item]],supercb[Bairro],mercado15)</f>
        <v>0</v>
      </c>
      <c r="AZ301" s="4">
        <f>SUMIFS(super1[Qtde],super1[Item],tab_higiene[[#This Row],[Item]],super1[Bairro],mercado16)+SUMIFS(supercb[Qtde],supercb[Item],tab_higiene[[#This Row],[Item]],supercb[Bairro],mercado16)</f>
        <v>0</v>
      </c>
      <c r="BA301" s="4">
        <f>SUMIFS(super1[Qtde],super1[Item],tab_higiene[[#This Row],[Item]],super1[Bairro],mercado17)+SUMIFS(supercb[Qtde],supercb[Item],tab_higiene[[#This Row],[Item]],supercb[Bairro],mercado17)</f>
        <v>0</v>
      </c>
      <c r="BB301" s="4">
        <f>SUMIFS(super1[Qtde],super1[Item],tab_higiene[[#This Row],[Item]],super1[Bairro],mercado18)+SUMIFS(supercb[Qtde],supercb[Item],tab_higiene[[#This Row],[Item]],supercb[Bairro],mercado18)</f>
        <v>0</v>
      </c>
      <c r="BC301" s="31">
        <f>SUMIFS(super1[Qtde],super1[Item],tab_higiene[[#This Row],[Item]],super1[Bairro],extras)+SUMIFS(supercb[Qtde],supercb[Item],tab_higiene[[#This Row],[Item]],supercb[Bairro],extras)</f>
        <v>0</v>
      </c>
      <c r="BD301" s="9">
        <f t="shared" si="91"/>
        <v>0</v>
      </c>
      <c r="BE301" s="9">
        <f t="shared" si="92"/>
        <v>0</v>
      </c>
      <c r="BF301" s="18">
        <f t="shared" si="93"/>
        <v>0</v>
      </c>
    </row>
    <row r="302" spans="9:58" ht="15.75" thickBot="1" x14ac:dyDescent="0.3">
      <c r="I302" s="19" t="str">
        <f>alimentos[[#This Row],[Item]]</f>
        <v>Macarrão (200g)</v>
      </c>
      <c r="J302" s="4">
        <f>IFERROR(alimentos[[#This Row],[kg/embalagem]],0)</f>
        <v>0.2</v>
      </c>
      <c r="K302" s="4">
        <f>IFERROR(alimentos[[#This Row],[Preço]],0)</f>
        <v>5.2</v>
      </c>
      <c r="L302" s="4">
        <f>SUMIFS(super1[Qtde],super1[Item],tab_alimentos[[#This Row],[Item]],super1[Bairro],mercado1)+SUMIFS(supercb[Qtde],supercb[Item],tab_alimentos[[#This Row],[Item]],supercb[Bairro],mercado1)</f>
        <v>0</v>
      </c>
      <c r="M302" s="4">
        <f>SUMIFS(super1[Qtde],super1[Item],tab_alimentos[[#This Row],[Item]],super1[Bairro],mercado2)+SUMIFS(supercb[Qtde],supercb[Item],tab_alimentos[[#This Row],[Item]],supercb[Bairro],mercado2)</f>
        <v>0</v>
      </c>
      <c r="N302" s="4">
        <f>SUMIFS(super1[Qtde],super1[Item],tab_alimentos[[#This Row],[Item]],super1[Bairro],mercado3)+SUMIFS(supercb[Qtde],supercb[Item],tab_alimentos[[#This Row],[Item]],supercb[Bairro],mercado3)</f>
        <v>0</v>
      </c>
      <c r="O302" s="4">
        <f>SUMIFS(super1[Qtde],super1[Item],tab_alimentos[[#This Row],[Item]],super1[Bairro],mercado4)+SUMIFS(supercb[Qtde],supercb[Item],tab_alimentos[[#This Row],[Item]],supercb[Bairro],mercado4)</f>
        <v>0</v>
      </c>
      <c r="P302" s="4">
        <f>SUMIFS(super1[Qtde],super1[Item],tab_alimentos[[#This Row],[Item]],super1[Bairro],mercado5)+SUMIFS(supercb[Qtde],supercb[Item],tab_alimentos[[#This Row],[Item]],supercb[Bairro],mercado5)</f>
        <v>0</v>
      </c>
      <c r="Q302" s="4">
        <f>SUMIFS(super1[Qtde],super1[Item],tab_alimentos[[#This Row],[Item]],super1[Bairro],mercado6)+SUMIFS(supercb[Qtde],supercb[Item],tab_alimentos[[#This Row],[Item]],supercb[Bairro],mercado6)</f>
        <v>0</v>
      </c>
      <c r="R302" s="4">
        <f>SUMIFS(super1[Qtde],super1[Item],tab_alimentos[[#This Row],[Item]],super1[Bairro],mercado7)+SUMIFS(supercb[Qtde],supercb[Item],tab_alimentos[[#This Row],[Item]],supercb[Bairro],mercado7)</f>
        <v>0</v>
      </c>
      <c r="S302" s="4">
        <f>SUMIFS(super1[Qtde],super1[Item],tab_alimentos[[#This Row],[Item]],super1[Bairro],mercado8)+SUMIFS(supercb[Qtde],supercb[Item],tab_alimentos[[#This Row],[Item]],supercb[Bairro],mercado8)</f>
        <v>0</v>
      </c>
      <c r="T302" s="4">
        <f>SUMIFS(super1[Qtde],super1[Item],tab_alimentos[[#This Row],[Item]],super1[Bairro],mercado9)+SUMIFS(supercb[Qtde],supercb[Item],tab_alimentos[[#This Row],[Item]],supercb[Bairro],mercado9)</f>
        <v>0</v>
      </c>
      <c r="U302" s="4">
        <f>SUMIFS(super1[Qtde],super1[Item],tab_alimentos[[#This Row],[Item]],super1[Bairro],mercado10)+SUMIFS(supercb[Qtde],supercb[Item],tab_alimentos[[#This Row],[Item]],supercb[Bairro],mercado10)</f>
        <v>0</v>
      </c>
      <c r="V302" s="4">
        <f>SUMIFS(super1[Qtde],super1[Item],tab_alimentos[[#This Row],[Item]],super1[Bairro],mercado11)+SUMIFS(supercb[Qtde],supercb[Item],tab_alimentos[[#This Row],[Item]],supercb[Bairro],mercado11)</f>
        <v>0</v>
      </c>
      <c r="W302" s="4">
        <f>SUMIFS(super1[Qtde],super1[Item],tab_alimentos[[#This Row],[Item]],super1[Bairro],mercado12)+SUMIFS(supercb[Qtde],supercb[Item],tab_alimentos[[#This Row],[Item]],supercb[Bairro],mercado12)</f>
        <v>0</v>
      </c>
      <c r="X302" s="4">
        <f>SUMIFS(super1[Qtde],super1[Item],tab_alimentos[[#This Row],[Item]],super1[Bairro],mercado13)+SUMIFS(supercb[Qtde],supercb[Item],tab_alimentos[[#This Row],[Item]],supercb[Bairro],mercado13)</f>
        <v>0</v>
      </c>
      <c r="Y302" s="4">
        <f>SUMIFS(super1[Qtde],super1[Item],tab_alimentos[[#This Row],[Item]],super1[Bairro],mercado14)+SUMIFS(supercb[Qtde],supercb[Item],tab_alimentos[[#This Row],[Item]],supercb[Bairro],mercado14)</f>
        <v>0</v>
      </c>
      <c r="Z302" s="4">
        <f>SUMIFS(super1[Qtde],super1[Item],tab_alimentos[[#This Row],[Item]],super1[Bairro],mercado15)+SUMIFS(supercb[Qtde],supercb[Item],tab_alimentos[[#This Row],[Item]],supercb[Bairro],mercado15)</f>
        <v>0</v>
      </c>
      <c r="AA302" s="4">
        <f>SUMIFS(super1[Qtde],super1[Item],tab_alimentos[[#This Row],[Item]],super1[Bairro],mercado16)+SUMIFS(supercb[Qtde],supercb[Item],tab_alimentos[[#This Row],[Item]],supercb[Bairro],mercado16)</f>
        <v>0</v>
      </c>
      <c r="AB302" s="4">
        <f>SUMIFS(super1[Qtde],super1[Item],tab_alimentos[[#This Row],[Item]],super1[Bairro],mercado17)+SUMIFS(supercb[Qtde],supercb[Item],tab_alimentos[[#This Row],[Item]],supercb[Bairro],mercado17)</f>
        <v>0</v>
      </c>
      <c r="AC302" s="4">
        <f>SUMIFS(super1[Qtde],super1[Item],tab_alimentos[[#This Row],[Item]],super1[Bairro],mercado18)+SUMIFS(supercb[Qtde],supercb[Item],tab_alimentos[[#This Row],[Item]],supercb[Bairro],mercado18)</f>
        <v>0</v>
      </c>
      <c r="AD302" s="4">
        <f>SUMIFS(super1[Qtde],super1[Item],tab_alimentos[[#This Row],[Item]],super1[Bairro],extras)+SUMIFS(supercb[Qtde],supercb[Item],tab_alimentos[[#This Row],[Item]],supercb[Bairro],extras)</f>
        <v>0</v>
      </c>
      <c r="AE302" s="4">
        <f t="shared" si="88"/>
        <v>0</v>
      </c>
      <c r="AF302" s="4">
        <f t="shared" si="89"/>
        <v>0</v>
      </c>
      <c r="AG302" s="6">
        <f t="shared" si="90"/>
        <v>0</v>
      </c>
      <c r="AH302" s="13" t="e">
        <f>higiene[[#This Row],[Item]]</f>
        <v>#VALUE!</v>
      </c>
      <c r="AI302" s="9">
        <f>IFERROR(higiene[[#This Row],[Kg equivalente]],0)</f>
        <v>0</v>
      </c>
      <c r="AJ302" s="9">
        <f>IFERROR(higiene[[#This Row],[Preço por produto]],0)</f>
        <v>0</v>
      </c>
      <c r="AK302" s="4">
        <f>SUMIFS(super1[Qtde],super1[Item],tab_higiene[[#This Row],[Item]],super1[Bairro],mercado1)+SUMIFS(supercb[Qtde],supercb[Item],tab_higiene[[#This Row],[Item]],supercb[Bairro],mercado1)</f>
        <v>0</v>
      </c>
      <c r="AL302" s="4">
        <f>SUMIFS(super1[Qtde],super1[Item],tab_higiene[[#This Row],[Item]],super1[Bairro],mercado2)+SUMIFS(supercb[Qtde],supercb[Item],tab_higiene[[#This Row],[Item]],supercb[Bairro],mercado2)</f>
        <v>0</v>
      </c>
      <c r="AM302" s="4">
        <f>SUMIFS(super1[Qtde],super1[Item],tab_higiene[[#This Row],[Item]],super1[Bairro],mercado3)+SUMIFS(supercb[Qtde],supercb[Item],tab_higiene[[#This Row],[Item]],supercb[Bairro],mercado3)</f>
        <v>0</v>
      </c>
      <c r="AN302" s="4">
        <f>SUMIFS(super1[Qtde],super1[Item],tab_higiene[[#This Row],[Item]],super1[Bairro],mercado4)+SUMIFS(supercb[Qtde],supercb[Item],tab_higiene[[#This Row],[Item]],supercb[Bairro],mercado4)</f>
        <v>0</v>
      </c>
      <c r="AO302" s="4">
        <f>SUMIFS(super1[Qtde],super1[Item],tab_higiene[[#This Row],[Item]],super1[Bairro],mercado5)+SUMIFS(supercb[Qtde],supercb[Item],tab_higiene[[#This Row],[Item]],supercb[Bairro],mercado5)</f>
        <v>0</v>
      </c>
      <c r="AP302" s="4">
        <f>SUMIFS(super1[Qtde],super1[Item],tab_higiene[[#This Row],[Item]],super1[Bairro],mercado6)+SUMIFS(supercb[Qtde],supercb[Item],tab_higiene[[#This Row],[Item]],supercb[Bairro],mercado6)</f>
        <v>0</v>
      </c>
      <c r="AQ302" s="4">
        <f>SUMIFS(super1[Qtde],super1[Item],tab_higiene[[#This Row],[Item]],super1[Bairro],mercado7)+SUMIFS(supercb[Qtde],supercb[Item],tab_higiene[[#This Row],[Item]],supercb[Bairro],mercado7)</f>
        <v>0</v>
      </c>
      <c r="AR302" s="4">
        <f>SUMIFS(super1[Qtde],super1[Item],tab_higiene[[#This Row],[Item]],super1[Bairro],mercado8)+SUMIFS(supercb[Qtde],supercb[Item],tab_higiene[[#This Row],[Item]],supercb[Bairro],mercado8)</f>
        <v>0</v>
      </c>
      <c r="AS302" s="4">
        <f>SUMIFS(super1[Qtde],super1[Item],tab_higiene[[#This Row],[Item]],super1[Bairro],mercado9)+SUMIFS(supercb[Qtde],supercb[Item],tab_higiene[[#This Row],[Item]],supercb[Bairro],mercado9)</f>
        <v>0</v>
      </c>
      <c r="AT302" s="4">
        <f>SUMIFS(super1[Qtde],super1[Item],tab_higiene[[#This Row],[Item]],super1[Bairro],mercado10)+SUMIFS(supercb[Qtde],supercb[Item],tab_higiene[[#This Row],[Item]],supercb[Bairro],mercado10)</f>
        <v>0</v>
      </c>
      <c r="AU302" s="4">
        <f>SUMIFS(super1[Qtde],super1[Item],tab_higiene[[#This Row],[Item]],super1[Bairro],mercado11)+SUMIFS(supercb[Qtde],supercb[Item],tab_higiene[[#This Row],[Item]],supercb[Bairro],mercado11)</f>
        <v>0</v>
      </c>
      <c r="AV302" s="4">
        <f>SUMIFS(super1[Qtde],super1[Item],tab_higiene[[#This Row],[Item]],super1[Bairro],mercado12)+SUMIFS(supercb[Qtde],supercb[Item],tab_higiene[[#This Row],[Item]],supercb[Bairro],mercado12)</f>
        <v>0</v>
      </c>
      <c r="AW302" s="4">
        <f>SUMIFS(super1[Qtde],super1[Item],tab_higiene[[#This Row],[Item]],super1[Bairro],mercado13)+SUMIFS(supercb[Qtde],supercb[Item],tab_higiene[[#This Row],[Item]],supercb[Bairro],mercado13)</f>
        <v>0</v>
      </c>
      <c r="AX302" s="4">
        <f>SUMIFS(super1[Qtde],super1[Item],tab_higiene[[#This Row],[Item]],super1[Bairro],mercado14)+SUMIFS(supercb[Qtde],supercb[Item],tab_higiene[[#This Row],[Item]],supercb[Bairro],mercado14)</f>
        <v>0</v>
      </c>
      <c r="AY302" s="4">
        <f>SUMIFS(super1[Qtde],super1[Item],tab_higiene[[#This Row],[Item]],super1[Bairro],mercado15)+SUMIFS(supercb[Qtde],supercb[Item],tab_higiene[[#This Row],[Item]],supercb[Bairro],mercado15)</f>
        <v>0</v>
      </c>
      <c r="AZ302" s="4">
        <f>SUMIFS(super1[Qtde],super1[Item],tab_higiene[[#This Row],[Item]],super1[Bairro],mercado16)+SUMIFS(supercb[Qtde],supercb[Item],tab_higiene[[#This Row],[Item]],supercb[Bairro],mercado16)</f>
        <v>0</v>
      </c>
      <c r="BA302" s="4">
        <f>SUMIFS(super1[Qtde],super1[Item],tab_higiene[[#This Row],[Item]],super1[Bairro],mercado17)+SUMIFS(supercb[Qtde],supercb[Item],tab_higiene[[#This Row],[Item]],supercb[Bairro],mercado17)</f>
        <v>0</v>
      </c>
      <c r="BB302" s="4">
        <f>SUMIFS(super1[Qtde],super1[Item],tab_higiene[[#This Row],[Item]],super1[Bairro],mercado18)+SUMIFS(supercb[Qtde],supercb[Item],tab_higiene[[#This Row],[Item]],supercb[Bairro],mercado18)</f>
        <v>0</v>
      </c>
      <c r="BC302" s="31">
        <f>SUMIFS(super1[Qtde],super1[Item],tab_higiene[[#This Row],[Item]],super1[Bairro],extras)+SUMIFS(supercb[Qtde],supercb[Item],tab_higiene[[#This Row],[Item]],supercb[Bairro],extras)</f>
        <v>0</v>
      </c>
      <c r="BD302" s="9">
        <f t="shared" si="91"/>
        <v>0</v>
      </c>
      <c r="BE302" s="9">
        <f t="shared" si="92"/>
        <v>0</v>
      </c>
      <c r="BF302" s="18">
        <f t="shared" si="93"/>
        <v>0</v>
      </c>
    </row>
    <row r="303" spans="9:58" ht="15.75" thickBot="1" x14ac:dyDescent="0.3">
      <c r="I303" s="19" t="str">
        <f>alimentos[[#This Row],[Item]]</f>
        <v>Macarrão (300g)</v>
      </c>
      <c r="J303" s="4">
        <f>IFERROR(alimentos[[#This Row],[kg/embalagem]],0)</f>
        <v>0.3</v>
      </c>
      <c r="K303" s="4">
        <f>IFERROR(alimentos[[#This Row],[Preço]],0)</f>
        <v>4.8</v>
      </c>
      <c r="L303" s="4">
        <f>SUMIFS(super1[Qtde],super1[Item],tab_alimentos[[#This Row],[Item]],super1[Bairro],mercado1)+SUMIFS(supercb[Qtde],supercb[Item],tab_alimentos[[#This Row],[Item]],supercb[Bairro],mercado1)</f>
        <v>0</v>
      </c>
      <c r="M303" s="4">
        <f>SUMIFS(super1[Qtde],super1[Item],tab_alimentos[[#This Row],[Item]],super1[Bairro],mercado2)+SUMIFS(supercb[Qtde],supercb[Item],tab_alimentos[[#This Row],[Item]],supercb[Bairro],mercado2)</f>
        <v>0</v>
      </c>
      <c r="N303" s="4">
        <f>SUMIFS(super1[Qtde],super1[Item],tab_alimentos[[#This Row],[Item]],super1[Bairro],mercado3)+SUMIFS(supercb[Qtde],supercb[Item],tab_alimentos[[#This Row],[Item]],supercb[Bairro],mercado3)</f>
        <v>0</v>
      </c>
      <c r="O303" s="4">
        <f>SUMIFS(super1[Qtde],super1[Item],tab_alimentos[[#This Row],[Item]],super1[Bairro],mercado4)+SUMIFS(supercb[Qtde],supercb[Item],tab_alimentos[[#This Row],[Item]],supercb[Bairro],mercado4)</f>
        <v>0</v>
      </c>
      <c r="P303" s="4">
        <f>SUMIFS(super1[Qtde],super1[Item],tab_alimentos[[#This Row],[Item]],super1[Bairro],mercado5)+SUMIFS(supercb[Qtde],supercb[Item],tab_alimentos[[#This Row],[Item]],supercb[Bairro],mercado5)</f>
        <v>0</v>
      </c>
      <c r="Q303" s="4">
        <f>SUMIFS(super1[Qtde],super1[Item],tab_alimentos[[#This Row],[Item]],super1[Bairro],mercado6)+SUMIFS(supercb[Qtde],supercb[Item],tab_alimentos[[#This Row],[Item]],supercb[Bairro],mercado6)</f>
        <v>0</v>
      </c>
      <c r="R303" s="4">
        <f>SUMIFS(super1[Qtde],super1[Item],tab_alimentos[[#This Row],[Item]],super1[Bairro],mercado7)+SUMIFS(supercb[Qtde],supercb[Item],tab_alimentos[[#This Row],[Item]],supercb[Bairro],mercado7)</f>
        <v>0</v>
      </c>
      <c r="S303" s="4">
        <f>SUMIFS(super1[Qtde],super1[Item],tab_alimentos[[#This Row],[Item]],super1[Bairro],mercado8)+SUMIFS(supercb[Qtde],supercb[Item],tab_alimentos[[#This Row],[Item]],supercb[Bairro],mercado8)</f>
        <v>0</v>
      </c>
      <c r="T303" s="4">
        <f>SUMIFS(super1[Qtde],super1[Item],tab_alimentos[[#This Row],[Item]],super1[Bairro],mercado9)+SUMIFS(supercb[Qtde],supercb[Item],tab_alimentos[[#This Row],[Item]],supercb[Bairro],mercado9)</f>
        <v>0</v>
      </c>
      <c r="U303" s="4">
        <f>SUMIFS(super1[Qtde],super1[Item],tab_alimentos[[#This Row],[Item]],super1[Bairro],mercado10)+SUMIFS(supercb[Qtde],supercb[Item],tab_alimentos[[#This Row],[Item]],supercb[Bairro],mercado10)</f>
        <v>0</v>
      </c>
      <c r="V303" s="4">
        <f>SUMIFS(super1[Qtde],super1[Item],tab_alimentos[[#This Row],[Item]],super1[Bairro],mercado11)+SUMIFS(supercb[Qtde],supercb[Item],tab_alimentos[[#This Row],[Item]],supercb[Bairro],mercado11)</f>
        <v>0</v>
      </c>
      <c r="W303" s="4">
        <f>SUMIFS(super1[Qtde],super1[Item],tab_alimentos[[#This Row],[Item]],super1[Bairro],mercado12)+SUMIFS(supercb[Qtde],supercb[Item],tab_alimentos[[#This Row],[Item]],supercb[Bairro],mercado12)</f>
        <v>0</v>
      </c>
      <c r="X303" s="4">
        <f>SUMIFS(super1[Qtde],super1[Item],tab_alimentos[[#This Row],[Item]],super1[Bairro],mercado13)+SUMIFS(supercb[Qtde],supercb[Item],tab_alimentos[[#This Row],[Item]],supercb[Bairro],mercado13)</f>
        <v>0</v>
      </c>
      <c r="Y303" s="4">
        <f>SUMIFS(super1[Qtde],super1[Item],tab_alimentos[[#This Row],[Item]],super1[Bairro],mercado14)+SUMIFS(supercb[Qtde],supercb[Item],tab_alimentos[[#This Row],[Item]],supercb[Bairro],mercado14)</f>
        <v>0</v>
      </c>
      <c r="Z303" s="4">
        <f>SUMIFS(super1[Qtde],super1[Item],tab_alimentos[[#This Row],[Item]],super1[Bairro],mercado15)+SUMIFS(supercb[Qtde],supercb[Item],tab_alimentos[[#This Row],[Item]],supercb[Bairro],mercado15)</f>
        <v>0</v>
      </c>
      <c r="AA303" s="4">
        <f>SUMIFS(super1[Qtde],super1[Item],tab_alimentos[[#This Row],[Item]],super1[Bairro],mercado16)+SUMIFS(supercb[Qtde],supercb[Item],tab_alimentos[[#This Row],[Item]],supercb[Bairro],mercado16)</f>
        <v>0</v>
      </c>
      <c r="AB303" s="4">
        <f>SUMIFS(super1[Qtde],super1[Item],tab_alimentos[[#This Row],[Item]],super1[Bairro],mercado17)+SUMIFS(supercb[Qtde],supercb[Item],tab_alimentos[[#This Row],[Item]],supercb[Bairro],mercado17)</f>
        <v>0</v>
      </c>
      <c r="AC303" s="4">
        <f>SUMIFS(super1[Qtde],super1[Item],tab_alimentos[[#This Row],[Item]],super1[Bairro],mercado18)+SUMIFS(supercb[Qtde],supercb[Item],tab_alimentos[[#This Row],[Item]],supercb[Bairro],mercado18)</f>
        <v>0</v>
      </c>
      <c r="AD303" s="4">
        <f>SUMIFS(super1[Qtde],super1[Item],tab_alimentos[[#This Row],[Item]],super1[Bairro],extras)+SUMIFS(supercb[Qtde],supercb[Item],tab_alimentos[[#This Row],[Item]],supercb[Bairro],extras)</f>
        <v>0</v>
      </c>
      <c r="AE303" s="4">
        <f t="shared" si="88"/>
        <v>0</v>
      </c>
      <c r="AF303" s="4">
        <f t="shared" si="89"/>
        <v>0</v>
      </c>
      <c r="AG303" s="6">
        <f t="shared" si="90"/>
        <v>0</v>
      </c>
      <c r="AH303" s="13" t="e">
        <f>higiene[[#This Row],[Item]]</f>
        <v>#VALUE!</v>
      </c>
      <c r="AI303" s="9">
        <f>IFERROR(higiene[[#This Row],[Kg equivalente]],0)</f>
        <v>0</v>
      </c>
      <c r="AJ303" s="9">
        <f>IFERROR(higiene[[#This Row],[Preço por produto]],0)</f>
        <v>0</v>
      </c>
      <c r="AK303" s="4">
        <f>SUMIFS(super1[Qtde],super1[Item],tab_higiene[[#This Row],[Item]],super1[Bairro],mercado1)+SUMIFS(supercb[Qtde],supercb[Item],tab_higiene[[#This Row],[Item]],supercb[Bairro],mercado1)</f>
        <v>0</v>
      </c>
      <c r="AL303" s="4">
        <f>SUMIFS(super1[Qtde],super1[Item],tab_higiene[[#This Row],[Item]],super1[Bairro],mercado2)+SUMIFS(supercb[Qtde],supercb[Item],tab_higiene[[#This Row],[Item]],supercb[Bairro],mercado2)</f>
        <v>0</v>
      </c>
      <c r="AM303" s="4">
        <f>SUMIFS(super1[Qtde],super1[Item],tab_higiene[[#This Row],[Item]],super1[Bairro],mercado3)+SUMIFS(supercb[Qtde],supercb[Item],tab_higiene[[#This Row],[Item]],supercb[Bairro],mercado3)</f>
        <v>0</v>
      </c>
      <c r="AN303" s="4">
        <f>SUMIFS(super1[Qtde],super1[Item],tab_higiene[[#This Row],[Item]],super1[Bairro],mercado4)+SUMIFS(supercb[Qtde],supercb[Item],tab_higiene[[#This Row],[Item]],supercb[Bairro],mercado4)</f>
        <v>0</v>
      </c>
      <c r="AO303" s="4">
        <f>SUMIFS(super1[Qtde],super1[Item],tab_higiene[[#This Row],[Item]],super1[Bairro],mercado5)+SUMIFS(supercb[Qtde],supercb[Item],tab_higiene[[#This Row],[Item]],supercb[Bairro],mercado5)</f>
        <v>0</v>
      </c>
      <c r="AP303" s="4">
        <f>SUMIFS(super1[Qtde],super1[Item],tab_higiene[[#This Row],[Item]],super1[Bairro],mercado6)+SUMIFS(supercb[Qtde],supercb[Item],tab_higiene[[#This Row],[Item]],supercb[Bairro],mercado6)</f>
        <v>0</v>
      </c>
      <c r="AQ303" s="4">
        <f>SUMIFS(super1[Qtde],super1[Item],tab_higiene[[#This Row],[Item]],super1[Bairro],mercado7)+SUMIFS(supercb[Qtde],supercb[Item],tab_higiene[[#This Row],[Item]],supercb[Bairro],mercado7)</f>
        <v>0</v>
      </c>
      <c r="AR303" s="4">
        <f>SUMIFS(super1[Qtde],super1[Item],tab_higiene[[#This Row],[Item]],super1[Bairro],mercado8)+SUMIFS(supercb[Qtde],supercb[Item],tab_higiene[[#This Row],[Item]],supercb[Bairro],mercado8)</f>
        <v>0</v>
      </c>
      <c r="AS303" s="4">
        <f>SUMIFS(super1[Qtde],super1[Item],tab_higiene[[#This Row],[Item]],super1[Bairro],mercado9)+SUMIFS(supercb[Qtde],supercb[Item],tab_higiene[[#This Row],[Item]],supercb[Bairro],mercado9)</f>
        <v>0</v>
      </c>
      <c r="AT303" s="4">
        <f>SUMIFS(super1[Qtde],super1[Item],tab_higiene[[#This Row],[Item]],super1[Bairro],mercado10)+SUMIFS(supercb[Qtde],supercb[Item],tab_higiene[[#This Row],[Item]],supercb[Bairro],mercado10)</f>
        <v>0</v>
      </c>
      <c r="AU303" s="4">
        <f>SUMIFS(super1[Qtde],super1[Item],tab_higiene[[#This Row],[Item]],super1[Bairro],mercado11)+SUMIFS(supercb[Qtde],supercb[Item],tab_higiene[[#This Row],[Item]],supercb[Bairro],mercado11)</f>
        <v>0</v>
      </c>
      <c r="AV303" s="4">
        <f>SUMIFS(super1[Qtde],super1[Item],tab_higiene[[#This Row],[Item]],super1[Bairro],mercado12)+SUMIFS(supercb[Qtde],supercb[Item],tab_higiene[[#This Row],[Item]],supercb[Bairro],mercado12)</f>
        <v>0</v>
      </c>
      <c r="AW303" s="4">
        <f>SUMIFS(super1[Qtde],super1[Item],tab_higiene[[#This Row],[Item]],super1[Bairro],mercado13)+SUMIFS(supercb[Qtde],supercb[Item],tab_higiene[[#This Row],[Item]],supercb[Bairro],mercado13)</f>
        <v>0</v>
      </c>
      <c r="AX303" s="4">
        <f>SUMIFS(super1[Qtde],super1[Item],tab_higiene[[#This Row],[Item]],super1[Bairro],mercado14)+SUMIFS(supercb[Qtde],supercb[Item],tab_higiene[[#This Row],[Item]],supercb[Bairro],mercado14)</f>
        <v>0</v>
      </c>
      <c r="AY303" s="4">
        <f>SUMIFS(super1[Qtde],super1[Item],tab_higiene[[#This Row],[Item]],super1[Bairro],mercado15)+SUMIFS(supercb[Qtde],supercb[Item],tab_higiene[[#This Row],[Item]],supercb[Bairro],mercado15)</f>
        <v>0</v>
      </c>
      <c r="AZ303" s="4">
        <f>SUMIFS(super1[Qtde],super1[Item],tab_higiene[[#This Row],[Item]],super1[Bairro],mercado16)+SUMIFS(supercb[Qtde],supercb[Item],tab_higiene[[#This Row],[Item]],supercb[Bairro],mercado16)</f>
        <v>0</v>
      </c>
      <c r="BA303" s="4">
        <f>SUMIFS(super1[Qtde],super1[Item],tab_higiene[[#This Row],[Item]],super1[Bairro],mercado17)+SUMIFS(supercb[Qtde],supercb[Item],tab_higiene[[#This Row],[Item]],supercb[Bairro],mercado17)</f>
        <v>0</v>
      </c>
      <c r="BB303" s="4">
        <f>SUMIFS(super1[Qtde],super1[Item],tab_higiene[[#This Row],[Item]],super1[Bairro],mercado18)+SUMIFS(supercb[Qtde],supercb[Item],tab_higiene[[#This Row],[Item]],supercb[Bairro],mercado18)</f>
        <v>0</v>
      </c>
      <c r="BC303" s="31">
        <f>SUMIFS(super1[Qtde],super1[Item],tab_higiene[[#This Row],[Item]],super1[Bairro],extras)+SUMIFS(supercb[Qtde],supercb[Item],tab_higiene[[#This Row],[Item]],supercb[Bairro],extras)</f>
        <v>0</v>
      </c>
      <c r="BD303" s="9">
        <f t="shared" si="91"/>
        <v>0</v>
      </c>
      <c r="BE303" s="9">
        <f t="shared" si="92"/>
        <v>0</v>
      </c>
      <c r="BF303" s="18">
        <f t="shared" si="93"/>
        <v>0</v>
      </c>
    </row>
    <row r="304" spans="9:58" ht="15.75" thickBot="1" x14ac:dyDescent="0.3">
      <c r="I304" s="19" t="str">
        <f>alimentos[[#This Row],[Item]]</f>
        <v>Macarrão (500g)</v>
      </c>
      <c r="J304" s="4">
        <f>IFERROR(alimentos[[#This Row],[kg/embalagem]],0)</f>
        <v>0.5</v>
      </c>
      <c r="K304" s="4">
        <f>IFERROR(alimentos[[#This Row],[Preço]],0)</f>
        <v>4.9000000000000004</v>
      </c>
      <c r="L304" s="4">
        <f>SUMIFS(super1[Qtde],super1[Item],tab_alimentos[[#This Row],[Item]],super1[Bairro],mercado1)+SUMIFS(supercb[Qtde],supercb[Item],tab_alimentos[[#This Row],[Item]],supercb[Bairro],mercado1)</f>
        <v>0</v>
      </c>
      <c r="M304" s="4">
        <f>SUMIFS(super1[Qtde],super1[Item],tab_alimentos[[#This Row],[Item]],super1[Bairro],mercado2)+SUMIFS(supercb[Qtde],supercb[Item],tab_alimentos[[#This Row],[Item]],supercb[Bairro],mercado2)</f>
        <v>0</v>
      </c>
      <c r="N304" s="4">
        <f>SUMIFS(super1[Qtde],super1[Item],tab_alimentos[[#This Row],[Item]],super1[Bairro],mercado3)+SUMIFS(supercb[Qtde],supercb[Item],tab_alimentos[[#This Row],[Item]],supercb[Bairro],mercado3)</f>
        <v>0</v>
      </c>
      <c r="O304" s="4">
        <f>SUMIFS(super1[Qtde],super1[Item],tab_alimentos[[#This Row],[Item]],super1[Bairro],mercado4)+SUMIFS(supercb[Qtde],supercb[Item],tab_alimentos[[#This Row],[Item]],supercb[Bairro],mercado4)</f>
        <v>0</v>
      </c>
      <c r="P304" s="4">
        <f>SUMIFS(super1[Qtde],super1[Item],tab_alimentos[[#This Row],[Item]],super1[Bairro],mercado5)+SUMIFS(supercb[Qtde],supercb[Item],tab_alimentos[[#This Row],[Item]],supercb[Bairro],mercado5)</f>
        <v>0</v>
      </c>
      <c r="Q304" s="4">
        <f>SUMIFS(super1[Qtde],super1[Item],tab_alimentos[[#This Row],[Item]],super1[Bairro],mercado6)+SUMIFS(supercb[Qtde],supercb[Item],tab_alimentos[[#This Row],[Item]],supercb[Bairro],mercado6)</f>
        <v>0</v>
      </c>
      <c r="R304" s="4">
        <f>SUMIFS(super1[Qtde],super1[Item],tab_alimentos[[#This Row],[Item]],super1[Bairro],mercado7)+SUMIFS(supercb[Qtde],supercb[Item],tab_alimentos[[#This Row],[Item]],supercb[Bairro],mercado7)</f>
        <v>0</v>
      </c>
      <c r="S304" s="4">
        <f>SUMIFS(super1[Qtde],super1[Item],tab_alimentos[[#This Row],[Item]],super1[Bairro],mercado8)+SUMIFS(supercb[Qtde],supercb[Item],tab_alimentos[[#This Row],[Item]],supercb[Bairro],mercado8)</f>
        <v>0</v>
      </c>
      <c r="T304" s="4">
        <f>SUMIFS(super1[Qtde],super1[Item],tab_alimentos[[#This Row],[Item]],super1[Bairro],mercado9)+SUMIFS(supercb[Qtde],supercb[Item],tab_alimentos[[#This Row],[Item]],supercb[Bairro],mercado9)</f>
        <v>0</v>
      </c>
      <c r="U304" s="4">
        <f>SUMIFS(super1[Qtde],super1[Item],tab_alimentos[[#This Row],[Item]],super1[Bairro],mercado10)+SUMIFS(supercb[Qtde],supercb[Item],tab_alimentos[[#This Row],[Item]],supercb[Bairro],mercado10)</f>
        <v>0</v>
      </c>
      <c r="V304" s="4">
        <f>SUMIFS(super1[Qtde],super1[Item],tab_alimentos[[#This Row],[Item]],super1[Bairro],mercado11)+SUMIFS(supercb[Qtde],supercb[Item],tab_alimentos[[#This Row],[Item]],supercb[Bairro],mercado11)</f>
        <v>0</v>
      </c>
      <c r="W304" s="4">
        <f>SUMIFS(super1[Qtde],super1[Item],tab_alimentos[[#This Row],[Item]],super1[Bairro],mercado12)+SUMIFS(supercb[Qtde],supercb[Item],tab_alimentos[[#This Row],[Item]],supercb[Bairro],mercado12)</f>
        <v>0</v>
      </c>
      <c r="X304" s="4">
        <f>SUMIFS(super1[Qtde],super1[Item],tab_alimentos[[#This Row],[Item]],super1[Bairro],mercado13)+SUMIFS(supercb[Qtde],supercb[Item],tab_alimentos[[#This Row],[Item]],supercb[Bairro],mercado13)</f>
        <v>0</v>
      </c>
      <c r="Y304" s="4">
        <f>SUMIFS(super1[Qtde],super1[Item],tab_alimentos[[#This Row],[Item]],super1[Bairro],mercado14)+SUMIFS(supercb[Qtde],supercb[Item],tab_alimentos[[#This Row],[Item]],supercb[Bairro],mercado14)</f>
        <v>0</v>
      </c>
      <c r="Z304" s="4">
        <f>SUMIFS(super1[Qtde],super1[Item],tab_alimentos[[#This Row],[Item]],super1[Bairro],mercado15)+SUMIFS(supercb[Qtde],supercb[Item],tab_alimentos[[#This Row],[Item]],supercb[Bairro],mercado15)</f>
        <v>0</v>
      </c>
      <c r="AA304" s="4">
        <f>SUMIFS(super1[Qtde],super1[Item],tab_alimentos[[#This Row],[Item]],super1[Bairro],mercado16)+SUMIFS(supercb[Qtde],supercb[Item],tab_alimentos[[#This Row],[Item]],supercb[Bairro],mercado16)</f>
        <v>0</v>
      </c>
      <c r="AB304" s="4">
        <f>SUMIFS(super1[Qtde],super1[Item],tab_alimentos[[#This Row],[Item]],super1[Bairro],mercado17)+SUMIFS(supercb[Qtde],supercb[Item],tab_alimentos[[#This Row],[Item]],supercb[Bairro],mercado17)</f>
        <v>0</v>
      </c>
      <c r="AC304" s="4">
        <f>SUMIFS(super1[Qtde],super1[Item],tab_alimentos[[#This Row],[Item]],super1[Bairro],mercado18)+SUMIFS(supercb[Qtde],supercb[Item],tab_alimentos[[#This Row],[Item]],supercb[Bairro],mercado18)</f>
        <v>0</v>
      </c>
      <c r="AD304" s="4">
        <f>SUMIFS(super1[Qtde],super1[Item],tab_alimentos[[#This Row],[Item]],super1[Bairro],extras)+SUMIFS(supercb[Qtde],supercb[Item],tab_alimentos[[#This Row],[Item]],supercb[Bairro],extras)</f>
        <v>0</v>
      </c>
      <c r="AE304" s="4">
        <f t="shared" si="88"/>
        <v>0</v>
      </c>
      <c r="AF304" s="4">
        <f t="shared" si="89"/>
        <v>0</v>
      </c>
      <c r="AG304" s="6">
        <f t="shared" si="90"/>
        <v>0</v>
      </c>
      <c r="AH304" s="13" t="e">
        <f>higiene[[#This Row],[Item]]</f>
        <v>#VALUE!</v>
      </c>
      <c r="AI304" s="9">
        <f>IFERROR(higiene[[#This Row],[Kg equivalente]],0)</f>
        <v>0</v>
      </c>
      <c r="AJ304" s="9">
        <f>IFERROR(higiene[[#This Row],[Preço por produto]],0)</f>
        <v>0</v>
      </c>
      <c r="AK304" s="4">
        <f>SUMIFS(super1[Qtde],super1[Item],tab_higiene[[#This Row],[Item]],super1[Bairro],mercado1)+SUMIFS(supercb[Qtde],supercb[Item],tab_higiene[[#This Row],[Item]],supercb[Bairro],mercado1)</f>
        <v>0</v>
      </c>
      <c r="AL304" s="4">
        <f>SUMIFS(super1[Qtde],super1[Item],tab_higiene[[#This Row],[Item]],super1[Bairro],mercado2)+SUMIFS(supercb[Qtde],supercb[Item],tab_higiene[[#This Row],[Item]],supercb[Bairro],mercado2)</f>
        <v>0</v>
      </c>
      <c r="AM304" s="4">
        <f>SUMIFS(super1[Qtde],super1[Item],tab_higiene[[#This Row],[Item]],super1[Bairro],mercado3)+SUMIFS(supercb[Qtde],supercb[Item],tab_higiene[[#This Row],[Item]],supercb[Bairro],mercado3)</f>
        <v>0</v>
      </c>
      <c r="AN304" s="4">
        <f>SUMIFS(super1[Qtde],super1[Item],tab_higiene[[#This Row],[Item]],super1[Bairro],mercado4)+SUMIFS(supercb[Qtde],supercb[Item],tab_higiene[[#This Row],[Item]],supercb[Bairro],mercado4)</f>
        <v>0</v>
      </c>
      <c r="AO304" s="4">
        <f>SUMIFS(super1[Qtde],super1[Item],tab_higiene[[#This Row],[Item]],super1[Bairro],mercado5)+SUMIFS(supercb[Qtde],supercb[Item],tab_higiene[[#This Row],[Item]],supercb[Bairro],mercado5)</f>
        <v>0</v>
      </c>
      <c r="AP304" s="4">
        <f>SUMIFS(super1[Qtde],super1[Item],tab_higiene[[#This Row],[Item]],super1[Bairro],mercado6)+SUMIFS(supercb[Qtde],supercb[Item],tab_higiene[[#This Row],[Item]],supercb[Bairro],mercado6)</f>
        <v>0</v>
      </c>
      <c r="AQ304" s="4">
        <f>SUMIFS(super1[Qtde],super1[Item],tab_higiene[[#This Row],[Item]],super1[Bairro],mercado7)+SUMIFS(supercb[Qtde],supercb[Item],tab_higiene[[#This Row],[Item]],supercb[Bairro],mercado7)</f>
        <v>0</v>
      </c>
      <c r="AR304" s="4">
        <f>SUMIFS(super1[Qtde],super1[Item],tab_higiene[[#This Row],[Item]],super1[Bairro],mercado8)+SUMIFS(supercb[Qtde],supercb[Item],tab_higiene[[#This Row],[Item]],supercb[Bairro],mercado8)</f>
        <v>0</v>
      </c>
      <c r="AS304" s="4">
        <f>SUMIFS(super1[Qtde],super1[Item],tab_higiene[[#This Row],[Item]],super1[Bairro],mercado9)+SUMIFS(supercb[Qtde],supercb[Item],tab_higiene[[#This Row],[Item]],supercb[Bairro],mercado9)</f>
        <v>0</v>
      </c>
      <c r="AT304" s="4">
        <f>SUMIFS(super1[Qtde],super1[Item],tab_higiene[[#This Row],[Item]],super1[Bairro],mercado10)+SUMIFS(supercb[Qtde],supercb[Item],tab_higiene[[#This Row],[Item]],supercb[Bairro],mercado10)</f>
        <v>0</v>
      </c>
      <c r="AU304" s="4">
        <f>SUMIFS(super1[Qtde],super1[Item],tab_higiene[[#This Row],[Item]],super1[Bairro],mercado11)+SUMIFS(supercb[Qtde],supercb[Item],tab_higiene[[#This Row],[Item]],supercb[Bairro],mercado11)</f>
        <v>0</v>
      </c>
      <c r="AV304" s="4">
        <f>SUMIFS(super1[Qtde],super1[Item],tab_higiene[[#This Row],[Item]],super1[Bairro],mercado12)+SUMIFS(supercb[Qtde],supercb[Item],tab_higiene[[#This Row],[Item]],supercb[Bairro],mercado12)</f>
        <v>0</v>
      </c>
      <c r="AW304" s="4">
        <f>SUMIFS(super1[Qtde],super1[Item],tab_higiene[[#This Row],[Item]],super1[Bairro],mercado13)+SUMIFS(supercb[Qtde],supercb[Item],tab_higiene[[#This Row],[Item]],supercb[Bairro],mercado13)</f>
        <v>0</v>
      </c>
      <c r="AX304" s="4">
        <f>SUMIFS(super1[Qtde],super1[Item],tab_higiene[[#This Row],[Item]],super1[Bairro],mercado14)+SUMIFS(supercb[Qtde],supercb[Item],tab_higiene[[#This Row],[Item]],supercb[Bairro],mercado14)</f>
        <v>0</v>
      </c>
      <c r="AY304" s="4">
        <f>SUMIFS(super1[Qtde],super1[Item],tab_higiene[[#This Row],[Item]],super1[Bairro],mercado15)+SUMIFS(supercb[Qtde],supercb[Item],tab_higiene[[#This Row],[Item]],supercb[Bairro],mercado15)</f>
        <v>0</v>
      </c>
      <c r="AZ304" s="4">
        <f>SUMIFS(super1[Qtde],super1[Item],tab_higiene[[#This Row],[Item]],super1[Bairro],mercado16)+SUMIFS(supercb[Qtde],supercb[Item],tab_higiene[[#This Row],[Item]],supercb[Bairro],mercado16)</f>
        <v>0</v>
      </c>
      <c r="BA304" s="4">
        <f>SUMIFS(super1[Qtde],super1[Item],tab_higiene[[#This Row],[Item]],super1[Bairro],mercado17)+SUMIFS(supercb[Qtde],supercb[Item],tab_higiene[[#This Row],[Item]],supercb[Bairro],mercado17)</f>
        <v>0</v>
      </c>
      <c r="BB304" s="4">
        <f>SUMIFS(super1[Qtde],super1[Item],tab_higiene[[#This Row],[Item]],super1[Bairro],mercado18)+SUMIFS(supercb[Qtde],supercb[Item],tab_higiene[[#This Row],[Item]],supercb[Bairro],mercado18)</f>
        <v>0</v>
      </c>
      <c r="BC304" s="31">
        <f>SUMIFS(super1[Qtde],super1[Item],tab_higiene[[#This Row],[Item]],super1[Bairro],extras)+SUMIFS(supercb[Qtde],supercb[Item],tab_higiene[[#This Row],[Item]],supercb[Bairro],extras)</f>
        <v>0</v>
      </c>
      <c r="BD304" s="9">
        <f t="shared" si="91"/>
        <v>0</v>
      </c>
      <c r="BE304" s="9">
        <f t="shared" si="92"/>
        <v>0</v>
      </c>
      <c r="BF304" s="18">
        <f t="shared" si="93"/>
        <v>0</v>
      </c>
    </row>
    <row r="305" spans="9:58" ht="15.75" thickBot="1" x14ac:dyDescent="0.3">
      <c r="I305" s="19" t="str">
        <f>alimentos[[#This Row],[Item]]</f>
        <v>Maionese (1kg)</v>
      </c>
      <c r="J305" s="4">
        <f>IFERROR(alimentos[[#This Row],[kg/embalagem]],0)</f>
        <v>1</v>
      </c>
      <c r="K305" s="4">
        <f>IFERROR(alimentos[[#This Row],[Preço]],0)</f>
        <v>4.99</v>
      </c>
      <c r="L305" s="4">
        <f>SUMIFS(super1[Qtde],super1[Item],tab_alimentos[[#This Row],[Item]],super1[Bairro],mercado1)+SUMIFS(supercb[Qtde],supercb[Item],tab_alimentos[[#This Row],[Item]],supercb[Bairro],mercado1)</f>
        <v>0</v>
      </c>
      <c r="M305" s="4">
        <f>SUMIFS(super1[Qtde],super1[Item],tab_alimentos[[#This Row],[Item]],super1[Bairro],mercado2)+SUMIFS(supercb[Qtde],supercb[Item],tab_alimentos[[#This Row],[Item]],supercb[Bairro],mercado2)</f>
        <v>0</v>
      </c>
      <c r="N305" s="4">
        <f>SUMIFS(super1[Qtde],super1[Item],tab_alimentos[[#This Row],[Item]],super1[Bairro],mercado3)+SUMIFS(supercb[Qtde],supercb[Item],tab_alimentos[[#This Row],[Item]],supercb[Bairro],mercado3)</f>
        <v>0</v>
      </c>
      <c r="O305" s="4">
        <f>SUMIFS(super1[Qtde],super1[Item],tab_alimentos[[#This Row],[Item]],super1[Bairro],mercado4)+SUMIFS(supercb[Qtde],supercb[Item],tab_alimentos[[#This Row],[Item]],supercb[Bairro],mercado4)</f>
        <v>0</v>
      </c>
      <c r="P305" s="4">
        <f>SUMIFS(super1[Qtde],super1[Item],tab_alimentos[[#This Row],[Item]],super1[Bairro],mercado5)+SUMIFS(supercb[Qtde],supercb[Item],tab_alimentos[[#This Row],[Item]],supercb[Bairro],mercado5)</f>
        <v>0</v>
      </c>
      <c r="Q305" s="4">
        <f>SUMIFS(super1[Qtde],super1[Item],tab_alimentos[[#This Row],[Item]],super1[Bairro],mercado6)+SUMIFS(supercb[Qtde],supercb[Item],tab_alimentos[[#This Row],[Item]],supercb[Bairro],mercado6)</f>
        <v>0</v>
      </c>
      <c r="R305" s="4">
        <f>SUMIFS(super1[Qtde],super1[Item],tab_alimentos[[#This Row],[Item]],super1[Bairro],mercado7)+SUMIFS(supercb[Qtde],supercb[Item],tab_alimentos[[#This Row],[Item]],supercb[Bairro],mercado7)</f>
        <v>0</v>
      </c>
      <c r="S305" s="4">
        <f>SUMIFS(super1[Qtde],super1[Item],tab_alimentos[[#This Row],[Item]],super1[Bairro],mercado8)+SUMIFS(supercb[Qtde],supercb[Item],tab_alimentos[[#This Row],[Item]],supercb[Bairro],mercado8)</f>
        <v>0</v>
      </c>
      <c r="T305" s="4">
        <f>SUMIFS(super1[Qtde],super1[Item],tab_alimentos[[#This Row],[Item]],super1[Bairro],mercado9)+SUMIFS(supercb[Qtde],supercb[Item],tab_alimentos[[#This Row],[Item]],supercb[Bairro],mercado9)</f>
        <v>0</v>
      </c>
      <c r="U305" s="4">
        <f>SUMIFS(super1[Qtde],super1[Item],tab_alimentos[[#This Row],[Item]],super1[Bairro],mercado10)+SUMIFS(supercb[Qtde],supercb[Item],tab_alimentos[[#This Row],[Item]],supercb[Bairro],mercado10)</f>
        <v>0</v>
      </c>
      <c r="V305" s="4">
        <f>SUMIFS(super1[Qtde],super1[Item],tab_alimentos[[#This Row],[Item]],super1[Bairro],mercado11)+SUMIFS(supercb[Qtde],supercb[Item],tab_alimentos[[#This Row],[Item]],supercb[Bairro],mercado11)</f>
        <v>0</v>
      </c>
      <c r="W305" s="4">
        <f>SUMIFS(super1[Qtde],super1[Item],tab_alimentos[[#This Row],[Item]],super1[Bairro],mercado12)+SUMIFS(supercb[Qtde],supercb[Item],tab_alimentos[[#This Row],[Item]],supercb[Bairro],mercado12)</f>
        <v>0</v>
      </c>
      <c r="X305" s="4">
        <f>SUMIFS(super1[Qtde],super1[Item],tab_alimentos[[#This Row],[Item]],super1[Bairro],mercado13)+SUMIFS(supercb[Qtde],supercb[Item],tab_alimentos[[#This Row],[Item]],supercb[Bairro],mercado13)</f>
        <v>0</v>
      </c>
      <c r="Y305" s="4">
        <f>SUMIFS(super1[Qtde],super1[Item],tab_alimentos[[#This Row],[Item]],super1[Bairro],mercado14)+SUMIFS(supercb[Qtde],supercb[Item],tab_alimentos[[#This Row],[Item]],supercb[Bairro],mercado14)</f>
        <v>0</v>
      </c>
      <c r="Z305" s="4">
        <f>SUMIFS(super1[Qtde],super1[Item],tab_alimentos[[#This Row],[Item]],super1[Bairro],mercado15)+SUMIFS(supercb[Qtde],supercb[Item],tab_alimentos[[#This Row],[Item]],supercb[Bairro],mercado15)</f>
        <v>0</v>
      </c>
      <c r="AA305" s="4">
        <f>SUMIFS(super1[Qtde],super1[Item],tab_alimentos[[#This Row],[Item]],super1[Bairro],mercado16)+SUMIFS(supercb[Qtde],supercb[Item],tab_alimentos[[#This Row],[Item]],supercb[Bairro],mercado16)</f>
        <v>0</v>
      </c>
      <c r="AB305" s="4">
        <f>SUMIFS(super1[Qtde],super1[Item],tab_alimentos[[#This Row],[Item]],super1[Bairro],mercado17)+SUMIFS(supercb[Qtde],supercb[Item],tab_alimentos[[#This Row],[Item]],supercb[Bairro],mercado17)</f>
        <v>0</v>
      </c>
      <c r="AC305" s="4">
        <f>SUMIFS(super1[Qtde],super1[Item],tab_alimentos[[#This Row],[Item]],super1[Bairro],mercado18)+SUMIFS(supercb[Qtde],supercb[Item],tab_alimentos[[#This Row],[Item]],supercb[Bairro],mercado18)</f>
        <v>0</v>
      </c>
      <c r="AD305" s="4">
        <f>SUMIFS(super1[Qtde],super1[Item],tab_alimentos[[#This Row],[Item]],super1[Bairro],extras)+SUMIFS(supercb[Qtde],supercb[Item],tab_alimentos[[#This Row],[Item]],supercb[Bairro],extras)</f>
        <v>0</v>
      </c>
      <c r="AE305" s="4">
        <f t="shared" si="88"/>
        <v>0</v>
      </c>
      <c r="AF305" s="4">
        <f t="shared" si="89"/>
        <v>0</v>
      </c>
      <c r="AG305" s="6">
        <f t="shared" si="90"/>
        <v>0</v>
      </c>
      <c r="AH305" s="13" t="e">
        <f>higiene[[#This Row],[Item]]</f>
        <v>#VALUE!</v>
      </c>
      <c r="AI305" s="9">
        <f>IFERROR(higiene[[#This Row],[Kg equivalente]],0)</f>
        <v>0</v>
      </c>
      <c r="AJ305" s="9">
        <f>IFERROR(higiene[[#This Row],[Preço por produto]],0)</f>
        <v>0</v>
      </c>
      <c r="AK305" s="4">
        <f>SUMIFS(super1[Qtde],super1[Item],tab_higiene[[#This Row],[Item]],super1[Bairro],mercado1)+SUMIFS(supercb[Qtde],supercb[Item],tab_higiene[[#This Row],[Item]],supercb[Bairro],mercado1)</f>
        <v>0</v>
      </c>
      <c r="AL305" s="4">
        <f>SUMIFS(super1[Qtde],super1[Item],tab_higiene[[#This Row],[Item]],super1[Bairro],mercado2)+SUMIFS(supercb[Qtde],supercb[Item],tab_higiene[[#This Row],[Item]],supercb[Bairro],mercado2)</f>
        <v>0</v>
      </c>
      <c r="AM305" s="4">
        <f>SUMIFS(super1[Qtde],super1[Item],tab_higiene[[#This Row],[Item]],super1[Bairro],mercado3)+SUMIFS(supercb[Qtde],supercb[Item],tab_higiene[[#This Row],[Item]],supercb[Bairro],mercado3)</f>
        <v>0</v>
      </c>
      <c r="AN305" s="4">
        <f>SUMIFS(super1[Qtde],super1[Item],tab_higiene[[#This Row],[Item]],super1[Bairro],mercado4)+SUMIFS(supercb[Qtde],supercb[Item],tab_higiene[[#This Row],[Item]],supercb[Bairro],mercado4)</f>
        <v>0</v>
      </c>
      <c r="AO305" s="4">
        <f>SUMIFS(super1[Qtde],super1[Item],tab_higiene[[#This Row],[Item]],super1[Bairro],mercado5)+SUMIFS(supercb[Qtde],supercb[Item],tab_higiene[[#This Row],[Item]],supercb[Bairro],mercado5)</f>
        <v>0</v>
      </c>
      <c r="AP305" s="4">
        <f>SUMIFS(super1[Qtde],super1[Item],tab_higiene[[#This Row],[Item]],super1[Bairro],mercado6)+SUMIFS(supercb[Qtde],supercb[Item],tab_higiene[[#This Row],[Item]],supercb[Bairro],mercado6)</f>
        <v>0</v>
      </c>
      <c r="AQ305" s="4">
        <f>SUMIFS(super1[Qtde],super1[Item],tab_higiene[[#This Row],[Item]],super1[Bairro],mercado7)+SUMIFS(supercb[Qtde],supercb[Item],tab_higiene[[#This Row],[Item]],supercb[Bairro],mercado7)</f>
        <v>0</v>
      </c>
      <c r="AR305" s="4">
        <f>SUMIFS(super1[Qtde],super1[Item],tab_higiene[[#This Row],[Item]],super1[Bairro],mercado8)+SUMIFS(supercb[Qtde],supercb[Item],tab_higiene[[#This Row],[Item]],supercb[Bairro],mercado8)</f>
        <v>0</v>
      </c>
      <c r="AS305" s="4">
        <f>SUMIFS(super1[Qtde],super1[Item],tab_higiene[[#This Row],[Item]],super1[Bairro],mercado9)+SUMIFS(supercb[Qtde],supercb[Item],tab_higiene[[#This Row],[Item]],supercb[Bairro],mercado9)</f>
        <v>0</v>
      </c>
      <c r="AT305" s="4">
        <f>SUMIFS(super1[Qtde],super1[Item],tab_higiene[[#This Row],[Item]],super1[Bairro],mercado10)+SUMIFS(supercb[Qtde],supercb[Item],tab_higiene[[#This Row],[Item]],supercb[Bairro],mercado10)</f>
        <v>0</v>
      </c>
      <c r="AU305" s="4">
        <f>SUMIFS(super1[Qtde],super1[Item],tab_higiene[[#This Row],[Item]],super1[Bairro],mercado11)+SUMIFS(supercb[Qtde],supercb[Item],tab_higiene[[#This Row],[Item]],supercb[Bairro],mercado11)</f>
        <v>0</v>
      </c>
      <c r="AV305" s="4">
        <f>SUMIFS(super1[Qtde],super1[Item],tab_higiene[[#This Row],[Item]],super1[Bairro],mercado12)+SUMIFS(supercb[Qtde],supercb[Item],tab_higiene[[#This Row],[Item]],supercb[Bairro],mercado12)</f>
        <v>0</v>
      </c>
      <c r="AW305" s="4">
        <f>SUMIFS(super1[Qtde],super1[Item],tab_higiene[[#This Row],[Item]],super1[Bairro],mercado13)+SUMIFS(supercb[Qtde],supercb[Item],tab_higiene[[#This Row],[Item]],supercb[Bairro],mercado13)</f>
        <v>0</v>
      </c>
      <c r="AX305" s="4">
        <f>SUMIFS(super1[Qtde],super1[Item],tab_higiene[[#This Row],[Item]],super1[Bairro],mercado14)+SUMIFS(supercb[Qtde],supercb[Item],tab_higiene[[#This Row],[Item]],supercb[Bairro],mercado14)</f>
        <v>0</v>
      </c>
      <c r="AY305" s="4">
        <f>SUMIFS(super1[Qtde],super1[Item],tab_higiene[[#This Row],[Item]],super1[Bairro],mercado15)+SUMIFS(supercb[Qtde],supercb[Item],tab_higiene[[#This Row],[Item]],supercb[Bairro],mercado15)</f>
        <v>0</v>
      </c>
      <c r="AZ305" s="4">
        <f>SUMIFS(super1[Qtde],super1[Item],tab_higiene[[#This Row],[Item]],super1[Bairro],mercado16)+SUMIFS(supercb[Qtde],supercb[Item],tab_higiene[[#This Row],[Item]],supercb[Bairro],mercado16)</f>
        <v>0</v>
      </c>
      <c r="BA305" s="4">
        <f>SUMIFS(super1[Qtde],super1[Item],tab_higiene[[#This Row],[Item]],super1[Bairro],mercado17)+SUMIFS(supercb[Qtde],supercb[Item],tab_higiene[[#This Row],[Item]],supercb[Bairro],mercado17)</f>
        <v>0</v>
      </c>
      <c r="BB305" s="4">
        <f>SUMIFS(super1[Qtde],super1[Item],tab_higiene[[#This Row],[Item]],super1[Bairro],mercado18)+SUMIFS(supercb[Qtde],supercb[Item],tab_higiene[[#This Row],[Item]],supercb[Bairro],mercado18)</f>
        <v>0</v>
      </c>
      <c r="BC305" s="31">
        <f>SUMIFS(super1[Qtde],super1[Item],tab_higiene[[#This Row],[Item]],super1[Bairro],extras)+SUMIFS(supercb[Qtde],supercb[Item],tab_higiene[[#This Row],[Item]],supercb[Bairro],extras)</f>
        <v>0</v>
      </c>
      <c r="BD305" s="9">
        <f t="shared" si="91"/>
        <v>0</v>
      </c>
      <c r="BE305" s="9">
        <f t="shared" si="92"/>
        <v>0</v>
      </c>
      <c r="BF305" s="18">
        <f t="shared" si="93"/>
        <v>0</v>
      </c>
    </row>
    <row r="306" spans="9:58" ht="15.75" thickBot="1" x14ac:dyDescent="0.3">
      <c r="I306" s="19" t="str">
        <f>alimentos[[#This Row],[Item]]</f>
        <v>Maionese (200g)</v>
      </c>
      <c r="J306" s="4">
        <f>IFERROR(alimentos[[#This Row],[kg/embalagem]],0)</f>
        <v>0.2</v>
      </c>
      <c r="K306" s="4">
        <f>IFERROR(alimentos[[#This Row],[Preço]],0)</f>
        <v>3.18</v>
      </c>
      <c r="L306" s="4">
        <f>SUMIFS(super1[Qtde],super1[Item],tab_alimentos[[#This Row],[Item]],super1[Bairro],mercado1)+SUMIFS(supercb[Qtde],supercb[Item],tab_alimentos[[#This Row],[Item]],supercb[Bairro],mercado1)</f>
        <v>0</v>
      </c>
      <c r="M306" s="4">
        <f>SUMIFS(super1[Qtde],super1[Item],tab_alimentos[[#This Row],[Item]],super1[Bairro],mercado2)+SUMIFS(supercb[Qtde],supercb[Item],tab_alimentos[[#This Row],[Item]],supercb[Bairro],mercado2)</f>
        <v>0</v>
      </c>
      <c r="N306" s="4">
        <f>SUMIFS(super1[Qtde],super1[Item],tab_alimentos[[#This Row],[Item]],super1[Bairro],mercado3)+SUMIFS(supercb[Qtde],supercb[Item],tab_alimentos[[#This Row],[Item]],supercb[Bairro],mercado3)</f>
        <v>0</v>
      </c>
      <c r="O306" s="4">
        <f>SUMIFS(super1[Qtde],super1[Item],tab_alimentos[[#This Row],[Item]],super1[Bairro],mercado4)+SUMIFS(supercb[Qtde],supercb[Item],tab_alimentos[[#This Row],[Item]],supercb[Bairro],mercado4)</f>
        <v>0</v>
      </c>
      <c r="P306" s="4">
        <f>SUMIFS(super1[Qtde],super1[Item],tab_alimentos[[#This Row],[Item]],super1[Bairro],mercado5)+SUMIFS(supercb[Qtde],supercb[Item],tab_alimentos[[#This Row],[Item]],supercb[Bairro],mercado5)</f>
        <v>0</v>
      </c>
      <c r="Q306" s="4">
        <f>SUMIFS(super1[Qtde],super1[Item],tab_alimentos[[#This Row],[Item]],super1[Bairro],mercado6)+SUMIFS(supercb[Qtde],supercb[Item],tab_alimentos[[#This Row],[Item]],supercb[Bairro],mercado6)</f>
        <v>0</v>
      </c>
      <c r="R306" s="4">
        <f>SUMIFS(super1[Qtde],super1[Item],tab_alimentos[[#This Row],[Item]],super1[Bairro],mercado7)+SUMIFS(supercb[Qtde],supercb[Item],tab_alimentos[[#This Row],[Item]],supercb[Bairro],mercado7)</f>
        <v>0</v>
      </c>
      <c r="S306" s="4">
        <f>SUMIFS(super1[Qtde],super1[Item],tab_alimentos[[#This Row],[Item]],super1[Bairro],mercado8)+SUMIFS(supercb[Qtde],supercb[Item],tab_alimentos[[#This Row],[Item]],supercb[Bairro],mercado8)</f>
        <v>0</v>
      </c>
      <c r="T306" s="4">
        <f>SUMIFS(super1[Qtde],super1[Item],tab_alimentos[[#This Row],[Item]],super1[Bairro],mercado9)+SUMIFS(supercb[Qtde],supercb[Item],tab_alimentos[[#This Row],[Item]],supercb[Bairro],mercado9)</f>
        <v>0</v>
      </c>
      <c r="U306" s="4">
        <f>SUMIFS(super1[Qtde],super1[Item],tab_alimentos[[#This Row],[Item]],super1[Bairro],mercado10)+SUMIFS(supercb[Qtde],supercb[Item],tab_alimentos[[#This Row],[Item]],supercb[Bairro],mercado10)</f>
        <v>0</v>
      </c>
      <c r="V306" s="4">
        <f>SUMIFS(super1[Qtde],super1[Item],tab_alimentos[[#This Row],[Item]],super1[Bairro],mercado11)+SUMIFS(supercb[Qtde],supercb[Item],tab_alimentos[[#This Row],[Item]],supercb[Bairro],mercado11)</f>
        <v>0</v>
      </c>
      <c r="W306" s="4">
        <f>SUMIFS(super1[Qtde],super1[Item],tab_alimentos[[#This Row],[Item]],super1[Bairro],mercado12)+SUMIFS(supercb[Qtde],supercb[Item],tab_alimentos[[#This Row],[Item]],supercb[Bairro],mercado12)</f>
        <v>0</v>
      </c>
      <c r="X306" s="4">
        <f>SUMIFS(super1[Qtde],super1[Item],tab_alimentos[[#This Row],[Item]],super1[Bairro],mercado13)+SUMIFS(supercb[Qtde],supercb[Item],tab_alimentos[[#This Row],[Item]],supercb[Bairro],mercado13)</f>
        <v>0</v>
      </c>
      <c r="Y306" s="4">
        <f>SUMIFS(super1[Qtde],super1[Item],tab_alimentos[[#This Row],[Item]],super1[Bairro],mercado14)+SUMIFS(supercb[Qtde],supercb[Item],tab_alimentos[[#This Row],[Item]],supercb[Bairro],mercado14)</f>
        <v>0</v>
      </c>
      <c r="Z306" s="4">
        <f>SUMIFS(super1[Qtde],super1[Item],tab_alimentos[[#This Row],[Item]],super1[Bairro],mercado15)+SUMIFS(supercb[Qtde],supercb[Item],tab_alimentos[[#This Row],[Item]],supercb[Bairro],mercado15)</f>
        <v>0</v>
      </c>
      <c r="AA306" s="4">
        <f>SUMIFS(super1[Qtde],super1[Item],tab_alimentos[[#This Row],[Item]],super1[Bairro],mercado16)+SUMIFS(supercb[Qtde],supercb[Item],tab_alimentos[[#This Row],[Item]],supercb[Bairro],mercado16)</f>
        <v>0</v>
      </c>
      <c r="AB306" s="4">
        <f>SUMIFS(super1[Qtde],super1[Item],tab_alimentos[[#This Row],[Item]],super1[Bairro],mercado17)+SUMIFS(supercb[Qtde],supercb[Item],tab_alimentos[[#This Row],[Item]],supercb[Bairro],mercado17)</f>
        <v>0</v>
      </c>
      <c r="AC306" s="4">
        <f>SUMIFS(super1[Qtde],super1[Item],tab_alimentos[[#This Row],[Item]],super1[Bairro],mercado18)+SUMIFS(supercb[Qtde],supercb[Item],tab_alimentos[[#This Row],[Item]],supercb[Bairro],mercado18)</f>
        <v>0</v>
      </c>
      <c r="AD306" s="4">
        <f>SUMIFS(super1[Qtde],super1[Item],tab_alimentos[[#This Row],[Item]],super1[Bairro],extras)+SUMIFS(supercb[Qtde],supercb[Item],tab_alimentos[[#This Row],[Item]],supercb[Bairro],extras)</f>
        <v>0</v>
      </c>
      <c r="AE306" s="4">
        <f t="shared" si="88"/>
        <v>0</v>
      </c>
      <c r="AF306" s="4">
        <f t="shared" si="89"/>
        <v>0</v>
      </c>
      <c r="AG306" s="6">
        <f t="shared" si="90"/>
        <v>0</v>
      </c>
      <c r="AH306" s="13" t="e">
        <f>higiene[[#This Row],[Item]]</f>
        <v>#VALUE!</v>
      </c>
      <c r="AI306" s="9">
        <f>IFERROR(higiene[[#This Row],[Kg equivalente]],0)</f>
        <v>0</v>
      </c>
      <c r="AJ306" s="9">
        <f>IFERROR(higiene[[#This Row],[Preço por produto]],0)</f>
        <v>0</v>
      </c>
      <c r="AK306" s="4">
        <f>SUMIFS(super1[Qtde],super1[Item],tab_higiene[[#This Row],[Item]],super1[Bairro],mercado1)+SUMIFS(supercb[Qtde],supercb[Item],tab_higiene[[#This Row],[Item]],supercb[Bairro],mercado1)</f>
        <v>0</v>
      </c>
      <c r="AL306" s="4">
        <f>SUMIFS(super1[Qtde],super1[Item],tab_higiene[[#This Row],[Item]],super1[Bairro],mercado2)+SUMIFS(supercb[Qtde],supercb[Item],tab_higiene[[#This Row],[Item]],supercb[Bairro],mercado2)</f>
        <v>0</v>
      </c>
      <c r="AM306" s="4">
        <f>SUMIFS(super1[Qtde],super1[Item],tab_higiene[[#This Row],[Item]],super1[Bairro],mercado3)+SUMIFS(supercb[Qtde],supercb[Item],tab_higiene[[#This Row],[Item]],supercb[Bairro],mercado3)</f>
        <v>0</v>
      </c>
      <c r="AN306" s="4">
        <f>SUMIFS(super1[Qtde],super1[Item],tab_higiene[[#This Row],[Item]],super1[Bairro],mercado4)+SUMIFS(supercb[Qtde],supercb[Item],tab_higiene[[#This Row],[Item]],supercb[Bairro],mercado4)</f>
        <v>0</v>
      </c>
      <c r="AO306" s="4">
        <f>SUMIFS(super1[Qtde],super1[Item],tab_higiene[[#This Row],[Item]],super1[Bairro],mercado5)+SUMIFS(supercb[Qtde],supercb[Item],tab_higiene[[#This Row],[Item]],supercb[Bairro],mercado5)</f>
        <v>0</v>
      </c>
      <c r="AP306" s="4">
        <f>SUMIFS(super1[Qtde],super1[Item],tab_higiene[[#This Row],[Item]],super1[Bairro],mercado6)+SUMIFS(supercb[Qtde],supercb[Item],tab_higiene[[#This Row],[Item]],supercb[Bairro],mercado6)</f>
        <v>0</v>
      </c>
      <c r="AQ306" s="4">
        <f>SUMIFS(super1[Qtde],super1[Item],tab_higiene[[#This Row],[Item]],super1[Bairro],mercado7)+SUMIFS(supercb[Qtde],supercb[Item],tab_higiene[[#This Row],[Item]],supercb[Bairro],mercado7)</f>
        <v>0</v>
      </c>
      <c r="AR306" s="4">
        <f>SUMIFS(super1[Qtde],super1[Item],tab_higiene[[#This Row],[Item]],super1[Bairro],mercado8)+SUMIFS(supercb[Qtde],supercb[Item],tab_higiene[[#This Row],[Item]],supercb[Bairro],mercado8)</f>
        <v>0</v>
      </c>
      <c r="AS306" s="4">
        <f>SUMIFS(super1[Qtde],super1[Item],tab_higiene[[#This Row],[Item]],super1[Bairro],mercado9)+SUMIFS(supercb[Qtde],supercb[Item],tab_higiene[[#This Row],[Item]],supercb[Bairro],mercado9)</f>
        <v>0</v>
      </c>
      <c r="AT306" s="4">
        <f>SUMIFS(super1[Qtde],super1[Item],tab_higiene[[#This Row],[Item]],super1[Bairro],mercado10)+SUMIFS(supercb[Qtde],supercb[Item],tab_higiene[[#This Row],[Item]],supercb[Bairro],mercado10)</f>
        <v>0</v>
      </c>
      <c r="AU306" s="4">
        <f>SUMIFS(super1[Qtde],super1[Item],tab_higiene[[#This Row],[Item]],super1[Bairro],mercado11)+SUMIFS(supercb[Qtde],supercb[Item],tab_higiene[[#This Row],[Item]],supercb[Bairro],mercado11)</f>
        <v>0</v>
      </c>
      <c r="AV306" s="4">
        <f>SUMIFS(super1[Qtde],super1[Item],tab_higiene[[#This Row],[Item]],super1[Bairro],mercado12)+SUMIFS(supercb[Qtde],supercb[Item],tab_higiene[[#This Row],[Item]],supercb[Bairro],mercado12)</f>
        <v>0</v>
      </c>
      <c r="AW306" s="4">
        <f>SUMIFS(super1[Qtde],super1[Item],tab_higiene[[#This Row],[Item]],super1[Bairro],mercado13)+SUMIFS(supercb[Qtde],supercb[Item],tab_higiene[[#This Row],[Item]],supercb[Bairro],mercado13)</f>
        <v>0</v>
      </c>
      <c r="AX306" s="4">
        <f>SUMIFS(super1[Qtde],super1[Item],tab_higiene[[#This Row],[Item]],super1[Bairro],mercado14)+SUMIFS(supercb[Qtde],supercb[Item],tab_higiene[[#This Row],[Item]],supercb[Bairro],mercado14)</f>
        <v>0</v>
      </c>
      <c r="AY306" s="4">
        <f>SUMIFS(super1[Qtde],super1[Item],tab_higiene[[#This Row],[Item]],super1[Bairro],mercado15)+SUMIFS(supercb[Qtde],supercb[Item],tab_higiene[[#This Row],[Item]],supercb[Bairro],mercado15)</f>
        <v>0</v>
      </c>
      <c r="AZ306" s="4">
        <f>SUMIFS(super1[Qtde],super1[Item],tab_higiene[[#This Row],[Item]],super1[Bairro],mercado16)+SUMIFS(supercb[Qtde],supercb[Item],tab_higiene[[#This Row],[Item]],supercb[Bairro],mercado16)</f>
        <v>0</v>
      </c>
      <c r="BA306" s="4">
        <f>SUMIFS(super1[Qtde],super1[Item],tab_higiene[[#This Row],[Item]],super1[Bairro],mercado17)+SUMIFS(supercb[Qtde],supercb[Item],tab_higiene[[#This Row],[Item]],supercb[Bairro],mercado17)</f>
        <v>0</v>
      </c>
      <c r="BB306" s="4">
        <f>SUMIFS(super1[Qtde],super1[Item],tab_higiene[[#This Row],[Item]],super1[Bairro],mercado18)+SUMIFS(supercb[Qtde],supercb[Item],tab_higiene[[#This Row],[Item]],supercb[Bairro],mercado18)</f>
        <v>0</v>
      </c>
      <c r="BC306" s="31">
        <f>SUMIFS(super1[Qtde],super1[Item],tab_higiene[[#This Row],[Item]],super1[Bairro],extras)+SUMIFS(supercb[Qtde],supercb[Item],tab_higiene[[#This Row],[Item]],supercb[Bairro],extras)</f>
        <v>0</v>
      </c>
      <c r="BD306" s="9">
        <f t="shared" si="91"/>
        <v>0</v>
      </c>
      <c r="BE306" s="9">
        <f t="shared" si="92"/>
        <v>0</v>
      </c>
      <c r="BF306" s="18">
        <f t="shared" si="93"/>
        <v>0</v>
      </c>
    </row>
    <row r="307" spans="9:58" ht="15.75" thickBot="1" x14ac:dyDescent="0.3">
      <c r="I307" s="19" t="str">
        <f>alimentos[[#This Row],[Item]]</f>
        <v>Maionese (250g)</v>
      </c>
      <c r="J307" s="4">
        <f>IFERROR(alimentos[[#This Row],[kg/embalagem]],0)</f>
        <v>0.25</v>
      </c>
      <c r="K307" s="4">
        <f>IFERROR(alimentos[[#This Row],[Preço]],0)</f>
        <v>3.98</v>
      </c>
      <c r="L307" s="4">
        <f>SUMIFS(super1[Qtde],super1[Item],tab_alimentos[[#This Row],[Item]],super1[Bairro],mercado1)+SUMIFS(supercb[Qtde],supercb[Item],tab_alimentos[[#This Row],[Item]],supercb[Bairro],mercado1)</f>
        <v>0</v>
      </c>
      <c r="M307" s="4">
        <f>SUMIFS(super1[Qtde],super1[Item],tab_alimentos[[#This Row],[Item]],super1[Bairro],mercado2)+SUMIFS(supercb[Qtde],supercb[Item],tab_alimentos[[#This Row],[Item]],supercb[Bairro],mercado2)</f>
        <v>0</v>
      </c>
      <c r="N307" s="4">
        <f>SUMIFS(super1[Qtde],super1[Item],tab_alimentos[[#This Row],[Item]],super1[Bairro],mercado3)+SUMIFS(supercb[Qtde],supercb[Item],tab_alimentos[[#This Row],[Item]],supercb[Bairro],mercado3)</f>
        <v>0</v>
      </c>
      <c r="O307" s="4">
        <f>SUMIFS(super1[Qtde],super1[Item],tab_alimentos[[#This Row],[Item]],super1[Bairro],mercado4)+SUMIFS(supercb[Qtde],supercb[Item],tab_alimentos[[#This Row],[Item]],supercb[Bairro],mercado4)</f>
        <v>0</v>
      </c>
      <c r="P307" s="4">
        <f>SUMIFS(super1[Qtde],super1[Item],tab_alimentos[[#This Row],[Item]],super1[Bairro],mercado5)+SUMIFS(supercb[Qtde],supercb[Item],tab_alimentos[[#This Row],[Item]],supercb[Bairro],mercado5)</f>
        <v>0</v>
      </c>
      <c r="Q307" s="4">
        <f>SUMIFS(super1[Qtde],super1[Item],tab_alimentos[[#This Row],[Item]],super1[Bairro],mercado6)+SUMIFS(supercb[Qtde],supercb[Item],tab_alimentos[[#This Row],[Item]],supercb[Bairro],mercado6)</f>
        <v>0</v>
      </c>
      <c r="R307" s="4">
        <f>SUMIFS(super1[Qtde],super1[Item],tab_alimentos[[#This Row],[Item]],super1[Bairro],mercado7)+SUMIFS(supercb[Qtde],supercb[Item],tab_alimentos[[#This Row],[Item]],supercb[Bairro],mercado7)</f>
        <v>0</v>
      </c>
      <c r="S307" s="4">
        <f>SUMIFS(super1[Qtde],super1[Item],tab_alimentos[[#This Row],[Item]],super1[Bairro],mercado8)+SUMIFS(supercb[Qtde],supercb[Item],tab_alimentos[[#This Row],[Item]],supercb[Bairro],mercado8)</f>
        <v>0</v>
      </c>
      <c r="T307" s="4">
        <f>SUMIFS(super1[Qtde],super1[Item],tab_alimentos[[#This Row],[Item]],super1[Bairro],mercado9)+SUMIFS(supercb[Qtde],supercb[Item],tab_alimentos[[#This Row],[Item]],supercb[Bairro],mercado9)</f>
        <v>0</v>
      </c>
      <c r="U307" s="4">
        <f>SUMIFS(super1[Qtde],super1[Item],tab_alimentos[[#This Row],[Item]],super1[Bairro],mercado10)+SUMIFS(supercb[Qtde],supercb[Item],tab_alimentos[[#This Row],[Item]],supercb[Bairro],mercado10)</f>
        <v>0</v>
      </c>
      <c r="V307" s="4">
        <f>SUMIFS(super1[Qtde],super1[Item],tab_alimentos[[#This Row],[Item]],super1[Bairro],mercado11)+SUMIFS(supercb[Qtde],supercb[Item],tab_alimentos[[#This Row],[Item]],supercb[Bairro],mercado11)</f>
        <v>0</v>
      </c>
      <c r="W307" s="4">
        <f>SUMIFS(super1[Qtde],super1[Item],tab_alimentos[[#This Row],[Item]],super1[Bairro],mercado12)+SUMIFS(supercb[Qtde],supercb[Item],tab_alimentos[[#This Row],[Item]],supercb[Bairro],mercado12)</f>
        <v>0</v>
      </c>
      <c r="X307" s="4">
        <f>SUMIFS(super1[Qtde],super1[Item],tab_alimentos[[#This Row],[Item]],super1[Bairro],mercado13)+SUMIFS(supercb[Qtde],supercb[Item],tab_alimentos[[#This Row],[Item]],supercb[Bairro],mercado13)</f>
        <v>0</v>
      </c>
      <c r="Y307" s="4">
        <f>SUMIFS(super1[Qtde],super1[Item],tab_alimentos[[#This Row],[Item]],super1[Bairro],mercado14)+SUMIFS(supercb[Qtde],supercb[Item],tab_alimentos[[#This Row],[Item]],supercb[Bairro],mercado14)</f>
        <v>0</v>
      </c>
      <c r="Z307" s="4">
        <f>SUMIFS(super1[Qtde],super1[Item],tab_alimentos[[#This Row],[Item]],super1[Bairro],mercado15)+SUMIFS(supercb[Qtde],supercb[Item],tab_alimentos[[#This Row],[Item]],supercb[Bairro],mercado15)</f>
        <v>0</v>
      </c>
      <c r="AA307" s="4">
        <f>SUMIFS(super1[Qtde],super1[Item],tab_alimentos[[#This Row],[Item]],super1[Bairro],mercado16)+SUMIFS(supercb[Qtde],supercb[Item],tab_alimentos[[#This Row],[Item]],supercb[Bairro],mercado16)</f>
        <v>0</v>
      </c>
      <c r="AB307" s="4">
        <f>SUMIFS(super1[Qtde],super1[Item],tab_alimentos[[#This Row],[Item]],super1[Bairro],mercado17)+SUMIFS(supercb[Qtde],supercb[Item],tab_alimentos[[#This Row],[Item]],supercb[Bairro],mercado17)</f>
        <v>0</v>
      </c>
      <c r="AC307" s="4">
        <f>SUMIFS(super1[Qtde],super1[Item],tab_alimentos[[#This Row],[Item]],super1[Bairro],mercado18)+SUMIFS(supercb[Qtde],supercb[Item],tab_alimentos[[#This Row],[Item]],supercb[Bairro],mercado18)</f>
        <v>0</v>
      </c>
      <c r="AD307" s="4">
        <f>SUMIFS(super1[Qtde],super1[Item],tab_alimentos[[#This Row],[Item]],super1[Bairro],extras)+SUMIFS(supercb[Qtde],supercb[Item],tab_alimentos[[#This Row],[Item]],supercb[Bairro],extras)</f>
        <v>0</v>
      </c>
      <c r="AE307" s="4">
        <f t="shared" si="88"/>
        <v>0</v>
      </c>
      <c r="AF307" s="4">
        <f t="shared" si="89"/>
        <v>0</v>
      </c>
      <c r="AG307" s="6">
        <f t="shared" si="90"/>
        <v>0</v>
      </c>
      <c r="AH307" s="13" t="e">
        <f>higiene[[#This Row],[Item]]</f>
        <v>#VALUE!</v>
      </c>
      <c r="AI307" s="9">
        <f>IFERROR(higiene[[#This Row],[Kg equivalente]],0)</f>
        <v>0</v>
      </c>
      <c r="AJ307" s="9">
        <f>IFERROR(higiene[[#This Row],[Preço por produto]],0)</f>
        <v>0</v>
      </c>
      <c r="AK307" s="4">
        <f>SUMIFS(super1[Qtde],super1[Item],tab_higiene[[#This Row],[Item]],super1[Bairro],mercado1)+SUMIFS(supercb[Qtde],supercb[Item],tab_higiene[[#This Row],[Item]],supercb[Bairro],mercado1)</f>
        <v>0</v>
      </c>
      <c r="AL307" s="4">
        <f>SUMIFS(super1[Qtde],super1[Item],tab_higiene[[#This Row],[Item]],super1[Bairro],mercado2)+SUMIFS(supercb[Qtde],supercb[Item],tab_higiene[[#This Row],[Item]],supercb[Bairro],mercado2)</f>
        <v>0</v>
      </c>
      <c r="AM307" s="4">
        <f>SUMIFS(super1[Qtde],super1[Item],tab_higiene[[#This Row],[Item]],super1[Bairro],mercado3)+SUMIFS(supercb[Qtde],supercb[Item],tab_higiene[[#This Row],[Item]],supercb[Bairro],mercado3)</f>
        <v>0</v>
      </c>
      <c r="AN307" s="4">
        <f>SUMIFS(super1[Qtde],super1[Item],tab_higiene[[#This Row],[Item]],super1[Bairro],mercado4)+SUMIFS(supercb[Qtde],supercb[Item],tab_higiene[[#This Row],[Item]],supercb[Bairro],mercado4)</f>
        <v>0</v>
      </c>
      <c r="AO307" s="4">
        <f>SUMIFS(super1[Qtde],super1[Item],tab_higiene[[#This Row],[Item]],super1[Bairro],mercado5)+SUMIFS(supercb[Qtde],supercb[Item],tab_higiene[[#This Row],[Item]],supercb[Bairro],mercado5)</f>
        <v>0</v>
      </c>
      <c r="AP307" s="4">
        <f>SUMIFS(super1[Qtde],super1[Item],tab_higiene[[#This Row],[Item]],super1[Bairro],mercado6)+SUMIFS(supercb[Qtde],supercb[Item],tab_higiene[[#This Row],[Item]],supercb[Bairro],mercado6)</f>
        <v>0</v>
      </c>
      <c r="AQ307" s="4">
        <f>SUMIFS(super1[Qtde],super1[Item],tab_higiene[[#This Row],[Item]],super1[Bairro],mercado7)+SUMIFS(supercb[Qtde],supercb[Item],tab_higiene[[#This Row],[Item]],supercb[Bairro],mercado7)</f>
        <v>0</v>
      </c>
      <c r="AR307" s="4">
        <f>SUMIFS(super1[Qtde],super1[Item],tab_higiene[[#This Row],[Item]],super1[Bairro],mercado8)+SUMIFS(supercb[Qtde],supercb[Item],tab_higiene[[#This Row],[Item]],supercb[Bairro],mercado8)</f>
        <v>0</v>
      </c>
      <c r="AS307" s="4">
        <f>SUMIFS(super1[Qtde],super1[Item],tab_higiene[[#This Row],[Item]],super1[Bairro],mercado9)+SUMIFS(supercb[Qtde],supercb[Item],tab_higiene[[#This Row],[Item]],supercb[Bairro],mercado9)</f>
        <v>0</v>
      </c>
      <c r="AT307" s="4">
        <f>SUMIFS(super1[Qtde],super1[Item],tab_higiene[[#This Row],[Item]],super1[Bairro],mercado10)+SUMIFS(supercb[Qtde],supercb[Item],tab_higiene[[#This Row],[Item]],supercb[Bairro],mercado10)</f>
        <v>0</v>
      </c>
      <c r="AU307" s="4">
        <f>SUMIFS(super1[Qtde],super1[Item],tab_higiene[[#This Row],[Item]],super1[Bairro],mercado11)+SUMIFS(supercb[Qtde],supercb[Item],tab_higiene[[#This Row],[Item]],supercb[Bairro],mercado11)</f>
        <v>0</v>
      </c>
      <c r="AV307" s="4">
        <f>SUMIFS(super1[Qtde],super1[Item],tab_higiene[[#This Row],[Item]],super1[Bairro],mercado12)+SUMIFS(supercb[Qtde],supercb[Item],tab_higiene[[#This Row],[Item]],supercb[Bairro],mercado12)</f>
        <v>0</v>
      </c>
      <c r="AW307" s="4">
        <f>SUMIFS(super1[Qtde],super1[Item],tab_higiene[[#This Row],[Item]],super1[Bairro],mercado13)+SUMIFS(supercb[Qtde],supercb[Item],tab_higiene[[#This Row],[Item]],supercb[Bairro],mercado13)</f>
        <v>0</v>
      </c>
      <c r="AX307" s="4">
        <f>SUMIFS(super1[Qtde],super1[Item],tab_higiene[[#This Row],[Item]],super1[Bairro],mercado14)+SUMIFS(supercb[Qtde],supercb[Item],tab_higiene[[#This Row],[Item]],supercb[Bairro],mercado14)</f>
        <v>0</v>
      </c>
      <c r="AY307" s="4">
        <f>SUMIFS(super1[Qtde],super1[Item],tab_higiene[[#This Row],[Item]],super1[Bairro],mercado15)+SUMIFS(supercb[Qtde],supercb[Item],tab_higiene[[#This Row],[Item]],supercb[Bairro],mercado15)</f>
        <v>0</v>
      </c>
      <c r="AZ307" s="4">
        <f>SUMIFS(super1[Qtde],super1[Item],tab_higiene[[#This Row],[Item]],super1[Bairro],mercado16)+SUMIFS(supercb[Qtde],supercb[Item],tab_higiene[[#This Row],[Item]],supercb[Bairro],mercado16)</f>
        <v>0</v>
      </c>
      <c r="BA307" s="4">
        <f>SUMIFS(super1[Qtde],super1[Item],tab_higiene[[#This Row],[Item]],super1[Bairro],mercado17)+SUMIFS(supercb[Qtde],supercb[Item],tab_higiene[[#This Row],[Item]],supercb[Bairro],mercado17)</f>
        <v>0</v>
      </c>
      <c r="BB307" s="4">
        <f>SUMIFS(super1[Qtde],super1[Item],tab_higiene[[#This Row],[Item]],super1[Bairro],mercado18)+SUMIFS(supercb[Qtde],supercb[Item],tab_higiene[[#This Row],[Item]],supercb[Bairro],mercado18)</f>
        <v>0</v>
      </c>
      <c r="BC307" s="31">
        <f>SUMIFS(super1[Qtde],super1[Item],tab_higiene[[#This Row],[Item]],super1[Bairro],extras)+SUMIFS(supercb[Qtde],supercb[Item],tab_higiene[[#This Row],[Item]],supercb[Bairro],extras)</f>
        <v>0</v>
      </c>
      <c r="BD307" s="9">
        <f t="shared" si="91"/>
        <v>0</v>
      </c>
      <c r="BE307" s="9">
        <f t="shared" si="92"/>
        <v>0</v>
      </c>
      <c r="BF307" s="18">
        <f t="shared" si="93"/>
        <v>0</v>
      </c>
    </row>
    <row r="308" spans="9:58" ht="15.75" thickBot="1" x14ac:dyDescent="0.3">
      <c r="I308" s="19" t="str">
        <f>alimentos[[#This Row],[Item]]</f>
        <v>Maionese (270g)</v>
      </c>
      <c r="J308" s="4">
        <f>IFERROR(alimentos[[#This Row],[kg/embalagem]],0)</f>
        <v>0.27</v>
      </c>
      <c r="K308" s="4">
        <f>IFERROR(alimentos[[#This Row],[Preço]],0)</f>
        <v>5.53</v>
      </c>
      <c r="L308" s="4">
        <f>SUMIFS(super1[Qtde],super1[Item],tab_alimentos[[#This Row],[Item]],super1[Bairro],mercado1)+SUMIFS(supercb[Qtde],supercb[Item],tab_alimentos[[#This Row],[Item]],supercb[Bairro],mercado1)</f>
        <v>0</v>
      </c>
      <c r="M308" s="4">
        <f>SUMIFS(super1[Qtde],super1[Item],tab_alimentos[[#This Row],[Item]],super1[Bairro],mercado2)+SUMIFS(supercb[Qtde],supercb[Item],tab_alimentos[[#This Row],[Item]],supercb[Bairro],mercado2)</f>
        <v>0</v>
      </c>
      <c r="N308" s="4">
        <f>SUMIFS(super1[Qtde],super1[Item],tab_alimentos[[#This Row],[Item]],super1[Bairro],mercado3)+SUMIFS(supercb[Qtde],supercb[Item],tab_alimentos[[#This Row],[Item]],supercb[Bairro],mercado3)</f>
        <v>0</v>
      </c>
      <c r="O308" s="4">
        <f>SUMIFS(super1[Qtde],super1[Item],tab_alimentos[[#This Row],[Item]],super1[Bairro],mercado4)+SUMIFS(supercb[Qtde],supercb[Item],tab_alimentos[[#This Row],[Item]],supercb[Bairro],mercado4)</f>
        <v>0</v>
      </c>
      <c r="P308" s="4">
        <f>SUMIFS(super1[Qtde],super1[Item],tab_alimentos[[#This Row],[Item]],super1[Bairro],mercado5)+SUMIFS(supercb[Qtde],supercb[Item],tab_alimentos[[#This Row],[Item]],supercb[Bairro],mercado5)</f>
        <v>0</v>
      </c>
      <c r="Q308" s="4">
        <f>SUMIFS(super1[Qtde],super1[Item],tab_alimentos[[#This Row],[Item]],super1[Bairro],mercado6)+SUMIFS(supercb[Qtde],supercb[Item],tab_alimentos[[#This Row],[Item]],supercb[Bairro],mercado6)</f>
        <v>0</v>
      </c>
      <c r="R308" s="4">
        <f>SUMIFS(super1[Qtde],super1[Item],tab_alimentos[[#This Row],[Item]],super1[Bairro],mercado7)+SUMIFS(supercb[Qtde],supercb[Item],tab_alimentos[[#This Row],[Item]],supercb[Bairro],mercado7)</f>
        <v>0</v>
      </c>
      <c r="S308" s="4">
        <f>SUMIFS(super1[Qtde],super1[Item],tab_alimentos[[#This Row],[Item]],super1[Bairro],mercado8)+SUMIFS(supercb[Qtde],supercb[Item],tab_alimentos[[#This Row],[Item]],supercb[Bairro],mercado8)</f>
        <v>0</v>
      </c>
      <c r="T308" s="4">
        <f>SUMIFS(super1[Qtde],super1[Item],tab_alimentos[[#This Row],[Item]],super1[Bairro],mercado9)+SUMIFS(supercb[Qtde],supercb[Item],tab_alimentos[[#This Row],[Item]],supercb[Bairro],mercado9)</f>
        <v>0</v>
      </c>
      <c r="U308" s="4">
        <f>SUMIFS(super1[Qtde],super1[Item],tab_alimentos[[#This Row],[Item]],super1[Bairro],mercado10)+SUMIFS(supercb[Qtde],supercb[Item],tab_alimentos[[#This Row],[Item]],supercb[Bairro],mercado10)</f>
        <v>0</v>
      </c>
      <c r="V308" s="4">
        <f>SUMIFS(super1[Qtde],super1[Item],tab_alimentos[[#This Row],[Item]],super1[Bairro],mercado11)+SUMIFS(supercb[Qtde],supercb[Item],tab_alimentos[[#This Row],[Item]],supercb[Bairro],mercado11)</f>
        <v>0</v>
      </c>
      <c r="W308" s="4">
        <f>SUMIFS(super1[Qtde],super1[Item],tab_alimentos[[#This Row],[Item]],super1[Bairro],mercado12)+SUMIFS(supercb[Qtde],supercb[Item],tab_alimentos[[#This Row],[Item]],supercb[Bairro],mercado12)</f>
        <v>0</v>
      </c>
      <c r="X308" s="4">
        <f>SUMIFS(super1[Qtde],super1[Item],tab_alimentos[[#This Row],[Item]],super1[Bairro],mercado13)+SUMIFS(supercb[Qtde],supercb[Item],tab_alimentos[[#This Row],[Item]],supercb[Bairro],mercado13)</f>
        <v>0</v>
      </c>
      <c r="Y308" s="4">
        <f>SUMIFS(super1[Qtde],super1[Item],tab_alimentos[[#This Row],[Item]],super1[Bairro],mercado14)+SUMIFS(supercb[Qtde],supercb[Item],tab_alimentos[[#This Row],[Item]],supercb[Bairro],mercado14)</f>
        <v>0</v>
      </c>
      <c r="Z308" s="4">
        <f>SUMIFS(super1[Qtde],super1[Item],tab_alimentos[[#This Row],[Item]],super1[Bairro],mercado15)+SUMIFS(supercb[Qtde],supercb[Item],tab_alimentos[[#This Row],[Item]],supercb[Bairro],mercado15)</f>
        <v>0</v>
      </c>
      <c r="AA308" s="4">
        <f>SUMIFS(super1[Qtde],super1[Item],tab_alimentos[[#This Row],[Item]],super1[Bairro],mercado16)+SUMIFS(supercb[Qtde],supercb[Item],tab_alimentos[[#This Row],[Item]],supercb[Bairro],mercado16)</f>
        <v>0</v>
      </c>
      <c r="AB308" s="4">
        <f>SUMIFS(super1[Qtde],super1[Item],tab_alimentos[[#This Row],[Item]],super1[Bairro],mercado17)+SUMIFS(supercb[Qtde],supercb[Item],tab_alimentos[[#This Row],[Item]],supercb[Bairro],mercado17)</f>
        <v>0</v>
      </c>
      <c r="AC308" s="4">
        <f>SUMIFS(super1[Qtde],super1[Item],tab_alimentos[[#This Row],[Item]],super1[Bairro],mercado18)+SUMIFS(supercb[Qtde],supercb[Item],tab_alimentos[[#This Row],[Item]],supercb[Bairro],mercado18)</f>
        <v>0</v>
      </c>
      <c r="AD308" s="4">
        <f>SUMIFS(super1[Qtde],super1[Item],tab_alimentos[[#This Row],[Item]],super1[Bairro],extras)+SUMIFS(supercb[Qtde],supercb[Item],tab_alimentos[[#This Row],[Item]],supercb[Bairro],extras)</f>
        <v>0</v>
      </c>
      <c r="AE308" s="4">
        <f t="shared" si="88"/>
        <v>0</v>
      </c>
      <c r="AF308" s="4">
        <f t="shared" si="89"/>
        <v>0</v>
      </c>
      <c r="AG308" s="6">
        <f t="shared" si="90"/>
        <v>0</v>
      </c>
      <c r="AH308" s="13" t="e">
        <f>higiene[[#This Row],[Item]]</f>
        <v>#VALUE!</v>
      </c>
      <c r="AI308" s="9">
        <f>IFERROR(higiene[[#This Row],[Kg equivalente]],0)</f>
        <v>0</v>
      </c>
      <c r="AJ308" s="9">
        <f>IFERROR(higiene[[#This Row],[Preço por produto]],0)</f>
        <v>0</v>
      </c>
      <c r="AK308" s="4">
        <f>SUMIFS(super1[Qtde],super1[Item],tab_higiene[[#This Row],[Item]],super1[Bairro],mercado1)+SUMIFS(supercb[Qtde],supercb[Item],tab_higiene[[#This Row],[Item]],supercb[Bairro],mercado1)</f>
        <v>0</v>
      </c>
      <c r="AL308" s="4">
        <f>SUMIFS(super1[Qtde],super1[Item],tab_higiene[[#This Row],[Item]],super1[Bairro],mercado2)+SUMIFS(supercb[Qtde],supercb[Item],tab_higiene[[#This Row],[Item]],supercb[Bairro],mercado2)</f>
        <v>0</v>
      </c>
      <c r="AM308" s="4">
        <f>SUMIFS(super1[Qtde],super1[Item],tab_higiene[[#This Row],[Item]],super1[Bairro],mercado3)+SUMIFS(supercb[Qtde],supercb[Item],tab_higiene[[#This Row],[Item]],supercb[Bairro],mercado3)</f>
        <v>0</v>
      </c>
      <c r="AN308" s="4">
        <f>SUMIFS(super1[Qtde],super1[Item],tab_higiene[[#This Row],[Item]],super1[Bairro],mercado4)+SUMIFS(supercb[Qtde],supercb[Item],tab_higiene[[#This Row],[Item]],supercb[Bairro],mercado4)</f>
        <v>0</v>
      </c>
      <c r="AO308" s="4">
        <f>SUMIFS(super1[Qtde],super1[Item],tab_higiene[[#This Row],[Item]],super1[Bairro],mercado5)+SUMIFS(supercb[Qtde],supercb[Item],tab_higiene[[#This Row],[Item]],supercb[Bairro],mercado5)</f>
        <v>0</v>
      </c>
      <c r="AP308" s="4">
        <f>SUMIFS(super1[Qtde],super1[Item],tab_higiene[[#This Row],[Item]],super1[Bairro],mercado6)+SUMIFS(supercb[Qtde],supercb[Item],tab_higiene[[#This Row],[Item]],supercb[Bairro],mercado6)</f>
        <v>0</v>
      </c>
      <c r="AQ308" s="4">
        <f>SUMIFS(super1[Qtde],super1[Item],tab_higiene[[#This Row],[Item]],super1[Bairro],mercado7)+SUMIFS(supercb[Qtde],supercb[Item],tab_higiene[[#This Row],[Item]],supercb[Bairro],mercado7)</f>
        <v>0</v>
      </c>
      <c r="AR308" s="4">
        <f>SUMIFS(super1[Qtde],super1[Item],tab_higiene[[#This Row],[Item]],super1[Bairro],mercado8)+SUMIFS(supercb[Qtde],supercb[Item],tab_higiene[[#This Row],[Item]],supercb[Bairro],mercado8)</f>
        <v>0</v>
      </c>
      <c r="AS308" s="4">
        <f>SUMIFS(super1[Qtde],super1[Item],tab_higiene[[#This Row],[Item]],super1[Bairro],mercado9)+SUMIFS(supercb[Qtde],supercb[Item],tab_higiene[[#This Row],[Item]],supercb[Bairro],mercado9)</f>
        <v>0</v>
      </c>
      <c r="AT308" s="4">
        <f>SUMIFS(super1[Qtde],super1[Item],tab_higiene[[#This Row],[Item]],super1[Bairro],mercado10)+SUMIFS(supercb[Qtde],supercb[Item],tab_higiene[[#This Row],[Item]],supercb[Bairro],mercado10)</f>
        <v>0</v>
      </c>
      <c r="AU308" s="4">
        <f>SUMIFS(super1[Qtde],super1[Item],tab_higiene[[#This Row],[Item]],super1[Bairro],mercado11)+SUMIFS(supercb[Qtde],supercb[Item],tab_higiene[[#This Row],[Item]],supercb[Bairro],mercado11)</f>
        <v>0</v>
      </c>
      <c r="AV308" s="4">
        <f>SUMIFS(super1[Qtde],super1[Item],tab_higiene[[#This Row],[Item]],super1[Bairro],mercado12)+SUMIFS(supercb[Qtde],supercb[Item],tab_higiene[[#This Row],[Item]],supercb[Bairro],mercado12)</f>
        <v>0</v>
      </c>
      <c r="AW308" s="4">
        <f>SUMIFS(super1[Qtde],super1[Item],tab_higiene[[#This Row],[Item]],super1[Bairro],mercado13)+SUMIFS(supercb[Qtde],supercb[Item],tab_higiene[[#This Row],[Item]],supercb[Bairro],mercado13)</f>
        <v>0</v>
      </c>
      <c r="AX308" s="4">
        <f>SUMIFS(super1[Qtde],super1[Item],tab_higiene[[#This Row],[Item]],super1[Bairro],mercado14)+SUMIFS(supercb[Qtde],supercb[Item],tab_higiene[[#This Row],[Item]],supercb[Bairro],mercado14)</f>
        <v>0</v>
      </c>
      <c r="AY308" s="4">
        <f>SUMIFS(super1[Qtde],super1[Item],tab_higiene[[#This Row],[Item]],super1[Bairro],mercado15)+SUMIFS(supercb[Qtde],supercb[Item],tab_higiene[[#This Row],[Item]],supercb[Bairro],mercado15)</f>
        <v>0</v>
      </c>
      <c r="AZ308" s="4">
        <f>SUMIFS(super1[Qtde],super1[Item],tab_higiene[[#This Row],[Item]],super1[Bairro],mercado16)+SUMIFS(supercb[Qtde],supercb[Item],tab_higiene[[#This Row],[Item]],supercb[Bairro],mercado16)</f>
        <v>0</v>
      </c>
      <c r="BA308" s="4">
        <f>SUMIFS(super1[Qtde],super1[Item],tab_higiene[[#This Row],[Item]],super1[Bairro],mercado17)+SUMIFS(supercb[Qtde],supercb[Item],tab_higiene[[#This Row],[Item]],supercb[Bairro],mercado17)</f>
        <v>0</v>
      </c>
      <c r="BB308" s="4">
        <f>SUMIFS(super1[Qtde],super1[Item],tab_higiene[[#This Row],[Item]],super1[Bairro],mercado18)+SUMIFS(supercb[Qtde],supercb[Item],tab_higiene[[#This Row],[Item]],supercb[Bairro],mercado18)</f>
        <v>0</v>
      </c>
      <c r="BC308" s="31">
        <f>SUMIFS(super1[Qtde],super1[Item],tab_higiene[[#This Row],[Item]],super1[Bairro],extras)+SUMIFS(supercb[Qtde],supercb[Item],tab_higiene[[#This Row],[Item]],supercb[Bairro],extras)</f>
        <v>0</v>
      </c>
      <c r="BD308" s="9">
        <f t="shared" si="91"/>
        <v>0</v>
      </c>
      <c r="BE308" s="9">
        <f t="shared" si="92"/>
        <v>0</v>
      </c>
      <c r="BF308" s="18">
        <f t="shared" si="93"/>
        <v>0</v>
      </c>
    </row>
    <row r="309" spans="9:58" ht="15.75" thickBot="1" x14ac:dyDescent="0.3">
      <c r="I309" s="19" t="str">
        <f>alimentos[[#This Row],[Item]]</f>
        <v>Maionese (300g)</v>
      </c>
      <c r="J309" s="4">
        <f>IFERROR(alimentos[[#This Row],[kg/embalagem]],0)</f>
        <v>0.3</v>
      </c>
      <c r="K309" s="4">
        <f>IFERROR(alimentos[[#This Row],[Preço]],0)</f>
        <v>8.99</v>
      </c>
      <c r="L309" s="4">
        <f>SUMIFS(super1[Qtde],super1[Item],tab_alimentos[[#This Row],[Item]],super1[Bairro],mercado1)+SUMIFS(supercb[Qtde],supercb[Item],tab_alimentos[[#This Row],[Item]],supercb[Bairro],mercado1)</f>
        <v>0</v>
      </c>
      <c r="M309" s="4">
        <f>SUMIFS(super1[Qtde],super1[Item],tab_alimentos[[#This Row],[Item]],super1[Bairro],mercado2)+SUMIFS(supercb[Qtde],supercb[Item],tab_alimentos[[#This Row],[Item]],supercb[Bairro],mercado2)</f>
        <v>0</v>
      </c>
      <c r="N309" s="4">
        <f>SUMIFS(super1[Qtde],super1[Item],tab_alimentos[[#This Row],[Item]],super1[Bairro],mercado3)+SUMIFS(supercb[Qtde],supercb[Item],tab_alimentos[[#This Row],[Item]],supercb[Bairro],mercado3)</f>
        <v>0</v>
      </c>
      <c r="O309" s="4">
        <f>SUMIFS(super1[Qtde],super1[Item],tab_alimentos[[#This Row],[Item]],super1[Bairro],mercado4)+SUMIFS(supercb[Qtde],supercb[Item],tab_alimentos[[#This Row],[Item]],supercb[Bairro],mercado4)</f>
        <v>0</v>
      </c>
      <c r="P309" s="4">
        <f>SUMIFS(super1[Qtde],super1[Item],tab_alimentos[[#This Row],[Item]],super1[Bairro],mercado5)+SUMIFS(supercb[Qtde],supercb[Item],tab_alimentos[[#This Row],[Item]],supercb[Bairro],mercado5)</f>
        <v>0</v>
      </c>
      <c r="Q309" s="4">
        <f>SUMIFS(super1[Qtde],super1[Item],tab_alimentos[[#This Row],[Item]],super1[Bairro],mercado6)+SUMIFS(supercb[Qtde],supercb[Item],tab_alimentos[[#This Row],[Item]],supercb[Bairro],mercado6)</f>
        <v>0</v>
      </c>
      <c r="R309" s="4">
        <f>SUMIFS(super1[Qtde],super1[Item],tab_alimentos[[#This Row],[Item]],super1[Bairro],mercado7)+SUMIFS(supercb[Qtde],supercb[Item],tab_alimentos[[#This Row],[Item]],supercb[Bairro],mercado7)</f>
        <v>0</v>
      </c>
      <c r="S309" s="4">
        <f>SUMIFS(super1[Qtde],super1[Item],tab_alimentos[[#This Row],[Item]],super1[Bairro],mercado8)+SUMIFS(supercb[Qtde],supercb[Item],tab_alimentos[[#This Row],[Item]],supercb[Bairro],mercado8)</f>
        <v>0</v>
      </c>
      <c r="T309" s="4">
        <f>SUMIFS(super1[Qtde],super1[Item],tab_alimentos[[#This Row],[Item]],super1[Bairro],mercado9)+SUMIFS(supercb[Qtde],supercb[Item],tab_alimentos[[#This Row],[Item]],supercb[Bairro],mercado9)</f>
        <v>0</v>
      </c>
      <c r="U309" s="4">
        <f>SUMIFS(super1[Qtde],super1[Item],tab_alimentos[[#This Row],[Item]],super1[Bairro],mercado10)+SUMIFS(supercb[Qtde],supercb[Item],tab_alimentos[[#This Row],[Item]],supercb[Bairro],mercado10)</f>
        <v>0</v>
      </c>
      <c r="V309" s="4">
        <f>SUMIFS(super1[Qtde],super1[Item],tab_alimentos[[#This Row],[Item]],super1[Bairro],mercado11)+SUMIFS(supercb[Qtde],supercb[Item],tab_alimentos[[#This Row],[Item]],supercb[Bairro],mercado11)</f>
        <v>0</v>
      </c>
      <c r="W309" s="4">
        <f>SUMIFS(super1[Qtde],super1[Item],tab_alimentos[[#This Row],[Item]],super1[Bairro],mercado12)+SUMIFS(supercb[Qtde],supercb[Item],tab_alimentos[[#This Row],[Item]],supercb[Bairro],mercado12)</f>
        <v>0</v>
      </c>
      <c r="X309" s="4">
        <f>SUMIFS(super1[Qtde],super1[Item],tab_alimentos[[#This Row],[Item]],super1[Bairro],mercado13)+SUMIFS(supercb[Qtde],supercb[Item],tab_alimentos[[#This Row],[Item]],supercb[Bairro],mercado13)</f>
        <v>0</v>
      </c>
      <c r="Y309" s="4">
        <f>SUMIFS(super1[Qtde],super1[Item],tab_alimentos[[#This Row],[Item]],super1[Bairro],mercado14)+SUMIFS(supercb[Qtde],supercb[Item],tab_alimentos[[#This Row],[Item]],supercb[Bairro],mercado14)</f>
        <v>0</v>
      </c>
      <c r="Z309" s="4">
        <f>SUMIFS(super1[Qtde],super1[Item],tab_alimentos[[#This Row],[Item]],super1[Bairro],mercado15)+SUMIFS(supercb[Qtde],supercb[Item],tab_alimentos[[#This Row],[Item]],supercb[Bairro],mercado15)</f>
        <v>0</v>
      </c>
      <c r="AA309" s="4">
        <f>SUMIFS(super1[Qtde],super1[Item],tab_alimentos[[#This Row],[Item]],super1[Bairro],mercado16)+SUMIFS(supercb[Qtde],supercb[Item],tab_alimentos[[#This Row],[Item]],supercb[Bairro],mercado16)</f>
        <v>0</v>
      </c>
      <c r="AB309" s="4">
        <f>SUMIFS(super1[Qtde],super1[Item],tab_alimentos[[#This Row],[Item]],super1[Bairro],mercado17)+SUMIFS(supercb[Qtde],supercb[Item],tab_alimentos[[#This Row],[Item]],supercb[Bairro],mercado17)</f>
        <v>0</v>
      </c>
      <c r="AC309" s="4">
        <f>SUMIFS(super1[Qtde],super1[Item],tab_alimentos[[#This Row],[Item]],super1[Bairro],mercado18)+SUMIFS(supercb[Qtde],supercb[Item],tab_alimentos[[#This Row],[Item]],supercb[Bairro],mercado18)</f>
        <v>0</v>
      </c>
      <c r="AD309" s="4">
        <f>SUMIFS(super1[Qtde],super1[Item],tab_alimentos[[#This Row],[Item]],super1[Bairro],extras)+SUMIFS(supercb[Qtde],supercb[Item],tab_alimentos[[#This Row],[Item]],supercb[Bairro],extras)</f>
        <v>0</v>
      </c>
      <c r="AE309" s="4">
        <f t="shared" si="88"/>
        <v>0</v>
      </c>
      <c r="AF309" s="4">
        <f t="shared" si="89"/>
        <v>0</v>
      </c>
      <c r="AG309" s="6">
        <f t="shared" si="90"/>
        <v>0</v>
      </c>
      <c r="AH309" s="13" t="e">
        <f>higiene[[#This Row],[Item]]</f>
        <v>#VALUE!</v>
      </c>
      <c r="AI309" s="9">
        <f>IFERROR(higiene[[#This Row],[Kg equivalente]],0)</f>
        <v>0</v>
      </c>
      <c r="AJ309" s="9">
        <f>IFERROR(higiene[[#This Row],[Preço por produto]],0)</f>
        <v>0</v>
      </c>
      <c r="AK309" s="4">
        <f>SUMIFS(super1[Qtde],super1[Item],tab_higiene[[#This Row],[Item]],super1[Bairro],mercado1)+SUMIFS(supercb[Qtde],supercb[Item],tab_higiene[[#This Row],[Item]],supercb[Bairro],mercado1)</f>
        <v>0</v>
      </c>
      <c r="AL309" s="4">
        <f>SUMIFS(super1[Qtde],super1[Item],tab_higiene[[#This Row],[Item]],super1[Bairro],mercado2)+SUMIFS(supercb[Qtde],supercb[Item],tab_higiene[[#This Row],[Item]],supercb[Bairro],mercado2)</f>
        <v>0</v>
      </c>
      <c r="AM309" s="4">
        <f>SUMIFS(super1[Qtde],super1[Item],tab_higiene[[#This Row],[Item]],super1[Bairro],mercado3)+SUMIFS(supercb[Qtde],supercb[Item],tab_higiene[[#This Row],[Item]],supercb[Bairro],mercado3)</f>
        <v>0</v>
      </c>
      <c r="AN309" s="4">
        <f>SUMIFS(super1[Qtde],super1[Item],tab_higiene[[#This Row],[Item]],super1[Bairro],mercado4)+SUMIFS(supercb[Qtde],supercb[Item],tab_higiene[[#This Row],[Item]],supercb[Bairro],mercado4)</f>
        <v>0</v>
      </c>
      <c r="AO309" s="4">
        <f>SUMIFS(super1[Qtde],super1[Item],tab_higiene[[#This Row],[Item]],super1[Bairro],mercado5)+SUMIFS(supercb[Qtde],supercb[Item],tab_higiene[[#This Row],[Item]],supercb[Bairro],mercado5)</f>
        <v>0</v>
      </c>
      <c r="AP309" s="4">
        <f>SUMIFS(super1[Qtde],super1[Item],tab_higiene[[#This Row],[Item]],super1[Bairro],mercado6)+SUMIFS(supercb[Qtde],supercb[Item],tab_higiene[[#This Row],[Item]],supercb[Bairro],mercado6)</f>
        <v>0</v>
      </c>
      <c r="AQ309" s="4">
        <f>SUMIFS(super1[Qtde],super1[Item],tab_higiene[[#This Row],[Item]],super1[Bairro],mercado7)+SUMIFS(supercb[Qtde],supercb[Item],tab_higiene[[#This Row],[Item]],supercb[Bairro],mercado7)</f>
        <v>0</v>
      </c>
      <c r="AR309" s="4">
        <f>SUMIFS(super1[Qtde],super1[Item],tab_higiene[[#This Row],[Item]],super1[Bairro],mercado8)+SUMIFS(supercb[Qtde],supercb[Item],tab_higiene[[#This Row],[Item]],supercb[Bairro],mercado8)</f>
        <v>0</v>
      </c>
      <c r="AS309" s="4">
        <f>SUMIFS(super1[Qtde],super1[Item],tab_higiene[[#This Row],[Item]],super1[Bairro],mercado9)+SUMIFS(supercb[Qtde],supercb[Item],tab_higiene[[#This Row],[Item]],supercb[Bairro],mercado9)</f>
        <v>0</v>
      </c>
      <c r="AT309" s="4">
        <f>SUMIFS(super1[Qtde],super1[Item],tab_higiene[[#This Row],[Item]],super1[Bairro],mercado10)+SUMIFS(supercb[Qtde],supercb[Item],tab_higiene[[#This Row],[Item]],supercb[Bairro],mercado10)</f>
        <v>0</v>
      </c>
      <c r="AU309" s="4">
        <f>SUMIFS(super1[Qtde],super1[Item],tab_higiene[[#This Row],[Item]],super1[Bairro],mercado11)+SUMIFS(supercb[Qtde],supercb[Item],tab_higiene[[#This Row],[Item]],supercb[Bairro],mercado11)</f>
        <v>0</v>
      </c>
      <c r="AV309" s="4">
        <f>SUMIFS(super1[Qtde],super1[Item],tab_higiene[[#This Row],[Item]],super1[Bairro],mercado12)+SUMIFS(supercb[Qtde],supercb[Item],tab_higiene[[#This Row],[Item]],supercb[Bairro],mercado12)</f>
        <v>0</v>
      </c>
      <c r="AW309" s="4">
        <f>SUMIFS(super1[Qtde],super1[Item],tab_higiene[[#This Row],[Item]],super1[Bairro],mercado13)+SUMIFS(supercb[Qtde],supercb[Item],tab_higiene[[#This Row],[Item]],supercb[Bairro],mercado13)</f>
        <v>0</v>
      </c>
      <c r="AX309" s="4">
        <f>SUMIFS(super1[Qtde],super1[Item],tab_higiene[[#This Row],[Item]],super1[Bairro],mercado14)+SUMIFS(supercb[Qtde],supercb[Item],tab_higiene[[#This Row],[Item]],supercb[Bairro],mercado14)</f>
        <v>0</v>
      </c>
      <c r="AY309" s="4">
        <f>SUMIFS(super1[Qtde],super1[Item],tab_higiene[[#This Row],[Item]],super1[Bairro],mercado15)+SUMIFS(supercb[Qtde],supercb[Item],tab_higiene[[#This Row],[Item]],supercb[Bairro],mercado15)</f>
        <v>0</v>
      </c>
      <c r="AZ309" s="4">
        <f>SUMIFS(super1[Qtde],super1[Item],tab_higiene[[#This Row],[Item]],super1[Bairro],mercado16)+SUMIFS(supercb[Qtde],supercb[Item],tab_higiene[[#This Row],[Item]],supercb[Bairro],mercado16)</f>
        <v>0</v>
      </c>
      <c r="BA309" s="4">
        <f>SUMIFS(super1[Qtde],super1[Item],tab_higiene[[#This Row],[Item]],super1[Bairro],mercado17)+SUMIFS(supercb[Qtde],supercb[Item],tab_higiene[[#This Row],[Item]],supercb[Bairro],mercado17)</f>
        <v>0</v>
      </c>
      <c r="BB309" s="4">
        <f>SUMIFS(super1[Qtde],super1[Item],tab_higiene[[#This Row],[Item]],super1[Bairro],mercado18)+SUMIFS(supercb[Qtde],supercb[Item],tab_higiene[[#This Row],[Item]],supercb[Bairro],mercado18)</f>
        <v>0</v>
      </c>
      <c r="BC309" s="31">
        <f>SUMIFS(super1[Qtde],super1[Item],tab_higiene[[#This Row],[Item]],super1[Bairro],extras)+SUMIFS(supercb[Qtde],supercb[Item],tab_higiene[[#This Row],[Item]],supercb[Bairro],extras)</f>
        <v>0</v>
      </c>
      <c r="BD309" s="9">
        <f t="shared" si="91"/>
        <v>0</v>
      </c>
      <c r="BE309" s="9">
        <f t="shared" si="92"/>
        <v>0</v>
      </c>
      <c r="BF309" s="18">
        <f t="shared" si="93"/>
        <v>0</v>
      </c>
    </row>
    <row r="310" spans="9:58" ht="15.75" thickBot="1" x14ac:dyDescent="0.3">
      <c r="I310" s="19" t="str">
        <f>alimentos[[#This Row],[Item]]</f>
        <v>Maionese (400g)</v>
      </c>
      <c r="J310" s="4">
        <f>IFERROR(alimentos[[#This Row],[kg/embalagem]],0)</f>
        <v>0.4</v>
      </c>
      <c r="K310" s="4">
        <f>IFERROR(alimentos[[#This Row],[Preço]],0)</f>
        <v>15.9</v>
      </c>
      <c r="L310" s="4">
        <f>SUMIFS(super1[Qtde],super1[Item],tab_alimentos[[#This Row],[Item]],super1[Bairro],mercado1)+SUMIFS(supercb[Qtde],supercb[Item],tab_alimentos[[#This Row],[Item]],supercb[Bairro],mercado1)</f>
        <v>0</v>
      </c>
      <c r="M310" s="4">
        <f>SUMIFS(super1[Qtde],super1[Item],tab_alimentos[[#This Row],[Item]],super1[Bairro],mercado2)+SUMIFS(supercb[Qtde],supercb[Item],tab_alimentos[[#This Row],[Item]],supercb[Bairro],mercado2)</f>
        <v>0</v>
      </c>
      <c r="N310" s="4">
        <f>SUMIFS(super1[Qtde],super1[Item],tab_alimentos[[#This Row],[Item]],super1[Bairro],mercado3)+SUMIFS(supercb[Qtde],supercb[Item],tab_alimentos[[#This Row],[Item]],supercb[Bairro],mercado3)</f>
        <v>0</v>
      </c>
      <c r="O310" s="4">
        <f>SUMIFS(super1[Qtde],super1[Item],tab_alimentos[[#This Row],[Item]],super1[Bairro],mercado4)+SUMIFS(supercb[Qtde],supercb[Item],tab_alimentos[[#This Row],[Item]],supercb[Bairro],mercado4)</f>
        <v>0</v>
      </c>
      <c r="P310" s="4">
        <f>SUMIFS(super1[Qtde],super1[Item],tab_alimentos[[#This Row],[Item]],super1[Bairro],mercado5)+SUMIFS(supercb[Qtde],supercb[Item],tab_alimentos[[#This Row],[Item]],supercb[Bairro],mercado5)</f>
        <v>0</v>
      </c>
      <c r="Q310" s="4">
        <f>SUMIFS(super1[Qtde],super1[Item],tab_alimentos[[#This Row],[Item]],super1[Bairro],mercado6)+SUMIFS(supercb[Qtde],supercb[Item],tab_alimentos[[#This Row],[Item]],supercb[Bairro],mercado6)</f>
        <v>0</v>
      </c>
      <c r="R310" s="4">
        <f>SUMIFS(super1[Qtde],super1[Item],tab_alimentos[[#This Row],[Item]],super1[Bairro],mercado7)+SUMIFS(supercb[Qtde],supercb[Item],tab_alimentos[[#This Row],[Item]],supercb[Bairro],mercado7)</f>
        <v>0</v>
      </c>
      <c r="S310" s="4">
        <f>SUMIFS(super1[Qtde],super1[Item],tab_alimentos[[#This Row],[Item]],super1[Bairro],mercado8)+SUMIFS(supercb[Qtde],supercb[Item],tab_alimentos[[#This Row],[Item]],supercb[Bairro],mercado8)</f>
        <v>0</v>
      </c>
      <c r="T310" s="4">
        <f>SUMIFS(super1[Qtde],super1[Item],tab_alimentos[[#This Row],[Item]],super1[Bairro],mercado9)+SUMIFS(supercb[Qtde],supercb[Item],tab_alimentos[[#This Row],[Item]],supercb[Bairro],mercado9)</f>
        <v>0</v>
      </c>
      <c r="U310" s="4">
        <f>SUMIFS(super1[Qtde],super1[Item],tab_alimentos[[#This Row],[Item]],super1[Bairro],mercado10)+SUMIFS(supercb[Qtde],supercb[Item],tab_alimentos[[#This Row],[Item]],supercb[Bairro],mercado10)</f>
        <v>0</v>
      </c>
      <c r="V310" s="4">
        <f>SUMIFS(super1[Qtde],super1[Item],tab_alimentos[[#This Row],[Item]],super1[Bairro],mercado11)+SUMIFS(supercb[Qtde],supercb[Item],tab_alimentos[[#This Row],[Item]],supercb[Bairro],mercado11)</f>
        <v>0</v>
      </c>
      <c r="W310" s="4">
        <f>SUMIFS(super1[Qtde],super1[Item],tab_alimentos[[#This Row],[Item]],super1[Bairro],mercado12)+SUMIFS(supercb[Qtde],supercb[Item],tab_alimentos[[#This Row],[Item]],supercb[Bairro],mercado12)</f>
        <v>0</v>
      </c>
      <c r="X310" s="4">
        <f>SUMIFS(super1[Qtde],super1[Item],tab_alimentos[[#This Row],[Item]],super1[Bairro],mercado13)+SUMIFS(supercb[Qtde],supercb[Item],tab_alimentos[[#This Row],[Item]],supercb[Bairro],mercado13)</f>
        <v>0</v>
      </c>
      <c r="Y310" s="4">
        <f>SUMIFS(super1[Qtde],super1[Item],tab_alimentos[[#This Row],[Item]],super1[Bairro],mercado14)+SUMIFS(supercb[Qtde],supercb[Item],tab_alimentos[[#This Row],[Item]],supercb[Bairro],mercado14)</f>
        <v>0</v>
      </c>
      <c r="Z310" s="4">
        <f>SUMIFS(super1[Qtde],super1[Item],tab_alimentos[[#This Row],[Item]],super1[Bairro],mercado15)+SUMIFS(supercb[Qtde],supercb[Item],tab_alimentos[[#This Row],[Item]],supercb[Bairro],mercado15)</f>
        <v>0</v>
      </c>
      <c r="AA310" s="4">
        <f>SUMIFS(super1[Qtde],super1[Item],tab_alimentos[[#This Row],[Item]],super1[Bairro],mercado16)+SUMIFS(supercb[Qtde],supercb[Item],tab_alimentos[[#This Row],[Item]],supercb[Bairro],mercado16)</f>
        <v>0</v>
      </c>
      <c r="AB310" s="4">
        <f>SUMIFS(super1[Qtde],super1[Item],tab_alimentos[[#This Row],[Item]],super1[Bairro],mercado17)+SUMIFS(supercb[Qtde],supercb[Item],tab_alimentos[[#This Row],[Item]],supercb[Bairro],mercado17)</f>
        <v>0</v>
      </c>
      <c r="AC310" s="4">
        <f>SUMIFS(super1[Qtde],super1[Item],tab_alimentos[[#This Row],[Item]],super1[Bairro],mercado18)+SUMIFS(supercb[Qtde],supercb[Item],tab_alimentos[[#This Row],[Item]],supercb[Bairro],mercado18)</f>
        <v>0</v>
      </c>
      <c r="AD310" s="4">
        <f>SUMIFS(super1[Qtde],super1[Item],tab_alimentos[[#This Row],[Item]],super1[Bairro],extras)+SUMIFS(supercb[Qtde],supercb[Item],tab_alimentos[[#This Row],[Item]],supercb[Bairro],extras)</f>
        <v>0</v>
      </c>
      <c r="AE310" s="4">
        <f t="shared" si="88"/>
        <v>0</v>
      </c>
      <c r="AF310" s="4">
        <f t="shared" si="89"/>
        <v>0</v>
      </c>
      <c r="AG310" s="6">
        <f t="shared" si="90"/>
        <v>0</v>
      </c>
      <c r="AH310" s="13" t="e">
        <f>higiene[[#This Row],[Item]]</f>
        <v>#VALUE!</v>
      </c>
      <c r="AI310" s="9">
        <f>IFERROR(higiene[[#This Row],[Kg equivalente]],0)</f>
        <v>0</v>
      </c>
      <c r="AJ310" s="9">
        <f>IFERROR(higiene[[#This Row],[Preço por produto]],0)</f>
        <v>0</v>
      </c>
      <c r="AK310" s="4">
        <f>SUMIFS(super1[Qtde],super1[Item],tab_higiene[[#This Row],[Item]],super1[Bairro],mercado1)+SUMIFS(supercb[Qtde],supercb[Item],tab_higiene[[#This Row],[Item]],supercb[Bairro],mercado1)</f>
        <v>0</v>
      </c>
      <c r="AL310" s="4">
        <f>SUMIFS(super1[Qtde],super1[Item],tab_higiene[[#This Row],[Item]],super1[Bairro],mercado2)+SUMIFS(supercb[Qtde],supercb[Item],tab_higiene[[#This Row],[Item]],supercb[Bairro],mercado2)</f>
        <v>0</v>
      </c>
      <c r="AM310" s="4">
        <f>SUMIFS(super1[Qtde],super1[Item],tab_higiene[[#This Row],[Item]],super1[Bairro],mercado3)+SUMIFS(supercb[Qtde],supercb[Item],tab_higiene[[#This Row],[Item]],supercb[Bairro],mercado3)</f>
        <v>0</v>
      </c>
      <c r="AN310" s="4">
        <f>SUMIFS(super1[Qtde],super1[Item],tab_higiene[[#This Row],[Item]],super1[Bairro],mercado4)+SUMIFS(supercb[Qtde],supercb[Item],tab_higiene[[#This Row],[Item]],supercb[Bairro],mercado4)</f>
        <v>0</v>
      </c>
      <c r="AO310" s="4">
        <f>SUMIFS(super1[Qtde],super1[Item],tab_higiene[[#This Row],[Item]],super1[Bairro],mercado5)+SUMIFS(supercb[Qtde],supercb[Item],tab_higiene[[#This Row],[Item]],supercb[Bairro],mercado5)</f>
        <v>0</v>
      </c>
      <c r="AP310" s="4">
        <f>SUMIFS(super1[Qtde],super1[Item],tab_higiene[[#This Row],[Item]],super1[Bairro],mercado6)+SUMIFS(supercb[Qtde],supercb[Item],tab_higiene[[#This Row],[Item]],supercb[Bairro],mercado6)</f>
        <v>0</v>
      </c>
      <c r="AQ310" s="4">
        <f>SUMIFS(super1[Qtde],super1[Item],tab_higiene[[#This Row],[Item]],super1[Bairro],mercado7)+SUMIFS(supercb[Qtde],supercb[Item],tab_higiene[[#This Row],[Item]],supercb[Bairro],mercado7)</f>
        <v>0</v>
      </c>
      <c r="AR310" s="4">
        <f>SUMIFS(super1[Qtde],super1[Item],tab_higiene[[#This Row],[Item]],super1[Bairro],mercado8)+SUMIFS(supercb[Qtde],supercb[Item],tab_higiene[[#This Row],[Item]],supercb[Bairro],mercado8)</f>
        <v>0</v>
      </c>
      <c r="AS310" s="4">
        <f>SUMIFS(super1[Qtde],super1[Item],tab_higiene[[#This Row],[Item]],super1[Bairro],mercado9)+SUMIFS(supercb[Qtde],supercb[Item],tab_higiene[[#This Row],[Item]],supercb[Bairro],mercado9)</f>
        <v>0</v>
      </c>
      <c r="AT310" s="4">
        <f>SUMIFS(super1[Qtde],super1[Item],tab_higiene[[#This Row],[Item]],super1[Bairro],mercado10)+SUMIFS(supercb[Qtde],supercb[Item],tab_higiene[[#This Row],[Item]],supercb[Bairro],mercado10)</f>
        <v>0</v>
      </c>
      <c r="AU310" s="4">
        <f>SUMIFS(super1[Qtde],super1[Item],tab_higiene[[#This Row],[Item]],super1[Bairro],mercado11)+SUMIFS(supercb[Qtde],supercb[Item],tab_higiene[[#This Row],[Item]],supercb[Bairro],mercado11)</f>
        <v>0</v>
      </c>
      <c r="AV310" s="4">
        <f>SUMIFS(super1[Qtde],super1[Item],tab_higiene[[#This Row],[Item]],super1[Bairro],mercado12)+SUMIFS(supercb[Qtde],supercb[Item],tab_higiene[[#This Row],[Item]],supercb[Bairro],mercado12)</f>
        <v>0</v>
      </c>
      <c r="AW310" s="4">
        <f>SUMIFS(super1[Qtde],super1[Item],tab_higiene[[#This Row],[Item]],super1[Bairro],mercado13)+SUMIFS(supercb[Qtde],supercb[Item],tab_higiene[[#This Row],[Item]],supercb[Bairro],mercado13)</f>
        <v>0</v>
      </c>
      <c r="AX310" s="4">
        <f>SUMIFS(super1[Qtde],super1[Item],tab_higiene[[#This Row],[Item]],super1[Bairro],mercado14)+SUMIFS(supercb[Qtde],supercb[Item],tab_higiene[[#This Row],[Item]],supercb[Bairro],mercado14)</f>
        <v>0</v>
      </c>
      <c r="AY310" s="4">
        <f>SUMIFS(super1[Qtde],super1[Item],tab_higiene[[#This Row],[Item]],super1[Bairro],mercado15)+SUMIFS(supercb[Qtde],supercb[Item],tab_higiene[[#This Row],[Item]],supercb[Bairro],mercado15)</f>
        <v>0</v>
      </c>
      <c r="AZ310" s="4">
        <f>SUMIFS(super1[Qtde],super1[Item],tab_higiene[[#This Row],[Item]],super1[Bairro],mercado16)+SUMIFS(supercb[Qtde],supercb[Item],tab_higiene[[#This Row],[Item]],supercb[Bairro],mercado16)</f>
        <v>0</v>
      </c>
      <c r="BA310" s="4">
        <f>SUMIFS(super1[Qtde],super1[Item],tab_higiene[[#This Row],[Item]],super1[Bairro],mercado17)+SUMIFS(supercb[Qtde],supercb[Item],tab_higiene[[#This Row],[Item]],supercb[Bairro],mercado17)</f>
        <v>0</v>
      </c>
      <c r="BB310" s="4">
        <f>SUMIFS(super1[Qtde],super1[Item],tab_higiene[[#This Row],[Item]],super1[Bairro],mercado18)+SUMIFS(supercb[Qtde],supercb[Item],tab_higiene[[#This Row],[Item]],supercb[Bairro],mercado18)</f>
        <v>0</v>
      </c>
      <c r="BC310" s="31">
        <f>SUMIFS(super1[Qtde],super1[Item],tab_higiene[[#This Row],[Item]],super1[Bairro],extras)+SUMIFS(supercb[Qtde],supercb[Item],tab_higiene[[#This Row],[Item]],supercb[Bairro],extras)</f>
        <v>0</v>
      </c>
      <c r="BD310" s="9">
        <f t="shared" si="91"/>
        <v>0</v>
      </c>
      <c r="BE310" s="9">
        <f t="shared" si="92"/>
        <v>0</v>
      </c>
      <c r="BF310" s="18">
        <f t="shared" si="93"/>
        <v>0</v>
      </c>
    </row>
    <row r="311" spans="9:58" ht="15.75" thickBot="1" x14ac:dyDescent="0.3">
      <c r="I311" s="19" t="str">
        <f>alimentos[[#This Row],[Item]]</f>
        <v>Maionese (500g)</v>
      </c>
      <c r="J311" s="4">
        <f>IFERROR(alimentos[[#This Row],[kg/embalagem]],0)</f>
        <v>0.5</v>
      </c>
      <c r="K311" s="4">
        <f>IFERROR(alimentos[[#This Row],[Preço]],0)</f>
        <v>5.5</v>
      </c>
      <c r="L311" s="4">
        <f>SUMIFS(super1[Qtde],super1[Item],tab_alimentos[[#This Row],[Item]],super1[Bairro],mercado1)+SUMIFS(supercb[Qtde],supercb[Item],tab_alimentos[[#This Row],[Item]],supercb[Bairro],mercado1)</f>
        <v>0</v>
      </c>
      <c r="M311" s="4">
        <f>SUMIFS(super1[Qtde],super1[Item],tab_alimentos[[#This Row],[Item]],super1[Bairro],mercado2)+SUMIFS(supercb[Qtde],supercb[Item],tab_alimentos[[#This Row],[Item]],supercb[Bairro],mercado2)</f>
        <v>0</v>
      </c>
      <c r="N311" s="4">
        <f>SUMIFS(super1[Qtde],super1[Item],tab_alimentos[[#This Row],[Item]],super1[Bairro],mercado3)+SUMIFS(supercb[Qtde],supercb[Item],tab_alimentos[[#This Row],[Item]],supercb[Bairro],mercado3)</f>
        <v>0</v>
      </c>
      <c r="O311" s="4">
        <f>SUMIFS(super1[Qtde],super1[Item],tab_alimentos[[#This Row],[Item]],super1[Bairro],mercado4)+SUMIFS(supercb[Qtde],supercb[Item],tab_alimentos[[#This Row],[Item]],supercb[Bairro],mercado4)</f>
        <v>0</v>
      </c>
      <c r="P311" s="4">
        <f>SUMIFS(super1[Qtde],super1[Item],tab_alimentos[[#This Row],[Item]],super1[Bairro],mercado5)+SUMIFS(supercb[Qtde],supercb[Item],tab_alimentos[[#This Row],[Item]],supercb[Bairro],mercado5)</f>
        <v>0</v>
      </c>
      <c r="Q311" s="4">
        <f>SUMIFS(super1[Qtde],super1[Item],tab_alimentos[[#This Row],[Item]],super1[Bairro],mercado6)+SUMIFS(supercb[Qtde],supercb[Item],tab_alimentos[[#This Row],[Item]],supercb[Bairro],mercado6)</f>
        <v>0</v>
      </c>
      <c r="R311" s="4">
        <f>SUMIFS(super1[Qtde],super1[Item],tab_alimentos[[#This Row],[Item]],super1[Bairro],mercado7)+SUMIFS(supercb[Qtde],supercb[Item],tab_alimentos[[#This Row],[Item]],supercb[Bairro],mercado7)</f>
        <v>0</v>
      </c>
      <c r="S311" s="4">
        <f>SUMIFS(super1[Qtde],super1[Item],tab_alimentos[[#This Row],[Item]],super1[Bairro],mercado8)+SUMIFS(supercb[Qtde],supercb[Item],tab_alimentos[[#This Row],[Item]],supercb[Bairro],mercado8)</f>
        <v>0</v>
      </c>
      <c r="T311" s="4">
        <f>SUMIFS(super1[Qtde],super1[Item],tab_alimentos[[#This Row],[Item]],super1[Bairro],mercado9)+SUMIFS(supercb[Qtde],supercb[Item],tab_alimentos[[#This Row],[Item]],supercb[Bairro],mercado9)</f>
        <v>0</v>
      </c>
      <c r="U311" s="4">
        <f>SUMIFS(super1[Qtde],super1[Item],tab_alimentos[[#This Row],[Item]],super1[Bairro],mercado10)+SUMIFS(supercb[Qtde],supercb[Item],tab_alimentos[[#This Row],[Item]],supercb[Bairro],mercado10)</f>
        <v>0</v>
      </c>
      <c r="V311" s="4">
        <f>SUMIFS(super1[Qtde],super1[Item],tab_alimentos[[#This Row],[Item]],super1[Bairro],mercado11)+SUMIFS(supercb[Qtde],supercb[Item],tab_alimentos[[#This Row],[Item]],supercb[Bairro],mercado11)</f>
        <v>0</v>
      </c>
      <c r="W311" s="4">
        <f>SUMIFS(super1[Qtde],super1[Item],tab_alimentos[[#This Row],[Item]],super1[Bairro],mercado12)+SUMIFS(supercb[Qtde],supercb[Item],tab_alimentos[[#This Row],[Item]],supercb[Bairro],mercado12)</f>
        <v>0</v>
      </c>
      <c r="X311" s="4">
        <f>SUMIFS(super1[Qtde],super1[Item],tab_alimentos[[#This Row],[Item]],super1[Bairro],mercado13)+SUMIFS(supercb[Qtde],supercb[Item],tab_alimentos[[#This Row],[Item]],supercb[Bairro],mercado13)</f>
        <v>0</v>
      </c>
      <c r="Y311" s="4">
        <f>SUMIFS(super1[Qtde],super1[Item],tab_alimentos[[#This Row],[Item]],super1[Bairro],mercado14)+SUMIFS(supercb[Qtde],supercb[Item],tab_alimentos[[#This Row],[Item]],supercb[Bairro],mercado14)</f>
        <v>0</v>
      </c>
      <c r="Z311" s="4">
        <f>SUMIFS(super1[Qtde],super1[Item],tab_alimentos[[#This Row],[Item]],super1[Bairro],mercado15)+SUMIFS(supercb[Qtde],supercb[Item],tab_alimentos[[#This Row],[Item]],supercb[Bairro],mercado15)</f>
        <v>0</v>
      </c>
      <c r="AA311" s="4">
        <f>SUMIFS(super1[Qtde],super1[Item],tab_alimentos[[#This Row],[Item]],super1[Bairro],mercado16)+SUMIFS(supercb[Qtde],supercb[Item],tab_alimentos[[#This Row],[Item]],supercb[Bairro],mercado16)</f>
        <v>0</v>
      </c>
      <c r="AB311" s="4">
        <f>SUMIFS(super1[Qtde],super1[Item],tab_alimentos[[#This Row],[Item]],super1[Bairro],mercado17)+SUMIFS(supercb[Qtde],supercb[Item],tab_alimentos[[#This Row],[Item]],supercb[Bairro],mercado17)</f>
        <v>0</v>
      </c>
      <c r="AC311" s="4">
        <f>SUMIFS(super1[Qtde],super1[Item],tab_alimentos[[#This Row],[Item]],super1[Bairro],mercado18)+SUMIFS(supercb[Qtde],supercb[Item],tab_alimentos[[#This Row],[Item]],supercb[Bairro],mercado18)</f>
        <v>0</v>
      </c>
      <c r="AD311" s="4">
        <f>SUMIFS(super1[Qtde],super1[Item],tab_alimentos[[#This Row],[Item]],super1[Bairro],extras)+SUMIFS(supercb[Qtde],supercb[Item],tab_alimentos[[#This Row],[Item]],supercb[Bairro],extras)</f>
        <v>0</v>
      </c>
      <c r="AE311" s="4">
        <f t="shared" si="88"/>
        <v>0</v>
      </c>
      <c r="AF311" s="4">
        <f t="shared" si="89"/>
        <v>0</v>
      </c>
      <c r="AG311" s="6">
        <f t="shared" si="90"/>
        <v>0</v>
      </c>
      <c r="AH311" s="13" t="e">
        <f>higiene[[#This Row],[Item]]</f>
        <v>#VALUE!</v>
      </c>
      <c r="AI311" s="9">
        <f>IFERROR(higiene[[#This Row],[Kg equivalente]],0)</f>
        <v>0</v>
      </c>
      <c r="AJ311" s="9">
        <f>IFERROR(higiene[[#This Row],[Preço por produto]],0)</f>
        <v>0</v>
      </c>
      <c r="AK311" s="4">
        <f>SUMIFS(super1[Qtde],super1[Item],tab_higiene[[#This Row],[Item]],super1[Bairro],mercado1)+SUMIFS(supercb[Qtde],supercb[Item],tab_higiene[[#This Row],[Item]],supercb[Bairro],mercado1)</f>
        <v>0</v>
      </c>
      <c r="AL311" s="4">
        <f>SUMIFS(super1[Qtde],super1[Item],tab_higiene[[#This Row],[Item]],super1[Bairro],mercado2)+SUMIFS(supercb[Qtde],supercb[Item],tab_higiene[[#This Row],[Item]],supercb[Bairro],mercado2)</f>
        <v>0</v>
      </c>
      <c r="AM311" s="4">
        <f>SUMIFS(super1[Qtde],super1[Item],tab_higiene[[#This Row],[Item]],super1[Bairro],mercado3)+SUMIFS(supercb[Qtde],supercb[Item],tab_higiene[[#This Row],[Item]],supercb[Bairro],mercado3)</f>
        <v>0</v>
      </c>
      <c r="AN311" s="4">
        <f>SUMIFS(super1[Qtde],super1[Item],tab_higiene[[#This Row],[Item]],super1[Bairro],mercado4)+SUMIFS(supercb[Qtde],supercb[Item],tab_higiene[[#This Row],[Item]],supercb[Bairro],mercado4)</f>
        <v>0</v>
      </c>
      <c r="AO311" s="4">
        <f>SUMIFS(super1[Qtde],super1[Item],tab_higiene[[#This Row],[Item]],super1[Bairro],mercado5)+SUMIFS(supercb[Qtde],supercb[Item],tab_higiene[[#This Row],[Item]],supercb[Bairro],mercado5)</f>
        <v>0</v>
      </c>
      <c r="AP311" s="4">
        <f>SUMIFS(super1[Qtde],super1[Item],tab_higiene[[#This Row],[Item]],super1[Bairro],mercado6)+SUMIFS(supercb[Qtde],supercb[Item],tab_higiene[[#This Row],[Item]],supercb[Bairro],mercado6)</f>
        <v>0</v>
      </c>
      <c r="AQ311" s="4">
        <f>SUMIFS(super1[Qtde],super1[Item],tab_higiene[[#This Row],[Item]],super1[Bairro],mercado7)+SUMIFS(supercb[Qtde],supercb[Item],tab_higiene[[#This Row],[Item]],supercb[Bairro],mercado7)</f>
        <v>0</v>
      </c>
      <c r="AR311" s="4">
        <f>SUMIFS(super1[Qtde],super1[Item],tab_higiene[[#This Row],[Item]],super1[Bairro],mercado8)+SUMIFS(supercb[Qtde],supercb[Item],tab_higiene[[#This Row],[Item]],supercb[Bairro],mercado8)</f>
        <v>0</v>
      </c>
      <c r="AS311" s="4">
        <f>SUMIFS(super1[Qtde],super1[Item],tab_higiene[[#This Row],[Item]],super1[Bairro],mercado9)+SUMIFS(supercb[Qtde],supercb[Item],tab_higiene[[#This Row],[Item]],supercb[Bairro],mercado9)</f>
        <v>0</v>
      </c>
      <c r="AT311" s="4">
        <f>SUMIFS(super1[Qtde],super1[Item],tab_higiene[[#This Row],[Item]],super1[Bairro],mercado10)+SUMIFS(supercb[Qtde],supercb[Item],tab_higiene[[#This Row],[Item]],supercb[Bairro],mercado10)</f>
        <v>0</v>
      </c>
      <c r="AU311" s="4">
        <f>SUMIFS(super1[Qtde],super1[Item],tab_higiene[[#This Row],[Item]],super1[Bairro],mercado11)+SUMIFS(supercb[Qtde],supercb[Item],tab_higiene[[#This Row],[Item]],supercb[Bairro],mercado11)</f>
        <v>0</v>
      </c>
      <c r="AV311" s="4">
        <f>SUMIFS(super1[Qtde],super1[Item],tab_higiene[[#This Row],[Item]],super1[Bairro],mercado12)+SUMIFS(supercb[Qtde],supercb[Item],tab_higiene[[#This Row],[Item]],supercb[Bairro],mercado12)</f>
        <v>0</v>
      </c>
      <c r="AW311" s="4">
        <f>SUMIFS(super1[Qtde],super1[Item],tab_higiene[[#This Row],[Item]],super1[Bairro],mercado13)+SUMIFS(supercb[Qtde],supercb[Item],tab_higiene[[#This Row],[Item]],supercb[Bairro],mercado13)</f>
        <v>0</v>
      </c>
      <c r="AX311" s="4">
        <f>SUMIFS(super1[Qtde],super1[Item],tab_higiene[[#This Row],[Item]],super1[Bairro],mercado14)+SUMIFS(supercb[Qtde],supercb[Item],tab_higiene[[#This Row],[Item]],supercb[Bairro],mercado14)</f>
        <v>0</v>
      </c>
      <c r="AY311" s="4">
        <f>SUMIFS(super1[Qtde],super1[Item],tab_higiene[[#This Row],[Item]],super1[Bairro],mercado15)+SUMIFS(supercb[Qtde],supercb[Item],tab_higiene[[#This Row],[Item]],supercb[Bairro],mercado15)</f>
        <v>0</v>
      </c>
      <c r="AZ311" s="4">
        <f>SUMIFS(super1[Qtde],super1[Item],tab_higiene[[#This Row],[Item]],super1[Bairro],mercado16)+SUMIFS(supercb[Qtde],supercb[Item],tab_higiene[[#This Row],[Item]],supercb[Bairro],mercado16)</f>
        <v>0</v>
      </c>
      <c r="BA311" s="4">
        <f>SUMIFS(super1[Qtde],super1[Item],tab_higiene[[#This Row],[Item]],super1[Bairro],mercado17)+SUMIFS(supercb[Qtde],supercb[Item],tab_higiene[[#This Row],[Item]],supercb[Bairro],mercado17)</f>
        <v>0</v>
      </c>
      <c r="BB311" s="4">
        <f>SUMIFS(super1[Qtde],super1[Item],tab_higiene[[#This Row],[Item]],super1[Bairro],mercado18)+SUMIFS(supercb[Qtde],supercb[Item],tab_higiene[[#This Row],[Item]],supercb[Bairro],mercado18)</f>
        <v>0</v>
      </c>
      <c r="BC311" s="31">
        <f>SUMIFS(super1[Qtde],super1[Item],tab_higiene[[#This Row],[Item]],super1[Bairro],extras)+SUMIFS(supercb[Qtde],supercb[Item],tab_higiene[[#This Row],[Item]],supercb[Bairro],extras)</f>
        <v>0</v>
      </c>
      <c r="BD311" s="9">
        <f t="shared" si="91"/>
        <v>0</v>
      </c>
      <c r="BE311" s="9">
        <f t="shared" si="92"/>
        <v>0</v>
      </c>
      <c r="BF311" s="18">
        <f t="shared" si="93"/>
        <v>0</v>
      </c>
    </row>
    <row r="312" spans="9:58" ht="15.75" thickBot="1" x14ac:dyDescent="0.3">
      <c r="I312" s="19" t="str">
        <f>alimentos[[#This Row],[Item]]</f>
        <v>Maionese (700g)</v>
      </c>
      <c r="J312" s="4">
        <f>IFERROR(alimentos[[#This Row],[kg/embalagem]],0)</f>
        <v>0.7</v>
      </c>
      <c r="K312" s="4">
        <f>IFERROR(alimentos[[#This Row],[Preço]],0)</f>
        <v>6.98</v>
      </c>
      <c r="L312" s="4">
        <f>SUMIFS(super1[Qtde],super1[Item],tab_alimentos[[#This Row],[Item]],super1[Bairro],mercado1)+SUMIFS(supercb[Qtde],supercb[Item],tab_alimentos[[#This Row],[Item]],supercb[Bairro],mercado1)</f>
        <v>0</v>
      </c>
      <c r="M312" s="4">
        <f>SUMIFS(super1[Qtde],super1[Item],tab_alimentos[[#This Row],[Item]],super1[Bairro],mercado2)+SUMIFS(supercb[Qtde],supercb[Item],tab_alimentos[[#This Row],[Item]],supercb[Bairro],mercado2)</f>
        <v>0</v>
      </c>
      <c r="N312" s="4">
        <f>SUMIFS(super1[Qtde],super1[Item],tab_alimentos[[#This Row],[Item]],super1[Bairro],mercado3)+SUMIFS(supercb[Qtde],supercb[Item],tab_alimentos[[#This Row],[Item]],supercb[Bairro],mercado3)</f>
        <v>0</v>
      </c>
      <c r="O312" s="4">
        <f>SUMIFS(super1[Qtde],super1[Item],tab_alimentos[[#This Row],[Item]],super1[Bairro],mercado4)+SUMIFS(supercb[Qtde],supercb[Item],tab_alimentos[[#This Row],[Item]],supercb[Bairro],mercado4)</f>
        <v>0</v>
      </c>
      <c r="P312" s="4">
        <f>SUMIFS(super1[Qtde],super1[Item],tab_alimentos[[#This Row],[Item]],super1[Bairro],mercado5)+SUMIFS(supercb[Qtde],supercb[Item],tab_alimentos[[#This Row],[Item]],supercb[Bairro],mercado5)</f>
        <v>0</v>
      </c>
      <c r="Q312" s="4">
        <f>SUMIFS(super1[Qtde],super1[Item],tab_alimentos[[#This Row],[Item]],super1[Bairro],mercado6)+SUMIFS(supercb[Qtde],supercb[Item],tab_alimentos[[#This Row],[Item]],supercb[Bairro],mercado6)</f>
        <v>0</v>
      </c>
      <c r="R312" s="4">
        <f>SUMIFS(super1[Qtde],super1[Item],tab_alimentos[[#This Row],[Item]],super1[Bairro],mercado7)+SUMIFS(supercb[Qtde],supercb[Item],tab_alimentos[[#This Row],[Item]],supercb[Bairro],mercado7)</f>
        <v>0</v>
      </c>
      <c r="S312" s="4">
        <f>SUMIFS(super1[Qtde],super1[Item],tab_alimentos[[#This Row],[Item]],super1[Bairro],mercado8)+SUMIFS(supercb[Qtde],supercb[Item],tab_alimentos[[#This Row],[Item]],supercb[Bairro],mercado8)</f>
        <v>0</v>
      </c>
      <c r="T312" s="4">
        <f>SUMIFS(super1[Qtde],super1[Item],tab_alimentos[[#This Row],[Item]],super1[Bairro],mercado9)+SUMIFS(supercb[Qtde],supercb[Item],tab_alimentos[[#This Row],[Item]],supercb[Bairro],mercado9)</f>
        <v>0</v>
      </c>
      <c r="U312" s="4">
        <f>SUMIFS(super1[Qtde],super1[Item],tab_alimentos[[#This Row],[Item]],super1[Bairro],mercado10)+SUMIFS(supercb[Qtde],supercb[Item],tab_alimentos[[#This Row],[Item]],supercb[Bairro],mercado10)</f>
        <v>0</v>
      </c>
      <c r="V312" s="4">
        <f>SUMIFS(super1[Qtde],super1[Item],tab_alimentos[[#This Row],[Item]],super1[Bairro],mercado11)+SUMIFS(supercb[Qtde],supercb[Item],tab_alimentos[[#This Row],[Item]],supercb[Bairro],mercado11)</f>
        <v>0</v>
      </c>
      <c r="W312" s="4">
        <f>SUMIFS(super1[Qtde],super1[Item],tab_alimentos[[#This Row],[Item]],super1[Bairro],mercado12)+SUMIFS(supercb[Qtde],supercb[Item],tab_alimentos[[#This Row],[Item]],supercb[Bairro],mercado12)</f>
        <v>0</v>
      </c>
      <c r="X312" s="4">
        <f>SUMIFS(super1[Qtde],super1[Item],tab_alimentos[[#This Row],[Item]],super1[Bairro],mercado13)+SUMIFS(supercb[Qtde],supercb[Item],tab_alimentos[[#This Row],[Item]],supercb[Bairro],mercado13)</f>
        <v>0</v>
      </c>
      <c r="Y312" s="4">
        <f>SUMIFS(super1[Qtde],super1[Item],tab_alimentos[[#This Row],[Item]],super1[Bairro],mercado14)+SUMIFS(supercb[Qtde],supercb[Item],tab_alimentos[[#This Row],[Item]],supercb[Bairro],mercado14)</f>
        <v>0</v>
      </c>
      <c r="Z312" s="4">
        <f>SUMIFS(super1[Qtde],super1[Item],tab_alimentos[[#This Row],[Item]],super1[Bairro],mercado15)+SUMIFS(supercb[Qtde],supercb[Item],tab_alimentos[[#This Row],[Item]],supercb[Bairro],mercado15)</f>
        <v>0</v>
      </c>
      <c r="AA312" s="4">
        <f>SUMIFS(super1[Qtde],super1[Item],tab_alimentos[[#This Row],[Item]],super1[Bairro],mercado16)+SUMIFS(supercb[Qtde],supercb[Item],tab_alimentos[[#This Row],[Item]],supercb[Bairro],mercado16)</f>
        <v>0</v>
      </c>
      <c r="AB312" s="4">
        <f>SUMIFS(super1[Qtde],super1[Item],tab_alimentos[[#This Row],[Item]],super1[Bairro],mercado17)+SUMIFS(supercb[Qtde],supercb[Item],tab_alimentos[[#This Row],[Item]],supercb[Bairro],mercado17)</f>
        <v>0</v>
      </c>
      <c r="AC312" s="4">
        <f>SUMIFS(super1[Qtde],super1[Item],tab_alimentos[[#This Row],[Item]],super1[Bairro],mercado18)+SUMIFS(supercb[Qtde],supercb[Item],tab_alimentos[[#This Row],[Item]],supercb[Bairro],mercado18)</f>
        <v>0</v>
      </c>
      <c r="AD312" s="4">
        <f>SUMIFS(super1[Qtde],super1[Item],tab_alimentos[[#This Row],[Item]],super1[Bairro],extras)+SUMIFS(supercb[Qtde],supercb[Item],tab_alimentos[[#This Row],[Item]],supercb[Bairro],extras)</f>
        <v>0</v>
      </c>
      <c r="AE312" s="4">
        <f t="shared" si="88"/>
        <v>0</v>
      </c>
      <c r="AF312" s="4">
        <f t="shared" si="89"/>
        <v>0</v>
      </c>
      <c r="AG312" s="6">
        <f t="shared" si="90"/>
        <v>0</v>
      </c>
      <c r="AH312" s="13" t="e">
        <f>higiene[[#This Row],[Item]]</f>
        <v>#VALUE!</v>
      </c>
      <c r="AI312" s="9">
        <f>IFERROR(higiene[[#This Row],[Kg equivalente]],0)</f>
        <v>0</v>
      </c>
      <c r="AJ312" s="9">
        <f>IFERROR(higiene[[#This Row],[Preço por produto]],0)</f>
        <v>0</v>
      </c>
      <c r="AK312" s="4">
        <f>SUMIFS(super1[Qtde],super1[Item],tab_higiene[[#This Row],[Item]],super1[Bairro],mercado1)+SUMIFS(supercb[Qtde],supercb[Item],tab_higiene[[#This Row],[Item]],supercb[Bairro],mercado1)</f>
        <v>0</v>
      </c>
      <c r="AL312" s="4">
        <f>SUMIFS(super1[Qtde],super1[Item],tab_higiene[[#This Row],[Item]],super1[Bairro],mercado2)+SUMIFS(supercb[Qtde],supercb[Item],tab_higiene[[#This Row],[Item]],supercb[Bairro],mercado2)</f>
        <v>0</v>
      </c>
      <c r="AM312" s="4">
        <f>SUMIFS(super1[Qtde],super1[Item],tab_higiene[[#This Row],[Item]],super1[Bairro],mercado3)+SUMIFS(supercb[Qtde],supercb[Item],tab_higiene[[#This Row],[Item]],supercb[Bairro],mercado3)</f>
        <v>0</v>
      </c>
      <c r="AN312" s="4">
        <f>SUMIFS(super1[Qtde],super1[Item],tab_higiene[[#This Row],[Item]],super1[Bairro],mercado4)+SUMIFS(supercb[Qtde],supercb[Item],tab_higiene[[#This Row],[Item]],supercb[Bairro],mercado4)</f>
        <v>0</v>
      </c>
      <c r="AO312" s="4">
        <f>SUMIFS(super1[Qtde],super1[Item],tab_higiene[[#This Row],[Item]],super1[Bairro],mercado5)+SUMIFS(supercb[Qtde],supercb[Item],tab_higiene[[#This Row],[Item]],supercb[Bairro],mercado5)</f>
        <v>0</v>
      </c>
      <c r="AP312" s="4">
        <f>SUMIFS(super1[Qtde],super1[Item],tab_higiene[[#This Row],[Item]],super1[Bairro],mercado6)+SUMIFS(supercb[Qtde],supercb[Item],tab_higiene[[#This Row],[Item]],supercb[Bairro],mercado6)</f>
        <v>0</v>
      </c>
      <c r="AQ312" s="4">
        <f>SUMIFS(super1[Qtde],super1[Item],tab_higiene[[#This Row],[Item]],super1[Bairro],mercado7)+SUMIFS(supercb[Qtde],supercb[Item],tab_higiene[[#This Row],[Item]],supercb[Bairro],mercado7)</f>
        <v>0</v>
      </c>
      <c r="AR312" s="4">
        <f>SUMIFS(super1[Qtde],super1[Item],tab_higiene[[#This Row],[Item]],super1[Bairro],mercado8)+SUMIFS(supercb[Qtde],supercb[Item],tab_higiene[[#This Row],[Item]],supercb[Bairro],mercado8)</f>
        <v>0</v>
      </c>
      <c r="AS312" s="4">
        <f>SUMIFS(super1[Qtde],super1[Item],tab_higiene[[#This Row],[Item]],super1[Bairro],mercado9)+SUMIFS(supercb[Qtde],supercb[Item],tab_higiene[[#This Row],[Item]],supercb[Bairro],mercado9)</f>
        <v>0</v>
      </c>
      <c r="AT312" s="4">
        <f>SUMIFS(super1[Qtde],super1[Item],tab_higiene[[#This Row],[Item]],super1[Bairro],mercado10)+SUMIFS(supercb[Qtde],supercb[Item],tab_higiene[[#This Row],[Item]],supercb[Bairro],mercado10)</f>
        <v>0</v>
      </c>
      <c r="AU312" s="4">
        <f>SUMIFS(super1[Qtde],super1[Item],tab_higiene[[#This Row],[Item]],super1[Bairro],mercado11)+SUMIFS(supercb[Qtde],supercb[Item],tab_higiene[[#This Row],[Item]],supercb[Bairro],mercado11)</f>
        <v>0</v>
      </c>
      <c r="AV312" s="4">
        <f>SUMIFS(super1[Qtde],super1[Item],tab_higiene[[#This Row],[Item]],super1[Bairro],mercado12)+SUMIFS(supercb[Qtde],supercb[Item],tab_higiene[[#This Row],[Item]],supercb[Bairro],mercado12)</f>
        <v>0</v>
      </c>
      <c r="AW312" s="4">
        <f>SUMIFS(super1[Qtde],super1[Item],tab_higiene[[#This Row],[Item]],super1[Bairro],mercado13)+SUMIFS(supercb[Qtde],supercb[Item],tab_higiene[[#This Row],[Item]],supercb[Bairro],mercado13)</f>
        <v>0</v>
      </c>
      <c r="AX312" s="4">
        <f>SUMIFS(super1[Qtde],super1[Item],tab_higiene[[#This Row],[Item]],super1[Bairro],mercado14)+SUMIFS(supercb[Qtde],supercb[Item],tab_higiene[[#This Row],[Item]],supercb[Bairro],mercado14)</f>
        <v>0</v>
      </c>
      <c r="AY312" s="4">
        <f>SUMIFS(super1[Qtde],super1[Item],tab_higiene[[#This Row],[Item]],super1[Bairro],mercado15)+SUMIFS(supercb[Qtde],supercb[Item],tab_higiene[[#This Row],[Item]],supercb[Bairro],mercado15)</f>
        <v>0</v>
      </c>
      <c r="AZ312" s="4">
        <f>SUMIFS(super1[Qtde],super1[Item],tab_higiene[[#This Row],[Item]],super1[Bairro],mercado16)+SUMIFS(supercb[Qtde],supercb[Item],tab_higiene[[#This Row],[Item]],supercb[Bairro],mercado16)</f>
        <v>0</v>
      </c>
      <c r="BA312" s="4">
        <f>SUMIFS(super1[Qtde],super1[Item],tab_higiene[[#This Row],[Item]],super1[Bairro],mercado17)+SUMIFS(supercb[Qtde],supercb[Item],tab_higiene[[#This Row],[Item]],supercb[Bairro],mercado17)</f>
        <v>0</v>
      </c>
      <c r="BB312" s="4">
        <f>SUMIFS(super1[Qtde],super1[Item],tab_higiene[[#This Row],[Item]],super1[Bairro],mercado18)+SUMIFS(supercb[Qtde],supercb[Item],tab_higiene[[#This Row],[Item]],supercb[Bairro],mercado18)</f>
        <v>0</v>
      </c>
      <c r="BC312" s="31">
        <f>SUMIFS(super1[Qtde],super1[Item],tab_higiene[[#This Row],[Item]],super1[Bairro],extras)+SUMIFS(supercb[Qtde],supercb[Item],tab_higiene[[#This Row],[Item]],supercb[Bairro],extras)</f>
        <v>0</v>
      </c>
      <c r="BD312" s="9">
        <f t="shared" si="91"/>
        <v>0</v>
      </c>
      <c r="BE312" s="9">
        <f t="shared" si="92"/>
        <v>0</v>
      </c>
      <c r="BF312" s="18">
        <f t="shared" si="93"/>
        <v>0</v>
      </c>
    </row>
    <row r="313" spans="9:58" ht="15.75" thickBot="1" x14ac:dyDescent="0.3">
      <c r="I313" s="19" t="str">
        <f>alimentos[[#This Row],[Item]]</f>
        <v>Maizena (200g)</v>
      </c>
      <c r="J313" s="4">
        <f>IFERROR(alimentos[[#This Row],[kg/embalagem]],0)</f>
        <v>0.2</v>
      </c>
      <c r="K313" s="4">
        <f>IFERROR(alimentos[[#This Row],[Preço]],0)</f>
        <v>10.65</v>
      </c>
      <c r="L313" s="4">
        <f>SUMIFS(super1[Qtde],super1[Item],tab_alimentos[[#This Row],[Item]],super1[Bairro],mercado1)+SUMIFS(supercb[Qtde],supercb[Item],tab_alimentos[[#This Row],[Item]],supercb[Bairro],mercado1)</f>
        <v>0</v>
      </c>
      <c r="M313" s="4">
        <f>SUMIFS(super1[Qtde],super1[Item],tab_alimentos[[#This Row],[Item]],super1[Bairro],mercado2)+SUMIFS(supercb[Qtde],supercb[Item],tab_alimentos[[#This Row],[Item]],supercb[Bairro],mercado2)</f>
        <v>0</v>
      </c>
      <c r="N313" s="4">
        <f>SUMIFS(super1[Qtde],super1[Item],tab_alimentos[[#This Row],[Item]],super1[Bairro],mercado3)+SUMIFS(supercb[Qtde],supercb[Item],tab_alimentos[[#This Row],[Item]],supercb[Bairro],mercado3)</f>
        <v>0</v>
      </c>
      <c r="O313" s="4">
        <f>SUMIFS(super1[Qtde],super1[Item],tab_alimentos[[#This Row],[Item]],super1[Bairro],mercado4)+SUMIFS(supercb[Qtde],supercb[Item],tab_alimentos[[#This Row],[Item]],supercb[Bairro],mercado4)</f>
        <v>0</v>
      </c>
      <c r="P313" s="4">
        <f>SUMIFS(super1[Qtde],super1[Item],tab_alimentos[[#This Row],[Item]],super1[Bairro],mercado5)+SUMIFS(supercb[Qtde],supercb[Item],tab_alimentos[[#This Row],[Item]],supercb[Bairro],mercado5)</f>
        <v>0</v>
      </c>
      <c r="Q313" s="4">
        <f>SUMIFS(super1[Qtde],super1[Item],tab_alimentos[[#This Row],[Item]],super1[Bairro],mercado6)+SUMIFS(supercb[Qtde],supercb[Item],tab_alimentos[[#This Row],[Item]],supercb[Bairro],mercado6)</f>
        <v>0</v>
      </c>
      <c r="R313" s="4">
        <f>SUMIFS(super1[Qtde],super1[Item],tab_alimentos[[#This Row],[Item]],super1[Bairro],mercado7)+SUMIFS(supercb[Qtde],supercb[Item],tab_alimentos[[#This Row],[Item]],supercb[Bairro],mercado7)</f>
        <v>0</v>
      </c>
      <c r="S313" s="4">
        <f>SUMIFS(super1[Qtde],super1[Item],tab_alimentos[[#This Row],[Item]],super1[Bairro],mercado8)+SUMIFS(supercb[Qtde],supercb[Item],tab_alimentos[[#This Row],[Item]],supercb[Bairro],mercado8)</f>
        <v>0</v>
      </c>
      <c r="T313" s="4">
        <f>SUMIFS(super1[Qtde],super1[Item],tab_alimentos[[#This Row],[Item]],super1[Bairro],mercado9)+SUMIFS(supercb[Qtde],supercb[Item],tab_alimentos[[#This Row],[Item]],supercb[Bairro],mercado9)</f>
        <v>0</v>
      </c>
      <c r="U313" s="4">
        <f>SUMIFS(super1[Qtde],super1[Item],tab_alimentos[[#This Row],[Item]],super1[Bairro],mercado10)+SUMIFS(supercb[Qtde],supercb[Item],tab_alimentos[[#This Row],[Item]],supercb[Bairro],mercado10)</f>
        <v>0</v>
      </c>
      <c r="V313" s="4">
        <f>SUMIFS(super1[Qtde],super1[Item],tab_alimentos[[#This Row],[Item]],super1[Bairro],mercado11)+SUMIFS(supercb[Qtde],supercb[Item],tab_alimentos[[#This Row],[Item]],supercb[Bairro],mercado11)</f>
        <v>0</v>
      </c>
      <c r="W313" s="4">
        <f>SUMIFS(super1[Qtde],super1[Item],tab_alimentos[[#This Row],[Item]],super1[Bairro],mercado12)+SUMIFS(supercb[Qtde],supercb[Item],tab_alimentos[[#This Row],[Item]],supercb[Bairro],mercado12)</f>
        <v>0</v>
      </c>
      <c r="X313" s="4">
        <f>SUMIFS(super1[Qtde],super1[Item],tab_alimentos[[#This Row],[Item]],super1[Bairro],mercado13)+SUMIFS(supercb[Qtde],supercb[Item],tab_alimentos[[#This Row],[Item]],supercb[Bairro],mercado13)</f>
        <v>0</v>
      </c>
      <c r="Y313" s="4">
        <f>SUMIFS(super1[Qtde],super1[Item],tab_alimentos[[#This Row],[Item]],super1[Bairro],mercado14)+SUMIFS(supercb[Qtde],supercb[Item],tab_alimentos[[#This Row],[Item]],supercb[Bairro],mercado14)</f>
        <v>0</v>
      </c>
      <c r="Z313" s="4">
        <f>SUMIFS(super1[Qtde],super1[Item],tab_alimentos[[#This Row],[Item]],super1[Bairro],mercado15)+SUMIFS(supercb[Qtde],supercb[Item],tab_alimentos[[#This Row],[Item]],supercb[Bairro],mercado15)</f>
        <v>0</v>
      </c>
      <c r="AA313" s="4">
        <f>SUMIFS(super1[Qtde],super1[Item],tab_alimentos[[#This Row],[Item]],super1[Bairro],mercado16)+SUMIFS(supercb[Qtde],supercb[Item],tab_alimentos[[#This Row],[Item]],supercb[Bairro],mercado16)</f>
        <v>0</v>
      </c>
      <c r="AB313" s="4">
        <f>SUMIFS(super1[Qtde],super1[Item],tab_alimentos[[#This Row],[Item]],super1[Bairro],mercado17)+SUMIFS(supercb[Qtde],supercb[Item],tab_alimentos[[#This Row],[Item]],supercb[Bairro],mercado17)</f>
        <v>0</v>
      </c>
      <c r="AC313" s="4">
        <f>SUMIFS(super1[Qtde],super1[Item],tab_alimentos[[#This Row],[Item]],super1[Bairro],mercado18)+SUMIFS(supercb[Qtde],supercb[Item],tab_alimentos[[#This Row],[Item]],supercb[Bairro],mercado18)</f>
        <v>0</v>
      </c>
      <c r="AD313" s="4">
        <f>SUMIFS(super1[Qtde],super1[Item],tab_alimentos[[#This Row],[Item]],super1[Bairro],extras)+SUMIFS(supercb[Qtde],supercb[Item],tab_alimentos[[#This Row],[Item]],supercb[Bairro],extras)</f>
        <v>0</v>
      </c>
      <c r="AE313" s="4">
        <f t="shared" si="88"/>
        <v>0</v>
      </c>
      <c r="AF313" s="4">
        <f t="shared" si="89"/>
        <v>0</v>
      </c>
      <c r="AG313" s="6">
        <f t="shared" si="90"/>
        <v>0</v>
      </c>
      <c r="AH313" s="13" t="e">
        <f>higiene[[#This Row],[Item]]</f>
        <v>#VALUE!</v>
      </c>
      <c r="AI313" s="9">
        <f>IFERROR(higiene[[#This Row],[Kg equivalente]],0)</f>
        <v>0</v>
      </c>
      <c r="AJ313" s="9">
        <f>IFERROR(higiene[[#This Row],[Preço por produto]],0)</f>
        <v>0</v>
      </c>
      <c r="AK313" s="4">
        <f>SUMIFS(super1[Qtde],super1[Item],tab_higiene[[#This Row],[Item]],super1[Bairro],mercado1)+SUMIFS(supercb[Qtde],supercb[Item],tab_higiene[[#This Row],[Item]],supercb[Bairro],mercado1)</f>
        <v>0</v>
      </c>
      <c r="AL313" s="4">
        <f>SUMIFS(super1[Qtde],super1[Item],tab_higiene[[#This Row],[Item]],super1[Bairro],mercado2)+SUMIFS(supercb[Qtde],supercb[Item],tab_higiene[[#This Row],[Item]],supercb[Bairro],mercado2)</f>
        <v>0</v>
      </c>
      <c r="AM313" s="4">
        <f>SUMIFS(super1[Qtde],super1[Item],tab_higiene[[#This Row],[Item]],super1[Bairro],mercado3)+SUMIFS(supercb[Qtde],supercb[Item],tab_higiene[[#This Row],[Item]],supercb[Bairro],mercado3)</f>
        <v>0</v>
      </c>
      <c r="AN313" s="4">
        <f>SUMIFS(super1[Qtde],super1[Item],tab_higiene[[#This Row],[Item]],super1[Bairro],mercado4)+SUMIFS(supercb[Qtde],supercb[Item],tab_higiene[[#This Row],[Item]],supercb[Bairro],mercado4)</f>
        <v>0</v>
      </c>
      <c r="AO313" s="4">
        <f>SUMIFS(super1[Qtde],super1[Item],tab_higiene[[#This Row],[Item]],super1[Bairro],mercado5)+SUMIFS(supercb[Qtde],supercb[Item],tab_higiene[[#This Row],[Item]],supercb[Bairro],mercado5)</f>
        <v>0</v>
      </c>
      <c r="AP313" s="4">
        <f>SUMIFS(super1[Qtde],super1[Item],tab_higiene[[#This Row],[Item]],super1[Bairro],mercado6)+SUMIFS(supercb[Qtde],supercb[Item],tab_higiene[[#This Row],[Item]],supercb[Bairro],mercado6)</f>
        <v>0</v>
      </c>
      <c r="AQ313" s="4">
        <f>SUMIFS(super1[Qtde],super1[Item],tab_higiene[[#This Row],[Item]],super1[Bairro],mercado7)+SUMIFS(supercb[Qtde],supercb[Item],tab_higiene[[#This Row],[Item]],supercb[Bairro],mercado7)</f>
        <v>0</v>
      </c>
      <c r="AR313" s="4">
        <f>SUMIFS(super1[Qtde],super1[Item],tab_higiene[[#This Row],[Item]],super1[Bairro],mercado8)+SUMIFS(supercb[Qtde],supercb[Item],tab_higiene[[#This Row],[Item]],supercb[Bairro],mercado8)</f>
        <v>0</v>
      </c>
      <c r="AS313" s="4">
        <f>SUMIFS(super1[Qtde],super1[Item],tab_higiene[[#This Row],[Item]],super1[Bairro],mercado9)+SUMIFS(supercb[Qtde],supercb[Item],tab_higiene[[#This Row],[Item]],supercb[Bairro],mercado9)</f>
        <v>0</v>
      </c>
      <c r="AT313" s="4">
        <f>SUMIFS(super1[Qtde],super1[Item],tab_higiene[[#This Row],[Item]],super1[Bairro],mercado10)+SUMIFS(supercb[Qtde],supercb[Item],tab_higiene[[#This Row],[Item]],supercb[Bairro],mercado10)</f>
        <v>0</v>
      </c>
      <c r="AU313" s="4">
        <f>SUMIFS(super1[Qtde],super1[Item],tab_higiene[[#This Row],[Item]],super1[Bairro],mercado11)+SUMIFS(supercb[Qtde],supercb[Item],tab_higiene[[#This Row],[Item]],supercb[Bairro],mercado11)</f>
        <v>0</v>
      </c>
      <c r="AV313" s="4">
        <f>SUMIFS(super1[Qtde],super1[Item],tab_higiene[[#This Row],[Item]],super1[Bairro],mercado12)+SUMIFS(supercb[Qtde],supercb[Item],tab_higiene[[#This Row],[Item]],supercb[Bairro],mercado12)</f>
        <v>0</v>
      </c>
      <c r="AW313" s="4">
        <f>SUMIFS(super1[Qtde],super1[Item],tab_higiene[[#This Row],[Item]],super1[Bairro],mercado13)+SUMIFS(supercb[Qtde],supercb[Item],tab_higiene[[#This Row],[Item]],supercb[Bairro],mercado13)</f>
        <v>0</v>
      </c>
      <c r="AX313" s="4">
        <f>SUMIFS(super1[Qtde],super1[Item],tab_higiene[[#This Row],[Item]],super1[Bairro],mercado14)+SUMIFS(supercb[Qtde],supercb[Item],tab_higiene[[#This Row],[Item]],supercb[Bairro],mercado14)</f>
        <v>0</v>
      </c>
      <c r="AY313" s="4">
        <f>SUMIFS(super1[Qtde],super1[Item],tab_higiene[[#This Row],[Item]],super1[Bairro],mercado15)+SUMIFS(supercb[Qtde],supercb[Item],tab_higiene[[#This Row],[Item]],supercb[Bairro],mercado15)</f>
        <v>0</v>
      </c>
      <c r="AZ313" s="4">
        <f>SUMIFS(super1[Qtde],super1[Item],tab_higiene[[#This Row],[Item]],super1[Bairro],mercado16)+SUMIFS(supercb[Qtde],supercb[Item],tab_higiene[[#This Row],[Item]],supercb[Bairro],mercado16)</f>
        <v>0</v>
      </c>
      <c r="BA313" s="4">
        <f>SUMIFS(super1[Qtde],super1[Item],tab_higiene[[#This Row],[Item]],super1[Bairro],mercado17)+SUMIFS(supercb[Qtde],supercb[Item],tab_higiene[[#This Row],[Item]],supercb[Bairro],mercado17)</f>
        <v>0</v>
      </c>
      <c r="BB313" s="4">
        <f>SUMIFS(super1[Qtde],super1[Item],tab_higiene[[#This Row],[Item]],super1[Bairro],mercado18)+SUMIFS(supercb[Qtde],supercb[Item],tab_higiene[[#This Row],[Item]],supercb[Bairro],mercado18)</f>
        <v>0</v>
      </c>
      <c r="BC313" s="31">
        <f>SUMIFS(super1[Qtde],super1[Item],tab_higiene[[#This Row],[Item]],super1[Bairro],extras)+SUMIFS(supercb[Qtde],supercb[Item],tab_higiene[[#This Row],[Item]],supercb[Bairro],extras)</f>
        <v>0</v>
      </c>
      <c r="BD313" s="9">
        <f t="shared" si="91"/>
        <v>0</v>
      </c>
      <c r="BE313" s="9">
        <f t="shared" si="92"/>
        <v>0</v>
      </c>
      <c r="BF313" s="18">
        <f t="shared" si="93"/>
        <v>0</v>
      </c>
    </row>
    <row r="314" spans="9:58" ht="15.75" thickBot="1" x14ac:dyDescent="0.3">
      <c r="I314" s="19" t="str">
        <f>alimentos[[#This Row],[Item]]</f>
        <v>Maizena (500g)</v>
      </c>
      <c r="J314" s="4">
        <f>IFERROR(alimentos[[#This Row],[kg/embalagem]],0)</f>
        <v>0.5</v>
      </c>
      <c r="K314" s="4">
        <f>IFERROR(alimentos[[#This Row],[Preço]],0)</f>
        <v>10.59</v>
      </c>
      <c r="L314" s="4">
        <f>SUMIFS(super1[Qtde],super1[Item],tab_alimentos[[#This Row],[Item]],super1[Bairro],mercado1)+SUMIFS(supercb[Qtde],supercb[Item],tab_alimentos[[#This Row],[Item]],supercb[Bairro],mercado1)</f>
        <v>0</v>
      </c>
      <c r="M314" s="4">
        <f>SUMIFS(super1[Qtde],super1[Item],tab_alimentos[[#This Row],[Item]],super1[Bairro],mercado2)+SUMIFS(supercb[Qtde],supercb[Item],tab_alimentos[[#This Row],[Item]],supercb[Bairro],mercado2)</f>
        <v>0</v>
      </c>
      <c r="N314" s="4">
        <f>SUMIFS(super1[Qtde],super1[Item],tab_alimentos[[#This Row],[Item]],super1[Bairro],mercado3)+SUMIFS(supercb[Qtde],supercb[Item],tab_alimentos[[#This Row],[Item]],supercb[Bairro],mercado3)</f>
        <v>0</v>
      </c>
      <c r="O314" s="4">
        <f>SUMIFS(super1[Qtde],super1[Item],tab_alimentos[[#This Row],[Item]],super1[Bairro],mercado4)+SUMIFS(supercb[Qtde],supercb[Item],tab_alimentos[[#This Row],[Item]],supercb[Bairro],mercado4)</f>
        <v>0</v>
      </c>
      <c r="P314" s="4">
        <f>SUMIFS(super1[Qtde],super1[Item],tab_alimentos[[#This Row],[Item]],super1[Bairro],mercado5)+SUMIFS(supercb[Qtde],supercb[Item],tab_alimentos[[#This Row],[Item]],supercb[Bairro],mercado5)</f>
        <v>0</v>
      </c>
      <c r="Q314" s="4">
        <f>SUMIFS(super1[Qtde],super1[Item],tab_alimentos[[#This Row],[Item]],super1[Bairro],mercado6)+SUMIFS(supercb[Qtde],supercb[Item],tab_alimentos[[#This Row],[Item]],supercb[Bairro],mercado6)</f>
        <v>0</v>
      </c>
      <c r="R314" s="4">
        <f>SUMIFS(super1[Qtde],super1[Item],tab_alimentos[[#This Row],[Item]],super1[Bairro],mercado7)+SUMIFS(supercb[Qtde],supercb[Item],tab_alimentos[[#This Row],[Item]],supercb[Bairro],mercado7)</f>
        <v>0</v>
      </c>
      <c r="S314" s="4">
        <f>SUMIFS(super1[Qtde],super1[Item],tab_alimentos[[#This Row],[Item]],super1[Bairro],mercado8)+SUMIFS(supercb[Qtde],supercb[Item],tab_alimentos[[#This Row],[Item]],supercb[Bairro],mercado8)</f>
        <v>0</v>
      </c>
      <c r="T314" s="4">
        <f>SUMIFS(super1[Qtde],super1[Item],tab_alimentos[[#This Row],[Item]],super1[Bairro],mercado9)+SUMIFS(supercb[Qtde],supercb[Item],tab_alimentos[[#This Row],[Item]],supercb[Bairro],mercado9)</f>
        <v>0</v>
      </c>
      <c r="U314" s="4">
        <f>SUMIFS(super1[Qtde],super1[Item],tab_alimentos[[#This Row],[Item]],super1[Bairro],mercado10)+SUMIFS(supercb[Qtde],supercb[Item],tab_alimentos[[#This Row],[Item]],supercb[Bairro],mercado10)</f>
        <v>0</v>
      </c>
      <c r="V314" s="4">
        <f>SUMIFS(super1[Qtde],super1[Item],tab_alimentos[[#This Row],[Item]],super1[Bairro],mercado11)+SUMIFS(supercb[Qtde],supercb[Item],tab_alimentos[[#This Row],[Item]],supercb[Bairro],mercado11)</f>
        <v>0</v>
      </c>
      <c r="W314" s="4">
        <f>SUMIFS(super1[Qtde],super1[Item],tab_alimentos[[#This Row],[Item]],super1[Bairro],mercado12)+SUMIFS(supercb[Qtde],supercb[Item],tab_alimentos[[#This Row],[Item]],supercb[Bairro],mercado12)</f>
        <v>0</v>
      </c>
      <c r="X314" s="4">
        <f>SUMIFS(super1[Qtde],super1[Item],tab_alimentos[[#This Row],[Item]],super1[Bairro],mercado13)+SUMIFS(supercb[Qtde],supercb[Item],tab_alimentos[[#This Row],[Item]],supercb[Bairro],mercado13)</f>
        <v>0</v>
      </c>
      <c r="Y314" s="4">
        <f>SUMIFS(super1[Qtde],super1[Item],tab_alimentos[[#This Row],[Item]],super1[Bairro],mercado14)+SUMIFS(supercb[Qtde],supercb[Item],tab_alimentos[[#This Row],[Item]],supercb[Bairro],mercado14)</f>
        <v>0</v>
      </c>
      <c r="Z314" s="4">
        <f>SUMIFS(super1[Qtde],super1[Item],tab_alimentos[[#This Row],[Item]],super1[Bairro],mercado15)+SUMIFS(supercb[Qtde],supercb[Item],tab_alimentos[[#This Row],[Item]],supercb[Bairro],mercado15)</f>
        <v>0</v>
      </c>
      <c r="AA314" s="4">
        <f>SUMIFS(super1[Qtde],super1[Item],tab_alimentos[[#This Row],[Item]],super1[Bairro],mercado16)+SUMIFS(supercb[Qtde],supercb[Item],tab_alimentos[[#This Row],[Item]],supercb[Bairro],mercado16)</f>
        <v>0</v>
      </c>
      <c r="AB314" s="4">
        <f>SUMIFS(super1[Qtde],super1[Item],tab_alimentos[[#This Row],[Item]],super1[Bairro],mercado17)+SUMIFS(supercb[Qtde],supercb[Item],tab_alimentos[[#This Row],[Item]],supercb[Bairro],mercado17)</f>
        <v>0</v>
      </c>
      <c r="AC314" s="4">
        <f>SUMIFS(super1[Qtde],super1[Item],tab_alimentos[[#This Row],[Item]],super1[Bairro],mercado18)+SUMIFS(supercb[Qtde],supercb[Item],tab_alimentos[[#This Row],[Item]],supercb[Bairro],mercado18)</f>
        <v>0</v>
      </c>
      <c r="AD314" s="4">
        <f>SUMIFS(super1[Qtde],super1[Item],tab_alimentos[[#This Row],[Item]],super1[Bairro],extras)+SUMIFS(supercb[Qtde],supercb[Item],tab_alimentos[[#This Row],[Item]],supercb[Bairro],extras)</f>
        <v>0</v>
      </c>
      <c r="AE314" s="4">
        <f t="shared" si="88"/>
        <v>0</v>
      </c>
      <c r="AF314" s="4">
        <f t="shared" si="89"/>
        <v>0</v>
      </c>
      <c r="AG314" s="6">
        <f t="shared" si="90"/>
        <v>0</v>
      </c>
      <c r="AH314" s="13" t="e">
        <f>higiene[[#This Row],[Item]]</f>
        <v>#VALUE!</v>
      </c>
      <c r="AI314" s="9">
        <f>IFERROR(higiene[[#This Row],[Kg equivalente]],0)</f>
        <v>0</v>
      </c>
      <c r="AJ314" s="9">
        <f>IFERROR(higiene[[#This Row],[Preço por produto]],0)</f>
        <v>0</v>
      </c>
      <c r="AK314" s="4">
        <f>SUMIFS(super1[Qtde],super1[Item],tab_higiene[[#This Row],[Item]],super1[Bairro],mercado1)+SUMIFS(supercb[Qtde],supercb[Item],tab_higiene[[#This Row],[Item]],supercb[Bairro],mercado1)</f>
        <v>0</v>
      </c>
      <c r="AL314" s="4">
        <f>SUMIFS(super1[Qtde],super1[Item],tab_higiene[[#This Row],[Item]],super1[Bairro],mercado2)+SUMIFS(supercb[Qtde],supercb[Item],tab_higiene[[#This Row],[Item]],supercb[Bairro],mercado2)</f>
        <v>0</v>
      </c>
      <c r="AM314" s="4">
        <f>SUMIFS(super1[Qtde],super1[Item],tab_higiene[[#This Row],[Item]],super1[Bairro],mercado3)+SUMIFS(supercb[Qtde],supercb[Item],tab_higiene[[#This Row],[Item]],supercb[Bairro],mercado3)</f>
        <v>0</v>
      </c>
      <c r="AN314" s="4">
        <f>SUMIFS(super1[Qtde],super1[Item],tab_higiene[[#This Row],[Item]],super1[Bairro],mercado4)+SUMIFS(supercb[Qtde],supercb[Item],tab_higiene[[#This Row],[Item]],supercb[Bairro],mercado4)</f>
        <v>0</v>
      </c>
      <c r="AO314" s="4">
        <f>SUMIFS(super1[Qtde],super1[Item],tab_higiene[[#This Row],[Item]],super1[Bairro],mercado5)+SUMIFS(supercb[Qtde],supercb[Item],tab_higiene[[#This Row],[Item]],supercb[Bairro],mercado5)</f>
        <v>0</v>
      </c>
      <c r="AP314" s="4">
        <f>SUMIFS(super1[Qtde],super1[Item],tab_higiene[[#This Row],[Item]],super1[Bairro],mercado6)+SUMIFS(supercb[Qtde],supercb[Item],tab_higiene[[#This Row],[Item]],supercb[Bairro],mercado6)</f>
        <v>0</v>
      </c>
      <c r="AQ314" s="4">
        <f>SUMIFS(super1[Qtde],super1[Item],tab_higiene[[#This Row],[Item]],super1[Bairro],mercado7)+SUMIFS(supercb[Qtde],supercb[Item],tab_higiene[[#This Row],[Item]],supercb[Bairro],mercado7)</f>
        <v>0</v>
      </c>
      <c r="AR314" s="4">
        <f>SUMIFS(super1[Qtde],super1[Item],tab_higiene[[#This Row],[Item]],super1[Bairro],mercado8)+SUMIFS(supercb[Qtde],supercb[Item],tab_higiene[[#This Row],[Item]],supercb[Bairro],mercado8)</f>
        <v>0</v>
      </c>
      <c r="AS314" s="4">
        <f>SUMIFS(super1[Qtde],super1[Item],tab_higiene[[#This Row],[Item]],super1[Bairro],mercado9)+SUMIFS(supercb[Qtde],supercb[Item],tab_higiene[[#This Row],[Item]],supercb[Bairro],mercado9)</f>
        <v>0</v>
      </c>
      <c r="AT314" s="4">
        <f>SUMIFS(super1[Qtde],super1[Item],tab_higiene[[#This Row],[Item]],super1[Bairro],mercado10)+SUMIFS(supercb[Qtde],supercb[Item],tab_higiene[[#This Row],[Item]],supercb[Bairro],mercado10)</f>
        <v>0</v>
      </c>
      <c r="AU314" s="4">
        <f>SUMIFS(super1[Qtde],super1[Item],tab_higiene[[#This Row],[Item]],super1[Bairro],mercado11)+SUMIFS(supercb[Qtde],supercb[Item],tab_higiene[[#This Row],[Item]],supercb[Bairro],mercado11)</f>
        <v>0</v>
      </c>
      <c r="AV314" s="4">
        <f>SUMIFS(super1[Qtde],super1[Item],tab_higiene[[#This Row],[Item]],super1[Bairro],mercado12)+SUMIFS(supercb[Qtde],supercb[Item],tab_higiene[[#This Row],[Item]],supercb[Bairro],mercado12)</f>
        <v>0</v>
      </c>
      <c r="AW314" s="4">
        <f>SUMIFS(super1[Qtde],super1[Item],tab_higiene[[#This Row],[Item]],super1[Bairro],mercado13)+SUMIFS(supercb[Qtde],supercb[Item],tab_higiene[[#This Row],[Item]],supercb[Bairro],mercado13)</f>
        <v>0</v>
      </c>
      <c r="AX314" s="4">
        <f>SUMIFS(super1[Qtde],super1[Item],tab_higiene[[#This Row],[Item]],super1[Bairro],mercado14)+SUMIFS(supercb[Qtde],supercb[Item],tab_higiene[[#This Row],[Item]],supercb[Bairro],mercado14)</f>
        <v>0</v>
      </c>
      <c r="AY314" s="4">
        <f>SUMIFS(super1[Qtde],super1[Item],tab_higiene[[#This Row],[Item]],super1[Bairro],mercado15)+SUMIFS(supercb[Qtde],supercb[Item],tab_higiene[[#This Row],[Item]],supercb[Bairro],mercado15)</f>
        <v>0</v>
      </c>
      <c r="AZ314" s="4">
        <f>SUMIFS(super1[Qtde],super1[Item],tab_higiene[[#This Row],[Item]],super1[Bairro],mercado16)+SUMIFS(supercb[Qtde],supercb[Item],tab_higiene[[#This Row],[Item]],supercb[Bairro],mercado16)</f>
        <v>0</v>
      </c>
      <c r="BA314" s="4">
        <f>SUMIFS(super1[Qtde],super1[Item],tab_higiene[[#This Row],[Item]],super1[Bairro],mercado17)+SUMIFS(supercb[Qtde],supercb[Item],tab_higiene[[#This Row],[Item]],supercb[Bairro],mercado17)</f>
        <v>0</v>
      </c>
      <c r="BB314" s="4">
        <f>SUMIFS(super1[Qtde],super1[Item],tab_higiene[[#This Row],[Item]],super1[Bairro],mercado18)+SUMIFS(supercb[Qtde],supercb[Item],tab_higiene[[#This Row],[Item]],supercb[Bairro],mercado18)</f>
        <v>0</v>
      </c>
      <c r="BC314" s="31">
        <f>SUMIFS(super1[Qtde],super1[Item],tab_higiene[[#This Row],[Item]],super1[Bairro],extras)+SUMIFS(supercb[Qtde],supercb[Item],tab_higiene[[#This Row],[Item]],supercb[Bairro],extras)</f>
        <v>0</v>
      </c>
      <c r="BD314" s="9">
        <f t="shared" si="91"/>
        <v>0</v>
      </c>
      <c r="BE314" s="9">
        <f t="shared" si="92"/>
        <v>0</v>
      </c>
      <c r="BF314" s="18">
        <f t="shared" si="93"/>
        <v>0</v>
      </c>
    </row>
    <row r="315" spans="9:58" ht="15.75" thickBot="1" x14ac:dyDescent="0.3">
      <c r="I315" s="19" t="str">
        <f>alimentos[[#This Row],[Item]]</f>
        <v>Maria Mole (50g)</v>
      </c>
      <c r="J315" s="4">
        <f>IFERROR(alimentos[[#This Row],[kg/embalagem]],0)</f>
        <v>0.05</v>
      </c>
      <c r="K315" s="4">
        <f>IFERROR(alimentos[[#This Row],[Preço]],0)</f>
        <v>5.79</v>
      </c>
      <c r="L315" s="4">
        <f>SUMIFS(super1[Qtde],super1[Item],tab_alimentos[[#This Row],[Item]],super1[Bairro],mercado1)+SUMIFS(supercb[Qtde],supercb[Item],tab_alimentos[[#This Row],[Item]],supercb[Bairro],mercado1)</f>
        <v>0</v>
      </c>
      <c r="M315" s="4">
        <f>SUMIFS(super1[Qtde],super1[Item],tab_alimentos[[#This Row],[Item]],super1[Bairro],mercado2)+SUMIFS(supercb[Qtde],supercb[Item],tab_alimentos[[#This Row],[Item]],supercb[Bairro],mercado2)</f>
        <v>0</v>
      </c>
      <c r="N315" s="4">
        <f>SUMIFS(super1[Qtde],super1[Item],tab_alimentos[[#This Row],[Item]],super1[Bairro],mercado3)+SUMIFS(supercb[Qtde],supercb[Item],tab_alimentos[[#This Row],[Item]],supercb[Bairro],mercado3)</f>
        <v>0</v>
      </c>
      <c r="O315" s="4">
        <f>SUMIFS(super1[Qtde],super1[Item],tab_alimentos[[#This Row],[Item]],super1[Bairro],mercado4)+SUMIFS(supercb[Qtde],supercb[Item],tab_alimentos[[#This Row],[Item]],supercb[Bairro],mercado4)</f>
        <v>0</v>
      </c>
      <c r="P315" s="4">
        <f>SUMIFS(super1[Qtde],super1[Item],tab_alimentos[[#This Row],[Item]],super1[Bairro],mercado5)+SUMIFS(supercb[Qtde],supercb[Item],tab_alimentos[[#This Row],[Item]],supercb[Bairro],mercado5)</f>
        <v>0</v>
      </c>
      <c r="Q315" s="4">
        <f>SUMIFS(super1[Qtde],super1[Item],tab_alimentos[[#This Row],[Item]],super1[Bairro],mercado6)+SUMIFS(supercb[Qtde],supercb[Item],tab_alimentos[[#This Row],[Item]],supercb[Bairro],mercado6)</f>
        <v>0</v>
      </c>
      <c r="R315" s="4">
        <f>SUMIFS(super1[Qtde],super1[Item],tab_alimentos[[#This Row],[Item]],super1[Bairro],mercado7)+SUMIFS(supercb[Qtde],supercb[Item],tab_alimentos[[#This Row],[Item]],supercb[Bairro],mercado7)</f>
        <v>0</v>
      </c>
      <c r="S315" s="4">
        <f>SUMIFS(super1[Qtde],super1[Item],tab_alimentos[[#This Row],[Item]],super1[Bairro],mercado8)+SUMIFS(supercb[Qtde],supercb[Item],tab_alimentos[[#This Row],[Item]],supercb[Bairro],mercado8)</f>
        <v>0</v>
      </c>
      <c r="T315" s="4">
        <f>SUMIFS(super1[Qtde],super1[Item],tab_alimentos[[#This Row],[Item]],super1[Bairro],mercado9)+SUMIFS(supercb[Qtde],supercb[Item],tab_alimentos[[#This Row],[Item]],supercb[Bairro],mercado9)</f>
        <v>0</v>
      </c>
      <c r="U315" s="4">
        <f>SUMIFS(super1[Qtde],super1[Item],tab_alimentos[[#This Row],[Item]],super1[Bairro],mercado10)+SUMIFS(supercb[Qtde],supercb[Item],tab_alimentos[[#This Row],[Item]],supercb[Bairro],mercado10)</f>
        <v>0</v>
      </c>
      <c r="V315" s="4">
        <f>SUMIFS(super1[Qtde],super1[Item],tab_alimentos[[#This Row],[Item]],super1[Bairro],mercado11)+SUMIFS(supercb[Qtde],supercb[Item],tab_alimentos[[#This Row],[Item]],supercb[Bairro],mercado11)</f>
        <v>0</v>
      </c>
      <c r="W315" s="4">
        <f>SUMIFS(super1[Qtde],super1[Item],tab_alimentos[[#This Row],[Item]],super1[Bairro],mercado12)+SUMIFS(supercb[Qtde],supercb[Item],tab_alimentos[[#This Row],[Item]],supercb[Bairro],mercado12)</f>
        <v>0</v>
      </c>
      <c r="X315" s="4">
        <f>SUMIFS(super1[Qtde],super1[Item],tab_alimentos[[#This Row],[Item]],super1[Bairro],mercado13)+SUMIFS(supercb[Qtde],supercb[Item],tab_alimentos[[#This Row],[Item]],supercb[Bairro],mercado13)</f>
        <v>0</v>
      </c>
      <c r="Y315" s="4">
        <f>SUMIFS(super1[Qtde],super1[Item],tab_alimentos[[#This Row],[Item]],super1[Bairro],mercado14)+SUMIFS(supercb[Qtde],supercb[Item],tab_alimentos[[#This Row],[Item]],supercb[Bairro],mercado14)</f>
        <v>0</v>
      </c>
      <c r="Z315" s="4">
        <f>SUMIFS(super1[Qtde],super1[Item],tab_alimentos[[#This Row],[Item]],super1[Bairro],mercado15)+SUMIFS(supercb[Qtde],supercb[Item],tab_alimentos[[#This Row],[Item]],supercb[Bairro],mercado15)</f>
        <v>0</v>
      </c>
      <c r="AA315" s="4">
        <f>SUMIFS(super1[Qtde],super1[Item],tab_alimentos[[#This Row],[Item]],super1[Bairro],mercado16)+SUMIFS(supercb[Qtde],supercb[Item],tab_alimentos[[#This Row],[Item]],supercb[Bairro],mercado16)</f>
        <v>0</v>
      </c>
      <c r="AB315" s="4">
        <f>SUMIFS(super1[Qtde],super1[Item],tab_alimentos[[#This Row],[Item]],super1[Bairro],mercado17)+SUMIFS(supercb[Qtde],supercb[Item],tab_alimentos[[#This Row],[Item]],supercb[Bairro],mercado17)</f>
        <v>0</v>
      </c>
      <c r="AC315" s="4">
        <f>SUMIFS(super1[Qtde],super1[Item],tab_alimentos[[#This Row],[Item]],super1[Bairro],mercado18)+SUMIFS(supercb[Qtde],supercb[Item],tab_alimentos[[#This Row],[Item]],supercb[Bairro],mercado18)</f>
        <v>0</v>
      </c>
      <c r="AD315" s="4">
        <f>SUMIFS(super1[Qtde],super1[Item],tab_alimentos[[#This Row],[Item]],super1[Bairro],extras)+SUMIFS(supercb[Qtde],supercb[Item],tab_alimentos[[#This Row],[Item]],supercb[Bairro],extras)</f>
        <v>0</v>
      </c>
      <c r="AE315" s="4">
        <f t="shared" si="88"/>
        <v>0</v>
      </c>
      <c r="AF315" s="4">
        <f t="shared" si="89"/>
        <v>0</v>
      </c>
      <c r="AG315" s="6">
        <f t="shared" si="90"/>
        <v>0</v>
      </c>
      <c r="AH315" s="13" t="e">
        <f>higiene[[#This Row],[Item]]</f>
        <v>#VALUE!</v>
      </c>
      <c r="AI315" s="9">
        <f>IFERROR(higiene[[#This Row],[Kg equivalente]],0)</f>
        <v>0</v>
      </c>
      <c r="AJ315" s="9">
        <f>IFERROR(higiene[[#This Row],[Preço por produto]],0)</f>
        <v>0</v>
      </c>
      <c r="AK315" s="4">
        <f>SUMIFS(super1[Qtde],super1[Item],tab_higiene[[#This Row],[Item]],super1[Bairro],mercado1)+SUMIFS(supercb[Qtde],supercb[Item],tab_higiene[[#This Row],[Item]],supercb[Bairro],mercado1)</f>
        <v>0</v>
      </c>
      <c r="AL315" s="4">
        <f>SUMIFS(super1[Qtde],super1[Item],tab_higiene[[#This Row],[Item]],super1[Bairro],mercado2)+SUMIFS(supercb[Qtde],supercb[Item],tab_higiene[[#This Row],[Item]],supercb[Bairro],mercado2)</f>
        <v>0</v>
      </c>
      <c r="AM315" s="4">
        <f>SUMIFS(super1[Qtde],super1[Item],tab_higiene[[#This Row],[Item]],super1[Bairro],mercado3)+SUMIFS(supercb[Qtde],supercb[Item],tab_higiene[[#This Row],[Item]],supercb[Bairro],mercado3)</f>
        <v>0</v>
      </c>
      <c r="AN315" s="4">
        <f>SUMIFS(super1[Qtde],super1[Item],tab_higiene[[#This Row],[Item]],super1[Bairro],mercado4)+SUMIFS(supercb[Qtde],supercb[Item],tab_higiene[[#This Row],[Item]],supercb[Bairro],mercado4)</f>
        <v>0</v>
      </c>
      <c r="AO315" s="4">
        <f>SUMIFS(super1[Qtde],super1[Item],tab_higiene[[#This Row],[Item]],super1[Bairro],mercado5)+SUMIFS(supercb[Qtde],supercb[Item],tab_higiene[[#This Row],[Item]],supercb[Bairro],mercado5)</f>
        <v>0</v>
      </c>
      <c r="AP315" s="4">
        <f>SUMIFS(super1[Qtde],super1[Item],tab_higiene[[#This Row],[Item]],super1[Bairro],mercado6)+SUMIFS(supercb[Qtde],supercb[Item],tab_higiene[[#This Row],[Item]],supercb[Bairro],mercado6)</f>
        <v>0</v>
      </c>
      <c r="AQ315" s="4">
        <f>SUMIFS(super1[Qtde],super1[Item],tab_higiene[[#This Row],[Item]],super1[Bairro],mercado7)+SUMIFS(supercb[Qtde],supercb[Item],tab_higiene[[#This Row],[Item]],supercb[Bairro],mercado7)</f>
        <v>0</v>
      </c>
      <c r="AR315" s="4">
        <f>SUMIFS(super1[Qtde],super1[Item],tab_higiene[[#This Row],[Item]],super1[Bairro],mercado8)+SUMIFS(supercb[Qtde],supercb[Item],tab_higiene[[#This Row],[Item]],supercb[Bairro],mercado8)</f>
        <v>0</v>
      </c>
      <c r="AS315" s="4">
        <f>SUMIFS(super1[Qtde],super1[Item],tab_higiene[[#This Row],[Item]],super1[Bairro],mercado9)+SUMIFS(supercb[Qtde],supercb[Item],tab_higiene[[#This Row],[Item]],supercb[Bairro],mercado9)</f>
        <v>0</v>
      </c>
      <c r="AT315" s="4">
        <f>SUMIFS(super1[Qtde],super1[Item],tab_higiene[[#This Row],[Item]],super1[Bairro],mercado10)+SUMIFS(supercb[Qtde],supercb[Item],tab_higiene[[#This Row],[Item]],supercb[Bairro],mercado10)</f>
        <v>0</v>
      </c>
      <c r="AU315" s="4">
        <f>SUMIFS(super1[Qtde],super1[Item],tab_higiene[[#This Row],[Item]],super1[Bairro],mercado11)+SUMIFS(supercb[Qtde],supercb[Item],tab_higiene[[#This Row],[Item]],supercb[Bairro],mercado11)</f>
        <v>0</v>
      </c>
      <c r="AV315" s="4">
        <f>SUMIFS(super1[Qtde],super1[Item],tab_higiene[[#This Row],[Item]],super1[Bairro],mercado12)+SUMIFS(supercb[Qtde],supercb[Item],tab_higiene[[#This Row],[Item]],supercb[Bairro],mercado12)</f>
        <v>0</v>
      </c>
      <c r="AW315" s="4">
        <f>SUMIFS(super1[Qtde],super1[Item],tab_higiene[[#This Row],[Item]],super1[Bairro],mercado13)+SUMIFS(supercb[Qtde],supercb[Item],tab_higiene[[#This Row],[Item]],supercb[Bairro],mercado13)</f>
        <v>0</v>
      </c>
      <c r="AX315" s="4">
        <f>SUMIFS(super1[Qtde],super1[Item],tab_higiene[[#This Row],[Item]],super1[Bairro],mercado14)+SUMIFS(supercb[Qtde],supercb[Item],tab_higiene[[#This Row],[Item]],supercb[Bairro],mercado14)</f>
        <v>0</v>
      </c>
      <c r="AY315" s="4">
        <f>SUMIFS(super1[Qtde],super1[Item],tab_higiene[[#This Row],[Item]],super1[Bairro],mercado15)+SUMIFS(supercb[Qtde],supercb[Item],tab_higiene[[#This Row],[Item]],supercb[Bairro],mercado15)</f>
        <v>0</v>
      </c>
      <c r="AZ315" s="4">
        <f>SUMIFS(super1[Qtde],super1[Item],tab_higiene[[#This Row],[Item]],super1[Bairro],mercado16)+SUMIFS(supercb[Qtde],supercb[Item],tab_higiene[[#This Row],[Item]],supercb[Bairro],mercado16)</f>
        <v>0</v>
      </c>
      <c r="BA315" s="4">
        <f>SUMIFS(super1[Qtde],super1[Item],tab_higiene[[#This Row],[Item]],super1[Bairro],mercado17)+SUMIFS(supercb[Qtde],supercb[Item],tab_higiene[[#This Row],[Item]],supercb[Bairro],mercado17)</f>
        <v>0</v>
      </c>
      <c r="BB315" s="4">
        <f>SUMIFS(super1[Qtde],super1[Item],tab_higiene[[#This Row],[Item]],super1[Bairro],mercado18)+SUMIFS(supercb[Qtde],supercb[Item],tab_higiene[[#This Row],[Item]],supercb[Bairro],mercado18)</f>
        <v>0</v>
      </c>
      <c r="BC315" s="31">
        <f>SUMIFS(super1[Qtde],super1[Item],tab_higiene[[#This Row],[Item]],super1[Bairro],extras)+SUMIFS(supercb[Qtde],supercb[Item],tab_higiene[[#This Row],[Item]],supercb[Bairro],extras)</f>
        <v>0</v>
      </c>
      <c r="BD315" s="9">
        <f t="shared" si="91"/>
        <v>0</v>
      </c>
      <c r="BE315" s="9">
        <f t="shared" si="92"/>
        <v>0</v>
      </c>
      <c r="BF315" s="18">
        <f t="shared" si="93"/>
        <v>0</v>
      </c>
    </row>
    <row r="316" spans="9:58" x14ac:dyDescent="0.25">
      <c r="I316" s="19" t="str">
        <f>alimentos[[#This Row],[Item]]</f>
        <v>Massa Lasanha (200g)</v>
      </c>
      <c r="J316" s="4">
        <f>IFERROR(alimentos[[#This Row],[kg/embalagem]],0)</f>
        <v>0.2</v>
      </c>
      <c r="K316" s="4">
        <f>IFERROR(alimentos[[#This Row],[Preço]],0)</f>
        <v>4.8499999999999996</v>
      </c>
      <c r="L316" s="4">
        <f>SUMIFS(super1[Qtde],super1[Item],tab_alimentos[[#This Row],[Item]],super1[Bairro],mercado1)+SUMIFS(supercb[Qtde],supercb[Item],tab_alimentos[[#This Row],[Item]],supercb[Bairro],mercado1)</f>
        <v>0</v>
      </c>
      <c r="M316" s="4">
        <f>SUMIFS(super1[Qtde],super1[Item],tab_alimentos[[#This Row],[Item]],super1[Bairro],mercado2)+SUMIFS(supercb[Qtde],supercb[Item],tab_alimentos[[#This Row],[Item]],supercb[Bairro],mercado2)</f>
        <v>0</v>
      </c>
      <c r="N316" s="4">
        <f>SUMIFS(super1[Qtde],super1[Item],tab_alimentos[[#This Row],[Item]],super1[Bairro],mercado3)+SUMIFS(supercb[Qtde],supercb[Item],tab_alimentos[[#This Row],[Item]],supercb[Bairro],mercado3)</f>
        <v>0</v>
      </c>
      <c r="O316" s="4">
        <f>SUMIFS(super1[Qtde],super1[Item],tab_alimentos[[#This Row],[Item]],super1[Bairro],mercado4)+SUMIFS(supercb[Qtde],supercb[Item],tab_alimentos[[#This Row],[Item]],supercb[Bairro],mercado4)</f>
        <v>0</v>
      </c>
      <c r="P316" s="4">
        <f>SUMIFS(super1[Qtde],super1[Item],tab_alimentos[[#This Row],[Item]],super1[Bairro],mercado5)+SUMIFS(supercb[Qtde],supercb[Item],tab_alimentos[[#This Row],[Item]],supercb[Bairro],mercado5)</f>
        <v>0</v>
      </c>
      <c r="Q316" s="4">
        <f>SUMIFS(super1[Qtde],super1[Item],tab_alimentos[[#This Row],[Item]],super1[Bairro],mercado6)+SUMIFS(supercb[Qtde],supercb[Item],tab_alimentos[[#This Row],[Item]],supercb[Bairro],mercado6)</f>
        <v>0</v>
      </c>
      <c r="R316" s="4">
        <f>SUMIFS(super1[Qtde],super1[Item],tab_alimentos[[#This Row],[Item]],super1[Bairro],mercado7)+SUMIFS(supercb[Qtde],supercb[Item],tab_alimentos[[#This Row],[Item]],supercb[Bairro],mercado7)</f>
        <v>0</v>
      </c>
      <c r="S316" s="4">
        <f>SUMIFS(super1[Qtde],super1[Item],tab_alimentos[[#This Row],[Item]],super1[Bairro],mercado8)+SUMIFS(supercb[Qtde],supercb[Item],tab_alimentos[[#This Row],[Item]],supercb[Bairro],mercado8)</f>
        <v>0</v>
      </c>
      <c r="T316" s="4">
        <f>SUMIFS(super1[Qtde],super1[Item],tab_alimentos[[#This Row],[Item]],super1[Bairro],mercado9)+SUMIFS(supercb[Qtde],supercb[Item],tab_alimentos[[#This Row],[Item]],supercb[Bairro],mercado9)</f>
        <v>0</v>
      </c>
      <c r="U316" s="4">
        <f>SUMIFS(super1[Qtde],super1[Item],tab_alimentos[[#This Row],[Item]],super1[Bairro],mercado10)+SUMIFS(supercb[Qtde],supercb[Item],tab_alimentos[[#This Row],[Item]],supercb[Bairro],mercado10)</f>
        <v>0</v>
      </c>
      <c r="V316" s="4">
        <f>SUMIFS(super1[Qtde],super1[Item],tab_alimentos[[#This Row],[Item]],super1[Bairro],mercado11)+SUMIFS(supercb[Qtde],supercb[Item],tab_alimentos[[#This Row],[Item]],supercb[Bairro],mercado11)</f>
        <v>0</v>
      </c>
      <c r="W316" s="4">
        <f>SUMIFS(super1[Qtde],super1[Item],tab_alimentos[[#This Row],[Item]],super1[Bairro],mercado12)+SUMIFS(supercb[Qtde],supercb[Item],tab_alimentos[[#This Row],[Item]],supercb[Bairro],mercado12)</f>
        <v>0</v>
      </c>
      <c r="X316" s="4">
        <f>SUMIFS(super1[Qtde],super1[Item],tab_alimentos[[#This Row],[Item]],super1[Bairro],mercado13)+SUMIFS(supercb[Qtde],supercb[Item],tab_alimentos[[#This Row],[Item]],supercb[Bairro],mercado13)</f>
        <v>0</v>
      </c>
      <c r="Y316" s="4">
        <f>SUMIFS(super1[Qtde],super1[Item],tab_alimentos[[#This Row],[Item]],super1[Bairro],mercado14)+SUMIFS(supercb[Qtde],supercb[Item],tab_alimentos[[#This Row],[Item]],supercb[Bairro],mercado14)</f>
        <v>0</v>
      </c>
      <c r="Z316" s="4">
        <f>SUMIFS(super1[Qtde],super1[Item],tab_alimentos[[#This Row],[Item]],super1[Bairro],mercado15)+SUMIFS(supercb[Qtde],supercb[Item],tab_alimentos[[#This Row],[Item]],supercb[Bairro],mercado15)</f>
        <v>0</v>
      </c>
      <c r="AA316" s="4">
        <f>SUMIFS(super1[Qtde],super1[Item],tab_alimentos[[#This Row],[Item]],super1[Bairro],mercado16)+SUMIFS(supercb[Qtde],supercb[Item],tab_alimentos[[#This Row],[Item]],supercb[Bairro],mercado16)</f>
        <v>0</v>
      </c>
      <c r="AB316" s="4">
        <f>SUMIFS(super1[Qtde],super1[Item],tab_alimentos[[#This Row],[Item]],super1[Bairro],mercado17)+SUMIFS(supercb[Qtde],supercb[Item],tab_alimentos[[#This Row],[Item]],supercb[Bairro],mercado17)</f>
        <v>0</v>
      </c>
      <c r="AC316" s="4">
        <f>SUMIFS(super1[Qtde],super1[Item],tab_alimentos[[#This Row],[Item]],super1[Bairro],mercado18)+SUMIFS(supercb[Qtde],supercb[Item],tab_alimentos[[#This Row],[Item]],supercb[Bairro],mercado18)</f>
        <v>0</v>
      </c>
      <c r="AD316" s="4">
        <f>SUMIFS(super1[Qtde],super1[Item],tab_alimentos[[#This Row],[Item]],super1[Bairro],extras)+SUMIFS(supercb[Qtde],supercb[Item],tab_alimentos[[#This Row],[Item]],supercb[Bairro],extras)</f>
        <v>0</v>
      </c>
      <c r="AE316" s="4">
        <f t="shared" si="88"/>
        <v>0</v>
      </c>
      <c r="AF316" s="4">
        <f t="shared" si="89"/>
        <v>0</v>
      </c>
      <c r="AG316" s="6">
        <f t="shared" si="90"/>
        <v>0</v>
      </c>
    </row>
    <row r="317" spans="9:58" x14ac:dyDescent="0.25">
      <c r="I317" s="19" t="str">
        <f>alimentos[[#This Row],[Item]]</f>
        <v>Massa Lasanha (500g)</v>
      </c>
      <c r="J317" s="4">
        <f>IFERROR(alimentos[[#This Row],[kg/embalagem]],0)</f>
        <v>0.5</v>
      </c>
      <c r="K317" s="4">
        <f>IFERROR(alimentos[[#This Row],[Preço]],0)</f>
        <v>6.98</v>
      </c>
      <c r="L317" s="4">
        <f>SUMIFS(super1[Qtde],super1[Item],tab_alimentos[[#This Row],[Item]],super1[Bairro],mercado1)+SUMIFS(supercb[Qtde],supercb[Item],tab_alimentos[[#This Row],[Item]],supercb[Bairro],mercado1)</f>
        <v>0</v>
      </c>
      <c r="M317" s="4">
        <f>SUMIFS(super1[Qtde],super1[Item],tab_alimentos[[#This Row],[Item]],super1[Bairro],mercado2)+SUMIFS(supercb[Qtde],supercb[Item],tab_alimentos[[#This Row],[Item]],supercb[Bairro],mercado2)</f>
        <v>0</v>
      </c>
      <c r="N317" s="4">
        <f>SUMIFS(super1[Qtde],super1[Item],tab_alimentos[[#This Row],[Item]],super1[Bairro],mercado3)+SUMIFS(supercb[Qtde],supercb[Item],tab_alimentos[[#This Row],[Item]],supercb[Bairro],mercado3)</f>
        <v>0</v>
      </c>
      <c r="O317" s="4">
        <f>SUMIFS(super1[Qtde],super1[Item],tab_alimentos[[#This Row],[Item]],super1[Bairro],mercado4)+SUMIFS(supercb[Qtde],supercb[Item],tab_alimentos[[#This Row],[Item]],supercb[Bairro],mercado4)</f>
        <v>0</v>
      </c>
      <c r="P317" s="4">
        <f>SUMIFS(super1[Qtde],super1[Item],tab_alimentos[[#This Row],[Item]],super1[Bairro],mercado5)+SUMIFS(supercb[Qtde],supercb[Item],tab_alimentos[[#This Row],[Item]],supercb[Bairro],mercado5)</f>
        <v>0</v>
      </c>
      <c r="Q317" s="4">
        <f>SUMIFS(super1[Qtde],super1[Item],tab_alimentos[[#This Row],[Item]],super1[Bairro],mercado6)+SUMIFS(supercb[Qtde],supercb[Item],tab_alimentos[[#This Row],[Item]],supercb[Bairro],mercado6)</f>
        <v>0</v>
      </c>
      <c r="R317" s="4">
        <f>SUMIFS(super1[Qtde],super1[Item],tab_alimentos[[#This Row],[Item]],super1[Bairro],mercado7)+SUMIFS(supercb[Qtde],supercb[Item],tab_alimentos[[#This Row],[Item]],supercb[Bairro],mercado7)</f>
        <v>0</v>
      </c>
      <c r="S317" s="4">
        <f>SUMIFS(super1[Qtde],super1[Item],tab_alimentos[[#This Row],[Item]],super1[Bairro],mercado8)+SUMIFS(supercb[Qtde],supercb[Item],tab_alimentos[[#This Row],[Item]],supercb[Bairro],mercado8)</f>
        <v>0</v>
      </c>
      <c r="T317" s="4">
        <f>SUMIFS(super1[Qtde],super1[Item],tab_alimentos[[#This Row],[Item]],super1[Bairro],mercado9)+SUMIFS(supercb[Qtde],supercb[Item],tab_alimentos[[#This Row],[Item]],supercb[Bairro],mercado9)</f>
        <v>0</v>
      </c>
      <c r="U317" s="4">
        <f>SUMIFS(super1[Qtde],super1[Item],tab_alimentos[[#This Row],[Item]],super1[Bairro],mercado10)+SUMIFS(supercb[Qtde],supercb[Item],tab_alimentos[[#This Row],[Item]],supercb[Bairro],mercado10)</f>
        <v>0</v>
      </c>
      <c r="V317" s="4">
        <f>SUMIFS(super1[Qtde],super1[Item],tab_alimentos[[#This Row],[Item]],super1[Bairro],mercado11)+SUMIFS(supercb[Qtde],supercb[Item],tab_alimentos[[#This Row],[Item]],supercb[Bairro],mercado11)</f>
        <v>0</v>
      </c>
      <c r="W317" s="4">
        <f>SUMIFS(super1[Qtde],super1[Item],tab_alimentos[[#This Row],[Item]],super1[Bairro],mercado12)+SUMIFS(supercb[Qtde],supercb[Item],tab_alimentos[[#This Row],[Item]],supercb[Bairro],mercado12)</f>
        <v>0</v>
      </c>
      <c r="X317" s="4">
        <f>SUMIFS(super1[Qtde],super1[Item],tab_alimentos[[#This Row],[Item]],super1[Bairro],mercado13)+SUMIFS(supercb[Qtde],supercb[Item],tab_alimentos[[#This Row],[Item]],supercb[Bairro],mercado13)</f>
        <v>0</v>
      </c>
      <c r="Y317" s="4">
        <f>SUMIFS(super1[Qtde],super1[Item],tab_alimentos[[#This Row],[Item]],super1[Bairro],mercado14)+SUMIFS(supercb[Qtde],supercb[Item],tab_alimentos[[#This Row],[Item]],supercb[Bairro],mercado14)</f>
        <v>0</v>
      </c>
      <c r="Z317" s="4">
        <f>SUMIFS(super1[Qtde],super1[Item],tab_alimentos[[#This Row],[Item]],super1[Bairro],mercado15)+SUMIFS(supercb[Qtde],supercb[Item],tab_alimentos[[#This Row],[Item]],supercb[Bairro],mercado15)</f>
        <v>0</v>
      </c>
      <c r="AA317" s="4">
        <f>SUMIFS(super1[Qtde],super1[Item],tab_alimentos[[#This Row],[Item]],super1[Bairro],mercado16)+SUMIFS(supercb[Qtde],supercb[Item],tab_alimentos[[#This Row],[Item]],supercb[Bairro],mercado16)</f>
        <v>0</v>
      </c>
      <c r="AB317" s="4">
        <f>SUMIFS(super1[Qtde],super1[Item],tab_alimentos[[#This Row],[Item]],super1[Bairro],mercado17)+SUMIFS(supercb[Qtde],supercb[Item],tab_alimentos[[#This Row],[Item]],supercb[Bairro],mercado17)</f>
        <v>0</v>
      </c>
      <c r="AC317" s="4">
        <f>SUMIFS(super1[Qtde],super1[Item],tab_alimentos[[#This Row],[Item]],super1[Bairro],mercado18)+SUMIFS(supercb[Qtde],supercb[Item],tab_alimentos[[#This Row],[Item]],supercb[Bairro],mercado18)</f>
        <v>0</v>
      </c>
      <c r="AD317" s="4">
        <f>SUMIFS(super1[Qtde],super1[Item],tab_alimentos[[#This Row],[Item]],super1[Bairro],extras)+SUMIFS(supercb[Qtde],supercb[Item],tab_alimentos[[#This Row],[Item]],supercb[Bairro],extras)</f>
        <v>0</v>
      </c>
      <c r="AE317" s="4">
        <f t="shared" si="88"/>
        <v>0</v>
      </c>
      <c r="AF317" s="4">
        <f t="shared" si="89"/>
        <v>0</v>
      </c>
      <c r="AG317" s="6">
        <f t="shared" si="90"/>
        <v>0</v>
      </c>
    </row>
    <row r="318" spans="9:58" x14ac:dyDescent="0.25">
      <c r="I318" s="19" t="str">
        <f>alimentos[[#This Row],[Item]]</f>
        <v>Milho Conserva (230g)</v>
      </c>
      <c r="J318" s="4">
        <f>IFERROR(alimentos[[#This Row],[kg/embalagem]],0)</f>
        <v>0.23</v>
      </c>
      <c r="K318" s="4">
        <f>IFERROR(alimentos[[#This Row],[Preço]],0)</f>
        <v>2.68</v>
      </c>
      <c r="L318" s="4">
        <f>SUMIFS(super1[Qtde],super1[Item],tab_alimentos[[#This Row],[Item]],super1[Bairro],mercado1)+SUMIFS(supercb[Qtde],supercb[Item],tab_alimentos[[#This Row],[Item]],supercb[Bairro],mercado1)</f>
        <v>0</v>
      </c>
      <c r="M318" s="4">
        <f>SUMIFS(super1[Qtde],super1[Item],tab_alimentos[[#This Row],[Item]],super1[Bairro],mercado2)+SUMIFS(supercb[Qtde],supercb[Item],tab_alimentos[[#This Row],[Item]],supercb[Bairro],mercado2)</f>
        <v>0</v>
      </c>
      <c r="N318" s="4">
        <f>SUMIFS(super1[Qtde],super1[Item],tab_alimentos[[#This Row],[Item]],super1[Bairro],mercado3)+SUMIFS(supercb[Qtde],supercb[Item],tab_alimentos[[#This Row],[Item]],supercb[Bairro],mercado3)</f>
        <v>0</v>
      </c>
      <c r="O318" s="4">
        <f>SUMIFS(super1[Qtde],super1[Item],tab_alimentos[[#This Row],[Item]],super1[Bairro],mercado4)+SUMIFS(supercb[Qtde],supercb[Item],tab_alimentos[[#This Row],[Item]],supercb[Bairro],mercado4)</f>
        <v>0</v>
      </c>
      <c r="P318" s="4">
        <f>SUMIFS(super1[Qtde],super1[Item],tab_alimentos[[#This Row],[Item]],super1[Bairro],mercado5)+SUMIFS(supercb[Qtde],supercb[Item],tab_alimentos[[#This Row],[Item]],supercb[Bairro],mercado5)</f>
        <v>0</v>
      </c>
      <c r="Q318" s="4">
        <f>SUMIFS(super1[Qtde],super1[Item],tab_alimentos[[#This Row],[Item]],super1[Bairro],mercado6)+SUMIFS(supercb[Qtde],supercb[Item],tab_alimentos[[#This Row],[Item]],supercb[Bairro],mercado6)</f>
        <v>0</v>
      </c>
      <c r="R318" s="4">
        <f>SUMIFS(super1[Qtde],super1[Item],tab_alimentos[[#This Row],[Item]],super1[Bairro],mercado7)+SUMIFS(supercb[Qtde],supercb[Item],tab_alimentos[[#This Row],[Item]],supercb[Bairro],mercado7)</f>
        <v>0</v>
      </c>
      <c r="S318" s="4">
        <f>SUMIFS(super1[Qtde],super1[Item],tab_alimentos[[#This Row],[Item]],super1[Bairro],mercado8)+SUMIFS(supercb[Qtde],supercb[Item],tab_alimentos[[#This Row],[Item]],supercb[Bairro],mercado8)</f>
        <v>0</v>
      </c>
      <c r="T318" s="4">
        <f>SUMIFS(super1[Qtde],super1[Item],tab_alimentos[[#This Row],[Item]],super1[Bairro],mercado9)+SUMIFS(supercb[Qtde],supercb[Item],tab_alimentos[[#This Row],[Item]],supercb[Bairro],mercado9)</f>
        <v>0</v>
      </c>
      <c r="U318" s="4">
        <f>SUMIFS(super1[Qtde],super1[Item],tab_alimentos[[#This Row],[Item]],super1[Bairro],mercado10)+SUMIFS(supercb[Qtde],supercb[Item],tab_alimentos[[#This Row],[Item]],supercb[Bairro],mercado10)</f>
        <v>0</v>
      </c>
      <c r="V318" s="4">
        <f>SUMIFS(super1[Qtde],super1[Item],tab_alimentos[[#This Row],[Item]],super1[Bairro],mercado11)+SUMIFS(supercb[Qtde],supercb[Item],tab_alimentos[[#This Row],[Item]],supercb[Bairro],mercado11)</f>
        <v>0</v>
      </c>
      <c r="W318" s="4">
        <f>SUMIFS(super1[Qtde],super1[Item],tab_alimentos[[#This Row],[Item]],super1[Bairro],mercado12)+SUMIFS(supercb[Qtde],supercb[Item],tab_alimentos[[#This Row],[Item]],supercb[Bairro],mercado12)</f>
        <v>0</v>
      </c>
      <c r="X318" s="4">
        <f>SUMIFS(super1[Qtde],super1[Item],tab_alimentos[[#This Row],[Item]],super1[Bairro],mercado13)+SUMIFS(supercb[Qtde],supercb[Item],tab_alimentos[[#This Row],[Item]],supercb[Bairro],mercado13)</f>
        <v>0</v>
      </c>
      <c r="Y318" s="4">
        <f>SUMIFS(super1[Qtde],super1[Item],tab_alimentos[[#This Row],[Item]],super1[Bairro],mercado14)+SUMIFS(supercb[Qtde],supercb[Item],tab_alimentos[[#This Row],[Item]],supercb[Bairro],mercado14)</f>
        <v>0</v>
      </c>
      <c r="Z318" s="4">
        <f>SUMIFS(super1[Qtde],super1[Item],tab_alimentos[[#This Row],[Item]],super1[Bairro],mercado15)+SUMIFS(supercb[Qtde],supercb[Item],tab_alimentos[[#This Row],[Item]],supercb[Bairro],mercado15)</f>
        <v>0</v>
      </c>
      <c r="AA318" s="4">
        <f>SUMIFS(super1[Qtde],super1[Item],tab_alimentos[[#This Row],[Item]],super1[Bairro],mercado16)+SUMIFS(supercb[Qtde],supercb[Item],tab_alimentos[[#This Row],[Item]],supercb[Bairro],mercado16)</f>
        <v>0</v>
      </c>
      <c r="AB318" s="4">
        <f>SUMIFS(super1[Qtde],super1[Item],tab_alimentos[[#This Row],[Item]],super1[Bairro],mercado17)+SUMIFS(supercb[Qtde],supercb[Item],tab_alimentos[[#This Row],[Item]],supercb[Bairro],mercado17)</f>
        <v>0</v>
      </c>
      <c r="AC318" s="4">
        <f>SUMIFS(super1[Qtde],super1[Item],tab_alimentos[[#This Row],[Item]],super1[Bairro],mercado18)+SUMIFS(supercb[Qtde],supercb[Item],tab_alimentos[[#This Row],[Item]],supercb[Bairro],mercado18)</f>
        <v>0</v>
      </c>
      <c r="AD318" s="4">
        <f>SUMIFS(super1[Qtde],super1[Item],tab_alimentos[[#This Row],[Item]],super1[Bairro],extras)+SUMIFS(supercb[Qtde],supercb[Item],tab_alimentos[[#This Row],[Item]],supercb[Bairro],extras)</f>
        <v>0</v>
      </c>
      <c r="AE318" s="4">
        <f t="shared" si="88"/>
        <v>0</v>
      </c>
      <c r="AF318" s="4">
        <f t="shared" si="89"/>
        <v>0</v>
      </c>
      <c r="AG318" s="6">
        <f t="shared" si="90"/>
        <v>0</v>
      </c>
    </row>
    <row r="319" spans="9:58" x14ac:dyDescent="0.25">
      <c r="I319" s="19" t="str">
        <f>alimentos[[#This Row],[Item]]</f>
        <v>Milho Conserva (500g)</v>
      </c>
      <c r="J319" s="4">
        <f>IFERROR(alimentos[[#This Row],[kg/embalagem]],0)</f>
        <v>0.5</v>
      </c>
      <c r="K319" s="4">
        <f>IFERROR(alimentos[[#This Row],[Preço]],0)</f>
        <v>1.8</v>
      </c>
      <c r="L319" s="4">
        <f>SUMIFS(super1[Qtde],super1[Item],tab_alimentos[[#This Row],[Item]],super1[Bairro],mercado1)+SUMIFS(supercb[Qtde],supercb[Item],tab_alimentos[[#This Row],[Item]],supercb[Bairro],mercado1)</f>
        <v>0</v>
      </c>
      <c r="M319" s="4">
        <f>SUMIFS(super1[Qtde],super1[Item],tab_alimentos[[#This Row],[Item]],super1[Bairro],mercado2)+SUMIFS(supercb[Qtde],supercb[Item],tab_alimentos[[#This Row],[Item]],supercb[Bairro],mercado2)</f>
        <v>0</v>
      </c>
      <c r="N319" s="4">
        <f>SUMIFS(super1[Qtde],super1[Item],tab_alimentos[[#This Row],[Item]],super1[Bairro],mercado3)+SUMIFS(supercb[Qtde],supercb[Item],tab_alimentos[[#This Row],[Item]],supercb[Bairro],mercado3)</f>
        <v>0</v>
      </c>
      <c r="O319" s="4">
        <f>SUMIFS(super1[Qtde],super1[Item],tab_alimentos[[#This Row],[Item]],super1[Bairro],mercado4)+SUMIFS(supercb[Qtde],supercb[Item],tab_alimentos[[#This Row],[Item]],supercb[Bairro],mercado4)</f>
        <v>0</v>
      </c>
      <c r="P319" s="4">
        <f>SUMIFS(super1[Qtde],super1[Item],tab_alimentos[[#This Row],[Item]],super1[Bairro],mercado5)+SUMIFS(supercb[Qtde],supercb[Item],tab_alimentos[[#This Row],[Item]],supercb[Bairro],mercado5)</f>
        <v>0</v>
      </c>
      <c r="Q319" s="4">
        <f>SUMIFS(super1[Qtde],super1[Item],tab_alimentos[[#This Row],[Item]],super1[Bairro],mercado6)+SUMIFS(supercb[Qtde],supercb[Item],tab_alimentos[[#This Row],[Item]],supercb[Bairro],mercado6)</f>
        <v>0</v>
      </c>
      <c r="R319" s="4">
        <f>SUMIFS(super1[Qtde],super1[Item],tab_alimentos[[#This Row],[Item]],super1[Bairro],mercado7)+SUMIFS(supercb[Qtde],supercb[Item],tab_alimentos[[#This Row],[Item]],supercb[Bairro],mercado7)</f>
        <v>0</v>
      </c>
      <c r="S319" s="4">
        <f>SUMIFS(super1[Qtde],super1[Item],tab_alimentos[[#This Row],[Item]],super1[Bairro],mercado8)+SUMIFS(supercb[Qtde],supercb[Item],tab_alimentos[[#This Row],[Item]],supercb[Bairro],mercado8)</f>
        <v>0</v>
      </c>
      <c r="T319" s="4">
        <f>SUMIFS(super1[Qtde],super1[Item],tab_alimentos[[#This Row],[Item]],super1[Bairro],mercado9)+SUMIFS(supercb[Qtde],supercb[Item],tab_alimentos[[#This Row],[Item]],supercb[Bairro],mercado9)</f>
        <v>0</v>
      </c>
      <c r="U319" s="4">
        <f>SUMIFS(super1[Qtde],super1[Item],tab_alimentos[[#This Row],[Item]],super1[Bairro],mercado10)+SUMIFS(supercb[Qtde],supercb[Item],tab_alimentos[[#This Row],[Item]],supercb[Bairro],mercado10)</f>
        <v>0</v>
      </c>
      <c r="V319" s="4">
        <f>SUMIFS(super1[Qtde],super1[Item],tab_alimentos[[#This Row],[Item]],super1[Bairro],mercado11)+SUMIFS(supercb[Qtde],supercb[Item],tab_alimentos[[#This Row],[Item]],supercb[Bairro],mercado11)</f>
        <v>0</v>
      </c>
      <c r="W319" s="4">
        <f>SUMIFS(super1[Qtde],super1[Item],tab_alimentos[[#This Row],[Item]],super1[Bairro],mercado12)+SUMIFS(supercb[Qtde],supercb[Item],tab_alimentos[[#This Row],[Item]],supercb[Bairro],mercado12)</f>
        <v>0</v>
      </c>
      <c r="X319" s="4">
        <f>SUMIFS(super1[Qtde],super1[Item],tab_alimentos[[#This Row],[Item]],super1[Bairro],mercado13)+SUMIFS(supercb[Qtde],supercb[Item],tab_alimentos[[#This Row],[Item]],supercb[Bairro],mercado13)</f>
        <v>0</v>
      </c>
      <c r="Y319" s="4">
        <f>SUMIFS(super1[Qtde],super1[Item],tab_alimentos[[#This Row],[Item]],super1[Bairro],mercado14)+SUMIFS(supercb[Qtde],supercb[Item],tab_alimentos[[#This Row],[Item]],supercb[Bairro],mercado14)</f>
        <v>0</v>
      </c>
      <c r="Z319" s="4">
        <f>SUMIFS(super1[Qtde],super1[Item],tab_alimentos[[#This Row],[Item]],super1[Bairro],mercado15)+SUMIFS(supercb[Qtde],supercb[Item],tab_alimentos[[#This Row],[Item]],supercb[Bairro],mercado15)</f>
        <v>0</v>
      </c>
      <c r="AA319" s="4">
        <f>SUMIFS(super1[Qtde],super1[Item],tab_alimentos[[#This Row],[Item]],super1[Bairro],mercado16)+SUMIFS(supercb[Qtde],supercb[Item],tab_alimentos[[#This Row],[Item]],supercb[Bairro],mercado16)</f>
        <v>0</v>
      </c>
      <c r="AB319" s="4">
        <f>SUMIFS(super1[Qtde],super1[Item],tab_alimentos[[#This Row],[Item]],super1[Bairro],mercado17)+SUMIFS(supercb[Qtde],supercb[Item],tab_alimentos[[#This Row],[Item]],supercb[Bairro],mercado17)</f>
        <v>0</v>
      </c>
      <c r="AC319" s="4">
        <f>SUMIFS(super1[Qtde],super1[Item],tab_alimentos[[#This Row],[Item]],super1[Bairro],mercado18)+SUMIFS(supercb[Qtde],supercb[Item],tab_alimentos[[#This Row],[Item]],supercb[Bairro],mercado18)</f>
        <v>0</v>
      </c>
      <c r="AD319" s="4">
        <f>SUMIFS(super1[Qtde],super1[Item],tab_alimentos[[#This Row],[Item]],super1[Bairro],extras)+SUMIFS(supercb[Qtde],supercb[Item],tab_alimentos[[#This Row],[Item]],supercb[Bairro],extras)</f>
        <v>0</v>
      </c>
      <c r="AE319" s="4">
        <f t="shared" si="88"/>
        <v>0</v>
      </c>
      <c r="AF319" s="4">
        <f t="shared" si="89"/>
        <v>0</v>
      </c>
      <c r="AG319" s="6">
        <f t="shared" si="90"/>
        <v>0</v>
      </c>
    </row>
    <row r="320" spans="9:58" x14ac:dyDescent="0.25">
      <c r="I320" s="19" t="str">
        <f>alimentos[[#This Row],[Item]]</f>
        <v>Milho de Pipoca (200g)</v>
      </c>
      <c r="J320" s="4">
        <f>IFERROR(alimentos[[#This Row],[kg/embalagem]],0)</f>
        <v>0.2</v>
      </c>
      <c r="K320" s="4">
        <f>IFERROR(alimentos[[#This Row],[Preço]],0)</f>
        <v>4.99</v>
      </c>
      <c r="L320" s="4">
        <f>SUMIFS(super1[Qtde],super1[Item],tab_alimentos[[#This Row],[Item]],super1[Bairro],mercado1)+SUMIFS(supercb[Qtde],supercb[Item],tab_alimentos[[#This Row],[Item]],supercb[Bairro],mercado1)</f>
        <v>0</v>
      </c>
      <c r="M320" s="4">
        <f>SUMIFS(super1[Qtde],super1[Item],tab_alimentos[[#This Row],[Item]],super1[Bairro],mercado2)+SUMIFS(supercb[Qtde],supercb[Item],tab_alimentos[[#This Row],[Item]],supercb[Bairro],mercado2)</f>
        <v>0</v>
      </c>
      <c r="N320" s="4">
        <f>SUMIFS(super1[Qtde],super1[Item],tab_alimentos[[#This Row],[Item]],super1[Bairro],mercado3)+SUMIFS(supercb[Qtde],supercb[Item],tab_alimentos[[#This Row],[Item]],supercb[Bairro],mercado3)</f>
        <v>0</v>
      </c>
      <c r="O320" s="4">
        <f>SUMIFS(super1[Qtde],super1[Item],tab_alimentos[[#This Row],[Item]],super1[Bairro],mercado4)+SUMIFS(supercb[Qtde],supercb[Item],tab_alimentos[[#This Row],[Item]],supercb[Bairro],mercado4)</f>
        <v>0</v>
      </c>
      <c r="P320" s="4">
        <f>SUMIFS(super1[Qtde],super1[Item],tab_alimentos[[#This Row],[Item]],super1[Bairro],mercado5)+SUMIFS(supercb[Qtde],supercb[Item],tab_alimentos[[#This Row],[Item]],supercb[Bairro],mercado5)</f>
        <v>0</v>
      </c>
      <c r="Q320" s="4">
        <f>SUMIFS(super1[Qtde],super1[Item],tab_alimentos[[#This Row],[Item]],super1[Bairro],mercado6)+SUMIFS(supercb[Qtde],supercb[Item],tab_alimentos[[#This Row],[Item]],supercb[Bairro],mercado6)</f>
        <v>0</v>
      </c>
      <c r="R320" s="4">
        <f>SUMIFS(super1[Qtde],super1[Item],tab_alimentos[[#This Row],[Item]],super1[Bairro],mercado7)+SUMIFS(supercb[Qtde],supercb[Item],tab_alimentos[[#This Row],[Item]],supercb[Bairro],mercado7)</f>
        <v>0</v>
      </c>
      <c r="S320" s="4">
        <f>SUMIFS(super1[Qtde],super1[Item],tab_alimentos[[#This Row],[Item]],super1[Bairro],mercado8)+SUMIFS(supercb[Qtde],supercb[Item],tab_alimentos[[#This Row],[Item]],supercb[Bairro],mercado8)</f>
        <v>0</v>
      </c>
      <c r="T320" s="4">
        <f>SUMIFS(super1[Qtde],super1[Item],tab_alimentos[[#This Row],[Item]],super1[Bairro],mercado9)+SUMIFS(supercb[Qtde],supercb[Item],tab_alimentos[[#This Row],[Item]],supercb[Bairro],mercado9)</f>
        <v>0</v>
      </c>
      <c r="U320" s="4">
        <f>SUMIFS(super1[Qtde],super1[Item],tab_alimentos[[#This Row],[Item]],super1[Bairro],mercado10)+SUMIFS(supercb[Qtde],supercb[Item],tab_alimentos[[#This Row],[Item]],supercb[Bairro],mercado10)</f>
        <v>0</v>
      </c>
      <c r="V320" s="4">
        <f>SUMIFS(super1[Qtde],super1[Item],tab_alimentos[[#This Row],[Item]],super1[Bairro],mercado11)+SUMIFS(supercb[Qtde],supercb[Item],tab_alimentos[[#This Row],[Item]],supercb[Bairro],mercado11)</f>
        <v>0</v>
      </c>
      <c r="W320" s="4">
        <f>SUMIFS(super1[Qtde],super1[Item],tab_alimentos[[#This Row],[Item]],super1[Bairro],mercado12)+SUMIFS(supercb[Qtde],supercb[Item],tab_alimentos[[#This Row],[Item]],supercb[Bairro],mercado12)</f>
        <v>0</v>
      </c>
      <c r="X320" s="4">
        <f>SUMIFS(super1[Qtde],super1[Item],tab_alimentos[[#This Row],[Item]],super1[Bairro],mercado13)+SUMIFS(supercb[Qtde],supercb[Item],tab_alimentos[[#This Row],[Item]],supercb[Bairro],mercado13)</f>
        <v>0</v>
      </c>
      <c r="Y320" s="4">
        <f>SUMIFS(super1[Qtde],super1[Item],tab_alimentos[[#This Row],[Item]],super1[Bairro],mercado14)+SUMIFS(supercb[Qtde],supercb[Item],tab_alimentos[[#This Row],[Item]],supercb[Bairro],mercado14)</f>
        <v>0</v>
      </c>
      <c r="Z320" s="4">
        <f>SUMIFS(super1[Qtde],super1[Item],tab_alimentos[[#This Row],[Item]],super1[Bairro],mercado15)+SUMIFS(supercb[Qtde],supercb[Item],tab_alimentos[[#This Row],[Item]],supercb[Bairro],mercado15)</f>
        <v>0</v>
      </c>
      <c r="AA320" s="4">
        <f>SUMIFS(super1[Qtde],super1[Item],tab_alimentos[[#This Row],[Item]],super1[Bairro],mercado16)+SUMIFS(supercb[Qtde],supercb[Item],tab_alimentos[[#This Row],[Item]],supercb[Bairro],mercado16)</f>
        <v>0</v>
      </c>
      <c r="AB320" s="4">
        <f>SUMIFS(super1[Qtde],super1[Item],tab_alimentos[[#This Row],[Item]],super1[Bairro],mercado17)+SUMIFS(supercb[Qtde],supercb[Item],tab_alimentos[[#This Row],[Item]],supercb[Bairro],mercado17)</f>
        <v>0</v>
      </c>
      <c r="AC320" s="4">
        <f>SUMIFS(super1[Qtde],super1[Item],tab_alimentos[[#This Row],[Item]],super1[Bairro],mercado18)+SUMIFS(supercb[Qtde],supercb[Item],tab_alimentos[[#This Row],[Item]],supercb[Bairro],mercado18)</f>
        <v>0</v>
      </c>
      <c r="AD320" s="4">
        <f>SUMIFS(super1[Qtde],super1[Item],tab_alimentos[[#This Row],[Item]],super1[Bairro],extras)+SUMIFS(supercb[Qtde],supercb[Item],tab_alimentos[[#This Row],[Item]],supercb[Bairro],extras)</f>
        <v>0</v>
      </c>
      <c r="AE320" s="4">
        <f t="shared" si="88"/>
        <v>0</v>
      </c>
      <c r="AF320" s="4">
        <f t="shared" si="89"/>
        <v>0</v>
      </c>
      <c r="AG320" s="6">
        <f t="shared" si="90"/>
        <v>0</v>
      </c>
    </row>
    <row r="321" spans="9:33" x14ac:dyDescent="0.25">
      <c r="I321" s="19" t="str">
        <f>alimentos[[#This Row],[Item]]</f>
        <v>Milho de Pipoca (500g)</v>
      </c>
      <c r="J321" s="4">
        <f>IFERROR(alimentos[[#This Row],[kg/embalagem]],0)</f>
        <v>0.5</v>
      </c>
      <c r="K321" s="4">
        <f>IFERROR(alimentos[[#This Row],[Preço]],0)</f>
        <v>6.99</v>
      </c>
      <c r="L321" s="4">
        <f>SUMIFS(super1[Qtde],super1[Item],tab_alimentos[[#This Row],[Item]],super1[Bairro],mercado1)+SUMIFS(supercb[Qtde],supercb[Item],tab_alimentos[[#This Row],[Item]],supercb[Bairro],mercado1)</f>
        <v>0</v>
      </c>
      <c r="M321" s="4">
        <f>SUMIFS(super1[Qtde],super1[Item],tab_alimentos[[#This Row],[Item]],super1[Bairro],mercado2)+SUMIFS(supercb[Qtde],supercb[Item],tab_alimentos[[#This Row],[Item]],supercb[Bairro],mercado2)</f>
        <v>0</v>
      </c>
      <c r="N321" s="4">
        <f>SUMIFS(super1[Qtde],super1[Item],tab_alimentos[[#This Row],[Item]],super1[Bairro],mercado3)+SUMIFS(supercb[Qtde],supercb[Item],tab_alimentos[[#This Row],[Item]],supercb[Bairro],mercado3)</f>
        <v>0</v>
      </c>
      <c r="O321" s="4">
        <f>SUMIFS(super1[Qtde],super1[Item],tab_alimentos[[#This Row],[Item]],super1[Bairro],mercado4)+SUMIFS(supercb[Qtde],supercb[Item],tab_alimentos[[#This Row],[Item]],supercb[Bairro],mercado4)</f>
        <v>0</v>
      </c>
      <c r="P321" s="4">
        <f>SUMIFS(super1[Qtde],super1[Item],tab_alimentos[[#This Row],[Item]],super1[Bairro],mercado5)+SUMIFS(supercb[Qtde],supercb[Item],tab_alimentos[[#This Row],[Item]],supercb[Bairro],mercado5)</f>
        <v>0</v>
      </c>
      <c r="Q321" s="4">
        <f>SUMIFS(super1[Qtde],super1[Item],tab_alimentos[[#This Row],[Item]],super1[Bairro],mercado6)+SUMIFS(supercb[Qtde],supercb[Item],tab_alimentos[[#This Row],[Item]],supercb[Bairro],mercado6)</f>
        <v>0</v>
      </c>
      <c r="R321" s="4">
        <f>SUMIFS(super1[Qtde],super1[Item],tab_alimentos[[#This Row],[Item]],super1[Bairro],mercado7)+SUMIFS(supercb[Qtde],supercb[Item],tab_alimentos[[#This Row],[Item]],supercb[Bairro],mercado7)</f>
        <v>0</v>
      </c>
      <c r="S321" s="4">
        <f>SUMIFS(super1[Qtde],super1[Item],tab_alimentos[[#This Row],[Item]],super1[Bairro],mercado8)+SUMIFS(supercb[Qtde],supercb[Item],tab_alimentos[[#This Row],[Item]],supercb[Bairro],mercado8)</f>
        <v>0</v>
      </c>
      <c r="T321" s="4">
        <f>SUMIFS(super1[Qtde],super1[Item],tab_alimentos[[#This Row],[Item]],super1[Bairro],mercado9)+SUMIFS(supercb[Qtde],supercb[Item],tab_alimentos[[#This Row],[Item]],supercb[Bairro],mercado9)</f>
        <v>0</v>
      </c>
      <c r="U321" s="4">
        <f>SUMIFS(super1[Qtde],super1[Item],tab_alimentos[[#This Row],[Item]],super1[Bairro],mercado10)+SUMIFS(supercb[Qtde],supercb[Item],tab_alimentos[[#This Row],[Item]],supercb[Bairro],mercado10)</f>
        <v>0</v>
      </c>
      <c r="V321" s="4">
        <f>SUMIFS(super1[Qtde],super1[Item],tab_alimentos[[#This Row],[Item]],super1[Bairro],mercado11)+SUMIFS(supercb[Qtde],supercb[Item],tab_alimentos[[#This Row],[Item]],supercb[Bairro],mercado11)</f>
        <v>0</v>
      </c>
      <c r="W321" s="4">
        <f>SUMIFS(super1[Qtde],super1[Item],tab_alimentos[[#This Row],[Item]],super1[Bairro],mercado12)+SUMIFS(supercb[Qtde],supercb[Item],tab_alimentos[[#This Row],[Item]],supercb[Bairro],mercado12)</f>
        <v>0</v>
      </c>
      <c r="X321" s="4">
        <f>SUMIFS(super1[Qtde],super1[Item],tab_alimentos[[#This Row],[Item]],super1[Bairro],mercado13)+SUMIFS(supercb[Qtde],supercb[Item],tab_alimentos[[#This Row],[Item]],supercb[Bairro],mercado13)</f>
        <v>0</v>
      </c>
      <c r="Y321" s="4">
        <f>SUMIFS(super1[Qtde],super1[Item],tab_alimentos[[#This Row],[Item]],super1[Bairro],mercado14)+SUMIFS(supercb[Qtde],supercb[Item],tab_alimentos[[#This Row],[Item]],supercb[Bairro],mercado14)</f>
        <v>0</v>
      </c>
      <c r="Z321" s="4">
        <f>SUMIFS(super1[Qtde],super1[Item],tab_alimentos[[#This Row],[Item]],super1[Bairro],mercado15)+SUMIFS(supercb[Qtde],supercb[Item],tab_alimentos[[#This Row],[Item]],supercb[Bairro],mercado15)</f>
        <v>0</v>
      </c>
      <c r="AA321" s="4">
        <f>SUMIFS(super1[Qtde],super1[Item],tab_alimentos[[#This Row],[Item]],super1[Bairro],mercado16)+SUMIFS(supercb[Qtde],supercb[Item],tab_alimentos[[#This Row],[Item]],supercb[Bairro],mercado16)</f>
        <v>0</v>
      </c>
      <c r="AB321" s="4">
        <f>SUMIFS(super1[Qtde],super1[Item],tab_alimentos[[#This Row],[Item]],super1[Bairro],mercado17)+SUMIFS(supercb[Qtde],supercb[Item],tab_alimentos[[#This Row],[Item]],supercb[Bairro],mercado17)</f>
        <v>0</v>
      </c>
      <c r="AC321" s="4">
        <f>SUMIFS(super1[Qtde],super1[Item],tab_alimentos[[#This Row],[Item]],super1[Bairro],mercado18)+SUMIFS(supercb[Qtde],supercb[Item],tab_alimentos[[#This Row],[Item]],supercb[Bairro],mercado18)</f>
        <v>0</v>
      </c>
      <c r="AD321" s="4">
        <f>SUMIFS(super1[Qtde],super1[Item],tab_alimentos[[#This Row],[Item]],super1[Bairro],extras)+SUMIFS(supercb[Qtde],supercb[Item],tab_alimentos[[#This Row],[Item]],supercb[Bairro],extras)</f>
        <v>0</v>
      </c>
      <c r="AE321" s="4">
        <f t="shared" si="88"/>
        <v>0</v>
      </c>
      <c r="AF321" s="4">
        <f t="shared" si="89"/>
        <v>0</v>
      </c>
      <c r="AG321" s="6">
        <f t="shared" si="90"/>
        <v>0</v>
      </c>
    </row>
    <row r="322" spans="9:33" x14ac:dyDescent="0.25">
      <c r="I322" s="19" t="str">
        <f>alimentos[[#This Row],[Item]]</f>
        <v>Milho e Ervilha (200g)</v>
      </c>
      <c r="J322" s="4">
        <f>IFERROR(alimentos[[#This Row],[kg/embalagem]],0)</f>
        <v>0.2</v>
      </c>
      <c r="K322" s="4">
        <f>IFERROR(alimentos[[#This Row],[Preço]],0)</f>
        <v>2.89</v>
      </c>
      <c r="L322" s="4">
        <f>SUMIFS(super1[Qtde],super1[Item],tab_alimentos[[#This Row],[Item]],super1[Bairro],mercado1)+SUMIFS(supercb[Qtde],supercb[Item],tab_alimentos[[#This Row],[Item]],supercb[Bairro],mercado1)</f>
        <v>0</v>
      </c>
      <c r="M322" s="4">
        <f>SUMIFS(super1[Qtde],super1[Item],tab_alimentos[[#This Row],[Item]],super1[Bairro],mercado2)+SUMIFS(supercb[Qtde],supercb[Item],tab_alimentos[[#This Row],[Item]],supercb[Bairro],mercado2)</f>
        <v>0</v>
      </c>
      <c r="N322" s="4">
        <f>SUMIFS(super1[Qtde],super1[Item],tab_alimentos[[#This Row],[Item]],super1[Bairro],mercado3)+SUMIFS(supercb[Qtde],supercb[Item],tab_alimentos[[#This Row],[Item]],supercb[Bairro],mercado3)</f>
        <v>0</v>
      </c>
      <c r="O322" s="4">
        <f>SUMIFS(super1[Qtde],super1[Item],tab_alimentos[[#This Row],[Item]],super1[Bairro],mercado4)+SUMIFS(supercb[Qtde],supercb[Item],tab_alimentos[[#This Row],[Item]],supercb[Bairro],mercado4)</f>
        <v>0</v>
      </c>
      <c r="P322" s="4">
        <f>SUMIFS(super1[Qtde],super1[Item],tab_alimentos[[#This Row],[Item]],super1[Bairro],mercado5)+SUMIFS(supercb[Qtde],supercb[Item],tab_alimentos[[#This Row],[Item]],supercb[Bairro],mercado5)</f>
        <v>0</v>
      </c>
      <c r="Q322" s="4">
        <f>SUMIFS(super1[Qtde],super1[Item],tab_alimentos[[#This Row],[Item]],super1[Bairro],mercado6)+SUMIFS(supercb[Qtde],supercb[Item],tab_alimentos[[#This Row],[Item]],supercb[Bairro],mercado6)</f>
        <v>0</v>
      </c>
      <c r="R322" s="4">
        <f>SUMIFS(super1[Qtde],super1[Item],tab_alimentos[[#This Row],[Item]],super1[Bairro],mercado7)+SUMIFS(supercb[Qtde],supercb[Item],tab_alimentos[[#This Row],[Item]],supercb[Bairro],mercado7)</f>
        <v>0</v>
      </c>
      <c r="S322" s="4">
        <f>SUMIFS(super1[Qtde],super1[Item],tab_alimentos[[#This Row],[Item]],super1[Bairro],mercado8)+SUMIFS(supercb[Qtde],supercb[Item],tab_alimentos[[#This Row],[Item]],supercb[Bairro],mercado8)</f>
        <v>0</v>
      </c>
      <c r="T322" s="4">
        <f>SUMIFS(super1[Qtde],super1[Item],tab_alimentos[[#This Row],[Item]],super1[Bairro],mercado9)+SUMIFS(supercb[Qtde],supercb[Item],tab_alimentos[[#This Row],[Item]],supercb[Bairro],mercado9)</f>
        <v>0</v>
      </c>
      <c r="U322" s="4">
        <f>SUMIFS(super1[Qtde],super1[Item],tab_alimentos[[#This Row],[Item]],super1[Bairro],mercado10)+SUMIFS(supercb[Qtde],supercb[Item],tab_alimentos[[#This Row],[Item]],supercb[Bairro],mercado10)</f>
        <v>0</v>
      </c>
      <c r="V322" s="4">
        <f>SUMIFS(super1[Qtde],super1[Item],tab_alimentos[[#This Row],[Item]],super1[Bairro],mercado11)+SUMIFS(supercb[Qtde],supercb[Item],tab_alimentos[[#This Row],[Item]],supercb[Bairro],mercado11)</f>
        <v>0</v>
      </c>
      <c r="W322" s="4">
        <f>SUMIFS(super1[Qtde],super1[Item],tab_alimentos[[#This Row],[Item]],super1[Bairro],mercado12)+SUMIFS(supercb[Qtde],supercb[Item],tab_alimentos[[#This Row],[Item]],supercb[Bairro],mercado12)</f>
        <v>0</v>
      </c>
      <c r="X322" s="4">
        <f>SUMIFS(super1[Qtde],super1[Item],tab_alimentos[[#This Row],[Item]],super1[Bairro],mercado13)+SUMIFS(supercb[Qtde],supercb[Item],tab_alimentos[[#This Row],[Item]],supercb[Bairro],mercado13)</f>
        <v>0</v>
      </c>
      <c r="Y322" s="4">
        <f>SUMIFS(super1[Qtde],super1[Item],tab_alimentos[[#This Row],[Item]],super1[Bairro],mercado14)+SUMIFS(supercb[Qtde],supercb[Item],tab_alimentos[[#This Row],[Item]],supercb[Bairro],mercado14)</f>
        <v>0</v>
      </c>
      <c r="Z322" s="4">
        <f>SUMIFS(super1[Qtde],super1[Item],tab_alimentos[[#This Row],[Item]],super1[Bairro],mercado15)+SUMIFS(supercb[Qtde],supercb[Item],tab_alimentos[[#This Row],[Item]],supercb[Bairro],mercado15)</f>
        <v>0</v>
      </c>
      <c r="AA322" s="4">
        <f>SUMIFS(super1[Qtde],super1[Item],tab_alimentos[[#This Row],[Item]],super1[Bairro],mercado16)+SUMIFS(supercb[Qtde],supercb[Item],tab_alimentos[[#This Row],[Item]],supercb[Bairro],mercado16)</f>
        <v>0</v>
      </c>
      <c r="AB322" s="4">
        <f>SUMIFS(super1[Qtde],super1[Item],tab_alimentos[[#This Row],[Item]],super1[Bairro],mercado17)+SUMIFS(supercb[Qtde],supercb[Item],tab_alimentos[[#This Row],[Item]],supercb[Bairro],mercado17)</f>
        <v>0</v>
      </c>
      <c r="AC322" s="4">
        <f>SUMIFS(super1[Qtde],super1[Item],tab_alimentos[[#This Row],[Item]],super1[Bairro],mercado18)+SUMIFS(supercb[Qtde],supercb[Item],tab_alimentos[[#This Row],[Item]],supercb[Bairro],mercado18)</f>
        <v>0</v>
      </c>
      <c r="AD322" s="4">
        <f>SUMIFS(super1[Qtde],super1[Item],tab_alimentos[[#This Row],[Item]],super1[Bairro],extras)+SUMIFS(supercb[Qtde],supercb[Item],tab_alimentos[[#This Row],[Item]],supercb[Bairro],extras)</f>
        <v>0</v>
      </c>
      <c r="AE322" s="4">
        <f t="shared" si="88"/>
        <v>0</v>
      </c>
      <c r="AF322" s="4">
        <f t="shared" si="89"/>
        <v>0</v>
      </c>
      <c r="AG322" s="6">
        <f t="shared" si="90"/>
        <v>0</v>
      </c>
    </row>
    <row r="323" spans="9:33" x14ac:dyDescent="0.25">
      <c r="I323" s="19" t="str">
        <f>alimentos[[#This Row],[Item]]</f>
        <v>Mingau (230g)</v>
      </c>
      <c r="J323" s="4">
        <f>IFERROR(alimentos[[#This Row],[kg/embalagem]],0)</f>
        <v>0.23</v>
      </c>
      <c r="K323" s="4">
        <f>IFERROR(alimentos[[#This Row],[Preço]],0)</f>
        <v>3.69</v>
      </c>
      <c r="L323" s="4">
        <f>SUMIFS(super1[Qtde],super1[Item],tab_alimentos[[#This Row],[Item]],super1[Bairro],mercado1)+SUMIFS(supercb[Qtde],supercb[Item],tab_alimentos[[#This Row],[Item]],supercb[Bairro],mercado1)</f>
        <v>0</v>
      </c>
      <c r="M323" s="4">
        <f>SUMIFS(super1[Qtde],super1[Item],tab_alimentos[[#This Row],[Item]],super1[Bairro],mercado2)+SUMIFS(supercb[Qtde],supercb[Item],tab_alimentos[[#This Row],[Item]],supercb[Bairro],mercado2)</f>
        <v>0</v>
      </c>
      <c r="N323" s="4">
        <f>SUMIFS(super1[Qtde],super1[Item],tab_alimentos[[#This Row],[Item]],super1[Bairro],mercado3)+SUMIFS(supercb[Qtde],supercb[Item],tab_alimentos[[#This Row],[Item]],supercb[Bairro],mercado3)</f>
        <v>0</v>
      </c>
      <c r="O323" s="4">
        <f>SUMIFS(super1[Qtde],super1[Item],tab_alimentos[[#This Row],[Item]],super1[Bairro],mercado4)+SUMIFS(supercb[Qtde],supercb[Item],tab_alimentos[[#This Row],[Item]],supercb[Bairro],mercado4)</f>
        <v>0</v>
      </c>
      <c r="P323" s="4">
        <f>SUMIFS(super1[Qtde],super1[Item],tab_alimentos[[#This Row],[Item]],super1[Bairro],mercado5)+SUMIFS(supercb[Qtde],supercb[Item],tab_alimentos[[#This Row],[Item]],supercb[Bairro],mercado5)</f>
        <v>0</v>
      </c>
      <c r="Q323" s="4">
        <f>SUMIFS(super1[Qtde],super1[Item],tab_alimentos[[#This Row],[Item]],super1[Bairro],mercado6)+SUMIFS(supercb[Qtde],supercb[Item],tab_alimentos[[#This Row],[Item]],supercb[Bairro],mercado6)</f>
        <v>0</v>
      </c>
      <c r="R323" s="4">
        <f>SUMIFS(super1[Qtde],super1[Item],tab_alimentos[[#This Row],[Item]],super1[Bairro],mercado7)+SUMIFS(supercb[Qtde],supercb[Item],tab_alimentos[[#This Row],[Item]],supercb[Bairro],mercado7)</f>
        <v>0</v>
      </c>
      <c r="S323" s="4">
        <f>SUMIFS(super1[Qtde],super1[Item],tab_alimentos[[#This Row],[Item]],super1[Bairro],mercado8)+SUMIFS(supercb[Qtde],supercb[Item],tab_alimentos[[#This Row],[Item]],supercb[Bairro],mercado8)</f>
        <v>0</v>
      </c>
      <c r="T323" s="4">
        <f>SUMIFS(super1[Qtde],super1[Item],tab_alimentos[[#This Row],[Item]],super1[Bairro],mercado9)+SUMIFS(supercb[Qtde],supercb[Item],tab_alimentos[[#This Row],[Item]],supercb[Bairro],mercado9)</f>
        <v>0</v>
      </c>
      <c r="U323" s="4">
        <f>SUMIFS(super1[Qtde],super1[Item],tab_alimentos[[#This Row],[Item]],super1[Bairro],mercado10)+SUMIFS(supercb[Qtde],supercb[Item],tab_alimentos[[#This Row],[Item]],supercb[Bairro],mercado10)</f>
        <v>0</v>
      </c>
      <c r="V323" s="4">
        <f>SUMIFS(super1[Qtde],super1[Item],tab_alimentos[[#This Row],[Item]],super1[Bairro],mercado11)+SUMIFS(supercb[Qtde],supercb[Item],tab_alimentos[[#This Row],[Item]],supercb[Bairro],mercado11)</f>
        <v>0</v>
      </c>
      <c r="W323" s="4">
        <f>SUMIFS(super1[Qtde],super1[Item],tab_alimentos[[#This Row],[Item]],super1[Bairro],mercado12)+SUMIFS(supercb[Qtde],supercb[Item],tab_alimentos[[#This Row],[Item]],supercb[Bairro],mercado12)</f>
        <v>0</v>
      </c>
      <c r="X323" s="4">
        <f>SUMIFS(super1[Qtde],super1[Item],tab_alimentos[[#This Row],[Item]],super1[Bairro],mercado13)+SUMIFS(supercb[Qtde],supercb[Item],tab_alimentos[[#This Row],[Item]],supercb[Bairro],mercado13)</f>
        <v>0</v>
      </c>
      <c r="Y323" s="4">
        <f>SUMIFS(super1[Qtde],super1[Item],tab_alimentos[[#This Row],[Item]],super1[Bairro],mercado14)+SUMIFS(supercb[Qtde],supercb[Item],tab_alimentos[[#This Row],[Item]],supercb[Bairro],mercado14)</f>
        <v>0</v>
      </c>
      <c r="Z323" s="4">
        <f>SUMIFS(super1[Qtde],super1[Item],tab_alimentos[[#This Row],[Item]],super1[Bairro],mercado15)+SUMIFS(supercb[Qtde],supercb[Item],tab_alimentos[[#This Row],[Item]],supercb[Bairro],mercado15)</f>
        <v>0</v>
      </c>
      <c r="AA323" s="4">
        <f>SUMIFS(super1[Qtde],super1[Item],tab_alimentos[[#This Row],[Item]],super1[Bairro],mercado16)+SUMIFS(supercb[Qtde],supercb[Item],tab_alimentos[[#This Row],[Item]],supercb[Bairro],mercado16)</f>
        <v>0</v>
      </c>
      <c r="AB323" s="4">
        <f>SUMIFS(super1[Qtde],super1[Item],tab_alimentos[[#This Row],[Item]],super1[Bairro],mercado17)+SUMIFS(supercb[Qtde],supercb[Item],tab_alimentos[[#This Row],[Item]],supercb[Bairro],mercado17)</f>
        <v>0</v>
      </c>
      <c r="AC323" s="4">
        <f>SUMIFS(super1[Qtde],super1[Item],tab_alimentos[[#This Row],[Item]],super1[Bairro],mercado18)+SUMIFS(supercb[Qtde],supercb[Item],tab_alimentos[[#This Row],[Item]],supercb[Bairro],mercado18)</f>
        <v>0</v>
      </c>
      <c r="AD323" s="4">
        <f>SUMIFS(super1[Qtde],super1[Item],tab_alimentos[[#This Row],[Item]],super1[Bairro],extras)+SUMIFS(supercb[Qtde],supercb[Item],tab_alimentos[[#This Row],[Item]],supercb[Bairro],extras)</f>
        <v>0</v>
      </c>
      <c r="AE323" s="4">
        <f t="shared" si="88"/>
        <v>0</v>
      </c>
      <c r="AF323" s="4">
        <f t="shared" si="89"/>
        <v>0</v>
      </c>
      <c r="AG323" s="6">
        <f t="shared" si="90"/>
        <v>0</v>
      </c>
    </row>
    <row r="324" spans="9:33" x14ac:dyDescent="0.25">
      <c r="I324" s="19" t="str">
        <f>alimentos[[#This Row],[Item]]</f>
        <v>Miojo (500g)</v>
      </c>
      <c r="J324" s="4">
        <f>IFERROR(alimentos[[#This Row],[kg/embalagem]],0)</f>
        <v>0.5</v>
      </c>
      <c r="K324" s="4">
        <f>IFERROR(alimentos[[#This Row],[Preço]],0)</f>
        <v>6.19</v>
      </c>
      <c r="L324" s="4">
        <f>SUMIFS(super1[Qtde],super1[Item],tab_alimentos[[#This Row],[Item]],super1[Bairro],mercado1)+SUMIFS(supercb[Qtde],supercb[Item],tab_alimentos[[#This Row],[Item]],supercb[Bairro],mercado1)</f>
        <v>0</v>
      </c>
      <c r="M324" s="4">
        <f>SUMIFS(super1[Qtde],super1[Item],tab_alimentos[[#This Row],[Item]],super1[Bairro],mercado2)+SUMIFS(supercb[Qtde],supercb[Item],tab_alimentos[[#This Row],[Item]],supercb[Bairro],mercado2)</f>
        <v>0</v>
      </c>
      <c r="N324" s="4">
        <f>SUMIFS(super1[Qtde],super1[Item],tab_alimentos[[#This Row],[Item]],super1[Bairro],mercado3)+SUMIFS(supercb[Qtde],supercb[Item],tab_alimentos[[#This Row],[Item]],supercb[Bairro],mercado3)</f>
        <v>0</v>
      </c>
      <c r="O324" s="4">
        <f>SUMIFS(super1[Qtde],super1[Item],tab_alimentos[[#This Row],[Item]],super1[Bairro],mercado4)+SUMIFS(supercb[Qtde],supercb[Item],tab_alimentos[[#This Row],[Item]],supercb[Bairro],mercado4)</f>
        <v>0</v>
      </c>
      <c r="P324" s="4">
        <f>SUMIFS(super1[Qtde],super1[Item],tab_alimentos[[#This Row],[Item]],super1[Bairro],mercado5)+SUMIFS(supercb[Qtde],supercb[Item],tab_alimentos[[#This Row],[Item]],supercb[Bairro],mercado5)</f>
        <v>0</v>
      </c>
      <c r="Q324" s="4">
        <f>SUMIFS(super1[Qtde],super1[Item],tab_alimentos[[#This Row],[Item]],super1[Bairro],mercado6)+SUMIFS(supercb[Qtde],supercb[Item],tab_alimentos[[#This Row],[Item]],supercb[Bairro],mercado6)</f>
        <v>0</v>
      </c>
      <c r="R324" s="4">
        <f>SUMIFS(super1[Qtde],super1[Item],tab_alimentos[[#This Row],[Item]],super1[Bairro],mercado7)+SUMIFS(supercb[Qtde],supercb[Item],tab_alimentos[[#This Row],[Item]],supercb[Bairro],mercado7)</f>
        <v>0</v>
      </c>
      <c r="S324" s="4">
        <f>SUMIFS(super1[Qtde],super1[Item],tab_alimentos[[#This Row],[Item]],super1[Bairro],mercado8)+SUMIFS(supercb[Qtde],supercb[Item],tab_alimentos[[#This Row],[Item]],supercb[Bairro],mercado8)</f>
        <v>0</v>
      </c>
      <c r="T324" s="4">
        <f>SUMIFS(super1[Qtde],super1[Item],tab_alimentos[[#This Row],[Item]],super1[Bairro],mercado9)+SUMIFS(supercb[Qtde],supercb[Item],tab_alimentos[[#This Row],[Item]],supercb[Bairro],mercado9)</f>
        <v>0</v>
      </c>
      <c r="U324" s="4">
        <f>SUMIFS(super1[Qtde],super1[Item],tab_alimentos[[#This Row],[Item]],super1[Bairro],mercado10)+SUMIFS(supercb[Qtde],supercb[Item],tab_alimentos[[#This Row],[Item]],supercb[Bairro],mercado10)</f>
        <v>0</v>
      </c>
      <c r="V324" s="4">
        <f>SUMIFS(super1[Qtde],super1[Item],tab_alimentos[[#This Row],[Item]],super1[Bairro],mercado11)+SUMIFS(supercb[Qtde],supercb[Item],tab_alimentos[[#This Row],[Item]],supercb[Bairro],mercado11)</f>
        <v>0</v>
      </c>
      <c r="W324" s="4">
        <f>SUMIFS(super1[Qtde],super1[Item],tab_alimentos[[#This Row],[Item]],super1[Bairro],mercado12)+SUMIFS(supercb[Qtde],supercb[Item],tab_alimentos[[#This Row],[Item]],supercb[Bairro],mercado12)</f>
        <v>0</v>
      </c>
      <c r="X324" s="4">
        <f>SUMIFS(super1[Qtde],super1[Item],tab_alimentos[[#This Row],[Item]],super1[Bairro],mercado13)+SUMIFS(supercb[Qtde],supercb[Item],tab_alimentos[[#This Row],[Item]],supercb[Bairro],mercado13)</f>
        <v>0</v>
      </c>
      <c r="Y324" s="4">
        <f>SUMIFS(super1[Qtde],super1[Item],tab_alimentos[[#This Row],[Item]],super1[Bairro],mercado14)+SUMIFS(supercb[Qtde],supercb[Item],tab_alimentos[[#This Row],[Item]],supercb[Bairro],mercado14)</f>
        <v>0</v>
      </c>
      <c r="Z324" s="4">
        <f>SUMIFS(super1[Qtde],super1[Item],tab_alimentos[[#This Row],[Item]],super1[Bairro],mercado15)+SUMIFS(supercb[Qtde],supercb[Item],tab_alimentos[[#This Row],[Item]],supercb[Bairro],mercado15)</f>
        <v>0</v>
      </c>
      <c r="AA324" s="4">
        <f>SUMIFS(super1[Qtde],super1[Item],tab_alimentos[[#This Row],[Item]],super1[Bairro],mercado16)+SUMIFS(supercb[Qtde],supercb[Item],tab_alimentos[[#This Row],[Item]],supercb[Bairro],mercado16)</f>
        <v>0</v>
      </c>
      <c r="AB324" s="4">
        <f>SUMIFS(super1[Qtde],super1[Item],tab_alimentos[[#This Row],[Item]],super1[Bairro],mercado17)+SUMIFS(supercb[Qtde],supercb[Item],tab_alimentos[[#This Row],[Item]],supercb[Bairro],mercado17)</f>
        <v>0</v>
      </c>
      <c r="AC324" s="4">
        <f>SUMIFS(super1[Qtde],super1[Item],tab_alimentos[[#This Row],[Item]],super1[Bairro],mercado18)+SUMIFS(supercb[Qtde],supercb[Item],tab_alimentos[[#This Row],[Item]],supercb[Bairro],mercado18)</f>
        <v>0</v>
      </c>
      <c r="AD324" s="4">
        <f>SUMIFS(super1[Qtde],super1[Item],tab_alimentos[[#This Row],[Item]],super1[Bairro],extras)+SUMIFS(supercb[Qtde],supercb[Item],tab_alimentos[[#This Row],[Item]],supercb[Bairro],extras)</f>
        <v>0</v>
      </c>
      <c r="AE324" s="4">
        <f t="shared" si="88"/>
        <v>0</v>
      </c>
      <c r="AF324" s="4">
        <f t="shared" si="89"/>
        <v>0</v>
      </c>
      <c r="AG324" s="6">
        <f t="shared" si="90"/>
        <v>0</v>
      </c>
    </row>
    <row r="325" spans="9:33" x14ac:dyDescent="0.25">
      <c r="I325" s="19" t="str">
        <f>alimentos[[#This Row],[Item]]</f>
        <v>Miojo (80g)</v>
      </c>
      <c r="J325" s="4">
        <f>IFERROR(alimentos[[#This Row],[kg/embalagem]],0)</f>
        <v>0.08</v>
      </c>
      <c r="K325" s="4">
        <f>IFERROR(alimentos[[#This Row],[Preço]],0)</f>
        <v>1.78</v>
      </c>
      <c r="L325" s="4">
        <f>SUMIFS(super1[Qtde],super1[Item],tab_alimentos[[#This Row],[Item]],super1[Bairro],mercado1)+SUMIFS(supercb[Qtde],supercb[Item],tab_alimentos[[#This Row],[Item]],supercb[Bairro],mercado1)</f>
        <v>0</v>
      </c>
      <c r="M325" s="4">
        <f>SUMIFS(super1[Qtde],super1[Item],tab_alimentos[[#This Row],[Item]],super1[Bairro],mercado2)+SUMIFS(supercb[Qtde],supercb[Item],tab_alimentos[[#This Row],[Item]],supercb[Bairro],mercado2)</f>
        <v>0</v>
      </c>
      <c r="N325" s="4">
        <f>SUMIFS(super1[Qtde],super1[Item],tab_alimentos[[#This Row],[Item]],super1[Bairro],mercado3)+SUMIFS(supercb[Qtde],supercb[Item],tab_alimentos[[#This Row],[Item]],supercb[Bairro],mercado3)</f>
        <v>0</v>
      </c>
      <c r="O325" s="4">
        <f>SUMIFS(super1[Qtde],super1[Item],tab_alimentos[[#This Row],[Item]],super1[Bairro],mercado4)+SUMIFS(supercb[Qtde],supercb[Item],tab_alimentos[[#This Row],[Item]],supercb[Bairro],mercado4)</f>
        <v>0</v>
      </c>
      <c r="P325" s="4">
        <f>SUMIFS(super1[Qtde],super1[Item],tab_alimentos[[#This Row],[Item]],super1[Bairro],mercado5)+SUMIFS(supercb[Qtde],supercb[Item],tab_alimentos[[#This Row],[Item]],supercb[Bairro],mercado5)</f>
        <v>0</v>
      </c>
      <c r="Q325" s="4">
        <f>SUMIFS(super1[Qtde],super1[Item],tab_alimentos[[#This Row],[Item]],super1[Bairro],mercado6)+SUMIFS(supercb[Qtde],supercb[Item],tab_alimentos[[#This Row],[Item]],supercb[Bairro],mercado6)</f>
        <v>0</v>
      </c>
      <c r="R325" s="4">
        <f>SUMIFS(super1[Qtde],super1[Item],tab_alimentos[[#This Row],[Item]],super1[Bairro],mercado7)+SUMIFS(supercb[Qtde],supercb[Item],tab_alimentos[[#This Row],[Item]],supercb[Bairro],mercado7)</f>
        <v>0</v>
      </c>
      <c r="S325" s="4">
        <f>SUMIFS(super1[Qtde],super1[Item],tab_alimentos[[#This Row],[Item]],super1[Bairro],mercado8)+SUMIFS(supercb[Qtde],supercb[Item],tab_alimentos[[#This Row],[Item]],supercb[Bairro],mercado8)</f>
        <v>0</v>
      </c>
      <c r="T325" s="4">
        <f>SUMIFS(super1[Qtde],super1[Item],tab_alimentos[[#This Row],[Item]],super1[Bairro],mercado9)+SUMIFS(supercb[Qtde],supercb[Item],tab_alimentos[[#This Row],[Item]],supercb[Bairro],mercado9)</f>
        <v>0</v>
      </c>
      <c r="U325" s="4">
        <f>SUMIFS(super1[Qtde],super1[Item],tab_alimentos[[#This Row],[Item]],super1[Bairro],mercado10)+SUMIFS(supercb[Qtde],supercb[Item],tab_alimentos[[#This Row],[Item]],supercb[Bairro],mercado10)</f>
        <v>0</v>
      </c>
      <c r="V325" s="4">
        <f>SUMIFS(super1[Qtde],super1[Item],tab_alimentos[[#This Row],[Item]],super1[Bairro],mercado11)+SUMIFS(supercb[Qtde],supercb[Item],tab_alimentos[[#This Row],[Item]],supercb[Bairro],mercado11)</f>
        <v>0</v>
      </c>
      <c r="W325" s="4">
        <f>SUMIFS(super1[Qtde],super1[Item],tab_alimentos[[#This Row],[Item]],super1[Bairro],mercado12)+SUMIFS(supercb[Qtde],supercb[Item],tab_alimentos[[#This Row],[Item]],supercb[Bairro],mercado12)</f>
        <v>0</v>
      </c>
      <c r="X325" s="4">
        <f>SUMIFS(super1[Qtde],super1[Item],tab_alimentos[[#This Row],[Item]],super1[Bairro],mercado13)+SUMIFS(supercb[Qtde],supercb[Item],tab_alimentos[[#This Row],[Item]],supercb[Bairro],mercado13)</f>
        <v>0</v>
      </c>
      <c r="Y325" s="4">
        <f>SUMIFS(super1[Qtde],super1[Item],tab_alimentos[[#This Row],[Item]],super1[Bairro],mercado14)+SUMIFS(supercb[Qtde],supercb[Item],tab_alimentos[[#This Row],[Item]],supercb[Bairro],mercado14)</f>
        <v>0</v>
      </c>
      <c r="Z325" s="4">
        <f>SUMIFS(super1[Qtde],super1[Item],tab_alimentos[[#This Row],[Item]],super1[Bairro],mercado15)+SUMIFS(supercb[Qtde],supercb[Item],tab_alimentos[[#This Row],[Item]],supercb[Bairro],mercado15)</f>
        <v>0</v>
      </c>
      <c r="AA325" s="4">
        <f>SUMIFS(super1[Qtde],super1[Item],tab_alimentos[[#This Row],[Item]],super1[Bairro],mercado16)+SUMIFS(supercb[Qtde],supercb[Item],tab_alimentos[[#This Row],[Item]],supercb[Bairro],mercado16)</f>
        <v>0</v>
      </c>
      <c r="AB325" s="4">
        <f>SUMIFS(super1[Qtde],super1[Item],tab_alimentos[[#This Row],[Item]],super1[Bairro],mercado17)+SUMIFS(supercb[Qtde],supercb[Item],tab_alimentos[[#This Row],[Item]],supercb[Bairro],mercado17)</f>
        <v>0</v>
      </c>
      <c r="AC325" s="4">
        <f>SUMIFS(super1[Qtde],super1[Item],tab_alimentos[[#This Row],[Item]],super1[Bairro],mercado18)+SUMIFS(supercb[Qtde],supercb[Item],tab_alimentos[[#This Row],[Item]],supercb[Bairro],mercado18)</f>
        <v>0</v>
      </c>
      <c r="AD325" s="4">
        <f>SUMIFS(super1[Qtde],super1[Item],tab_alimentos[[#This Row],[Item]],super1[Bairro],extras)+SUMIFS(supercb[Qtde],supercb[Item],tab_alimentos[[#This Row],[Item]],supercb[Bairro],extras)</f>
        <v>0</v>
      </c>
      <c r="AE325" s="4">
        <f t="shared" si="88"/>
        <v>0</v>
      </c>
      <c r="AF325" s="4">
        <f t="shared" si="89"/>
        <v>0</v>
      </c>
      <c r="AG325" s="6">
        <f t="shared" si="90"/>
        <v>0</v>
      </c>
    </row>
    <row r="326" spans="9:33" x14ac:dyDescent="0.25">
      <c r="I326" s="19" t="str">
        <f>alimentos[[#This Row],[Item]]</f>
        <v>Mistura para Bolo (300g)</v>
      </c>
      <c r="J326" s="4">
        <f>IFERROR(alimentos[[#This Row],[kg/embalagem]],0)</f>
        <v>0.3</v>
      </c>
      <c r="K326" s="4">
        <f>IFERROR(alimentos[[#This Row],[Preço]],0)</f>
        <v>4.99</v>
      </c>
      <c r="L326" s="4">
        <f>SUMIFS(super1[Qtde],super1[Item],tab_alimentos[[#This Row],[Item]],super1[Bairro],mercado1)+SUMIFS(supercb[Qtde],supercb[Item],tab_alimentos[[#This Row],[Item]],supercb[Bairro],mercado1)</f>
        <v>0</v>
      </c>
      <c r="M326" s="4">
        <f>SUMIFS(super1[Qtde],super1[Item],tab_alimentos[[#This Row],[Item]],super1[Bairro],mercado2)+SUMIFS(supercb[Qtde],supercb[Item],tab_alimentos[[#This Row],[Item]],supercb[Bairro],mercado2)</f>
        <v>0</v>
      </c>
      <c r="N326" s="4">
        <f>SUMIFS(super1[Qtde],super1[Item],tab_alimentos[[#This Row],[Item]],super1[Bairro],mercado3)+SUMIFS(supercb[Qtde],supercb[Item],tab_alimentos[[#This Row],[Item]],supercb[Bairro],mercado3)</f>
        <v>0</v>
      </c>
      <c r="O326" s="4">
        <f>SUMIFS(super1[Qtde],super1[Item],tab_alimentos[[#This Row],[Item]],super1[Bairro],mercado4)+SUMIFS(supercb[Qtde],supercb[Item],tab_alimentos[[#This Row],[Item]],supercb[Bairro],mercado4)</f>
        <v>0</v>
      </c>
      <c r="P326" s="4">
        <f>SUMIFS(super1[Qtde],super1[Item],tab_alimentos[[#This Row],[Item]],super1[Bairro],mercado5)+SUMIFS(supercb[Qtde],supercb[Item],tab_alimentos[[#This Row],[Item]],supercb[Bairro],mercado5)</f>
        <v>0</v>
      </c>
      <c r="Q326" s="4">
        <f>SUMIFS(super1[Qtde],super1[Item],tab_alimentos[[#This Row],[Item]],super1[Bairro],mercado6)+SUMIFS(supercb[Qtde],supercb[Item],tab_alimentos[[#This Row],[Item]],supercb[Bairro],mercado6)</f>
        <v>0</v>
      </c>
      <c r="R326" s="4">
        <f>SUMIFS(super1[Qtde],super1[Item],tab_alimentos[[#This Row],[Item]],super1[Bairro],mercado7)+SUMIFS(supercb[Qtde],supercb[Item],tab_alimentos[[#This Row],[Item]],supercb[Bairro],mercado7)</f>
        <v>0</v>
      </c>
      <c r="S326" s="4">
        <f>SUMIFS(super1[Qtde],super1[Item],tab_alimentos[[#This Row],[Item]],super1[Bairro],mercado8)+SUMIFS(supercb[Qtde],supercb[Item],tab_alimentos[[#This Row],[Item]],supercb[Bairro],mercado8)</f>
        <v>0</v>
      </c>
      <c r="T326" s="4">
        <f>SUMIFS(super1[Qtde],super1[Item],tab_alimentos[[#This Row],[Item]],super1[Bairro],mercado9)+SUMIFS(supercb[Qtde],supercb[Item],tab_alimentos[[#This Row],[Item]],supercb[Bairro],mercado9)</f>
        <v>0</v>
      </c>
      <c r="U326" s="4">
        <f>SUMIFS(super1[Qtde],super1[Item],tab_alimentos[[#This Row],[Item]],super1[Bairro],mercado10)+SUMIFS(supercb[Qtde],supercb[Item],tab_alimentos[[#This Row],[Item]],supercb[Bairro],mercado10)</f>
        <v>0</v>
      </c>
      <c r="V326" s="4">
        <f>SUMIFS(super1[Qtde],super1[Item],tab_alimentos[[#This Row],[Item]],super1[Bairro],mercado11)+SUMIFS(supercb[Qtde],supercb[Item],tab_alimentos[[#This Row],[Item]],supercb[Bairro],mercado11)</f>
        <v>0</v>
      </c>
      <c r="W326" s="4">
        <f>SUMIFS(super1[Qtde],super1[Item],tab_alimentos[[#This Row],[Item]],super1[Bairro],mercado12)+SUMIFS(supercb[Qtde],supercb[Item],tab_alimentos[[#This Row],[Item]],supercb[Bairro],mercado12)</f>
        <v>0</v>
      </c>
      <c r="X326" s="4">
        <f>SUMIFS(super1[Qtde],super1[Item],tab_alimentos[[#This Row],[Item]],super1[Bairro],mercado13)+SUMIFS(supercb[Qtde],supercb[Item],tab_alimentos[[#This Row],[Item]],supercb[Bairro],mercado13)</f>
        <v>0</v>
      </c>
      <c r="Y326" s="4">
        <f>SUMIFS(super1[Qtde],super1[Item],tab_alimentos[[#This Row],[Item]],super1[Bairro],mercado14)+SUMIFS(supercb[Qtde],supercb[Item],tab_alimentos[[#This Row],[Item]],supercb[Bairro],mercado14)</f>
        <v>0</v>
      </c>
      <c r="Z326" s="4">
        <f>SUMIFS(super1[Qtde],super1[Item],tab_alimentos[[#This Row],[Item]],super1[Bairro],mercado15)+SUMIFS(supercb[Qtde],supercb[Item],tab_alimentos[[#This Row],[Item]],supercb[Bairro],mercado15)</f>
        <v>0</v>
      </c>
      <c r="AA326" s="4">
        <f>SUMIFS(super1[Qtde],super1[Item],tab_alimentos[[#This Row],[Item]],super1[Bairro],mercado16)+SUMIFS(supercb[Qtde],supercb[Item],tab_alimentos[[#This Row],[Item]],supercb[Bairro],mercado16)</f>
        <v>0</v>
      </c>
      <c r="AB326" s="4">
        <f>SUMIFS(super1[Qtde],super1[Item],tab_alimentos[[#This Row],[Item]],super1[Bairro],mercado17)+SUMIFS(supercb[Qtde],supercb[Item],tab_alimentos[[#This Row],[Item]],supercb[Bairro],mercado17)</f>
        <v>0</v>
      </c>
      <c r="AC326" s="4">
        <f>SUMIFS(super1[Qtde],super1[Item],tab_alimentos[[#This Row],[Item]],super1[Bairro],mercado18)+SUMIFS(supercb[Qtde],supercb[Item],tab_alimentos[[#This Row],[Item]],supercb[Bairro],mercado18)</f>
        <v>0</v>
      </c>
      <c r="AD326" s="4">
        <f>SUMIFS(super1[Qtde],super1[Item],tab_alimentos[[#This Row],[Item]],super1[Bairro],extras)+SUMIFS(supercb[Qtde],supercb[Item],tab_alimentos[[#This Row],[Item]],supercb[Bairro],extras)</f>
        <v>0</v>
      </c>
      <c r="AE326" s="4">
        <f t="shared" si="88"/>
        <v>0</v>
      </c>
      <c r="AF326" s="4">
        <f t="shared" si="89"/>
        <v>0</v>
      </c>
      <c r="AG326" s="6">
        <f t="shared" si="90"/>
        <v>0</v>
      </c>
    </row>
    <row r="327" spans="9:33" x14ac:dyDescent="0.25">
      <c r="I327" s="19" t="str">
        <f>alimentos[[#This Row],[Item]]</f>
        <v>Mistura para Bolo (400g)</v>
      </c>
      <c r="J327" s="4">
        <f>IFERROR(alimentos[[#This Row],[kg/embalagem]],0)</f>
        <v>0.4</v>
      </c>
      <c r="K327" s="4">
        <f>IFERROR(alimentos[[#This Row],[Preço]],0)</f>
        <v>5.2</v>
      </c>
      <c r="L327" s="4">
        <f>SUMIFS(super1[Qtde],super1[Item],tab_alimentos[[#This Row],[Item]],super1[Bairro],mercado1)+SUMIFS(supercb[Qtde],supercb[Item],tab_alimentos[[#This Row],[Item]],supercb[Bairro],mercado1)</f>
        <v>0</v>
      </c>
      <c r="M327" s="4">
        <f>SUMIFS(super1[Qtde],super1[Item],tab_alimentos[[#This Row],[Item]],super1[Bairro],mercado2)+SUMIFS(supercb[Qtde],supercb[Item],tab_alimentos[[#This Row],[Item]],supercb[Bairro],mercado2)</f>
        <v>0</v>
      </c>
      <c r="N327" s="4">
        <f>SUMIFS(super1[Qtde],super1[Item],tab_alimentos[[#This Row],[Item]],super1[Bairro],mercado3)+SUMIFS(supercb[Qtde],supercb[Item],tab_alimentos[[#This Row],[Item]],supercb[Bairro],mercado3)</f>
        <v>0</v>
      </c>
      <c r="O327" s="4">
        <f>SUMIFS(super1[Qtde],super1[Item],tab_alimentos[[#This Row],[Item]],super1[Bairro],mercado4)+SUMIFS(supercb[Qtde],supercb[Item],tab_alimentos[[#This Row],[Item]],supercb[Bairro],mercado4)</f>
        <v>0</v>
      </c>
      <c r="P327" s="4">
        <f>SUMIFS(super1[Qtde],super1[Item],tab_alimentos[[#This Row],[Item]],super1[Bairro],mercado5)+SUMIFS(supercb[Qtde],supercb[Item],tab_alimentos[[#This Row],[Item]],supercb[Bairro],mercado5)</f>
        <v>0</v>
      </c>
      <c r="Q327" s="4">
        <f>SUMIFS(super1[Qtde],super1[Item],tab_alimentos[[#This Row],[Item]],super1[Bairro],mercado6)+SUMIFS(supercb[Qtde],supercb[Item],tab_alimentos[[#This Row],[Item]],supercb[Bairro],mercado6)</f>
        <v>0</v>
      </c>
      <c r="R327" s="4">
        <f>SUMIFS(super1[Qtde],super1[Item],tab_alimentos[[#This Row],[Item]],super1[Bairro],mercado7)+SUMIFS(supercb[Qtde],supercb[Item],tab_alimentos[[#This Row],[Item]],supercb[Bairro],mercado7)</f>
        <v>0</v>
      </c>
      <c r="S327" s="4">
        <f>SUMIFS(super1[Qtde],super1[Item],tab_alimentos[[#This Row],[Item]],super1[Bairro],mercado8)+SUMIFS(supercb[Qtde],supercb[Item],tab_alimentos[[#This Row],[Item]],supercb[Bairro],mercado8)</f>
        <v>0</v>
      </c>
      <c r="T327" s="4">
        <f>SUMIFS(super1[Qtde],super1[Item],tab_alimentos[[#This Row],[Item]],super1[Bairro],mercado9)+SUMIFS(supercb[Qtde],supercb[Item],tab_alimentos[[#This Row],[Item]],supercb[Bairro],mercado9)</f>
        <v>0</v>
      </c>
      <c r="U327" s="4">
        <f>SUMIFS(super1[Qtde],super1[Item],tab_alimentos[[#This Row],[Item]],super1[Bairro],mercado10)+SUMIFS(supercb[Qtde],supercb[Item],tab_alimentos[[#This Row],[Item]],supercb[Bairro],mercado10)</f>
        <v>0</v>
      </c>
      <c r="V327" s="4">
        <f>SUMIFS(super1[Qtde],super1[Item],tab_alimentos[[#This Row],[Item]],super1[Bairro],mercado11)+SUMIFS(supercb[Qtde],supercb[Item],tab_alimentos[[#This Row],[Item]],supercb[Bairro],mercado11)</f>
        <v>0</v>
      </c>
      <c r="W327" s="4">
        <f>SUMIFS(super1[Qtde],super1[Item],tab_alimentos[[#This Row],[Item]],super1[Bairro],mercado12)+SUMIFS(supercb[Qtde],supercb[Item],tab_alimentos[[#This Row],[Item]],supercb[Bairro],mercado12)</f>
        <v>0</v>
      </c>
      <c r="X327" s="4">
        <f>SUMIFS(super1[Qtde],super1[Item],tab_alimentos[[#This Row],[Item]],super1[Bairro],mercado13)+SUMIFS(supercb[Qtde],supercb[Item],tab_alimentos[[#This Row],[Item]],supercb[Bairro],mercado13)</f>
        <v>0</v>
      </c>
      <c r="Y327" s="4">
        <f>SUMIFS(super1[Qtde],super1[Item],tab_alimentos[[#This Row],[Item]],super1[Bairro],mercado14)+SUMIFS(supercb[Qtde],supercb[Item],tab_alimentos[[#This Row],[Item]],supercb[Bairro],mercado14)</f>
        <v>0</v>
      </c>
      <c r="Z327" s="4">
        <f>SUMIFS(super1[Qtde],super1[Item],tab_alimentos[[#This Row],[Item]],super1[Bairro],mercado15)+SUMIFS(supercb[Qtde],supercb[Item],tab_alimentos[[#This Row],[Item]],supercb[Bairro],mercado15)</f>
        <v>0</v>
      </c>
      <c r="AA327" s="4">
        <f>SUMIFS(super1[Qtde],super1[Item],tab_alimentos[[#This Row],[Item]],super1[Bairro],mercado16)+SUMIFS(supercb[Qtde],supercb[Item],tab_alimentos[[#This Row],[Item]],supercb[Bairro],mercado16)</f>
        <v>0</v>
      </c>
      <c r="AB327" s="4">
        <f>SUMIFS(super1[Qtde],super1[Item],tab_alimentos[[#This Row],[Item]],super1[Bairro],mercado17)+SUMIFS(supercb[Qtde],supercb[Item],tab_alimentos[[#This Row],[Item]],supercb[Bairro],mercado17)</f>
        <v>0</v>
      </c>
      <c r="AC327" s="4">
        <f>SUMIFS(super1[Qtde],super1[Item],tab_alimentos[[#This Row],[Item]],super1[Bairro],mercado18)+SUMIFS(supercb[Qtde],supercb[Item],tab_alimentos[[#This Row],[Item]],supercb[Bairro],mercado18)</f>
        <v>0</v>
      </c>
      <c r="AD327" s="4">
        <f>SUMIFS(super1[Qtde],super1[Item],tab_alimentos[[#This Row],[Item]],super1[Bairro],extras)+SUMIFS(supercb[Qtde],supercb[Item],tab_alimentos[[#This Row],[Item]],supercb[Bairro],extras)</f>
        <v>0</v>
      </c>
      <c r="AE327" s="4">
        <f t="shared" si="88"/>
        <v>0</v>
      </c>
      <c r="AF327" s="4">
        <f t="shared" si="89"/>
        <v>0</v>
      </c>
      <c r="AG327" s="6">
        <f t="shared" si="90"/>
        <v>0</v>
      </c>
    </row>
    <row r="328" spans="9:33" x14ac:dyDescent="0.25">
      <c r="I328" s="19" t="str">
        <f>alimentos[[#This Row],[Item]]</f>
        <v>Mistura para Bolo (450g)</v>
      </c>
      <c r="J328" s="4">
        <f>IFERROR(alimentos[[#This Row],[kg/embalagem]],0)</f>
        <v>0.45</v>
      </c>
      <c r="K328" s="4">
        <f>IFERROR(alimentos[[#This Row],[Preço]],0)</f>
        <v>4.9800000000000004</v>
      </c>
      <c r="L328" s="4">
        <f>SUMIFS(super1[Qtde],super1[Item],tab_alimentos[[#This Row],[Item]],super1[Bairro],mercado1)+SUMIFS(supercb[Qtde],supercb[Item],tab_alimentos[[#This Row],[Item]],supercb[Bairro],mercado1)</f>
        <v>0</v>
      </c>
      <c r="M328" s="4">
        <f>SUMIFS(super1[Qtde],super1[Item],tab_alimentos[[#This Row],[Item]],super1[Bairro],mercado2)+SUMIFS(supercb[Qtde],supercb[Item],tab_alimentos[[#This Row],[Item]],supercb[Bairro],mercado2)</f>
        <v>0</v>
      </c>
      <c r="N328" s="4">
        <f>SUMIFS(super1[Qtde],super1[Item],tab_alimentos[[#This Row],[Item]],super1[Bairro],mercado3)+SUMIFS(supercb[Qtde],supercb[Item],tab_alimentos[[#This Row],[Item]],supercb[Bairro],mercado3)</f>
        <v>0</v>
      </c>
      <c r="O328" s="4">
        <f>SUMIFS(super1[Qtde],super1[Item],tab_alimentos[[#This Row],[Item]],super1[Bairro],mercado4)+SUMIFS(supercb[Qtde],supercb[Item],tab_alimentos[[#This Row],[Item]],supercb[Bairro],mercado4)</f>
        <v>0</v>
      </c>
      <c r="P328" s="4">
        <f>SUMIFS(super1[Qtde],super1[Item],tab_alimentos[[#This Row],[Item]],super1[Bairro],mercado5)+SUMIFS(supercb[Qtde],supercb[Item],tab_alimentos[[#This Row],[Item]],supercb[Bairro],mercado5)</f>
        <v>0</v>
      </c>
      <c r="Q328" s="4">
        <f>SUMIFS(super1[Qtde],super1[Item],tab_alimentos[[#This Row],[Item]],super1[Bairro],mercado6)+SUMIFS(supercb[Qtde],supercb[Item],tab_alimentos[[#This Row],[Item]],supercb[Bairro],mercado6)</f>
        <v>0</v>
      </c>
      <c r="R328" s="4">
        <f>SUMIFS(super1[Qtde],super1[Item],tab_alimentos[[#This Row],[Item]],super1[Bairro],mercado7)+SUMIFS(supercb[Qtde],supercb[Item],tab_alimentos[[#This Row],[Item]],supercb[Bairro],mercado7)</f>
        <v>0</v>
      </c>
      <c r="S328" s="4">
        <f>SUMIFS(super1[Qtde],super1[Item],tab_alimentos[[#This Row],[Item]],super1[Bairro],mercado8)+SUMIFS(supercb[Qtde],supercb[Item],tab_alimentos[[#This Row],[Item]],supercb[Bairro],mercado8)</f>
        <v>0</v>
      </c>
      <c r="T328" s="4">
        <f>SUMIFS(super1[Qtde],super1[Item],tab_alimentos[[#This Row],[Item]],super1[Bairro],mercado9)+SUMIFS(supercb[Qtde],supercb[Item],tab_alimentos[[#This Row],[Item]],supercb[Bairro],mercado9)</f>
        <v>0</v>
      </c>
      <c r="U328" s="4">
        <f>SUMIFS(super1[Qtde],super1[Item],tab_alimentos[[#This Row],[Item]],super1[Bairro],mercado10)+SUMIFS(supercb[Qtde],supercb[Item],tab_alimentos[[#This Row],[Item]],supercb[Bairro],mercado10)</f>
        <v>0</v>
      </c>
      <c r="V328" s="4">
        <f>SUMIFS(super1[Qtde],super1[Item],tab_alimentos[[#This Row],[Item]],super1[Bairro],mercado11)+SUMIFS(supercb[Qtde],supercb[Item],tab_alimentos[[#This Row],[Item]],supercb[Bairro],mercado11)</f>
        <v>0</v>
      </c>
      <c r="W328" s="4">
        <f>SUMIFS(super1[Qtde],super1[Item],tab_alimentos[[#This Row],[Item]],super1[Bairro],mercado12)+SUMIFS(supercb[Qtde],supercb[Item],tab_alimentos[[#This Row],[Item]],supercb[Bairro],mercado12)</f>
        <v>0</v>
      </c>
      <c r="X328" s="4">
        <f>SUMIFS(super1[Qtde],super1[Item],tab_alimentos[[#This Row],[Item]],super1[Bairro],mercado13)+SUMIFS(supercb[Qtde],supercb[Item],tab_alimentos[[#This Row],[Item]],supercb[Bairro],mercado13)</f>
        <v>0</v>
      </c>
      <c r="Y328" s="4">
        <f>SUMIFS(super1[Qtde],super1[Item],tab_alimentos[[#This Row],[Item]],super1[Bairro],mercado14)+SUMIFS(supercb[Qtde],supercb[Item],tab_alimentos[[#This Row],[Item]],supercb[Bairro],mercado14)</f>
        <v>0</v>
      </c>
      <c r="Z328" s="4">
        <f>SUMIFS(super1[Qtde],super1[Item],tab_alimentos[[#This Row],[Item]],super1[Bairro],mercado15)+SUMIFS(supercb[Qtde],supercb[Item],tab_alimentos[[#This Row],[Item]],supercb[Bairro],mercado15)</f>
        <v>0</v>
      </c>
      <c r="AA328" s="4">
        <f>SUMIFS(super1[Qtde],super1[Item],tab_alimentos[[#This Row],[Item]],super1[Bairro],mercado16)+SUMIFS(supercb[Qtde],supercb[Item],tab_alimentos[[#This Row],[Item]],supercb[Bairro],mercado16)</f>
        <v>0</v>
      </c>
      <c r="AB328" s="4">
        <f>SUMIFS(super1[Qtde],super1[Item],tab_alimentos[[#This Row],[Item]],super1[Bairro],mercado17)+SUMIFS(supercb[Qtde],supercb[Item],tab_alimentos[[#This Row],[Item]],supercb[Bairro],mercado17)</f>
        <v>0</v>
      </c>
      <c r="AC328" s="4">
        <f>SUMIFS(super1[Qtde],super1[Item],tab_alimentos[[#This Row],[Item]],super1[Bairro],mercado18)+SUMIFS(supercb[Qtde],supercb[Item],tab_alimentos[[#This Row],[Item]],supercb[Bairro],mercado18)</f>
        <v>0</v>
      </c>
      <c r="AD328" s="4">
        <f>SUMIFS(super1[Qtde],super1[Item],tab_alimentos[[#This Row],[Item]],super1[Bairro],extras)+SUMIFS(supercb[Qtde],supercb[Item],tab_alimentos[[#This Row],[Item]],supercb[Bairro],extras)</f>
        <v>0</v>
      </c>
      <c r="AE328" s="4">
        <f t="shared" si="88"/>
        <v>0</v>
      </c>
      <c r="AF328" s="4">
        <f t="shared" si="89"/>
        <v>0</v>
      </c>
      <c r="AG328" s="6">
        <f t="shared" si="90"/>
        <v>0</v>
      </c>
    </row>
    <row r="329" spans="9:33" x14ac:dyDescent="0.25">
      <c r="I329" s="19" t="str">
        <f>alimentos[[#This Row],[Item]]</f>
        <v>Mistura para Empanar (300g)</v>
      </c>
      <c r="J329" s="4">
        <f>IFERROR(alimentos[[#This Row],[kg/embalagem]],0)</f>
        <v>0.3</v>
      </c>
      <c r="K329" s="4">
        <f>IFERROR(alimentos[[#This Row],[Preço]],0)</f>
        <v>13.49</v>
      </c>
      <c r="L329" s="4">
        <f>SUMIFS(super1[Qtde],super1[Item],tab_alimentos[[#This Row],[Item]],super1[Bairro],mercado1)+SUMIFS(supercb[Qtde],supercb[Item],tab_alimentos[[#This Row],[Item]],supercb[Bairro],mercado1)</f>
        <v>0</v>
      </c>
      <c r="M329" s="4">
        <f>SUMIFS(super1[Qtde],super1[Item],tab_alimentos[[#This Row],[Item]],super1[Bairro],mercado2)+SUMIFS(supercb[Qtde],supercb[Item],tab_alimentos[[#This Row],[Item]],supercb[Bairro],mercado2)</f>
        <v>0</v>
      </c>
      <c r="N329" s="4">
        <f>SUMIFS(super1[Qtde],super1[Item],tab_alimentos[[#This Row],[Item]],super1[Bairro],mercado3)+SUMIFS(supercb[Qtde],supercb[Item],tab_alimentos[[#This Row],[Item]],supercb[Bairro],mercado3)</f>
        <v>0</v>
      </c>
      <c r="O329" s="4">
        <f>SUMIFS(super1[Qtde],super1[Item],tab_alimentos[[#This Row],[Item]],super1[Bairro],mercado4)+SUMIFS(supercb[Qtde],supercb[Item],tab_alimentos[[#This Row],[Item]],supercb[Bairro],mercado4)</f>
        <v>0</v>
      </c>
      <c r="P329" s="4">
        <f>SUMIFS(super1[Qtde],super1[Item],tab_alimentos[[#This Row],[Item]],super1[Bairro],mercado5)+SUMIFS(supercb[Qtde],supercb[Item],tab_alimentos[[#This Row],[Item]],supercb[Bairro],mercado5)</f>
        <v>0</v>
      </c>
      <c r="Q329" s="4">
        <f>SUMIFS(super1[Qtde],super1[Item],tab_alimentos[[#This Row],[Item]],super1[Bairro],mercado6)+SUMIFS(supercb[Qtde],supercb[Item],tab_alimentos[[#This Row],[Item]],supercb[Bairro],mercado6)</f>
        <v>0</v>
      </c>
      <c r="R329" s="4">
        <f>SUMIFS(super1[Qtde],super1[Item],tab_alimentos[[#This Row],[Item]],super1[Bairro],mercado7)+SUMIFS(supercb[Qtde],supercb[Item],tab_alimentos[[#This Row],[Item]],supercb[Bairro],mercado7)</f>
        <v>0</v>
      </c>
      <c r="S329" s="4">
        <f>SUMIFS(super1[Qtde],super1[Item],tab_alimentos[[#This Row],[Item]],super1[Bairro],mercado8)+SUMIFS(supercb[Qtde],supercb[Item],tab_alimentos[[#This Row],[Item]],supercb[Bairro],mercado8)</f>
        <v>0</v>
      </c>
      <c r="T329" s="4">
        <f>SUMIFS(super1[Qtde],super1[Item],tab_alimentos[[#This Row],[Item]],super1[Bairro],mercado9)+SUMIFS(supercb[Qtde],supercb[Item],tab_alimentos[[#This Row],[Item]],supercb[Bairro],mercado9)</f>
        <v>0</v>
      </c>
      <c r="U329" s="4">
        <f>SUMIFS(super1[Qtde],super1[Item],tab_alimentos[[#This Row],[Item]],super1[Bairro],mercado10)+SUMIFS(supercb[Qtde],supercb[Item],tab_alimentos[[#This Row],[Item]],supercb[Bairro],mercado10)</f>
        <v>0</v>
      </c>
      <c r="V329" s="4">
        <f>SUMIFS(super1[Qtde],super1[Item],tab_alimentos[[#This Row],[Item]],super1[Bairro],mercado11)+SUMIFS(supercb[Qtde],supercb[Item],tab_alimentos[[#This Row],[Item]],supercb[Bairro],mercado11)</f>
        <v>0</v>
      </c>
      <c r="W329" s="4">
        <f>SUMIFS(super1[Qtde],super1[Item],tab_alimentos[[#This Row],[Item]],super1[Bairro],mercado12)+SUMIFS(supercb[Qtde],supercb[Item],tab_alimentos[[#This Row],[Item]],supercb[Bairro],mercado12)</f>
        <v>0</v>
      </c>
      <c r="X329" s="4">
        <f>SUMIFS(super1[Qtde],super1[Item],tab_alimentos[[#This Row],[Item]],super1[Bairro],mercado13)+SUMIFS(supercb[Qtde],supercb[Item],tab_alimentos[[#This Row],[Item]],supercb[Bairro],mercado13)</f>
        <v>0</v>
      </c>
      <c r="Y329" s="4">
        <f>SUMIFS(super1[Qtde],super1[Item],tab_alimentos[[#This Row],[Item]],super1[Bairro],mercado14)+SUMIFS(supercb[Qtde],supercb[Item],tab_alimentos[[#This Row],[Item]],supercb[Bairro],mercado14)</f>
        <v>0</v>
      </c>
      <c r="Z329" s="4">
        <f>SUMIFS(super1[Qtde],super1[Item],tab_alimentos[[#This Row],[Item]],super1[Bairro],mercado15)+SUMIFS(supercb[Qtde],supercb[Item],tab_alimentos[[#This Row],[Item]],supercb[Bairro],mercado15)</f>
        <v>0</v>
      </c>
      <c r="AA329" s="4">
        <f>SUMIFS(super1[Qtde],super1[Item],tab_alimentos[[#This Row],[Item]],super1[Bairro],mercado16)+SUMIFS(supercb[Qtde],supercb[Item],tab_alimentos[[#This Row],[Item]],supercb[Bairro],mercado16)</f>
        <v>0</v>
      </c>
      <c r="AB329" s="4">
        <f>SUMIFS(super1[Qtde],super1[Item],tab_alimentos[[#This Row],[Item]],super1[Bairro],mercado17)+SUMIFS(supercb[Qtde],supercb[Item],tab_alimentos[[#This Row],[Item]],supercb[Bairro],mercado17)</f>
        <v>0</v>
      </c>
      <c r="AC329" s="4">
        <f>SUMIFS(super1[Qtde],super1[Item],tab_alimentos[[#This Row],[Item]],super1[Bairro],mercado18)+SUMIFS(supercb[Qtde],supercb[Item],tab_alimentos[[#This Row],[Item]],supercb[Bairro],mercado18)</f>
        <v>0</v>
      </c>
      <c r="AD329" s="4">
        <f>SUMIFS(super1[Qtde],super1[Item],tab_alimentos[[#This Row],[Item]],super1[Bairro],extras)+SUMIFS(supercb[Qtde],supercb[Item],tab_alimentos[[#This Row],[Item]],supercb[Bairro],extras)</f>
        <v>0</v>
      </c>
      <c r="AE329" s="4">
        <f t="shared" si="88"/>
        <v>0</v>
      </c>
      <c r="AF329" s="4">
        <f t="shared" si="89"/>
        <v>0</v>
      </c>
      <c r="AG329" s="6">
        <f t="shared" si="90"/>
        <v>0</v>
      </c>
    </row>
    <row r="330" spans="9:33" x14ac:dyDescent="0.25">
      <c r="I330" s="19" t="str">
        <f>alimentos[[#This Row],[Item]]</f>
        <v>Molho 4 Queijos (300g)</v>
      </c>
      <c r="J330" s="4">
        <f>IFERROR(alimentos[[#This Row],[kg/embalagem]],0)</f>
        <v>0.3</v>
      </c>
      <c r="K330" s="4">
        <f>IFERROR(alimentos[[#This Row],[Preço]],0)</f>
        <v>7.99</v>
      </c>
      <c r="L330" s="4">
        <f>SUMIFS(super1[Qtde],super1[Item],tab_alimentos[[#This Row],[Item]],super1[Bairro],mercado1)+SUMIFS(supercb[Qtde],supercb[Item],tab_alimentos[[#This Row],[Item]],supercb[Bairro],mercado1)</f>
        <v>0</v>
      </c>
      <c r="M330" s="4">
        <f>SUMIFS(super1[Qtde],super1[Item],tab_alimentos[[#This Row],[Item]],super1[Bairro],mercado2)+SUMIFS(supercb[Qtde],supercb[Item],tab_alimentos[[#This Row],[Item]],supercb[Bairro],mercado2)</f>
        <v>0</v>
      </c>
      <c r="N330" s="4">
        <f>SUMIFS(super1[Qtde],super1[Item],tab_alimentos[[#This Row],[Item]],super1[Bairro],mercado3)+SUMIFS(supercb[Qtde],supercb[Item],tab_alimentos[[#This Row],[Item]],supercb[Bairro],mercado3)</f>
        <v>0</v>
      </c>
      <c r="O330" s="4">
        <f>SUMIFS(super1[Qtde],super1[Item],tab_alimentos[[#This Row],[Item]],super1[Bairro],mercado4)+SUMIFS(supercb[Qtde],supercb[Item],tab_alimentos[[#This Row],[Item]],supercb[Bairro],mercado4)</f>
        <v>0</v>
      </c>
      <c r="P330" s="4">
        <f>SUMIFS(super1[Qtde],super1[Item],tab_alimentos[[#This Row],[Item]],super1[Bairro],mercado5)+SUMIFS(supercb[Qtde],supercb[Item],tab_alimentos[[#This Row],[Item]],supercb[Bairro],mercado5)</f>
        <v>0</v>
      </c>
      <c r="Q330" s="4">
        <f>SUMIFS(super1[Qtde],super1[Item],tab_alimentos[[#This Row],[Item]],super1[Bairro],mercado6)+SUMIFS(supercb[Qtde],supercb[Item],tab_alimentos[[#This Row],[Item]],supercb[Bairro],mercado6)</f>
        <v>0</v>
      </c>
      <c r="R330" s="4">
        <f>SUMIFS(super1[Qtde],super1[Item],tab_alimentos[[#This Row],[Item]],super1[Bairro],mercado7)+SUMIFS(supercb[Qtde],supercb[Item],tab_alimentos[[#This Row],[Item]],supercb[Bairro],mercado7)</f>
        <v>0</v>
      </c>
      <c r="S330" s="4">
        <f>SUMIFS(super1[Qtde],super1[Item],tab_alimentos[[#This Row],[Item]],super1[Bairro],mercado8)+SUMIFS(supercb[Qtde],supercb[Item],tab_alimentos[[#This Row],[Item]],supercb[Bairro],mercado8)</f>
        <v>0</v>
      </c>
      <c r="T330" s="4">
        <f>SUMIFS(super1[Qtde],super1[Item],tab_alimentos[[#This Row],[Item]],super1[Bairro],mercado9)+SUMIFS(supercb[Qtde],supercb[Item],tab_alimentos[[#This Row],[Item]],supercb[Bairro],mercado9)</f>
        <v>0</v>
      </c>
      <c r="U330" s="4">
        <f>SUMIFS(super1[Qtde],super1[Item],tab_alimentos[[#This Row],[Item]],super1[Bairro],mercado10)+SUMIFS(supercb[Qtde],supercb[Item],tab_alimentos[[#This Row],[Item]],supercb[Bairro],mercado10)</f>
        <v>0</v>
      </c>
      <c r="V330" s="4">
        <f>SUMIFS(super1[Qtde],super1[Item],tab_alimentos[[#This Row],[Item]],super1[Bairro],mercado11)+SUMIFS(supercb[Qtde],supercb[Item],tab_alimentos[[#This Row],[Item]],supercb[Bairro],mercado11)</f>
        <v>0</v>
      </c>
      <c r="W330" s="4">
        <f>SUMIFS(super1[Qtde],super1[Item],tab_alimentos[[#This Row],[Item]],super1[Bairro],mercado12)+SUMIFS(supercb[Qtde],supercb[Item],tab_alimentos[[#This Row],[Item]],supercb[Bairro],mercado12)</f>
        <v>0</v>
      </c>
      <c r="X330" s="4">
        <f>SUMIFS(super1[Qtde],super1[Item],tab_alimentos[[#This Row],[Item]],super1[Bairro],mercado13)+SUMIFS(supercb[Qtde],supercb[Item],tab_alimentos[[#This Row],[Item]],supercb[Bairro],mercado13)</f>
        <v>0</v>
      </c>
      <c r="Y330" s="4">
        <f>SUMIFS(super1[Qtde],super1[Item],tab_alimentos[[#This Row],[Item]],super1[Bairro],mercado14)+SUMIFS(supercb[Qtde],supercb[Item],tab_alimentos[[#This Row],[Item]],supercb[Bairro],mercado14)</f>
        <v>0</v>
      </c>
      <c r="Z330" s="4">
        <f>SUMIFS(super1[Qtde],super1[Item],tab_alimentos[[#This Row],[Item]],super1[Bairro],mercado15)+SUMIFS(supercb[Qtde],supercb[Item],tab_alimentos[[#This Row],[Item]],supercb[Bairro],mercado15)</f>
        <v>0</v>
      </c>
      <c r="AA330" s="4">
        <f>SUMIFS(super1[Qtde],super1[Item],tab_alimentos[[#This Row],[Item]],super1[Bairro],mercado16)+SUMIFS(supercb[Qtde],supercb[Item],tab_alimentos[[#This Row],[Item]],supercb[Bairro],mercado16)</f>
        <v>0</v>
      </c>
      <c r="AB330" s="4">
        <f>SUMIFS(super1[Qtde],super1[Item],tab_alimentos[[#This Row],[Item]],super1[Bairro],mercado17)+SUMIFS(supercb[Qtde],supercb[Item],tab_alimentos[[#This Row],[Item]],supercb[Bairro],mercado17)</f>
        <v>0</v>
      </c>
      <c r="AC330" s="4">
        <f>SUMIFS(super1[Qtde],super1[Item],tab_alimentos[[#This Row],[Item]],super1[Bairro],mercado18)+SUMIFS(supercb[Qtde],supercb[Item],tab_alimentos[[#This Row],[Item]],supercb[Bairro],mercado18)</f>
        <v>0</v>
      </c>
      <c r="AD330" s="4">
        <f>SUMIFS(super1[Qtde],super1[Item],tab_alimentos[[#This Row],[Item]],super1[Bairro],extras)+SUMIFS(supercb[Qtde],supercb[Item],tab_alimentos[[#This Row],[Item]],supercb[Bairro],extras)</f>
        <v>0</v>
      </c>
      <c r="AE330" s="4">
        <f t="shared" si="88"/>
        <v>0</v>
      </c>
      <c r="AF330" s="4">
        <f t="shared" si="89"/>
        <v>0</v>
      </c>
      <c r="AG330" s="6">
        <f t="shared" si="90"/>
        <v>0</v>
      </c>
    </row>
    <row r="331" spans="9:33" x14ac:dyDescent="0.25">
      <c r="I331" s="19" t="str">
        <f>alimentos[[#This Row],[Item]]</f>
        <v>Molho Curry (210g)</v>
      </c>
      <c r="J331" s="4">
        <f>IFERROR(alimentos[[#This Row],[kg/embalagem]],0)</f>
        <v>0.21</v>
      </c>
      <c r="K331" s="4">
        <f>IFERROR(alimentos[[#This Row],[Preço]],0)</f>
        <v>6.9</v>
      </c>
      <c r="L331" s="4">
        <f>SUMIFS(super1[Qtde],super1[Item],tab_alimentos[[#This Row],[Item]],super1[Bairro],mercado1)+SUMIFS(supercb[Qtde],supercb[Item],tab_alimentos[[#This Row],[Item]],supercb[Bairro],mercado1)</f>
        <v>0</v>
      </c>
      <c r="M331" s="4">
        <f>SUMIFS(super1[Qtde],super1[Item],tab_alimentos[[#This Row],[Item]],super1[Bairro],mercado2)+SUMIFS(supercb[Qtde],supercb[Item],tab_alimentos[[#This Row],[Item]],supercb[Bairro],mercado2)</f>
        <v>0</v>
      </c>
      <c r="N331" s="4">
        <f>SUMIFS(super1[Qtde],super1[Item],tab_alimentos[[#This Row],[Item]],super1[Bairro],mercado3)+SUMIFS(supercb[Qtde],supercb[Item],tab_alimentos[[#This Row],[Item]],supercb[Bairro],mercado3)</f>
        <v>0</v>
      </c>
      <c r="O331" s="4">
        <f>SUMIFS(super1[Qtde],super1[Item],tab_alimentos[[#This Row],[Item]],super1[Bairro],mercado4)+SUMIFS(supercb[Qtde],supercb[Item],tab_alimentos[[#This Row],[Item]],supercb[Bairro],mercado4)</f>
        <v>0</v>
      </c>
      <c r="P331" s="4">
        <f>SUMIFS(super1[Qtde],super1[Item],tab_alimentos[[#This Row],[Item]],super1[Bairro],mercado5)+SUMIFS(supercb[Qtde],supercb[Item],tab_alimentos[[#This Row],[Item]],supercb[Bairro],mercado5)</f>
        <v>0</v>
      </c>
      <c r="Q331" s="4">
        <f>SUMIFS(super1[Qtde],super1[Item],tab_alimentos[[#This Row],[Item]],super1[Bairro],mercado6)+SUMIFS(supercb[Qtde],supercb[Item],tab_alimentos[[#This Row],[Item]],supercb[Bairro],mercado6)</f>
        <v>0</v>
      </c>
      <c r="R331" s="4">
        <f>SUMIFS(super1[Qtde],super1[Item],tab_alimentos[[#This Row],[Item]],super1[Bairro],mercado7)+SUMIFS(supercb[Qtde],supercb[Item],tab_alimentos[[#This Row],[Item]],supercb[Bairro],mercado7)</f>
        <v>0</v>
      </c>
      <c r="S331" s="4">
        <f>SUMIFS(super1[Qtde],super1[Item],tab_alimentos[[#This Row],[Item]],super1[Bairro],mercado8)+SUMIFS(supercb[Qtde],supercb[Item],tab_alimentos[[#This Row],[Item]],supercb[Bairro],mercado8)</f>
        <v>0</v>
      </c>
      <c r="T331" s="4">
        <f>SUMIFS(super1[Qtde],super1[Item],tab_alimentos[[#This Row],[Item]],super1[Bairro],mercado9)+SUMIFS(supercb[Qtde],supercb[Item],tab_alimentos[[#This Row],[Item]],supercb[Bairro],mercado9)</f>
        <v>0</v>
      </c>
      <c r="U331" s="4">
        <f>SUMIFS(super1[Qtde],super1[Item],tab_alimentos[[#This Row],[Item]],super1[Bairro],mercado10)+SUMIFS(supercb[Qtde],supercb[Item],tab_alimentos[[#This Row],[Item]],supercb[Bairro],mercado10)</f>
        <v>0</v>
      </c>
      <c r="V331" s="4">
        <f>SUMIFS(super1[Qtde],super1[Item],tab_alimentos[[#This Row],[Item]],super1[Bairro],mercado11)+SUMIFS(supercb[Qtde],supercb[Item],tab_alimentos[[#This Row],[Item]],supercb[Bairro],mercado11)</f>
        <v>0</v>
      </c>
      <c r="W331" s="4">
        <f>SUMIFS(super1[Qtde],super1[Item],tab_alimentos[[#This Row],[Item]],super1[Bairro],mercado12)+SUMIFS(supercb[Qtde],supercb[Item],tab_alimentos[[#This Row],[Item]],supercb[Bairro],mercado12)</f>
        <v>0</v>
      </c>
      <c r="X331" s="4">
        <f>SUMIFS(super1[Qtde],super1[Item],tab_alimentos[[#This Row],[Item]],super1[Bairro],mercado13)+SUMIFS(supercb[Qtde],supercb[Item],tab_alimentos[[#This Row],[Item]],supercb[Bairro],mercado13)</f>
        <v>0</v>
      </c>
      <c r="Y331" s="4">
        <f>SUMIFS(super1[Qtde],super1[Item],tab_alimentos[[#This Row],[Item]],super1[Bairro],mercado14)+SUMIFS(supercb[Qtde],supercb[Item],tab_alimentos[[#This Row],[Item]],supercb[Bairro],mercado14)</f>
        <v>0</v>
      </c>
      <c r="Z331" s="4">
        <f>SUMIFS(super1[Qtde],super1[Item],tab_alimentos[[#This Row],[Item]],super1[Bairro],mercado15)+SUMIFS(supercb[Qtde],supercb[Item],tab_alimentos[[#This Row],[Item]],supercb[Bairro],mercado15)</f>
        <v>0</v>
      </c>
      <c r="AA331" s="4">
        <f>SUMIFS(super1[Qtde],super1[Item],tab_alimentos[[#This Row],[Item]],super1[Bairro],mercado16)+SUMIFS(supercb[Qtde],supercb[Item],tab_alimentos[[#This Row],[Item]],supercb[Bairro],mercado16)</f>
        <v>0</v>
      </c>
      <c r="AB331" s="4">
        <f>SUMIFS(super1[Qtde],super1[Item],tab_alimentos[[#This Row],[Item]],super1[Bairro],mercado17)+SUMIFS(supercb[Qtde],supercb[Item],tab_alimentos[[#This Row],[Item]],supercb[Bairro],mercado17)</f>
        <v>0</v>
      </c>
      <c r="AC331" s="4">
        <f>SUMIFS(super1[Qtde],super1[Item],tab_alimentos[[#This Row],[Item]],super1[Bairro],mercado18)+SUMIFS(supercb[Qtde],supercb[Item],tab_alimentos[[#This Row],[Item]],supercb[Bairro],mercado18)</f>
        <v>0</v>
      </c>
      <c r="AD331" s="4">
        <f>SUMIFS(super1[Qtde],super1[Item],tab_alimentos[[#This Row],[Item]],super1[Bairro],extras)+SUMIFS(supercb[Qtde],supercb[Item],tab_alimentos[[#This Row],[Item]],supercb[Bairro],extras)</f>
        <v>0</v>
      </c>
      <c r="AE331" s="4">
        <f t="shared" si="88"/>
        <v>0</v>
      </c>
      <c r="AF331" s="4">
        <f t="shared" si="89"/>
        <v>0</v>
      </c>
      <c r="AG331" s="6">
        <f t="shared" si="90"/>
        <v>0</v>
      </c>
    </row>
    <row r="332" spans="9:33" x14ac:dyDescent="0.25">
      <c r="I332" s="19" t="str">
        <f>alimentos[[#This Row],[Item]]</f>
        <v>Molho de Pimenta (150mL)</v>
      </c>
      <c r="J332" s="4">
        <f>IFERROR(alimentos[[#This Row],[kg/embalagem]],0)</f>
        <v>0.15</v>
      </c>
      <c r="K332" s="4">
        <f>IFERROR(alimentos[[#This Row],[Preço]],0)</f>
        <v>3.19</v>
      </c>
      <c r="L332" s="4">
        <f>SUMIFS(super1[Qtde],super1[Item],tab_alimentos[[#This Row],[Item]],super1[Bairro],mercado1)+SUMIFS(supercb[Qtde],supercb[Item],tab_alimentos[[#This Row],[Item]],supercb[Bairro],mercado1)</f>
        <v>0</v>
      </c>
      <c r="M332" s="4">
        <f>SUMIFS(super1[Qtde],super1[Item],tab_alimentos[[#This Row],[Item]],super1[Bairro],mercado2)+SUMIFS(supercb[Qtde],supercb[Item],tab_alimentos[[#This Row],[Item]],supercb[Bairro],mercado2)</f>
        <v>0</v>
      </c>
      <c r="N332" s="4">
        <f>SUMIFS(super1[Qtde],super1[Item],tab_alimentos[[#This Row],[Item]],super1[Bairro],mercado3)+SUMIFS(supercb[Qtde],supercb[Item],tab_alimentos[[#This Row],[Item]],supercb[Bairro],mercado3)</f>
        <v>0</v>
      </c>
      <c r="O332" s="4">
        <f>SUMIFS(super1[Qtde],super1[Item],tab_alimentos[[#This Row],[Item]],super1[Bairro],mercado4)+SUMIFS(supercb[Qtde],supercb[Item],tab_alimentos[[#This Row],[Item]],supercb[Bairro],mercado4)</f>
        <v>0</v>
      </c>
      <c r="P332" s="4">
        <f>SUMIFS(super1[Qtde],super1[Item],tab_alimentos[[#This Row],[Item]],super1[Bairro],mercado5)+SUMIFS(supercb[Qtde],supercb[Item],tab_alimentos[[#This Row],[Item]],supercb[Bairro],mercado5)</f>
        <v>0</v>
      </c>
      <c r="Q332" s="4">
        <f>SUMIFS(super1[Qtde],super1[Item],tab_alimentos[[#This Row],[Item]],super1[Bairro],mercado6)+SUMIFS(supercb[Qtde],supercb[Item],tab_alimentos[[#This Row],[Item]],supercb[Bairro],mercado6)</f>
        <v>0</v>
      </c>
      <c r="R332" s="4">
        <f>SUMIFS(super1[Qtde],super1[Item],tab_alimentos[[#This Row],[Item]],super1[Bairro],mercado7)+SUMIFS(supercb[Qtde],supercb[Item],tab_alimentos[[#This Row],[Item]],supercb[Bairro],mercado7)</f>
        <v>0</v>
      </c>
      <c r="S332" s="4">
        <f>SUMIFS(super1[Qtde],super1[Item],tab_alimentos[[#This Row],[Item]],super1[Bairro],mercado8)+SUMIFS(supercb[Qtde],supercb[Item],tab_alimentos[[#This Row],[Item]],supercb[Bairro],mercado8)</f>
        <v>0</v>
      </c>
      <c r="T332" s="4">
        <f>SUMIFS(super1[Qtde],super1[Item],tab_alimentos[[#This Row],[Item]],super1[Bairro],mercado9)+SUMIFS(supercb[Qtde],supercb[Item],tab_alimentos[[#This Row],[Item]],supercb[Bairro],mercado9)</f>
        <v>0</v>
      </c>
      <c r="U332" s="4">
        <f>SUMIFS(super1[Qtde],super1[Item],tab_alimentos[[#This Row],[Item]],super1[Bairro],mercado10)+SUMIFS(supercb[Qtde],supercb[Item],tab_alimentos[[#This Row],[Item]],supercb[Bairro],mercado10)</f>
        <v>0</v>
      </c>
      <c r="V332" s="4">
        <f>SUMIFS(super1[Qtde],super1[Item],tab_alimentos[[#This Row],[Item]],super1[Bairro],mercado11)+SUMIFS(supercb[Qtde],supercb[Item],tab_alimentos[[#This Row],[Item]],supercb[Bairro],mercado11)</f>
        <v>0</v>
      </c>
      <c r="W332" s="4">
        <f>SUMIFS(super1[Qtde],super1[Item],tab_alimentos[[#This Row],[Item]],super1[Bairro],mercado12)+SUMIFS(supercb[Qtde],supercb[Item],tab_alimentos[[#This Row],[Item]],supercb[Bairro],mercado12)</f>
        <v>0</v>
      </c>
      <c r="X332" s="4">
        <f>SUMIFS(super1[Qtde],super1[Item],tab_alimentos[[#This Row],[Item]],super1[Bairro],mercado13)+SUMIFS(supercb[Qtde],supercb[Item],tab_alimentos[[#This Row],[Item]],supercb[Bairro],mercado13)</f>
        <v>0</v>
      </c>
      <c r="Y332" s="4">
        <f>SUMIFS(super1[Qtde],super1[Item],tab_alimentos[[#This Row],[Item]],super1[Bairro],mercado14)+SUMIFS(supercb[Qtde],supercb[Item],tab_alimentos[[#This Row],[Item]],supercb[Bairro],mercado14)</f>
        <v>0</v>
      </c>
      <c r="Z332" s="4">
        <f>SUMIFS(super1[Qtde],super1[Item],tab_alimentos[[#This Row],[Item]],super1[Bairro],mercado15)+SUMIFS(supercb[Qtde],supercb[Item],tab_alimentos[[#This Row],[Item]],supercb[Bairro],mercado15)</f>
        <v>0</v>
      </c>
      <c r="AA332" s="4">
        <f>SUMIFS(super1[Qtde],super1[Item],tab_alimentos[[#This Row],[Item]],super1[Bairro],mercado16)+SUMIFS(supercb[Qtde],supercb[Item],tab_alimentos[[#This Row],[Item]],supercb[Bairro],mercado16)</f>
        <v>0</v>
      </c>
      <c r="AB332" s="4">
        <f>SUMIFS(super1[Qtde],super1[Item],tab_alimentos[[#This Row],[Item]],super1[Bairro],mercado17)+SUMIFS(supercb[Qtde],supercb[Item],tab_alimentos[[#This Row],[Item]],supercb[Bairro],mercado17)</f>
        <v>0</v>
      </c>
      <c r="AC332" s="4">
        <f>SUMIFS(super1[Qtde],super1[Item],tab_alimentos[[#This Row],[Item]],super1[Bairro],mercado18)+SUMIFS(supercb[Qtde],supercb[Item],tab_alimentos[[#This Row],[Item]],supercb[Bairro],mercado18)</f>
        <v>0</v>
      </c>
      <c r="AD332" s="4">
        <f>SUMIFS(super1[Qtde],super1[Item],tab_alimentos[[#This Row],[Item]],super1[Bairro],extras)+SUMIFS(supercb[Qtde],supercb[Item],tab_alimentos[[#This Row],[Item]],supercb[Bairro],extras)</f>
        <v>0</v>
      </c>
      <c r="AE332" s="4">
        <f t="shared" si="88"/>
        <v>0</v>
      </c>
      <c r="AF332" s="4">
        <f t="shared" si="89"/>
        <v>0</v>
      </c>
      <c r="AG332" s="6">
        <f t="shared" si="90"/>
        <v>0</v>
      </c>
    </row>
    <row r="333" spans="9:33" x14ac:dyDescent="0.25">
      <c r="I333" s="19" t="str">
        <f>alimentos[[#This Row],[Item]]</f>
        <v>Molho de Pimenta (200mL)</v>
      </c>
      <c r="J333" s="4">
        <f>IFERROR(alimentos[[#This Row],[kg/embalagem]],0)</f>
        <v>0.2</v>
      </c>
      <c r="K333" s="4">
        <f>IFERROR(alimentos[[#This Row],[Preço]],0)</f>
        <v>3.78</v>
      </c>
      <c r="L333" s="4">
        <f>SUMIFS(super1[Qtde],super1[Item],tab_alimentos[[#This Row],[Item]],super1[Bairro],mercado1)+SUMIFS(supercb[Qtde],supercb[Item],tab_alimentos[[#This Row],[Item]],supercb[Bairro],mercado1)</f>
        <v>0</v>
      </c>
      <c r="M333" s="4">
        <f>SUMIFS(super1[Qtde],super1[Item],tab_alimentos[[#This Row],[Item]],super1[Bairro],mercado2)+SUMIFS(supercb[Qtde],supercb[Item],tab_alimentos[[#This Row],[Item]],supercb[Bairro],mercado2)</f>
        <v>0</v>
      </c>
      <c r="N333" s="4">
        <f>SUMIFS(super1[Qtde],super1[Item],tab_alimentos[[#This Row],[Item]],super1[Bairro],mercado3)+SUMIFS(supercb[Qtde],supercb[Item],tab_alimentos[[#This Row],[Item]],supercb[Bairro],mercado3)</f>
        <v>0</v>
      </c>
      <c r="O333" s="4">
        <f>SUMIFS(super1[Qtde],super1[Item],tab_alimentos[[#This Row],[Item]],super1[Bairro],mercado4)+SUMIFS(supercb[Qtde],supercb[Item],tab_alimentos[[#This Row],[Item]],supercb[Bairro],mercado4)</f>
        <v>0</v>
      </c>
      <c r="P333" s="4">
        <f>SUMIFS(super1[Qtde],super1[Item],tab_alimentos[[#This Row],[Item]],super1[Bairro],mercado5)+SUMIFS(supercb[Qtde],supercb[Item],tab_alimentos[[#This Row],[Item]],supercb[Bairro],mercado5)</f>
        <v>0</v>
      </c>
      <c r="Q333" s="4">
        <f>SUMIFS(super1[Qtde],super1[Item],tab_alimentos[[#This Row],[Item]],super1[Bairro],mercado6)+SUMIFS(supercb[Qtde],supercb[Item],tab_alimentos[[#This Row],[Item]],supercb[Bairro],mercado6)</f>
        <v>0</v>
      </c>
      <c r="R333" s="4">
        <f>SUMIFS(super1[Qtde],super1[Item],tab_alimentos[[#This Row],[Item]],super1[Bairro],mercado7)+SUMIFS(supercb[Qtde],supercb[Item],tab_alimentos[[#This Row],[Item]],supercb[Bairro],mercado7)</f>
        <v>0</v>
      </c>
      <c r="S333" s="4">
        <f>SUMIFS(super1[Qtde],super1[Item],tab_alimentos[[#This Row],[Item]],super1[Bairro],mercado8)+SUMIFS(supercb[Qtde],supercb[Item],tab_alimentos[[#This Row],[Item]],supercb[Bairro],mercado8)</f>
        <v>0</v>
      </c>
      <c r="T333" s="4">
        <f>SUMIFS(super1[Qtde],super1[Item],tab_alimentos[[#This Row],[Item]],super1[Bairro],mercado9)+SUMIFS(supercb[Qtde],supercb[Item],tab_alimentos[[#This Row],[Item]],supercb[Bairro],mercado9)</f>
        <v>0</v>
      </c>
      <c r="U333" s="4">
        <f>SUMIFS(super1[Qtde],super1[Item],tab_alimentos[[#This Row],[Item]],super1[Bairro],mercado10)+SUMIFS(supercb[Qtde],supercb[Item],tab_alimentos[[#This Row],[Item]],supercb[Bairro],mercado10)</f>
        <v>0</v>
      </c>
      <c r="V333" s="4">
        <f>SUMIFS(super1[Qtde],super1[Item],tab_alimentos[[#This Row],[Item]],super1[Bairro],mercado11)+SUMIFS(supercb[Qtde],supercb[Item],tab_alimentos[[#This Row],[Item]],supercb[Bairro],mercado11)</f>
        <v>0</v>
      </c>
      <c r="W333" s="4">
        <f>SUMIFS(super1[Qtde],super1[Item],tab_alimentos[[#This Row],[Item]],super1[Bairro],mercado12)+SUMIFS(supercb[Qtde],supercb[Item],tab_alimentos[[#This Row],[Item]],supercb[Bairro],mercado12)</f>
        <v>0</v>
      </c>
      <c r="X333" s="4">
        <f>SUMIFS(super1[Qtde],super1[Item],tab_alimentos[[#This Row],[Item]],super1[Bairro],mercado13)+SUMIFS(supercb[Qtde],supercb[Item],tab_alimentos[[#This Row],[Item]],supercb[Bairro],mercado13)</f>
        <v>0</v>
      </c>
      <c r="Y333" s="4">
        <f>SUMIFS(super1[Qtde],super1[Item],tab_alimentos[[#This Row],[Item]],super1[Bairro],mercado14)+SUMIFS(supercb[Qtde],supercb[Item],tab_alimentos[[#This Row],[Item]],supercb[Bairro],mercado14)</f>
        <v>0</v>
      </c>
      <c r="Z333" s="4">
        <f>SUMIFS(super1[Qtde],super1[Item],tab_alimentos[[#This Row],[Item]],super1[Bairro],mercado15)+SUMIFS(supercb[Qtde],supercb[Item],tab_alimentos[[#This Row],[Item]],supercb[Bairro],mercado15)</f>
        <v>0</v>
      </c>
      <c r="AA333" s="4">
        <f>SUMIFS(super1[Qtde],super1[Item],tab_alimentos[[#This Row],[Item]],super1[Bairro],mercado16)+SUMIFS(supercb[Qtde],supercb[Item],tab_alimentos[[#This Row],[Item]],supercb[Bairro],mercado16)</f>
        <v>0</v>
      </c>
      <c r="AB333" s="4">
        <f>SUMIFS(super1[Qtde],super1[Item],tab_alimentos[[#This Row],[Item]],super1[Bairro],mercado17)+SUMIFS(supercb[Qtde],supercb[Item],tab_alimentos[[#This Row],[Item]],supercb[Bairro],mercado17)</f>
        <v>0</v>
      </c>
      <c r="AC333" s="4">
        <f>SUMIFS(super1[Qtde],super1[Item],tab_alimentos[[#This Row],[Item]],super1[Bairro],mercado18)+SUMIFS(supercb[Qtde],supercb[Item],tab_alimentos[[#This Row],[Item]],supercb[Bairro],mercado18)</f>
        <v>0</v>
      </c>
      <c r="AD333" s="4">
        <f>SUMIFS(super1[Qtde],super1[Item],tab_alimentos[[#This Row],[Item]],super1[Bairro],extras)+SUMIFS(supercb[Qtde],supercb[Item],tab_alimentos[[#This Row],[Item]],supercb[Bairro],extras)</f>
        <v>0</v>
      </c>
      <c r="AE333" s="4">
        <f t="shared" si="88"/>
        <v>0</v>
      </c>
      <c r="AF333" s="4">
        <f t="shared" si="89"/>
        <v>0</v>
      </c>
      <c r="AG333" s="6">
        <f t="shared" si="90"/>
        <v>0</v>
      </c>
    </row>
    <row r="334" spans="9:33" x14ac:dyDescent="0.25">
      <c r="I334" s="19" t="str">
        <f>alimentos[[#This Row],[Item]]</f>
        <v>Molho de Tomate (130g)</v>
      </c>
      <c r="J334" s="4">
        <f>IFERROR(alimentos[[#This Row],[kg/embalagem]],0)</f>
        <v>0.13</v>
      </c>
      <c r="K334" s="4">
        <f>IFERROR(alimentos[[#This Row],[Preço]],0)</f>
        <v>2.25</v>
      </c>
      <c r="L334" s="4">
        <f>SUMIFS(super1[Qtde],super1[Item],tab_alimentos[[#This Row],[Item]],super1[Bairro],mercado1)+SUMIFS(supercb[Qtde],supercb[Item],tab_alimentos[[#This Row],[Item]],supercb[Bairro],mercado1)</f>
        <v>0</v>
      </c>
      <c r="M334" s="4">
        <f>SUMIFS(super1[Qtde],super1[Item],tab_alimentos[[#This Row],[Item]],super1[Bairro],mercado2)+SUMIFS(supercb[Qtde],supercb[Item],tab_alimentos[[#This Row],[Item]],supercb[Bairro],mercado2)</f>
        <v>0</v>
      </c>
      <c r="N334" s="4">
        <f>SUMIFS(super1[Qtde],super1[Item],tab_alimentos[[#This Row],[Item]],super1[Bairro],mercado3)+SUMIFS(supercb[Qtde],supercb[Item],tab_alimentos[[#This Row],[Item]],supercb[Bairro],mercado3)</f>
        <v>0</v>
      </c>
      <c r="O334" s="4">
        <f>SUMIFS(super1[Qtde],super1[Item],tab_alimentos[[#This Row],[Item]],super1[Bairro],mercado4)+SUMIFS(supercb[Qtde],supercb[Item],tab_alimentos[[#This Row],[Item]],supercb[Bairro],mercado4)</f>
        <v>0</v>
      </c>
      <c r="P334" s="4">
        <f>SUMIFS(super1[Qtde],super1[Item],tab_alimentos[[#This Row],[Item]],super1[Bairro],mercado5)+SUMIFS(supercb[Qtde],supercb[Item],tab_alimentos[[#This Row],[Item]],supercb[Bairro],mercado5)</f>
        <v>0</v>
      </c>
      <c r="Q334" s="4">
        <f>SUMIFS(super1[Qtde],super1[Item],tab_alimentos[[#This Row],[Item]],super1[Bairro],mercado6)+SUMIFS(supercb[Qtde],supercb[Item],tab_alimentos[[#This Row],[Item]],supercb[Bairro],mercado6)</f>
        <v>0</v>
      </c>
      <c r="R334" s="4">
        <f>SUMIFS(super1[Qtde],super1[Item],tab_alimentos[[#This Row],[Item]],super1[Bairro],mercado7)+SUMIFS(supercb[Qtde],supercb[Item],tab_alimentos[[#This Row],[Item]],supercb[Bairro],mercado7)</f>
        <v>0</v>
      </c>
      <c r="S334" s="4">
        <f>SUMIFS(super1[Qtde],super1[Item],tab_alimentos[[#This Row],[Item]],super1[Bairro],mercado8)+SUMIFS(supercb[Qtde],supercb[Item],tab_alimentos[[#This Row],[Item]],supercb[Bairro],mercado8)</f>
        <v>0</v>
      </c>
      <c r="T334" s="4">
        <f>SUMIFS(super1[Qtde],super1[Item],tab_alimentos[[#This Row],[Item]],super1[Bairro],mercado9)+SUMIFS(supercb[Qtde],supercb[Item],tab_alimentos[[#This Row],[Item]],supercb[Bairro],mercado9)</f>
        <v>0</v>
      </c>
      <c r="U334" s="4">
        <f>SUMIFS(super1[Qtde],super1[Item],tab_alimentos[[#This Row],[Item]],super1[Bairro],mercado10)+SUMIFS(supercb[Qtde],supercb[Item],tab_alimentos[[#This Row],[Item]],supercb[Bairro],mercado10)</f>
        <v>0</v>
      </c>
      <c r="V334" s="4">
        <f>SUMIFS(super1[Qtde],super1[Item],tab_alimentos[[#This Row],[Item]],super1[Bairro],mercado11)+SUMIFS(supercb[Qtde],supercb[Item],tab_alimentos[[#This Row],[Item]],supercb[Bairro],mercado11)</f>
        <v>0</v>
      </c>
      <c r="W334" s="4">
        <f>SUMIFS(super1[Qtde],super1[Item],tab_alimentos[[#This Row],[Item]],super1[Bairro],mercado12)+SUMIFS(supercb[Qtde],supercb[Item],tab_alimentos[[#This Row],[Item]],supercb[Bairro],mercado12)</f>
        <v>0</v>
      </c>
      <c r="X334" s="4">
        <f>SUMIFS(super1[Qtde],super1[Item],tab_alimentos[[#This Row],[Item]],super1[Bairro],mercado13)+SUMIFS(supercb[Qtde],supercb[Item],tab_alimentos[[#This Row],[Item]],supercb[Bairro],mercado13)</f>
        <v>0</v>
      </c>
      <c r="Y334" s="4">
        <f>SUMIFS(super1[Qtde],super1[Item],tab_alimentos[[#This Row],[Item]],super1[Bairro],mercado14)+SUMIFS(supercb[Qtde],supercb[Item],tab_alimentos[[#This Row],[Item]],supercb[Bairro],mercado14)</f>
        <v>0</v>
      </c>
      <c r="Z334" s="4">
        <f>SUMIFS(super1[Qtde],super1[Item],tab_alimentos[[#This Row],[Item]],super1[Bairro],mercado15)+SUMIFS(supercb[Qtde],supercb[Item],tab_alimentos[[#This Row],[Item]],supercb[Bairro],mercado15)</f>
        <v>0</v>
      </c>
      <c r="AA334" s="4">
        <f>SUMIFS(super1[Qtde],super1[Item],tab_alimentos[[#This Row],[Item]],super1[Bairro],mercado16)+SUMIFS(supercb[Qtde],supercb[Item],tab_alimentos[[#This Row],[Item]],supercb[Bairro],mercado16)</f>
        <v>0</v>
      </c>
      <c r="AB334" s="4">
        <f>SUMIFS(super1[Qtde],super1[Item],tab_alimentos[[#This Row],[Item]],super1[Bairro],mercado17)+SUMIFS(supercb[Qtde],supercb[Item],tab_alimentos[[#This Row],[Item]],supercb[Bairro],mercado17)</f>
        <v>0</v>
      </c>
      <c r="AC334" s="4">
        <f>SUMIFS(super1[Qtde],super1[Item],tab_alimentos[[#This Row],[Item]],super1[Bairro],mercado18)+SUMIFS(supercb[Qtde],supercb[Item],tab_alimentos[[#This Row],[Item]],supercb[Bairro],mercado18)</f>
        <v>0</v>
      </c>
      <c r="AD334" s="4">
        <f>SUMIFS(super1[Qtde],super1[Item],tab_alimentos[[#This Row],[Item]],super1[Bairro],extras)+SUMIFS(supercb[Qtde],supercb[Item],tab_alimentos[[#This Row],[Item]],supercb[Bairro],extras)</f>
        <v>0</v>
      </c>
      <c r="AE334" s="4">
        <f t="shared" si="88"/>
        <v>0</v>
      </c>
      <c r="AF334" s="4">
        <f t="shared" si="89"/>
        <v>0</v>
      </c>
      <c r="AG334" s="6">
        <f t="shared" si="90"/>
        <v>0</v>
      </c>
    </row>
    <row r="335" spans="9:33" x14ac:dyDescent="0.25">
      <c r="I335" s="19" t="str">
        <f>alimentos[[#This Row],[Item]]</f>
        <v>Molho de Tomate (190g)</v>
      </c>
      <c r="J335" s="4">
        <f>IFERROR(alimentos[[#This Row],[kg/embalagem]],0)</f>
        <v>0.19</v>
      </c>
      <c r="K335" s="4">
        <f>IFERROR(alimentos[[#This Row],[Preço]],0)</f>
        <v>1.7</v>
      </c>
      <c r="L335" s="4">
        <f>SUMIFS(super1[Qtde],super1[Item],tab_alimentos[[#This Row],[Item]],super1[Bairro],mercado1)+SUMIFS(supercb[Qtde],supercb[Item],tab_alimentos[[#This Row],[Item]],supercb[Bairro],mercado1)</f>
        <v>0</v>
      </c>
      <c r="M335" s="4">
        <f>SUMIFS(super1[Qtde],super1[Item],tab_alimentos[[#This Row],[Item]],super1[Bairro],mercado2)+SUMIFS(supercb[Qtde],supercb[Item],tab_alimentos[[#This Row],[Item]],supercb[Bairro],mercado2)</f>
        <v>0</v>
      </c>
      <c r="N335" s="4">
        <f>SUMIFS(super1[Qtde],super1[Item],tab_alimentos[[#This Row],[Item]],super1[Bairro],mercado3)+SUMIFS(supercb[Qtde],supercb[Item],tab_alimentos[[#This Row],[Item]],supercb[Bairro],mercado3)</f>
        <v>0</v>
      </c>
      <c r="O335" s="4">
        <f>SUMIFS(super1[Qtde],super1[Item],tab_alimentos[[#This Row],[Item]],super1[Bairro],mercado4)+SUMIFS(supercb[Qtde],supercb[Item],tab_alimentos[[#This Row],[Item]],supercb[Bairro],mercado4)</f>
        <v>0</v>
      </c>
      <c r="P335" s="4">
        <f>SUMIFS(super1[Qtde],super1[Item],tab_alimentos[[#This Row],[Item]],super1[Bairro],mercado5)+SUMIFS(supercb[Qtde],supercb[Item],tab_alimentos[[#This Row],[Item]],supercb[Bairro],mercado5)</f>
        <v>0</v>
      </c>
      <c r="Q335" s="4">
        <f>SUMIFS(super1[Qtde],super1[Item],tab_alimentos[[#This Row],[Item]],super1[Bairro],mercado6)+SUMIFS(supercb[Qtde],supercb[Item],tab_alimentos[[#This Row],[Item]],supercb[Bairro],mercado6)</f>
        <v>0</v>
      </c>
      <c r="R335" s="4">
        <f>SUMIFS(super1[Qtde],super1[Item],tab_alimentos[[#This Row],[Item]],super1[Bairro],mercado7)+SUMIFS(supercb[Qtde],supercb[Item],tab_alimentos[[#This Row],[Item]],supercb[Bairro],mercado7)</f>
        <v>0</v>
      </c>
      <c r="S335" s="4">
        <f>SUMIFS(super1[Qtde],super1[Item],tab_alimentos[[#This Row],[Item]],super1[Bairro],mercado8)+SUMIFS(supercb[Qtde],supercb[Item],tab_alimentos[[#This Row],[Item]],supercb[Bairro],mercado8)</f>
        <v>0</v>
      </c>
      <c r="T335" s="4">
        <f>SUMIFS(super1[Qtde],super1[Item],tab_alimentos[[#This Row],[Item]],super1[Bairro],mercado9)+SUMIFS(supercb[Qtde],supercb[Item],tab_alimentos[[#This Row],[Item]],supercb[Bairro],mercado9)</f>
        <v>0</v>
      </c>
      <c r="U335" s="4">
        <f>SUMIFS(super1[Qtde],super1[Item],tab_alimentos[[#This Row],[Item]],super1[Bairro],mercado10)+SUMIFS(supercb[Qtde],supercb[Item],tab_alimentos[[#This Row],[Item]],supercb[Bairro],mercado10)</f>
        <v>0</v>
      </c>
      <c r="V335" s="4">
        <f>SUMIFS(super1[Qtde],super1[Item],tab_alimentos[[#This Row],[Item]],super1[Bairro],mercado11)+SUMIFS(supercb[Qtde],supercb[Item],tab_alimentos[[#This Row],[Item]],supercb[Bairro],mercado11)</f>
        <v>0</v>
      </c>
      <c r="W335" s="4">
        <f>SUMIFS(super1[Qtde],super1[Item],tab_alimentos[[#This Row],[Item]],super1[Bairro],mercado12)+SUMIFS(supercb[Qtde],supercb[Item],tab_alimentos[[#This Row],[Item]],supercb[Bairro],mercado12)</f>
        <v>0</v>
      </c>
      <c r="X335" s="4">
        <f>SUMIFS(super1[Qtde],super1[Item],tab_alimentos[[#This Row],[Item]],super1[Bairro],mercado13)+SUMIFS(supercb[Qtde],supercb[Item],tab_alimentos[[#This Row],[Item]],supercb[Bairro],mercado13)</f>
        <v>0</v>
      </c>
      <c r="Y335" s="4">
        <f>SUMIFS(super1[Qtde],super1[Item],tab_alimentos[[#This Row],[Item]],super1[Bairro],mercado14)+SUMIFS(supercb[Qtde],supercb[Item],tab_alimentos[[#This Row],[Item]],supercb[Bairro],mercado14)</f>
        <v>0</v>
      </c>
      <c r="Z335" s="4">
        <f>SUMIFS(super1[Qtde],super1[Item],tab_alimentos[[#This Row],[Item]],super1[Bairro],mercado15)+SUMIFS(supercb[Qtde],supercb[Item],tab_alimentos[[#This Row],[Item]],supercb[Bairro],mercado15)</f>
        <v>0</v>
      </c>
      <c r="AA335" s="4">
        <f>SUMIFS(super1[Qtde],super1[Item],tab_alimentos[[#This Row],[Item]],super1[Bairro],mercado16)+SUMIFS(supercb[Qtde],supercb[Item],tab_alimentos[[#This Row],[Item]],supercb[Bairro],mercado16)</f>
        <v>0</v>
      </c>
      <c r="AB335" s="4">
        <f>SUMIFS(super1[Qtde],super1[Item],tab_alimentos[[#This Row],[Item]],super1[Bairro],mercado17)+SUMIFS(supercb[Qtde],supercb[Item],tab_alimentos[[#This Row],[Item]],supercb[Bairro],mercado17)</f>
        <v>0</v>
      </c>
      <c r="AC335" s="4">
        <f>SUMIFS(super1[Qtde],super1[Item],tab_alimentos[[#This Row],[Item]],super1[Bairro],mercado18)+SUMIFS(supercb[Qtde],supercb[Item],tab_alimentos[[#This Row],[Item]],supercb[Bairro],mercado18)</f>
        <v>0</v>
      </c>
      <c r="AD335" s="4">
        <f>SUMIFS(super1[Qtde],super1[Item],tab_alimentos[[#This Row],[Item]],super1[Bairro],extras)+SUMIFS(supercb[Qtde],supercb[Item],tab_alimentos[[#This Row],[Item]],supercb[Bairro],extras)</f>
        <v>0</v>
      </c>
      <c r="AE335" s="4">
        <f t="shared" si="88"/>
        <v>0</v>
      </c>
      <c r="AF335" s="4">
        <f t="shared" si="89"/>
        <v>0</v>
      </c>
      <c r="AG335" s="6">
        <f t="shared" si="90"/>
        <v>0</v>
      </c>
    </row>
    <row r="336" spans="9:33" x14ac:dyDescent="0.25">
      <c r="I336" s="19" t="str">
        <f>alimentos[[#This Row],[Item]]</f>
        <v>Molho de Tomate (260g)</v>
      </c>
      <c r="J336" s="4">
        <f>IFERROR(alimentos[[#This Row],[kg/embalagem]],0)</f>
        <v>0.26</v>
      </c>
      <c r="K336" s="4">
        <f>IFERROR(alimentos[[#This Row],[Preço]],0)</f>
        <v>2.4900000000000002</v>
      </c>
      <c r="L336" s="4">
        <f>SUMIFS(super1[Qtde],super1[Item],tab_alimentos[[#This Row],[Item]],super1[Bairro],mercado1)+SUMIFS(supercb[Qtde],supercb[Item],tab_alimentos[[#This Row],[Item]],supercb[Bairro],mercado1)</f>
        <v>0</v>
      </c>
      <c r="M336" s="4">
        <f>SUMIFS(super1[Qtde],super1[Item],tab_alimentos[[#This Row],[Item]],super1[Bairro],mercado2)+SUMIFS(supercb[Qtde],supercb[Item],tab_alimentos[[#This Row],[Item]],supercb[Bairro],mercado2)</f>
        <v>0</v>
      </c>
      <c r="N336" s="4">
        <f>SUMIFS(super1[Qtde],super1[Item],tab_alimentos[[#This Row],[Item]],super1[Bairro],mercado3)+SUMIFS(supercb[Qtde],supercb[Item],tab_alimentos[[#This Row],[Item]],supercb[Bairro],mercado3)</f>
        <v>0</v>
      </c>
      <c r="O336" s="4">
        <f>SUMIFS(super1[Qtde],super1[Item],tab_alimentos[[#This Row],[Item]],super1[Bairro],mercado4)+SUMIFS(supercb[Qtde],supercb[Item],tab_alimentos[[#This Row],[Item]],supercb[Bairro],mercado4)</f>
        <v>0</v>
      </c>
      <c r="P336" s="4">
        <f>SUMIFS(super1[Qtde],super1[Item],tab_alimentos[[#This Row],[Item]],super1[Bairro],mercado5)+SUMIFS(supercb[Qtde],supercb[Item],tab_alimentos[[#This Row],[Item]],supercb[Bairro],mercado5)</f>
        <v>0</v>
      </c>
      <c r="Q336" s="4">
        <f>SUMIFS(super1[Qtde],super1[Item],tab_alimentos[[#This Row],[Item]],super1[Bairro],mercado6)+SUMIFS(supercb[Qtde],supercb[Item],tab_alimentos[[#This Row],[Item]],supercb[Bairro],mercado6)</f>
        <v>0</v>
      </c>
      <c r="R336" s="4">
        <f>SUMIFS(super1[Qtde],super1[Item],tab_alimentos[[#This Row],[Item]],super1[Bairro],mercado7)+SUMIFS(supercb[Qtde],supercb[Item],tab_alimentos[[#This Row],[Item]],supercb[Bairro],mercado7)</f>
        <v>0</v>
      </c>
      <c r="S336" s="4">
        <f>SUMIFS(super1[Qtde],super1[Item],tab_alimentos[[#This Row],[Item]],super1[Bairro],mercado8)+SUMIFS(supercb[Qtde],supercb[Item],tab_alimentos[[#This Row],[Item]],supercb[Bairro],mercado8)</f>
        <v>0</v>
      </c>
      <c r="T336" s="4">
        <f>SUMIFS(super1[Qtde],super1[Item],tab_alimentos[[#This Row],[Item]],super1[Bairro],mercado9)+SUMIFS(supercb[Qtde],supercb[Item],tab_alimentos[[#This Row],[Item]],supercb[Bairro],mercado9)</f>
        <v>0</v>
      </c>
      <c r="U336" s="4">
        <f>SUMIFS(super1[Qtde],super1[Item],tab_alimentos[[#This Row],[Item]],super1[Bairro],mercado10)+SUMIFS(supercb[Qtde],supercb[Item],tab_alimentos[[#This Row],[Item]],supercb[Bairro],mercado10)</f>
        <v>0</v>
      </c>
      <c r="V336" s="4">
        <f>SUMIFS(super1[Qtde],super1[Item],tab_alimentos[[#This Row],[Item]],super1[Bairro],mercado11)+SUMIFS(supercb[Qtde],supercb[Item],tab_alimentos[[#This Row],[Item]],supercb[Bairro],mercado11)</f>
        <v>0</v>
      </c>
      <c r="W336" s="4">
        <f>SUMIFS(super1[Qtde],super1[Item],tab_alimentos[[#This Row],[Item]],super1[Bairro],mercado12)+SUMIFS(supercb[Qtde],supercb[Item],tab_alimentos[[#This Row],[Item]],supercb[Bairro],mercado12)</f>
        <v>0</v>
      </c>
      <c r="X336" s="4">
        <f>SUMIFS(super1[Qtde],super1[Item],tab_alimentos[[#This Row],[Item]],super1[Bairro],mercado13)+SUMIFS(supercb[Qtde],supercb[Item],tab_alimentos[[#This Row],[Item]],supercb[Bairro],mercado13)</f>
        <v>0</v>
      </c>
      <c r="Y336" s="4">
        <f>SUMIFS(super1[Qtde],super1[Item],tab_alimentos[[#This Row],[Item]],super1[Bairro],mercado14)+SUMIFS(supercb[Qtde],supercb[Item],tab_alimentos[[#This Row],[Item]],supercb[Bairro],mercado14)</f>
        <v>0</v>
      </c>
      <c r="Z336" s="4">
        <f>SUMIFS(super1[Qtde],super1[Item],tab_alimentos[[#This Row],[Item]],super1[Bairro],mercado15)+SUMIFS(supercb[Qtde],supercb[Item],tab_alimentos[[#This Row],[Item]],supercb[Bairro],mercado15)</f>
        <v>0</v>
      </c>
      <c r="AA336" s="4">
        <f>SUMIFS(super1[Qtde],super1[Item],tab_alimentos[[#This Row],[Item]],super1[Bairro],mercado16)+SUMIFS(supercb[Qtde],supercb[Item],tab_alimentos[[#This Row],[Item]],supercb[Bairro],mercado16)</f>
        <v>0</v>
      </c>
      <c r="AB336" s="4">
        <f>SUMIFS(super1[Qtde],super1[Item],tab_alimentos[[#This Row],[Item]],super1[Bairro],mercado17)+SUMIFS(supercb[Qtde],supercb[Item],tab_alimentos[[#This Row],[Item]],supercb[Bairro],mercado17)</f>
        <v>0</v>
      </c>
      <c r="AC336" s="4">
        <f>SUMIFS(super1[Qtde],super1[Item],tab_alimentos[[#This Row],[Item]],super1[Bairro],mercado18)+SUMIFS(supercb[Qtde],supercb[Item],tab_alimentos[[#This Row],[Item]],supercb[Bairro],mercado18)</f>
        <v>0</v>
      </c>
      <c r="AD336" s="4">
        <f>SUMIFS(super1[Qtde],super1[Item],tab_alimentos[[#This Row],[Item]],super1[Bairro],extras)+SUMIFS(supercb[Qtde],supercb[Item],tab_alimentos[[#This Row],[Item]],supercb[Bairro],extras)</f>
        <v>0</v>
      </c>
      <c r="AE336" s="4">
        <f t="shared" si="88"/>
        <v>0</v>
      </c>
      <c r="AF336" s="4">
        <f t="shared" si="89"/>
        <v>0</v>
      </c>
      <c r="AG336" s="6">
        <f t="shared" si="90"/>
        <v>0</v>
      </c>
    </row>
    <row r="337" spans="9:33" x14ac:dyDescent="0.25">
      <c r="I337" s="19" t="str">
        <f>alimentos[[#This Row],[Item]]</f>
        <v>Molho de Tomate (2kg)</v>
      </c>
      <c r="J337" s="4">
        <f>IFERROR(alimentos[[#This Row],[kg/embalagem]],0)</f>
        <v>2</v>
      </c>
      <c r="K337" s="4">
        <f>IFERROR(alimentos[[#This Row],[Preço]],0)</f>
        <v>7.09</v>
      </c>
      <c r="L337" s="4">
        <f>SUMIFS(super1[Qtde],super1[Item],tab_alimentos[[#This Row],[Item]],super1[Bairro],mercado1)+SUMIFS(supercb[Qtde],supercb[Item],tab_alimentos[[#This Row],[Item]],supercb[Bairro],mercado1)</f>
        <v>0</v>
      </c>
      <c r="M337" s="4">
        <f>SUMIFS(super1[Qtde],super1[Item],tab_alimentos[[#This Row],[Item]],super1[Bairro],mercado2)+SUMIFS(supercb[Qtde],supercb[Item],tab_alimentos[[#This Row],[Item]],supercb[Bairro],mercado2)</f>
        <v>0</v>
      </c>
      <c r="N337" s="4">
        <f>SUMIFS(super1[Qtde],super1[Item],tab_alimentos[[#This Row],[Item]],super1[Bairro],mercado3)+SUMIFS(supercb[Qtde],supercb[Item],tab_alimentos[[#This Row],[Item]],supercb[Bairro],mercado3)</f>
        <v>0</v>
      </c>
      <c r="O337" s="4">
        <f>SUMIFS(super1[Qtde],super1[Item],tab_alimentos[[#This Row],[Item]],super1[Bairro],mercado4)+SUMIFS(supercb[Qtde],supercb[Item],tab_alimentos[[#This Row],[Item]],supercb[Bairro],mercado4)</f>
        <v>0</v>
      </c>
      <c r="P337" s="4">
        <f>SUMIFS(super1[Qtde],super1[Item],tab_alimentos[[#This Row],[Item]],super1[Bairro],mercado5)+SUMIFS(supercb[Qtde],supercb[Item],tab_alimentos[[#This Row],[Item]],supercb[Bairro],mercado5)</f>
        <v>0</v>
      </c>
      <c r="Q337" s="4">
        <f>SUMIFS(super1[Qtde],super1[Item],tab_alimentos[[#This Row],[Item]],super1[Bairro],mercado6)+SUMIFS(supercb[Qtde],supercb[Item],tab_alimentos[[#This Row],[Item]],supercb[Bairro],mercado6)</f>
        <v>0</v>
      </c>
      <c r="R337" s="4">
        <f>SUMIFS(super1[Qtde],super1[Item],tab_alimentos[[#This Row],[Item]],super1[Bairro],mercado7)+SUMIFS(supercb[Qtde],supercb[Item],tab_alimentos[[#This Row],[Item]],supercb[Bairro],mercado7)</f>
        <v>0</v>
      </c>
      <c r="S337" s="4">
        <f>SUMIFS(super1[Qtde],super1[Item],tab_alimentos[[#This Row],[Item]],super1[Bairro],mercado8)+SUMIFS(supercb[Qtde],supercb[Item],tab_alimentos[[#This Row],[Item]],supercb[Bairro],mercado8)</f>
        <v>0</v>
      </c>
      <c r="T337" s="4">
        <f>SUMIFS(super1[Qtde],super1[Item],tab_alimentos[[#This Row],[Item]],super1[Bairro],mercado9)+SUMIFS(supercb[Qtde],supercb[Item],tab_alimentos[[#This Row],[Item]],supercb[Bairro],mercado9)</f>
        <v>0</v>
      </c>
      <c r="U337" s="4">
        <f>SUMIFS(super1[Qtde],super1[Item],tab_alimentos[[#This Row],[Item]],super1[Bairro],mercado10)+SUMIFS(supercb[Qtde],supercb[Item],tab_alimentos[[#This Row],[Item]],supercb[Bairro],mercado10)</f>
        <v>0</v>
      </c>
      <c r="V337" s="4">
        <f>SUMIFS(super1[Qtde],super1[Item],tab_alimentos[[#This Row],[Item]],super1[Bairro],mercado11)+SUMIFS(supercb[Qtde],supercb[Item],tab_alimentos[[#This Row],[Item]],supercb[Bairro],mercado11)</f>
        <v>0</v>
      </c>
      <c r="W337" s="4">
        <f>SUMIFS(super1[Qtde],super1[Item],tab_alimentos[[#This Row],[Item]],super1[Bairro],mercado12)+SUMIFS(supercb[Qtde],supercb[Item],tab_alimentos[[#This Row],[Item]],supercb[Bairro],mercado12)</f>
        <v>0</v>
      </c>
      <c r="X337" s="4">
        <f>SUMIFS(super1[Qtde],super1[Item],tab_alimentos[[#This Row],[Item]],super1[Bairro],mercado13)+SUMIFS(supercb[Qtde],supercb[Item],tab_alimentos[[#This Row],[Item]],supercb[Bairro],mercado13)</f>
        <v>0</v>
      </c>
      <c r="Y337" s="4">
        <f>SUMIFS(super1[Qtde],super1[Item],tab_alimentos[[#This Row],[Item]],super1[Bairro],mercado14)+SUMIFS(supercb[Qtde],supercb[Item],tab_alimentos[[#This Row],[Item]],supercb[Bairro],mercado14)</f>
        <v>0</v>
      </c>
      <c r="Z337" s="4">
        <f>SUMIFS(super1[Qtde],super1[Item],tab_alimentos[[#This Row],[Item]],super1[Bairro],mercado15)+SUMIFS(supercb[Qtde],supercb[Item],tab_alimentos[[#This Row],[Item]],supercb[Bairro],mercado15)</f>
        <v>0</v>
      </c>
      <c r="AA337" s="4">
        <f>SUMIFS(super1[Qtde],super1[Item],tab_alimentos[[#This Row],[Item]],super1[Bairro],mercado16)+SUMIFS(supercb[Qtde],supercb[Item],tab_alimentos[[#This Row],[Item]],supercb[Bairro],mercado16)</f>
        <v>0</v>
      </c>
      <c r="AB337" s="4">
        <f>SUMIFS(super1[Qtde],super1[Item],tab_alimentos[[#This Row],[Item]],super1[Bairro],mercado17)+SUMIFS(supercb[Qtde],supercb[Item],tab_alimentos[[#This Row],[Item]],supercb[Bairro],mercado17)</f>
        <v>0</v>
      </c>
      <c r="AC337" s="4">
        <f>SUMIFS(super1[Qtde],super1[Item],tab_alimentos[[#This Row],[Item]],super1[Bairro],mercado18)+SUMIFS(supercb[Qtde],supercb[Item],tab_alimentos[[#This Row],[Item]],supercb[Bairro],mercado18)</f>
        <v>0</v>
      </c>
      <c r="AD337" s="4">
        <f>SUMIFS(super1[Qtde],super1[Item],tab_alimentos[[#This Row],[Item]],super1[Bairro],extras)+SUMIFS(supercb[Qtde],supercb[Item],tab_alimentos[[#This Row],[Item]],supercb[Bairro],extras)</f>
        <v>0</v>
      </c>
      <c r="AE337" s="4">
        <f t="shared" si="88"/>
        <v>0</v>
      </c>
      <c r="AF337" s="4">
        <f t="shared" si="89"/>
        <v>0</v>
      </c>
      <c r="AG337" s="6">
        <f t="shared" si="90"/>
        <v>0</v>
      </c>
    </row>
    <row r="338" spans="9:33" x14ac:dyDescent="0.25">
      <c r="I338" s="19" t="str">
        <f>alimentos[[#This Row],[Item]]</f>
        <v>Molho de Tomate (300g)</v>
      </c>
      <c r="J338" s="4">
        <f>IFERROR(alimentos[[#This Row],[kg/embalagem]],0)</f>
        <v>0.3</v>
      </c>
      <c r="K338" s="4">
        <f>IFERROR(alimentos[[#This Row],[Preço]],0)</f>
        <v>1.35</v>
      </c>
      <c r="L338" s="4">
        <f>SUMIFS(super1[Qtde],super1[Item],tab_alimentos[[#This Row],[Item]],super1[Bairro],mercado1)+SUMIFS(supercb[Qtde],supercb[Item],tab_alimentos[[#This Row],[Item]],supercb[Bairro],mercado1)</f>
        <v>0</v>
      </c>
      <c r="M338" s="4">
        <f>SUMIFS(super1[Qtde],super1[Item],tab_alimentos[[#This Row],[Item]],super1[Bairro],mercado2)+SUMIFS(supercb[Qtde],supercb[Item],tab_alimentos[[#This Row],[Item]],supercb[Bairro],mercado2)</f>
        <v>0</v>
      </c>
      <c r="N338" s="4">
        <f>SUMIFS(super1[Qtde],super1[Item],tab_alimentos[[#This Row],[Item]],super1[Bairro],mercado3)+SUMIFS(supercb[Qtde],supercb[Item],tab_alimentos[[#This Row],[Item]],supercb[Bairro],mercado3)</f>
        <v>0</v>
      </c>
      <c r="O338" s="4">
        <f>SUMIFS(super1[Qtde],super1[Item],tab_alimentos[[#This Row],[Item]],super1[Bairro],mercado4)+SUMIFS(supercb[Qtde],supercb[Item],tab_alimentos[[#This Row],[Item]],supercb[Bairro],mercado4)</f>
        <v>0</v>
      </c>
      <c r="P338" s="4">
        <f>SUMIFS(super1[Qtde],super1[Item],tab_alimentos[[#This Row],[Item]],super1[Bairro],mercado5)+SUMIFS(supercb[Qtde],supercb[Item],tab_alimentos[[#This Row],[Item]],supercb[Bairro],mercado5)</f>
        <v>0</v>
      </c>
      <c r="Q338" s="4">
        <f>SUMIFS(super1[Qtde],super1[Item],tab_alimentos[[#This Row],[Item]],super1[Bairro],mercado6)+SUMIFS(supercb[Qtde],supercb[Item],tab_alimentos[[#This Row],[Item]],supercb[Bairro],mercado6)</f>
        <v>0</v>
      </c>
      <c r="R338" s="4">
        <f>SUMIFS(super1[Qtde],super1[Item],tab_alimentos[[#This Row],[Item]],super1[Bairro],mercado7)+SUMIFS(supercb[Qtde],supercb[Item],tab_alimentos[[#This Row],[Item]],supercb[Bairro],mercado7)</f>
        <v>0</v>
      </c>
      <c r="S338" s="4">
        <f>SUMIFS(super1[Qtde],super1[Item],tab_alimentos[[#This Row],[Item]],super1[Bairro],mercado8)+SUMIFS(supercb[Qtde],supercb[Item],tab_alimentos[[#This Row],[Item]],supercb[Bairro],mercado8)</f>
        <v>0</v>
      </c>
      <c r="T338" s="4">
        <f>SUMIFS(super1[Qtde],super1[Item],tab_alimentos[[#This Row],[Item]],super1[Bairro],mercado9)+SUMIFS(supercb[Qtde],supercb[Item],tab_alimentos[[#This Row],[Item]],supercb[Bairro],mercado9)</f>
        <v>0</v>
      </c>
      <c r="U338" s="4">
        <f>SUMIFS(super1[Qtde],super1[Item],tab_alimentos[[#This Row],[Item]],super1[Bairro],mercado10)+SUMIFS(supercb[Qtde],supercb[Item],tab_alimentos[[#This Row],[Item]],supercb[Bairro],mercado10)</f>
        <v>0</v>
      </c>
      <c r="V338" s="4">
        <f>SUMIFS(super1[Qtde],super1[Item],tab_alimentos[[#This Row],[Item]],super1[Bairro],mercado11)+SUMIFS(supercb[Qtde],supercb[Item],tab_alimentos[[#This Row],[Item]],supercb[Bairro],mercado11)</f>
        <v>0</v>
      </c>
      <c r="W338" s="4">
        <f>SUMIFS(super1[Qtde],super1[Item],tab_alimentos[[#This Row],[Item]],super1[Bairro],mercado12)+SUMIFS(supercb[Qtde],supercb[Item],tab_alimentos[[#This Row],[Item]],supercb[Bairro],mercado12)</f>
        <v>0</v>
      </c>
      <c r="X338" s="4">
        <f>SUMIFS(super1[Qtde],super1[Item],tab_alimentos[[#This Row],[Item]],super1[Bairro],mercado13)+SUMIFS(supercb[Qtde],supercb[Item],tab_alimentos[[#This Row],[Item]],supercb[Bairro],mercado13)</f>
        <v>0</v>
      </c>
      <c r="Y338" s="4">
        <f>SUMIFS(super1[Qtde],super1[Item],tab_alimentos[[#This Row],[Item]],super1[Bairro],mercado14)+SUMIFS(supercb[Qtde],supercb[Item],tab_alimentos[[#This Row],[Item]],supercb[Bairro],mercado14)</f>
        <v>0</v>
      </c>
      <c r="Z338" s="4">
        <f>SUMIFS(super1[Qtde],super1[Item],tab_alimentos[[#This Row],[Item]],super1[Bairro],mercado15)+SUMIFS(supercb[Qtde],supercb[Item],tab_alimentos[[#This Row],[Item]],supercb[Bairro],mercado15)</f>
        <v>0</v>
      </c>
      <c r="AA338" s="4">
        <f>SUMIFS(super1[Qtde],super1[Item],tab_alimentos[[#This Row],[Item]],super1[Bairro],mercado16)+SUMIFS(supercb[Qtde],supercb[Item],tab_alimentos[[#This Row],[Item]],supercb[Bairro],mercado16)</f>
        <v>0</v>
      </c>
      <c r="AB338" s="4">
        <f>SUMIFS(super1[Qtde],super1[Item],tab_alimentos[[#This Row],[Item]],super1[Bairro],mercado17)+SUMIFS(supercb[Qtde],supercb[Item],tab_alimentos[[#This Row],[Item]],supercb[Bairro],mercado17)</f>
        <v>0</v>
      </c>
      <c r="AC338" s="4">
        <f>SUMIFS(super1[Qtde],super1[Item],tab_alimentos[[#This Row],[Item]],super1[Bairro],mercado18)+SUMIFS(supercb[Qtde],supercb[Item],tab_alimentos[[#This Row],[Item]],supercb[Bairro],mercado18)</f>
        <v>0</v>
      </c>
      <c r="AD338" s="4">
        <f>SUMIFS(super1[Qtde],super1[Item],tab_alimentos[[#This Row],[Item]],super1[Bairro],extras)+SUMIFS(supercb[Qtde],supercb[Item],tab_alimentos[[#This Row],[Item]],supercb[Bairro],extras)</f>
        <v>0</v>
      </c>
      <c r="AE338" s="4">
        <f t="shared" si="88"/>
        <v>0</v>
      </c>
      <c r="AF338" s="4">
        <f t="shared" si="89"/>
        <v>0</v>
      </c>
      <c r="AG338" s="6">
        <f t="shared" si="90"/>
        <v>0</v>
      </c>
    </row>
    <row r="339" spans="9:33" x14ac:dyDescent="0.25">
      <c r="I339" s="19" t="str">
        <f>alimentos[[#This Row],[Item]]</f>
        <v>Molho de Tomate (320g)</v>
      </c>
      <c r="J339" s="4">
        <f>IFERROR(alimentos[[#This Row],[kg/embalagem]],0)</f>
        <v>0.32</v>
      </c>
      <c r="K339" s="4">
        <f>IFERROR(alimentos[[#This Row],[Preço]],0)</f>
        <v>2.39</v>
      </c>
      <c r="L339" s="4">
        <f>SUMIFS(super1[Qtde],super1[Item],tab_alimentos[[#This Row],[Item]],super1[Bairro],mercado1)+SUMIFS(supercb[Qtde],supercb[Item],tab_alimentos[[#This Row],[Item]],supercb[Bairro],mercado1)</f>
        <v>0</v>
      </c>
      <c r="M339" s="4">
        <f>SUMIFS(super1[Qtde],super1[Item],tab_alimentos[[#This Row],[Item]],super1[Bairro],mercado2)+SUMIFS(supercb[Qtde],supercb[Item],tab_alimentos[[#This Row],[Item]],supercb[Bairro],mercado2)</f>
        <v>0</v>
      </c>
      <c r="N339" s="4">
        <f>SUMIFS(super1[Qtde],super1[Item],tab_alimentos[[#This Row],[Item]],super1[Bairro],mercado3)+SUMIFS(supercb[Qtde],supercb[Item],tab_alimentos[[#This Row],[Item]],supercb[Bairro],mercado3)</f>
        <v>0</v>
      </c>
      <c r="O339" s="4">
        <f>SUMIFS(super1[Qtde],super1[Item],tab_alimentos[[#This Row],[Item]],super1[Bairro],mercado4)+SUMIFS(supercb[Qtde],supercb[Item],tab_alimentos[[#This Row],[Item]],supercb[Bairro],mercado4)</f>
        <v>0</v>
      </c>
      <c r="P339" s="4">
        <f>SUMIFS(super1[Qtde],super1[Item],tab_alimentos[[#This Row],[Item]],super1[Bairro],mercado5)+SUMIFS(supercb[Qtde],supercb[Item],tab_alimentos[[#This Row],[Item]],supercb[Bairro],mercado5)</f>
        <v>0</v>
      </c>
      <c r="Q339" s="4">
        <f>SUMIFS(super1[Qtde],super1[Item],tab_alimentos[[#This Row],[Item]],super1[Bairro],mercado6)+SUMIFS(supercb[Qtde],supercb[Item],tab_alimentos[[#This Row],[Item]],supercb[Bairro],mercado6)</f>
        <v>0</v>
      </c>
      <c r="R339" s="4">
        <f>SUMIFS(super1[Qtde],super1[Item],tab_alimentos[[#This Row],[Item]],super1[Bairro],mercado7)+SUMIFS(supercb[Qtde],supercb[Item],tab_alimentos[[#This Row],[Item]],supercb[Bairro],mercado7)</f>
        <v>0</v>
      </c>
      <c r="S339" s="4">
        <f>SUMIFS(super1[Qtde],super1[Item],tab_alimentos[[#This Row],[Item]],super1[Bairro],mercado8)+SUMIFS(supercb[Qtde],supercb[Item],tab_alimentos[[#This Row],[Item]],supercb[Bairro],mercado8)</f>
        <v>0</v>
      </c>
      <c r="T339" s="4">
        <f>SUMIFS(super1[Qtde],super1[Item],tab_alimentos[[#This Row],[Item]],super1[Bairro],mercado9)+SUMIFS(supercb[Qtde],supercb[Item],tab_alimentos[[#This Row],[Item]],supercb[Bairro],mercado9)</f>
        <v>0</v>
      </c>
      <c r="U339" s="4">
        <f>SUMIFS(super1[Qtde],super1[Item],tab_alimentos[[#This Row],[Item]],super1[Bairro],mercado10)+SUMIFS(supercb[Qtde],supercb[Item],tab_alimentos[[#This Row],[Item]],supercb[Bairro],mercado10)</f>
        <v>0</v>
      </c>
      <c r="V339" s="4">
        <f>SUMIFS(super1[Qtde],super1[Item],tab_alimentos[[#This Row],[Item]],super1[Bairro],mercado11)+SUMIFS(supercb[Qtde],supercb[Item],tab_alimentos[[#This Row],[Item]],supercb[Bairro],mercado11)</f>
        <v>0</v>
      </c>
      <c r="W339" s="4">
        <f>SUMIFS(super1[Qtde],super1[Item],tab_alimentos[[#This Row],[Item]],super1[Bairro],mercado12)+SUMIFS(supercb[Qtde],supercb[Item],tab_alimentos[[#This Row],[Item]],supercb[Bairro],mercado12)</f>
        <v>0</v>
      </c>
      <c r="X339" s="4">
        <f>SUMIFS(super1[Qtde],super1[Item],tab_alimentos[[#This Row],[Item]],super1[Bairro],mercado13)+SUMIFS(supercb[Qtde],supercb[Item],tab_alimentos[[#This Row],[Item]],supercb[Bairro],mercado13)</f>
        <v>0</v>
      </c>
      <c r="Y339" s="4">
        <f>SUMIFS(super1[Qtde],super1[Item],tab_alimentos[[#This Row],[Item]],super1[Bairro],mercado14)+SUMIFS(supercb[Qtde],supercb[Item],tab_alimentos[[#This Row],[Item]],supercb[Bairro],mercado14)</f>
        <v>0</v>
      </c>
      <c r="Z339" s="4">
        <f>SUMIFS(super1[Qtde],super1[Item],tab_alimentos[[#This Row],[Item]],super1[Bairro],mercado15)+SUMIFS(supercb[Qtde],supercb[Item],tab_alimentos[[#This Row],[Item]],supercb[Bairro],mercado15)</f>
        <v>0</v>
      </c>
      <c r="AA339" s="4">
        <f>SUMIFS(super1[Qtde],super1[Item],tab_alimentos[[#This Row],[Item]],super1[Bairro],mercado16)+SUMIFS(supercb[Qtde],supercb[Item],tab_alimentos[[#This Row],[Item]],supercb[Bairro],mercado16)</f>
        <v>0</v>
      </c>
      <c r="AB339" s="4">
        <f>SUMIFS(super1[Qtde],super1[Item],tab_alimentos[[#This Row],[Item]],super1[Bairro],mercado17)+SUMIFS(supercb[Qtde],supercb[Item],tab_alimentos[[#This Row],[Item]],supercb[Bairro],mercado17)</f>
        <v>0</v>
      </c>
      <c r="AC339" s="4">
        <f>SUMIFS(super1[Qtde],super1[Item],tab_alimentos[[#This Row],[Item]],super1[Bairro],mercado18)+SUMIFS(supercb[Qtde],supercb[Item],tab_alimentos[[#This Row],[Item]],supercb[Bairro],mercado18)</f>
        <v>0</v>
      </c>
      <c r="AD339" s="4">
        <f>SUMIFS(super1[Qtde],super1[Item],tab_alimentos[[#This Row],[Item]],super1[Bairro],extras)+SUMIFS(supercb[Qtde],supercb[Item],tab_alimentos[[#This Row],[Item]],supercb[Bairro],extras)</f>
        <v>0</v>
      </c>
      <c r="AE339" s="4">
        <f t="shared" si="88"/>
        <v>0</v>
      </c>
      <c r="AF339" s="4">
        <f t="shared" si="89"/>
        <v>0</v>
      </c>
      <c r="AG339" s="6">
        <f t="shared" si="90"/>
        <v>0</v>
      </c>
    </row>
    <row r="340" spans="9:33" x14ac:dyDescent="0.25">
      <c r="I340" s="19" t="str">
        <f>alimentos[[#This Row],[Item]]</f>
        <v>Molho de Tomate (340g)</v>
      </c>
      <c r="J340" s="4">
        <f>IFERROR(alimentos[[#This Row],[kg/embalagem]],0)</f>
        <v>0.34</v>
      </c>
      <c r="K340" s="4">
        <f>IFERROR(alimentos[[#This Row],[Preço]],0)</f>
        <v>1.0900000000000001</v>
      </c>
      <c r="L340" s="4">
        <f>SUMIFS(super1[Qtde],super1[Item],tab_alimentos[[#This Row],[Item]],super1[Bairro],mercado1)+SUMIFS(supercb[Qtde],supercb[Item],tab_alimentos[[#This Row],[Item]],supercb[Bairro],mercado1)</f>
        <v>0</v>
      </c>
      <c r="M340" s="4">
        <f>SUMIFS(super1[Qtde],super1[Item],tab_alimentos[[#This Row],[Item]],super1[Bairro],mercado2)+SUMIFS(supercb[Qtde],supercb[Item],tab_alimentos[[#This Row],[Item]],supercb[Bairro],mercado2)</f>
        <v>0</v>
      </c>
      <c r="N340" s="4">
        <f>SUMIFS(super1[Qtde],super1[Item],tab_alimentos[[#This Row],[Item]],super1[Bairro],mercado3)+SUMIFS(supercb[Qtde],supercb[Item],tab_alimentos[[#This Row],[Item]],supercb[Bairro],mercado3)</f>
        <v>0</v>
      </c>
      <c r="O340" s="4">
        <f>SUMIFS(super1[Qtde],super1[Item],tab_alimentos[[#This Row],[Item]],super1[Bairro],mercado4)+SUMIFS(supercb[Qtde],supercb[Item],tab_alimentos[[#This Row],[Item]],supercb[Bairro],mercado4)</f>
        <v>0</v>
      </c>
      <c r="P340" s="4">
        <f>SUMIFS(super1[Qtde],super1[Item],tab_alimentos[[#This Row],[Item]],super1[Bairro],mercado5)+SUMIFS(supercb[Qtde],supercb[Item],tab_alimentos[[#This Row],[Item]],supercb[Bairro],mercado5)</f>
        <v>0</v>
      </c>
      <c r="Q340" s="4">
        <f>SUMIFS(super1[Qtde],super1[Item],tab_alimentos[[#This Row],[Item]],super1[Bairro],mercado6)+SUMIFS(supercb[Qtde],supercb[Item],tab_alimentos[[#This Row],[Item]],supercb[Bairro],mercado6)</f>
        <v>0</v>
      </c>
      <c r="R340" s="4">
        <f>SUMIFS(super1[Qtde],super1[Item],tab_alimentos[[#This Row],[Item]],super1[Bairro],mercado7)+SUMIFS(supercb[Qtde],supercb[Item],tab_alimentos[[#This Row],[Item]],supercb[Bairro],mercado7)</f>
        <v>0</v>
      </c>
      <c r="S340" s="4">
        <f>SUMIFS(super1[Qtde],super1[Item],tab_alimentos[[#This Row],[Item]],super1[Bairro],mercado8)+SUMIFS(supercb[Qtde],supercb[Item],tab_alimentos[[#This Row],[Item]],supercb[Bairro],mercado8)</f>
        <v>0</v>
      </c>
      <c r="T340" s="4">
        <f>SUMIFS(super1[Qtde],super1[Item],tab_alimentos[[#This Row],[Item]],super1[Bairro],mercado9)+SUMIFS(supercb[Qtde],supercb[Item],tab_alimentos[[#This Row],[Item]],supercb[Bairro],mercado9)</f>
        <v>0</v>
      </c>
      <c r="U340" s="4">
        <f>SUMIFS(super1[Qtde],super1[Item],tab_alimentos[[#This Row],[Item]],super1[Bairro],mercado10)+SUMIFS(supercb[Qtde],supercb[Item],tab_alimentos[[#This Row],[Item]],supercb[Bairro],mercado10)</f>
        <v>0</v>
      </c>
      <c r="V340" s="4">
        <f>SUMIFS(super1[Qtde],super1[Item],tab_alimentos[[#This Row],[Item]],super1[Bairro],mercado11)+SUMIFS(supercb[Qtde],supercb[Item],tab_alimentos[[#This Row],[Item]],supercb[Bairro],mercado11)</f>
        <v>0</v>
      </c>
      <c r="W340" s="4">
        <f>SUMIFS(super1[Qtde],super1[Item],tab_alimentos[[#This Row],[Item]],super1[Bairro],mercado12)+SUMIFS(supercb[Qtde],supercb[Item],tab_alimentos[[#This Row],[Item]],supercb[Bairro],mercado12)</f>
        <v>0</v>
      </c>
      <c r="X340" s="4">
        <f>SUMIFS(super1[Qtde],super1[Item],tab_alimentos[[#This Row],[Item]],super1[Bairro],mercado13)+SUMIFS(supercb[Qtde],supercb[Item],tab_alimentos[[#This Row],[Item]],supercb[Bairro],mercado13)</f>
        <v>0</v>
      </c>
      <c r="Y340" s="4">
        <f>SUMIFS(super1[Qtde],super1[Item],tab_alimentos[[#This Row],[Item]],super1[Bairro],mercado14)+SUMIFS(supercb[Qtde],supercb[Item],tab_alimentos[[#This Row],[Item]],supercb[Bairro],mercado14)</f>
        <v>0</v>
      </c>
      <c r="Z340" s="4">
        <f>SUMIFS(super1[Qtde],super1[Item],tab_alimentos[[#This Row],[Item]],super1[Bairro],mercado15)+SUMIFS(supercb[Qtde],supercb[Item],tab_alimentos[[#This Row],[Item]],supercb[Bairro],mercado15)</f>
        <v>0</v>
      </c>
      <c r="AA340" s="4">
        <f>SUMIFS(super1[Qtde],super1[Item],tab_alimentos[[#This Row],[Item]],super1[Bairro],mercado16)+SUMIFS(supercb[Qtde],supercb[Item],tab_alimentos[[#This Row],[Item]],supercb[Bairro],mercado16)</f>
        <v>0</v>
      </c>
      <c r="AB340" s="4">
        <f>SUMIFS(super1[Qtde],super1[Item],tab_alimentos[[#This Row],[Item]],super1[Bairro],mercado17)+SUMIFS(supercb[Qtde],supercb[Item],tab_alimentos[[#This Row],[Item]],supercb[Bairro],mercado17)</f>
        <v>0</v>
      </c>
      <c r="AC340" s="4">
        <f>SUMIFS(super1[Qtde],super1[Item],tab_alimentos[[#This Row],[Item]],super1[Bairro],mercado18)+SUMIFS(supercb[Qtde],supercb[Item],tab_alimentos[[#This Row],[Item]],supercb[Bairro],mercado18)</f>
        <v>0</v>
      </c>
      <c r="AD340" s="4">
        <f>SUMIFS(super1[Qtde],super1[Item],tab_alimentos[[#This Row],[Item]],super1[Bairro],extras)+SUMIFS(supercb[Qtde],supercb[Item],tab_alimentos[[#This Row],[Item]],supercb[Bairro],extras)</f>
        <v>0</v>
      </c>
      <c r="AE340" s="4">
        <f t="shared" ref="AE340:AE375" si="94">SUM(L340:AC340)</f>
        <v>0</v>
      </c>
      <c r="AF340" s="4">
        <f t="shared" ref="AF340:AF375" si="95">IFERROR(AE340*K340,0)</f>
        <v>0</v>
      </c>
      <c r="AG340" s="6">
        <f t="shared" ref="AG340:AG375" si="96">IFERROR(J340*AE340,0)</f>
        <v>0</v>
      </c>
    </row>
    <row r="341" spans="9:33" x14ac:dyDescent="0.25">
      <c r="I341" s="19" t="str">
        <f>alimentos[[#This Row],[Item]]</f>
        <v>Molho de Tomate (390g)</v>
      </c>
      <c r="J341" s="4">
        <f>IFERROR(alimentos[[#This Row],[kg/embalagem]],0)</f>
        <v>0.39</v>
      </c>
      <c r="K341" s="4">
        <f>IFERROR(alimentos[[#This Row],[Preço]],0)</f>
        <v>3.99</v>
      </c>
      <c r="L341" s="4">
        <f>SUMIFS(super1[Qtde],super1[Item],tab_alimentos[[#This Row],[Item]],super1[Bairro],mercado1)+SUMIFS(supercb[Qtde],supercb[Item],tab_alimentos[[#This Row],[Item]],supercb[Bairro],mercado1)</f>
        <v>0</v>
      </c>
      <c r="M341" s="4">
        <f>SUMIFS(super1[Qtde],super1[Item],tab_alimentos[[#This Row],[Item]],super1[Bairro],mercado2)+SUMIFS(supercb[Qtde],supercb[Item],tab_alimentos[[#This Row],[Item]],supercb[Bairro],mercado2)</f>
        <v>0</v>
      </c>
      <c r="N341" s="4">
        <f>SUMIFS(super1[Qtde],super1[Item],tab_alimentos[[#This Row],[Item]],super1[Bairro],mercado3)+SUMIFS(supercb[Qtde],supercb[Item],tab_alimentos[[#This Row],[Item]],supercb[Bairro],mercado3)</f>
        <v>0</v>
      </c>
      <c r="O341" s="4">
        <f>SUMIFS(super1[Qtde],super1[Item],tab_alimentos[[#This Row],[Item]],super1[Bairro],mercado4)+SUMIFS(supercb[Qtde],supercb[Item],tab_alimentos[[#This Row],[Item]],supercb[Bairro],mercado4)</f>
        <v>0</v>
      </c>
      <c r="P341" s="4">
        <f>SUMIFS(super1[Qtde],super1[Item],tab_alimentos[[#This Row],[Item]],super1[Bairro],mercado5)+SUMIFS(supercb[Qtde],supercb[Item],tab_alimentos[[#This Row],[Item]],supercb[Bairro],mercado5)</f>
        <v>0</v>
      </c>
      <c r="Q341" s="4">
        <f>SUMIFS(super1[Qtde],super1[Item],tab_alimentos[[#This Row],[Item]],super1[Bairro],mercado6)+SUMIFS(supercb[Qtde],supercb[Item],tab_alimentos[[#This Row],[Item]],supercb[Bairro],mercado6)</f>
        <v>0</v>
      </c>
      <c r="R341" s="4">
        <f>SUMIFS(super1[Qtde],super1[Item],tab_alimentos[[#This Row],[Item]],super1[Bairro],mercado7)+SUMIFS(supercb[Qtde],supercb[Item],tab_alimentos[[#This Row],[Item]],supercb[Bairro],mercado7)</f>
        <v>0</v>
      </c>
      <c r="S341" s="4">
        <f>SUMIFS(super1[Qtde],super1[Item],tab_alimentos[[#This Row],[Item]],super1[Bairro],mercado8)+SUMIFS(supercb[Qtde],supercb[Item],tab_alimentos[[#This Row],[Item]],supercb[Bairro],mercado8)</f>
        <v>0</v>
      </c>
      <c r="T341" s="4">
        <f>SUMIFS(super1[Qtde],super1[Item],tab_alimentos[[#This Row],[Item]],super1[Bairro],mercado9)+SUMIFS(supercb[Qtde],supercb[Item],tab_alimentos[[#This Row],[Item]],supercb[Bairro],mercado9)</f>
        <v>0</v>
      </c>
      <c r="U341" s="4">
        <f>SUMIFS(super1[Qtde],super1[Item],tab_alimentos[[#This Row],[Item]],super1[Bairro],mercado10)+SUMIFS(supercb[Qtde],supercb[Item],tab_alimentos[[#This Row],[Item]],supercb[Bairro],mercado10)</f>
        <v>0</v>
      </c>
      <c r="V341" s="4">
        <f>SUMIFS(super1[Qtde],super1[Item],tab_alimentos[[#This Row],[Item]],super1[Bairro],mercado11)+SUMIFS(supercb[Qtde],supercb[Item],tab_alimentos[[#This Row],[Item]],supercb[Bairro],mercado11)</f>
        <v>0</v>
      </c>
      <c r="W341" s="4">
        <f>SUMIFS(super1[Qtde],super1[Item],tab_alimentos[[#This Row],[Item]],super1[Bairro],mercado12)+SUMIFS(supercb[Qtde],supercb[Item],tab_alimentos[[#This Row],[Item]],supercb[Bairro],mercado12)</f>
        <v>0</v>
      </c>
      <c r="X341" s="4">
        <f>SUMIFS(super1[Qtde],super1[Item],tab_alimentos[[#This Row],[Item]],super1[Bairro],mercado13)+SUMIFS(supercb[Qtde],supercb[Item],tab_alimentos[[#This Row],[Item]],supercb[Bairro],mercado13)</f>
        <v>0</v>
      </c>
      <c r="Y341" s="4">
        <f>SUMIFS(super1[Qtde],super1[Item],tab_alimentos[[#This Row],[Item]],super1[Bairro],mercado14)+SUMIFS(supercb[Qtde],supercb[Item],tab_alimentos[[#This Row],[Item]],supercb[Bairro],mercado14)</f>
        <v>0</v>
      </c>
      <c r="Z341" s="4">
        <f>SUMIFS(super1[Qtde],super1[Item],tab_alimentos[[#This Row],[Item]],super1[Bairro],mercado15)+SUMIFS(supercb[Qtde],supercb[Item],tab_alimentos[[#This Row],[Item]],supercb[Bairro],mercado15)</f>
        <v>0</v>
      </c>
      <c r="AA341" s="4">
        <f>SUMIFS(super1[Qtde],super1[Item],tab_alimentos[[#This Row],[Item]],super1[Bairro],mercado16)+SUMIFS(supercb[Qtde],supercb[Item],tab_alimentos[[#This Row],[Item]],supercb[Bairro],mercado16)</f>
        <v>0</v>
      </c>
      <c r="AB341" s="4">
        <f>SUMIFS(super1[Qtde],super1[Item],tab_alimentos[[#This Row],[Item]],super1[Bairro],mercado17)+SUMIFS(supercb[Qtde],supercb[Item],tab_alimentos[[#This Row],[Item]],supercb[Bairro],mercado17)</f>
        <v>0</v>
      </c>
      <c r="AC341" s="4">
        <f>SUMIFS(super1[Qtde],super1[Item],tab_alimentos[[#This Row],[Item]],super1[Bairro],mercado18)+SUMIFS(supercb[Qtde],supercb[Item],tab_alimentos[[#This Row],[Item]],supercb[Bairro],mercado18)</f>
        <v>0</v>
      </c>
      <c r="AD341" s="4">
        <f>SUMIFS(super1[Qtde],super1[Item],tab_alimentos[[#This Row],[Item]],super1[Bairro],extras)+SUMIFS(supercb[Qtde],supercb[Item],tab_alimentos[[#This Row],[Item]],supercb[Bairro],extras)</f>
        <v>0</v>
      </c>
      <c r="AE341" s="4">
        <f t="shared" si="94"/>
        <v>0</v>
      </c>
      <c r="AF341" s="4">
        <f t="shared" si="95"/>
        <v>0</v>
      </c>
      <c r="AG341" s="6">
        <f t="shared" si="96"/>
        <v>0</v>
      </c>
    </row>
    <row r="342" spans="9:33" x14ac:dyDescent="0.25">
      <c r="I342" s="19" t="str">
        <f>alimentos[[#This Row],[Item]]</f>
        <v>Molho de Tomate (400g)</v>
      </c>
      <c r="J342" s="4">
        <f>IFERROR(alimentos[[#This Row],[kg/embalagem]],0)</f>
        <v>0.4</v>
      </c>
      <c r="K342" s="4">
        <f>IFERROR(alimentos[[#This Row],[Preço]],0)</f>
        <v>16.989999999999998</v>
      </c>
      <c r="L342" s="4">
        <f>SUMIFS(super1[Qtde],super1[Item],tab_alimentos[[#This Row],[Item]],super1[Bairro],mercado1)+SUMIFS(supercb[Qtde],supercb[Item],tab_alimentos[[#This Row],[Item]],supercb[Bairro],mercado1)</f>
        <v>0</v>
      </c>
      <c r="M342" s="4">
        <f>SUMIFS(super1[Qtde],super1[Item],tab_alimentos[[#This Row],[Item]],super1[Bairro],mercado2)+SUMIFS(supercb[Qtde],supercb[Item],tab_alimentos[[#This Row],[Item]],supercb[Bairro],mercado2)</f>
        <v>0</v>
      </c>
      <c r="N342" s="4">
        <f>SUMIFS(super1[Qtde],super1[Item],tab_alimentos[[#This Row],[Item]],super1[Bairro],mercado3)+SUMIFS(supercb[Qtde],supercb[Item],tab_alimentos[[#This Row],[Item]],supercb[Bairro],mercado3)</f>
        <v>0</v>
      </c>
      <c r="O342" s="4">
        <f>SUMIFS(super1[Qtde],super1[Item],tab_alimentos[[#This Row],[Item]],super1[Bairro],mercado4)+SUMIFS(supercb[Qtde],supercb[Item],tab_alimentos[[#This Row],[Item]],supercb[Bairro],mercado4)</f>
        <v>0</v>
      </c>
      <c r="P342" s="4">
        <f>SUMIFS(super1[Qtde],super1[Item],tab_alimentos[[#This Row],[Item]],super1[Bairro],mercado5)+SUMIFS(supercb[Qtde],supercb[Item],tab_alimentos[[#This Row],[Item]],supercb[Bairro],mercado5)</f>
        <v>0</v>
      </c>
      <c r="Q342" s="4">
        <f>SUMIFS(super1[Qtde],super1[Item],tab_alimentos[[#This Row],[Item]],super1[Bairro],mercado6)+SUMIFS(supercb[Qtde],supercb[Item],tab_alimentos[[#This Row],[Item]],supercb[Bairro],mercado6)</f>
        <v>0</v>
      </c>
      <c r="R342" s="4">
        <f>SUMIFS(super1[Qtde],super1[Item],tab_alimentos[[#This Row],[Item]],super1[Bairro],mercado7)+SUMIFS(supercb[Qtde],supercb[Item],tab_alimentos[[#This Row],[Item]],supercb[Bairro],mercado7)</f>
        <v>0</v>
      </c>
      <c r="S342" s="4">
        <f>SUMIFS(super1[Qtde],super1[Item],tab_alimentos[[#This Row],[Item]],super1[Bairro],mercado8)+SUMIFS(supercb[Qtde],supercb[Item],tab_alimentos[[#This Row],[Item]],supercb[Bairro],mercado8)</f>
        <v>0</v>
      </c>
      <c r="T342" s="4">
        <f>SUMIFS(super1[Qtde],super1[Item],tab_alimentos[[#This Row],[Item]],super1[Bairro],mercado9)+SUMIFS(supercb[Qtde],supercb[Item],tab_alimentos[[#This Row],[Item]],supercb[Bairro],mercado9)</f>
        <v>0</v>
      </c>
      <c r="U342" s="4">
        <f>SUMIFS(super1[Qtde],super1[Item],tab_alimentos[[#This Row],[Item]],super1[Bairro],mercado10)+SUMIFS(supercb[Qtde],supercb[Item],tab_alimentos[[#This Row],[Item]],supercb[Bairro],mercado10)</f>
        <v>0</v>
      </c>
      <c r="V342" s="4">
        <f>SUMIFS(super1[Qtde],super1[Item],tab_alimentos[[#This Row],[Item]],super1[Bairro],mercado11)+SUMIFS(supercb[Qtde],supercb[Item],tab_alimentos[[#This Row],[Item]],supercb[Bairro],mercado11)</f>
        <v>0</v>
      </c>
      <c r="W342" s="4">
        <f>SUMIFS(super1[Qtde],super1[Item],tab_alimentos[[#This Row],[Item]],super1[Bairro],mercado12)+SUMIFS(supercb[Qtde],supercb[Item],tab_alimentos[[#This Row],[Item]],supercb[Bairro],mercado12)</f>
        <v>0</v>
      </c>
      <c r="X342" s="4">
        <f>SUMIFS(super1[Qtde],super1[Item],tab_alimentos[[#This Row],[Item]],super1[Bairro],mercado13)+SUMIFS(supercb[Qtde],supercb[Item],tab_alimentos[[#This Row],[Item]],supercb[Bairro],mercado13)</f>
        <v>0</v>
      </c>
      <c r="Y342" s="4">
        <f>SUMIFS(super1[Qtde],super1[Item],tab_alimentos[[#This Row],[Item]],super1[Bairro],mercado14)+SUMIFS(supercb[Qtde],supercb[Item],tab_alimentos[[#This Row],[Item]],supercb[Bairro],mercado14)</f>
        <v>0</v>
      </c>
      <c r="Z342" s="4">
        <f>SUMIFS(super1[Qtde],super1[Item],tab_alimentos[[#This Row],[Item]],super1[Bairro],mercado15)+SUMIFS(supercb[Qtde],supercb[Item],tab_alimentos[[#This Row],[Item]],supercb[Bairro],mercado15)</f>
        <v>0</v>
      </c>
      <c r="AA342" s="4">
        <f>SUMIFS(super1[Qtde],super1[Item],tab_alimentos[[#This Row],[Item]],super1[Bairro],mercado16)+SUMIFS(supercb[Qtde],supercb[Item],tab_alimentos[[#This Row],[Item]],supercb[Bairro],mercado16)</f>
        <v>0</v>
      </c>
      <c r="AB342" s="4">
        <f>SUMIFS(super1[Qtde],super1[Item],tab_alimentos[[#This Row],[Item]],super1[Bairro],mercado17)+SUMIFS(supercb[Qtde],supercb[Item],tab_alimentos[[#This Row],[Item]],supercb[Bairro],mercado17)</f>
        <v>0</v>
      </c>
      <c r="AC342" s="4">
        <f>SUMIFS(super1[Qtde],super1[Item],tab_alimentos[[#This Row],[Item]],super1[Bairro],mercado18)+SUMIFS(supercb[Qtde],supercb[Item],tab_alimentos[[#This Row],[Item]],supercb[Bairro],mercado18)</f>
        <v>0</v>
      </c>
      <c r="AD342" s="4">
        <f>SUMIFS(super1[Qtde],super1[Item],tab_alimentos[[#This Row],[Item]],super1[Bairro],extras)+SUMIFS(supercb[Qtde],supercb[Item],tab_alimentos[[#This Row],[Item]],supercb[Bairro],extras)</f>
        <v>0</v>
      </c>
      <c r="AE342" s="4">
        <f t="shared" si="94"/>
        <v>0</v>
      </c>
      <c r="AF342" s="4">
        <f t="shared" si="95"/>
        <v>0</v>
      </c>
      <c r="AG342" s="6">
        <f t="shared" si="96"/>
        <v>0</v>
      </c>
    </row>
    <row r="343" spans="9:33" x14ac:dyDescent="0.25">
      <c r="I343" s="19" t="str">
        <f>alimentos[[#This Row],[Item]]</f>
        <v>Molho de Tomate (440g)</v>
      </c>
      <c r="J343" s="4">
        <f>IFERROR(alimentos[[#This Row],[kg/embalagem]],0)</f>
        <v>0.44</v>
      </c>
      <c r="K343" s="4">
        <f>IFERROR(alimentos[[#This Row],[Preço]],0)</f>
        <v>11.79</v>
      </c>
      <c r="L343" s="4">
        <f>SUMIFS(super1[Qtde],super1[Item],tab_alimentos[[#This Row],[Item]],super1[Bairro],mercado1)+SUMIFS(supercb[Qtde],supercb[Item],tab_alimentos[[#This Row],[Item]],supercb[Bairro],mercado1)</f>
        <v>0</v>
      </c>
      <c r="M343" s="4">
        <f>SUMIFS(super1[Qtde],super1[Item],tab_alimentos[[#This Row],[Item]],super1[Bairro],mercado2)+SUMIFS(supercb[Qtde],supercb[Item],tab_alimentos[[#This Row],[Item]],supercb[Bairro],mercado2)</f>
        <v>0</v>
      </c>
      <c r="N343" s="4">
        <f>SUMIFS(super1[Qtde],super1[Item],tab_alimentos[[#This Row],[Item]],super1[Bairro],mercado3)+SUMIFS(supercb[Qtde],supercb[Item],tab_alimentos[[#This Row],[Item]],supercb[Bairro],mercado3)</f>
        <v>0</v>
      </c>
      <c r="O343" s="4">
        <f>SUMIFS(super1[Qtde],super1[Item],tab_alimentos[[#This Row],[Item]],super1[Bairro],mercado4)+SUMIFS(supercb[Qtde],supercb[Item],tab_alimentos[[#This Row],[Item]],supercb[Bairro],mercado4)</f>
        <v>0</v>
      </c>
      <c r="P343" s="4">
        <f>SUMIFS(super1[Qtde],super1[Item],tab_alimentos[[#This Row],[Item]],super1[Bairro],mercado5)+SUMIFS(supercb[Qtde],supercb[Item],tab_alimentos[[#This Row],[Item]],supercb[Bairro],mercado5)</f>
        <v>0</v>
      </c>
      <c r="Q343" s="4">
        <f>SUMIFS(super1[Qtde],super1[Item],tab_alimentos[[#This Row],[Item]],super1[Bairro],mercado6)+SUMIFS(supercb[Qtde],supercb[Item],tab_alimentos[[#This Row],[Item]],supercb[Bairro],mercado6)</f>
        <v>0</v>
      </c>
      <c r="R343" s="4">
        <f>SUMIFS(super1[Qtde],super1[Item],tab_alimentos[[#This Row],[Item]],super1[Bairro],mercado7)+SUMIFS(supercb[Qtde],supercb[Item],tab_alimentos[[#This Row],[Item]],supercb[Bairro],mercado7)</f>
        <v>0</v>
      </c>
      <c r="S343" s="4">
        <f>SUMIFS(super1[Qtde],super1[Item],tab_alimentos[[#This Row],[Item]],super1[Bairro],mercado8)+SUMIFS(supercb[Qtde],supercb[Item],tab_alimentos[[#This Row],[Item]],supercb[Bairro],mercado8)</f>
        <v>0</v>
      </c>
      <c r="T343" s="4">
        <f>SUMIFS(super1[Qtde],super1[Item],tab_alimentos[[#This Row],[Item]],super1[Bairro],mercado9)+SUMIFS(supercb[Qtde],supercb[Item],tab_alimentos[[#This Row],[Item]],supercb[Bairro],mercado9)</f>
        <v>0</v>
      </c>
      <c r="U343" s="4">
        <f>SUMIFS(super1[Qtde],super1[Item],tab_alimentos[[#This Row],[Item]],super1[Bairro],mercado10)+SUMIFS(supercb[Qtde],supercb[Item],tab_alimentos[[#This Row],[Item]],supercb[Bairro],mercado10)</f>
        <v>0</v>
      </c>
      <c r="V343" s="4">
        <f>SUMIFS(super1[Qtde],super1[Item],tab_alimentos[[#This Row],[Item]],super1[Bairro],mercado11)+SUMIFS(supercb[Qtde],supercb[Item],tab_alimentos[[#This Row],[Item]],supercb[Bairro],mercado11)</f>
        <v>0</v>
      </c>
      <c r="W343" s="4">
        <f>SUMIFS(super1[Qtde],super1[Item],tab_alimentos[[#This Row],[Item]],super1[Bairro],mercado12)+SUMIFS(supercb[Qtde],supercb[Item],tab_alimentos[[#This Row],[Item]],supercb[Bairro],mercado12)</f>
        <v>0</v>
      </c>
      <c r="X343" s="4">
        <f>SUMIFS(super1[Qtde],super1[Item],tab_alimentos[[#This Row],[Item]],super1[Bairro],mercado13)+SUMIFS(supercb[Qtde],supercb[Item],tab_alimentos[[#This Row],[Item]],supercb[Bairro],mercado13)</f>
        <v>0</v>
      </c>
      <c r="Y343" s="4">
        <f>SUMIFS(super1[Qtde],super1[Item],tab_alimentos[[#This Row],[Item]],super1[Bairro],mercado14)+SUMIFS(supercb[Qtde],supercb[Item],tab_alimentos[[#This Row],[Item]],supercb[Bairro],mercado14)</f>
        <v>0</v>
      </c>
      <c r="Z343" s="4">
        <f>SUMIFS(super1[Qtde],super1[Item],tab_alimentos[[#This Row],[Item]],super1[Bairro],mercado15)+SUMIFS(supercb[Qtde],supercb[Item],tab_alimentos[[#This Row],[Item]],supercb[Bairro],mercado15)</f>
        <v>0</v>
      </c>
      <c r="AA343" s="4">
        <f>SUMIFS(super1[Qtde],super1[Item],tab_alimentos[[#This Row],[Item]],super1[Bairro],mercado16)+SUMIFS(supercb[Qtde],supercb[Item],tab_alimentos[[#This Row],[Item]],supercb[Bairro],mercado16)</f>
        <v>0</v>
      </c>
      <c r="AB343" s="4">
        <f>SUMIFS(super1[Qtde],super1[Item],tab_alimentos[[#This Row],[Item]],super1[Bairro],mercado17)+SUMIFS(supercb[Qtde],supercb[Item],tab_alimentos[[#This Row],[Item]],supercb[Bairro],mercado17)</f>
        <v>0</v>
      </c>
      <c r="AC343" s="4">
        <f>SUMIFS(super1[Qtde],super1[Item],tab_alimentos[[#This Row],[Item]],super1[Bairro],mercado18)+SUMIFS(supercb[Qtde],supercb[Item],tab_alimentos[[#This Row],[Item]],supercb[Bairro],mercado18)</f>
        <v>0</v>
      </c>
      <c r="AD343" s="4">
        <f>SUMIFS(super1[Qtde],super1[Item],tab_alimentos[[#This Row],[Item]],super1[Bairro],extras)+SUMIFS(supercb[Qtde],supercb[Item],tab_alimentos[[#This Row],[Item]],supercb[Bairro],extras)</f>
        <v>0</v>
      </c>
      <c r="AE343" s="4">
        <f t="shared" si="94"/>
        <v>0</v>
      </c>
      <c r="AF343" s="4">
        <f t="shared" si="95"/>
        <v>0</v>
      </c>
      <c r="AG343" s="6">
        <f t="shared" si="96"/>
        <v>0</v>
      </c>
    </row>
    <row r="344" spans="9:33" x14ac:dyDescent="0.25">
      <c r="I344" s="19" t="str">
        <f>alimentos[[#This Row],[Item]]</f>
        <v>Molho de Tomate (520g)</v>
      </c>
      <c r="J344" s="4">
        <f>IFERROR(alimentos[[#This Row],[kg/embalagem]],0)</f>
        <v>0.52</v>
      </c>
      <c r="K344" s="4">
        <f>IFERROR(alimentos[[#This Row],[Preço]],0)</f>
        <v>4.55</v>
      </c>
      <c r="L344" s="4">
        <f>SUMIFS(super1[Qtde],super1[Item],tab_alimentos[[#This Row],[Item]],super1[Bairro],mercado1)+SUMIFS(supercb[Qtde],supercb[Item],tab_alimentos[[#This Row],[Item]],supercb[Bairro],mercado1)</f>
        <v>0</v>
      </c>
      <c r="M344" s="4">
        <f>SUMIFS(super1[Qtde],super1[Item],tab_alimentos[[#This Row],[Item]],super1[Bairro],mercado2)+SUMIFS(supercb[Qtde],supercb[Item],tab_alimentos[[#This Row],[Item]],supercb[Bairro],mercado2)</f>
        <v>0</v>
      </c>
      <c r="N344" s="4">
        <f>SUMIFS(super1[Qtde],super1[Item],tab_alimentos[[#This Row],[Item]],super1[Bairro],mercado3)+SUMIFS(supercb[Qtde],supercb[Item],tab_alimentos[[#This Row],[Item]],supercb[Bairro],mercado3)</f>
        <v>0</v>
      </c>
      <c r="O344" s="4">
        <f>SUMIFS(super1[Qtde],super1[Item],tab_alimentos[[#This Row],[Item]],super1[Bairro],mercado4)+SUMIFS(supercb[Qtde],supercb[Item],tab_alimentos[[#This Row],[Item]],supercb[Bairro],mercado4)</f>
        <v>0</v>
      </c>
      <c r="P344" s="4">
        <f>SUMIFS(super1[Qtde],super1[Item],tab_alimentos[[#This Row],[Item]],super1[Bairro],mercado5)+SUMIFS(supercb[Qtde],supercb[Item],tab_alimentos[[#This Row],[Item]],supercb[Bairro],mercado5)</f>
        <v>0</v>
      </c>
      <c r="Q344" s="4">
        <f>SUMIFS(super1[Qtde],super1[Item],tab_alimentos[[#This Row],[Item]],super1[Bairro],mercado6)+SUMIFS(supercb[Qtde],supercb[Item],tab_alimentos[[#This Row],[Item]],supercb[Bairro],mercado6)</f>
        <v>0</v>
      </c>
      <c r="R344" s="4">
        <f>SUMIFS(super1[Qtde],super1[Item],tab_alimentos[[#This Row],[Item]],super1[Bairro],mercado7)+SUMIFS(supercb[Qtde],supercb[Item],tab_alimentos[[#This Row],[Item]],supercb[Bairro],mercado7)</f>
        <v>0</v>
      </c>
      <c r="S344" s="4">
        <f>SUMIFS(super1[Qtde],super1[Item],tab_alimentos[[#This Row],[Item]],super1[Bairro],mercado8)+SUMIFS(supercb[Qtde],supercb[Item],tab_alimentos[[#This Row],[Item]],supercb[Bairro],mercado8)</f>
        <v>0</v>
      </c>
      <c r="T344" s="4">
        <f>SUMIFS(super1[Qtde],super1[Item],tab_alimentos[[#This Row],[Item]],super1[Bairro],mercado9)+SUMIFS(supercb[Qtde],supercb[Item],tab_alimentos[[#This Row],[Item]],supercb[Bairro],mercado9)</f>
        <v>0</v>
      </c>
      <c r="U344" s="4">
        <f>SUMIFS(super1[Qtde],super1[Item],tab_alimentos[[#This Row],[Item]],super1[Bairro],mercado10)+SUMIFS(supercb[Qtde],supercb[Item],tab_alimentos[[#This Row],[Item]],supercb[Bairro],mercado10)</f>
        <v>0</v>
      </c>
      <c r="V344" s="4">
        <f>SUMIFS(super1[Qtde],super1[Item],tab_alimentos[[#This Row],[Item]],super1[Bairro],mercado11)+SUMIFS(supercb[Qtde],supercb[Item],tab_alimentos[[#This Row],[Item]],supercb[Bairro],mercado11)</f>
        <v>0</v>
      </c>
      <c r="W344" s="4">
        <f>SUMIFS(super1[Qtde],super1[Item],tab_alimentos[[#This Row],[Item]],super1[Bairro],mercado12)+SUMIFS(supercb[Qtde],supercb[Item],tab_alimentos[[#This Row],[Item]],supercb[Bairro],mercado12)</f>
        <v>0</v>
      </c>
      <c r="X344" s="4">
        <f>SUMIFS(super1[Qtde],super1[Item],tab_alimentos[[#This Row],[Item]],super1[Bairro],mercado13)+SUMIFS(supercb[Qtde],supercb[Item],tab_alimentos[[#This Row],[Item]],supercb[Bairro],mercado13)</f>
        <v>0</v>
      </c>
      <c r="Y344" s="4">
        <f>SUMIFS(super1[Qtde],super1[Item],tab_alimentos[[#This Row],[Item]],super1[Bairro],mercado14)+SUMIFS(supercb[Qtde],supercb[Item],tab_alimentos[[#This Row],[Item]],supercb[Bairro],mercado14)</f>
        <v>0</v>
      </c>
      <c r="Z344" s="4">
        <f>SUMIFS(super1[Qtde],super1[Item],tab_alimentos[[#This Row],[Item]],super1[Bairro],mercado15)+SUMIFS(supercb[Qtde],supercb[Item],tab_alimentos[[#This Row],[Item]],supercb[Bairro],mercado15)</f>
        <v>0</v>
      </c>
      <c r="AA344" s="4">
        <f>SUMIFS(super1[Qtde],super1[Item],tab_alimentos[[#This Row],[Item]],super1[Bairro],mercado16)+SUMIFS(supercb[Qtde],supercb[Item],tab_alimentos[[#This Row],[Item]],supercb[Bairro],mercado16)</f>
        <v>0</v>
      </c>
      <c r="AB344" s="4">
        <f>SUMIFS(super1[Qtde],super1[Item],tab_alimentos[[#This Row],[Item]],super1[Bairro],mercado17)+SUMIFS(supercb[Qtde],supercb[Item],tab_alimentos[[#This Row],[Item]],supercb[Bairro],mercado17)</f>
        <v>0</v>
      </c>
      <c r="AC344" s="4">
        <f>SUMIFS(super1[Qtde],super1[Item],tab_alimentos[[#This Row],[Item]],super1[Bairro],mercado18)+SUMIFS(supercb[Qtde],supercb[Item],tab_alimentos[[#This Row],[Item]],supercb[Bairro],mercado18)</f>
        <v>0</v>
      </c>
      <c r="AD344" s="4">
        <f>SUMIFS(super1[Qtde],super1[Item],tab_alimentos[[#This Row],[Item]],super1[Bairro],extras)+SUMIFS(supercb[Qtde],supercb[Item],tab_alimentos[[#This Row],[Item]],supercb[Bairro],extras)</f>
        <v>0</v>
      </c>
      <c r="AE344" s="4">
        <f t="shared" si="94"/>
        <v>0</v>
      </c>
      <c r="AF344" s="4">
        <f t="shared" si="95"/>
        <v>0</v>
      </c>
      <c r="AG344" s="6">
        <f t="shared" si="96"/>
        <v>0</v>
      </c>
    </row>
    <row r="345" spans="9:33" x14ac:dyDescent="0.25">
      <c r="I345" s="19" t="str">
        <f>alimentos[[#This Row],[Item]]</f>
        <v>Molho de Tomate (680g)</v>
      </c>
      <c r="J345" s="4">
        <f>IFERROR(alimentos[[#This Row],[kg/embalagem]],0)</f>
        <v>0.68</v>
      </c>
      <c r="K345" s="4">
        <f>IFERROR(alimentos[[#This Row],[Preço]],0)</f>
        <v>10.99</v>
      </c>
      <c r="L345" s="4">
        <f>SUMIFS(super1[Qtde],super1[Item],tab_alimentos[[#This Row],[Item]],super1[Bairro],mercado1)+SUMIFS(supercb[Qtde],supercb[Item],tab_alimentos[[#This Row],[Item]],supercb[Bairro],mercado1)</f>
        <v>0</v>
      </c>
      <c r="M345" s="4">
        <f>SUMIFS(super1[Qtde],super1[Item],tab_alimentos[[#This Row],[Item]],super1[Bairro],mercado2)+SUMIFS(supercb[Qtde],supercb[Item],tab_alimentos[[#This Row],[Item]],supercb[Bairro],mercado2)</f>
        <v>0</v>
      </c>
      <c r="N345" s="4">
        <f>SUMIFS(super1[Qtde],super1[Item],tab_alimentos[[#This Row],[Item]],super1[Bairro],mercado3)+SUMIFS(supercb[Qtde],supercb[Item],tab_alimentos[[#This Row],[Item]],supercb[Bairro],mercado3)</f>
        <v>0</v>
      </c>
      <c r="O345" s="4">
        <f>SUMIFS(super1[Qtde],super1[Item],tab_alimentos[[#This Row],[Item]],super1[Bairro],mercado4)+SUMIFS(supercb[Qtde],supercb[Item],tab_alimentos[[#This Row],[Item]],supercb[Bairro],mercado4)</f>
        <v>0</v>
      </c>
      <c r="P345" s="4">
        <f>SUMIFS(super1[Qtde],super1[Item],tab_alimentos[[#This Row],[Item]],super1[Bairro],mercado5)+SUMIFS(supercb[Qtde],supercb[Item],tab_alimentos[[#This Row],[Item]],supercb[Bairro],mercado5)</f>
        <v>0</v>
      </c>
      <c r="Q345" s="4">
        <f>SUMIFS(super1[Qtde],super1[Item],tab_alimentos[[#This Row],[Item]],super1[Bairro],mercado6)+SUMIFS(supercb[Qtde],supercb[Item],tab_alimentos[[#This Row],[Item]],supercb[Bairro],mercado6)</f>
        <v>0</v>
      </c>
      <c r="R345" s="4">
        <f>SUMIFS(super1[Qtde],super1[Item],tab_alimentos[[#This Row],[Item]],super1[Bairro],mercado7)+SUMIFS(supercb[Qtde],supercb[Item],tab_alimentos[[#This Row],[Item]],supercb[Bairro],mercado7)</f>
        <v>0</v>
      </c>
      <c r="S345" s="4">
        <f>SUMIFS(super1[Qtde],super1[Item],tab_alimentos[[#This Row],[Item]],super1[Bairro],mercado8)+SUMIFS(supercb[Qtde],supercb[Item],tab_alimentos[[#This Row],[Item]],supercb[Bairro],mercado8)</f>
        <v>0</v>
      </c>
      <c r="T345" s="4">
        <f>SUMIFS(super1[Qtde],super1[Item],tab_alimentos[[#This Row],[Item]],super1[Bairro],mercado9)+SUMIFS(supercb[Qtde],supercb[Item],tab_alimentos[[#This Row],[Item]],supercb[Bairro],mercado9)</f>
        <v>0</v>
      </c>
      <c r="U345" s="4">
        <f>SUMIFS(super1[Qtde],super1[Item],tab_alimentos[[#This Row],[Item]],super1[Bairro],mercado10)+SUMIFS(supercb[Qtde],supercb[Item],tab_alimentos[[#This Row],[Item]],supercb[Bairro],mercado10)</f>
        <v>0</v>
      </c>
      <c r="V345" s="4">
        <f>SUMIFS(super1[Qtde],super1[Item],tab_alimentos[[#This Row],[Item]],super1[Bairro],mercado11)+SUMIFS(supercb[Qtde],supercb[Item],tab_alimentos[[#This Row],[Item]],supercb[Bairro],mercado11)</f>
        <v>0</v>
      </c>
      <c r="W345" s="4">
        <f>SUMIFS(super1[Qtde],super1[Item],tab_alimentos[[#This Row],[Item]],super1[Bairro],mercado12)+SUMIFS(supercb[Qtde],supercb[Item],tab_alimentos[[#This Row],[Item]],supercb[Bairro],mercado12)</f>
        <v>0</v>
      </c>
      <c r="X345" s="4">
        <f>SUMIFS(super1[Qtde],super1[Item],tab_alimentos[[#This Row],[Item]],super1[Bairro],mercado13)+SUMIFS(supercb[Qtde],supercb[Item],tab_alimentos[[#This Row],[Item]],supercb[Bairro],mercado13)</f>
        <v>0</v>
      </c>
      <c r="Y345" s="4">
        <f>SUMIFS(super1[Qtde],super1[Item],tab_alimentos[[#This Row],[Item]],super1[Bairro],mercado14)+SUMIFS(supercb[Qtde],supercb[Item],tab_alimentos[[#This Row],[Item]],supercb[Bairro],mercado14)</f>
        <v>0</v>
      </c>
      <c r="Z345" s="4">
        <f>SUMIFS(super1[Qtde],super1[Item],tab_alimentos[[#This Row],[Item]],super1[Bairro],mercado15)+SUMIFS(supercb[Qtde],supercb[Item],tab_alimentos[[#This Row],[Item]],supercb[Bairro],mercado15)</f>
        <v>0</v>
      </c>
      <c r="AA345" s="4">
        <f>SUMIFS(super1[Qtde],super1[Item],tab_alimentos[[#This Row],[Item]],super1[Bairro],mercado16)+SUMIFS(supercb[Qtde],supercb[Item],tab_alimentos[[#This Row],[Item]],supercb[Bairro],mercado16)</f>
        <v>0</v>
      </c>
      <c r="AB345" s="4">
        <f>SUMIFS(super1[Qtde],super1[Item],tab_alimentos[[#This Row],[Item]],super1[Bairro],mercado17)+SUMIFS(supercb[Qtde],supercb[Item],tab_alimentos[[#This Row],[Item]],supercb[Bairro],mercado17)</f>
        <v>0</v>
      </c>
      <c r="AC345" s="4">
        <f>SUMIFS(super1[Qtde],super1[Item],tab_alimentos[[#This Row],[Item]],super1[Bairro],mercado18)+SUMIFS(supercb[Qtde],supercb[Item],tab_alimentos[[#This Row],[Item]],supercb[Bairro],mercado18)</f>
        <v>0</v>
      </c>
      <c r="AD345" s="4">
        <f>SUMIFS(super1[Qtde],super1[Item],tab_alimentos[[#This Row],[Item]],super1[Bairro],extras)+SUMIFS(supercb[Qtde],supercb[Item],tab_alimentos[[#This Row],[Item]],supercb[Bairro],extras)</f>
        <v>0</v>
      </c>
      <c r="AE345" s="4">
        <f t="shared" si="94"/>
        <v>0</v>
      </c>
      <c r="AF345" s="4">
        <f t="shared" si="95"/>
        <v>0</v>
      </c>
      <c r="AG345" s="6">
        <f t="shared" si="96"/>
        <v>0</v>
      </c>
    </row>
    <row r="346" spans="9:33" x14ac:dyDescent="0.25">
      <c r="I346" s="19" t="str">
        <f>alimentos[[#This Row],[Item]]</f>
        <v>Molho Yakisoba (300g)</v>
      </c>
      <c r="J346" s="4">
        <f>IFERROR(alimentos[[#This Row],[kg/embalagem]],0)</f>
        <v>0.3</v>
      </c>
      <c r="K346" s="4">
        <f>IFERROR(alimentos[[#This Row],[Preço]],0)</f>
        <v>4.47</v>
      </c>
      <c r="L346" s="4">
        <f>SUMIFS(super1[Qtde],super1[Item],tab_alimentos[[#This Row],[Item]],super1[Bairro],mercado1)+SUMIFS(supercb[Qtde],supercb[Item],tab_alimentos[[#This Row],[Item]],supercb[Bairro],mercado1)</f>
        <v>0</v>
      </c>
      <c r="M346" s="4">
        <f>SUMIFS(super1[Qtde],super1[Item],tab_alimentos[[#This Row],[Item]],super1[Bairro],mercado2)+SUMIFS(supercb[Qtde],supercb[Item],tab_alimentos[[#This Row],[Item]],supercb[Bairro],mercado2)</f>
        <v>0</v>
      </c>
      <c r="N346" s="4">
        <f>SUMIFS(super1[Qtde],super1[Item],tab_alimentos[[#This Row],[Item]],super1[Bairro],mercado3)+SUMIFS(supercb[Qtde],supercb[Item],tab_alimentos[[#This Row],[Item]],supercb[Bairro],mercado3)</f>
        <v>0</v>
      </c>
      <c r="O346" s="4">
        <f>SUMIFS(super1[Qtde],super1[Item],tab_alimentos[[#This Row],[Item]],super1[Bairro],mercado4)+SUMIFS(supercb[Qtde],supercb[Item],tab_alimentos[[#This Row],[Item]],supercb[Bairro],mercado4)</f>
        <v>0</v>
      </c>
      <c r="P346" s="4">
        <f>SUMIFS(super1[Qtde],super1[Item],tab_alimentos[[#This Row],[Item]],super1[Bairro],mercado5)+SUMIFS(supercb[Qtde],supercb[Item],tab_alimentos[[#This Row],[Item]],supercb[Bairro],mercado5)</f>
        <v>0</v>
      </c>
      <c r="Q346" s="4">
        <f>SUMIFS(super1[Qtde],super1[Item],tab_alimentos[[#This Row],[Item]],super1[Bairro],mercado6)+SUMIFS(supercb[Qtde],supercb[Item],tab_alimentos[[#This Row],[Item]],supercb[Bairro],mercado6)</f>
        <v>0</v>
      </c>
      <c r="R346" s="4">
        <f>SUMIFS(super1[Qtde],super1[Item],tab_alimentos[[#This Row],[Item]],super1[Bairro],mercado7)+SUMIFS(supercb[Qtde],supercb[Item],tab_alimentos[[#This Row],[Item]],supercb[Bairro],mercado7)</f>
        <v>0</v>
      </c>
      <c r="S346" s="4">
        <f>SUMIFS(super1[Qtde],super1[Item],tab_alimentos[[#This Row],[Item]],super1[Bairro],mercado8)+SUMIFS(supercb[Qtde],supercb[Item],tab_alimentos[[#This Row],[Item]],supercb[Bairro],mercado8)</f>
        <v>0</v>
      </c>
      <c r="T346" s="4">
        <f>SUMIFS(super1[Qtde],super1[Item],tab_alimentos[[#This Row],[Item]],super1[Bairro],mercado9)+SUMIFS(supercb[Qtde],supercb[Item],tab_alimentos[[#This Row],[Item]],supercb[Bairro],mercado9)</f>
        <v>0</v>
      </c>
      <c r="U346" s="4">
        <f>SUMIFS(super1[Qtde],super1[Item],tab_alimentos[[#This Row],[Item]],super1[Bairro],mercado10)+SUMIFS(supercb[Qtde],supercb[Item],tab_alimentos[[#This Row],[Item]],supercb[Bairro],mercado10)</f>
        <v>0</v>
      </c>
      <c r="V346" s="4">
        <f>SUMIFS(super1[Qtde],super1[Item],tab_alimentos[[#This Row],[Item]],super1[Bairro],mercado11)+SUMIFS(supercb[Qtde],supercb[Item],tab_alimentos[[#This Row],[Item]],supercb[Bairro],mercado11)</f>
        <v>0</v>
      </c>
      <c r="W346" s="4">
        <f>SUMIFS(super1[Qtde],super1[Item],tab_alimentos[[#This Row],[Item]],super1[Bairro],mercado12)+SUMIFS(supercb[Qtde],supercb[Item],tab_alimentos[[#This Row],[Item]],supercb[Bairro],mercado12)</f>
        <v>0</v>
      </c>
      <c r="X346" s="4">
        <f>SUMIFS(super1[Qtde],super1[Item],tab_alimentos[[#This Row],[Item]],super1[Bairro],mercado13)+SUMIFS(supercb[Qtde],supercb[Item],tab_alimentos[[#This Row],[Item]],supercb[Bairro],mercado13)</f>
        <v>0</v>
      </c>
      <c r="Y346" s="4">
        <f>SUMIFS(super1[Qtde],super1[Item],tab_alimentos[[#This Row],[Item]],super1[Bairro],mercado14)+SUMIFS(supercb[Qtde],supercb[Item],tab_alimentos[[#This Row],[Item]],supercb[Bairro],mercado14)</f>
        <v>0</v>
      </c>
      <c r="Z346" s="4">
        <f>SUMIFS(super1[Qtde],super1[Item],tab_alimentos[[#This Row],[Item]],super1[Bairro],mercado15)+SUMIFS(supercb[Qtde],supercb[Item],tab_alimentos[[#This Row],[Item]],supercb[Bairro],mercado15)</f>
        <v>0</v>
      </c>
      <c r="AA346" s="4">
        <f>SUMIFS(super1[Qtde],super1[Item],tab_alimentos[[#This Row],[Item]],super1[Bairro],mercado16)+SUMIFS(supercb[Qtde],supercb[Item],tab_alimentos[[#This Row],[Item]],supercb[Bairro],mercado16)</f>
        <v>0</v>
      </c>
      <c r="AB346" s="4">
        <f>SUMIFS(super1[Qtde],super1[Item],tab_alimentos[[#This Row],[Item]],super1[Bairro],mercado17)+SUMIFS(supercb[Qtde],supercb[Item],tab_alimentos[[#This Row],[Item]],supercb[Bairro],mercado17)</f>
        <v>0</v>
      </c>
      <c r="AC346" s="4">
        <f>SUMIFS(super1[Qtde],super1[Item],tab_alimentos[[#This Row],[Item]],super1[Bairro],mercado18)+SUMIFS(supercb[Qtde],supercb[Item],tab_alimentos[[#This Row],[Item]],supercb[Bairro],mercado18)</f>
        <v>0</v>
      </c>
      <c r="AD346" s="4">
        <f>SUMIFS(super1[Qtde],super1[Item],tab_alimentos[[#This Row],[Item]],super1[Bairro],extras)+SUMIFS(supercb[Qtde],supercb[Item],tab_alimentos[[#This Row],[Item]],supercb[Bairro],extras)</f>
        <v>0</v>
      </c>
      <c r="AE346" s="4">
        <f t="shared" si="94"/>
        <v>0</v>
      </c>
      <c r="AF346" s="4">
        <f t="shared" si="95"/>
        <v>0</v>
      </c>
      <c r="AG346" s="6">
        <f t="shared" si="96"/>
        <v>0</v>
      </c>
    </row>
    <row r="347" spans="9:33" x14ac:dyDescent="0.25">
      <c r="I347" s="19" t="str">
        <f>alimentos[[#This Row],[Item]]</f>
        <v>Mostarda (190g)</v>
      </c>
      <c r="J347" s="4">
        <f>IFERROR(alimentos[[#This Row],[kg/embalagem]],0)</f>
        <v>0.19</v>
      </c>
      <c r="K347" s="4">
        <f>IFERROR(alimentos[[#This Row],[Preço]],0)</f>
        <v>3.75</v>
      </c>
      <c r="L347" s="4">
        <f>SUMIFS(super1[Qtde],super1[Item],tab_alimentos[[#This Row],[Item]],super1[Bairro],mercado1)+SUMIFS(supercb[Qtde],supercb[Item],tab_alimentos[[#This Row],[Item]],supercb[Bairro],mercado1)</f>
        <v>0</v>
      </c>
      <c r="M347" s="4">
        <f>SUMIFS(super1[Qtde],super1[Item],tab_alimentos[[#This Row],[Item]],super1[Bairro],mercado2)+SUMIFS(supercb[Qtde],supercb[Item],tab_alimentos[[#This Row],[Item]],supercb[Bairro],mercado2)</f>
        <v>0</v>
      </c>
      <c r="N347" s="4">
        <f>SUMIFS(super1[Qtde],super1[Item],tab_alimentos[[#This Row],[Item]],super1[Bairro],mercado3)+SUMIFS(supercb[Qtde],supercb[Item],tab_alimentos[[#This Row],[Item]],supercb[Bairro],mercado3)</f>
        <v>0</v>
      </c>
      <c r="O347" s="4">
        <f>SUMIFS(super1[Qtde],super1[Item],tab_alimentos[[#This Row],[Item]],super1[Bairro],mercado4)+SUMIFS(supercb[Qtde],supercb[Item],tab_alimentos[[#This Row],[Item]],supercb[Bairro],mercado4)</f>
        <v>0</v>
      </c>
      <c r="P347" s="4">
        <f>SUMIFS(super1[Qtde],super1[Item],tab_alimentos[[#This Row],[Item]],super1[Bairro],mercado5)+SUMIFS(supercb[Qtde],supercb[Item],tab_alimentos[[#This Row],[Item]],supercb[Bairro],mercado5)</f>
        <v>0</v>
      </c>
      <c r="Q347" s="4">
        <f>SUMIFS(super1[Qtde],super1[Item],tab_alimentos[[#This Row],[Item]],super1[Bairro],mercado6)+SUMIFS(supercb[Qtde],supercb[Item],tab_alimentos[[#This Row],[Item]],supercb[Bairro],mercado6)</f>
        <v>0</v>
      </c>
      <c r="R347" s="4">
        <f>SUMIFS(super1[Qtde],super1[Item],tab_alimentos[[#This Row],[Item]],super1[Bairro],mercado7)+SUMIFS(supercb[Qtde],supercb[Item],tab_alimentos[[#This Row],[Item]],supercb[Bairro],mercado7)</f>
        <v>0</v>
      </c>
      <c r="S347" s="4">
        <f>SUMIFS(super1[Qtde],super1[Item],tab_alimentos[[#This Row],[Item]],super1[Bairro],mercado8)+SUMIFS(supercb[Qtde],supercb[Item],tab_alimentos[[#This Row],[Item]],supercb[Bairro],mercado8)</f>
        <v>0</v>
      </c>
      <c r="T347" s="4">
        <f>SUMIFS(super1[Qtde],super1[Item],tab_alimentos[[#This Row],[Item]],super1[Bairro],mercado9)+SUMIFS(supercb[Qtde],supercb[Item],tab_alimentos[[#This Row],[Item]],supercb[Bairro],mercado9)</f>
        <v>0</v>
      </c>
      <c r="U347" s="4">
        <f>SUMIFS(super1[Qtde],super1[Item],tab_alimentos[[#This Row],[Item]],super1[Bairro],mercado10)+SUMIFS(supercb[Qtde],supercb[Item],tab_alimentos[[#This Row],[Item]],supercb[Bairro],mercado10)</f>
        <v>0</v>
      </c>
      <c r="V347" s="4">
        <f>SUMIFS(super1[Qtde],super1[Item],tab_alimentos[[#This Row],[Item]],super1[Bairro],mercado11)+SUMIFS(supercb[Qtde],supercb[Item],tab_alimentos[[#This Row],[Item]],supercb[Bairro],mercado11)</f>
        <v>0</v>
      </c>
      <c r="W347" s="4">
        <f>SUMIFS(super1[Qtde],super1[Item],tab_alimentos[[#This Row],[Item]],super1[Bairro],mercado12)+SUMIFS(supercb[Qtde],supercb[Item],tab_alimentos[[#This Row],[Item]],supercb[Bairro],mercado12)</f>
        <v>0</v>
      </c>
      <c r="X347" s="4">
        <f>SUMIFS(super1[Qtde],super1[Item],tab_alimentos[[#This Row],[Item]],super1[Bairro],mercado13)+SUMIFS(supercb[Qtde],supercb[Item],tab_alimentos[[#This Row],[Item]],supercb[Bairro],mercado13)</f>
        <v>0</v>
      </c>
      <c r="Y347" s="4">
        <f>SUMIFS(super1[Qtde],super1[Item],tab_alimentos[[#This Row],[Item]],super1[Bairro],mercado14)+SUMIFS(supercb[Qtde],supercb[Item],tab_alimentos[[#This Row],[Item]],supercb[Bairro],mercado14)</f>
        <v>0</v>
      </c>
      <c r="Z347" s="4">
        <f>SUMIFS(super1[Qtde],super1[Item],tab_alimentos[[#This Row],[Item]],super1[Bairro],mercado15)+SUMIFS(supercb[Qtde],supercb[Item],tab_alimentos[[#This Row],[Item]],supercb[Bairro],mercado15)</f>
        <v>0</v>
      </c>
      <c r="AA347" s="4">
        <f>SUMIFS(super1[Qtde],super1[Item],tab_alimentos[[#This Row],[Item]],super1[Bairro],mercado16)+SUMIFS(supercb[Qtde],supercb[Item],tab_alimentos[[#This Row],[Item]],supercb[Bairro],mercado16)</f>
        <v>0</v>
      </c>
      <c r="AB347" s="4">
        <f>SUMIFS(super1[Qtde],super1[Item],tab_alimentos[[#This Row],[Item]],super1[Bairro],mercado17)+SUMIFS(supercb[Qtde],supercb[Item],tab_alimentos[[#This Row],[Item]],supercb[Bairro],mercado17)</f>
        <v>0</v>
      </c>
      <c r="AC347" s="4">
        <f>SUMIFS(super1[Qtde],super1[Item],tab_alimentos[[#This Row],[Item]],super1[Bairro],mercado18)+SUMIFS(supercb[Qtde],supercb[Item],tab_alimentos[[#This Row],[Item]],supercb[Bairro],mercado18)</f>
        <v>0</v>
      </c>
      <c r="AD347" s="4">
        <f>SUMIFS(super1[Qtde],super1[Item],tab_alimentos[[#This Row],[Item]],super1[Bairro],extras)+SUMIFS(supercb[Qtde],supercb[Item],tab_alimentos[[#This Row],[Item]],supercb[Bairro],extras)</f>
        <v>0</v>
      </c>
      <c r="AE347" s="4">
        <f t="shared" si="94"/>
        <v>0</v>
      </c>
      <c r="AF347" s="4">
        <f t="shared" si="95"/>
        <v>0</v>
      </c>
      <c r="AG347" s="6">
        <f t="shared" si="96"/>
        <v>0</v>
      </c>
    </row>
    <row r="348" spans="9:33" x14ac:dyDescent="0.25">
      <c r="I348" s="19" t="str">
        <f>alimentos[[#This Row],[Item]]</f>
        <v>Mostarda (200g)</v>
      </c>
      <c r="J348" s="4">
        <f>IFERROR(alimentos[[#This Row],[kg/embalagem]],0)</f>
        <v>0.2</v>
      </c>
      <c r="K348" s="4">
        <f>IFERROR(alimentos[[#This Row],[Preço]],0)</f>
        <v>4.1900000000000004</v>
      </c>
      <c r="L348" s="4">
        <f>SUMIFS(super1[Qtde],super1[Item],tab_alimentos[[#This Row],[Item]],super1[Bairro],mercado1)+SUMIFS(supercb[Qtde],supercb[Item],tab_alimentos[[#This Row],[Item]],supercb[Bairro],mercado1)</f>
        <v>0</v>
      </c>
      <c r="M348" s="4">
        <f>SUMIFS(super1[Qtde],super1[Item],tab_alimentos[[#This Row],[Item]],super1[Bairro],mercado2)+SUMIFS(supercb[Qtde],supercb[Item],tab_alimentos[[#This Row],[Item]],supercb[Bairro],mercado2)</f>
        <v>0</v>
      </c>
      <c r="N348" s="4">
        <f>SUMIFS(super1[Qtde],super1[Item],tab_alimentos[[#This Row],[Item]],super1[Bairro],mercado3)+SUMIFS(supercb[Qtde],supercb[Item],tab_alimentos[[#This Row],[Item]],supercb[Bairro],mercado3)</f>
        <v>0</v>
      </c>
      <c r="O348" s="4">
        <f>SUMIFS(super1[Qtde],super1[Item],tab_alimentos[[#This Row],[Item]],super1[Bairro],mercado4)+SUMIFS(supercb[Qtde],supercb[Item],tab_alimentos[[#This Row],[Item]],supercb[Bairro],mercado4)</f>
        <v>0</v>
      </c>
      <c r="P348" s="4">
        <f>SUMIFS(super1[Qtde],super1[Item],tab_alimentos[[#This Row],[Item]],super1[Bairro],mercado5)+SUMIFS(supercb[Qtde],supercb[Item],tab_alimentos[[#This Row],[Item]],supercb[Bairro],mercado5)</f>
        <v>0</v>
      </c>
      <c r="Q348" s="4">
        <f>SUMIFS(super1[Qtde],super1[Item],tab_alimentos[[#This Row],[Item]],super1[Bairro],mercado6)+SUMIFS(supercb[Qtde],supercb[Item],tab_alimentos[[#This Row],[Item]],supercb[Bairro],mercado6)</f>
        <v>0</v>
      </c>
      <c r="R348" s="4">
        <f>SUMIFS(super1[Qtde],super1[Item],tab_alimentos[[#This Row],[Item]],super1[Bairro],mercado7)+SUMIFS(supercb[Qtde],supercb[Item],tab_alimentos[[#This Row],[Item]],supercb[Bairro],mercado7)</f>
        <v>0</v>
      </c>
      <c r="S348" s="4">
        <f>SUMIFS(super1[Qtde],super1[Item],tab_alimentos[[#This Row],[Item]],super1[Bairro],mercado8)+SUMIFS(supercb[Qtde],supercb[Item],tab_alimentos[[#This Row],[Item]],supercb[Bairro],mercado8)</f>
        <v>0</v>
      </c>
      <c r="T348" s="4">
        <f>SUMIFS(super1[Qtde],super1[Item],tab_alimentos[[#This Row],[Item]],super1[Bairro],mercado9)+SUMIFS(supercb[Qtde],supercb[Item],tab_alimentos[[#This Row],[Item]],supercb[Bairro],mercado9)</f>
        <v>0</v>
      </c>
      <c r="U348" s="4">
        <f>SUMIFS(super1[Qtde],super1[Item],tab_alimentos[[#This Row],[Item]],super1[Bairro],mercado10)+SUMIFS(supercb[Qtde],supercb[Item],tab_alimentos[[#This Row],[Item]],supercb[Bairro],mercado10)</f>
        <v>0</v>
      </c>
      <c r="V348" s="4">
        <f>SUMIFS(super1[Qtde],super1[Item],tab_alimentos[[#This Row],[Item]],super1[Bairro],mercado11)+SUMIFS(supercb[Qtde],supercb[Item],tab_alimentos[[#This Row],[Item]],supercb[Bairro],mercado11)</f>
        <v>0</v>
      </c>
      <c r="W348" s="4">
        <f>SUMIFS(super1[Qtde],super1[Item],tab_alimentos[[#This Row],[Item]],super1[Bairro],mercado12)+SUMIFS(supercb[Qtde],supercb[Item],tab_alimentos[[#This Row],[Item]],supercb[Bairro],mercado12)</f>
        <v>0</v>
      </c>
      <c r="X348" s="4">
        <f>SUMIFS(super1[Qtde],super1[Item],tab_alimentos[[#This Row],[Item]],super1[Bairro],mercado13)+SUMIFS(supercb[Qtde],supercb[Item],tab_alimentos[[#This Row],[Item]],supercb[Bairro],mercado13)</f>
        <v>0</v>
      </c>
      <c r="Y348" s="4">
        <f>SUMIFS(super1[Qtde],super1[Item],tab_alimentos[[#This Row],[Item]],super1[Bairro],mercado14)+SUMIFS(supercb[Qtde],supercb[Item],tab_alimentos[[#This Row],[Item]],supercb[Bairro],mercado14)</f>
        <v>0</v>
      </c>
      <c r="Z348" s="4">
        <f>SUMIFS(super1[Qtde],super1[Item],tab_alimentos[[#This Row],[Item]],super1[Bairro],mercado15)+SUMIFS(supercb[Qtde],supercb[Item],tab_alimentos[[#This Row],[Item]],supercb[Bairro],mercado15)</f>
        <v>0</v>
      </c>
      <c r="AA348" s="4">
        <f>SUMIFS(super1[Qtde],super1[Item],tab_alimentos[[#This Row],[Item]],super1[Bairro],mercado16)+SUMIFS(supercb[Qtde],supercb[Item],tab_alimentos[[#This Row],[Item]],supercb[Bairro],mercado16)</f>
        <v>0</v>
      </c>
      <c r="AB348" s="4">
        <f>SUMIFS(super1[Qtde],super1[Item],tab_alimentos[[#This Row],[Item]],super1[Bairro],mercado17)+SUMIFS(supercb[Qtde],supercb[Item],tab_alimentos[[#This Row],[Item]],supercb[Bairro],mercado17)</f>
        <v>0</v>
      </c>
      <c r="AC348" s="4">
        <f>SUMIFS(super1[Qtde],super1[Item],tab_alimentos[[#This Row],[Item]],super1[Bairro],mercado18)+SUMIFS(supercb[Qtde],supercb[Item],tab_alimentos[[#This Row],[Item]],supercb[Bairro],mercado18)</f>
        <v>0</v>
      </c>
      <c r="AD348" s="4">
        <f>SUMIFS(super1[Qtde],super1[Item],tab_alimentos[[#This Row],[Item]],super1[Bairro],extras)+SUMIFS(supercb[Qtde],supercb[Item],tab_alimentos[[#This Row],[Item]],supercb[Bairro],extras)</f>
        <v>0</v>
      </c>
      <c r="AE348" s="4">
        <f t="shared" si="94"/>
        <v>0</v>
      </c>
      <c r="AF348" s="4">
        <f t="shared" si="95"/>
        <v>0</v>
      </c>
      <c r="AG348" s="6">
        <f t="shared" si="96"/>
        <v>0</v>
      </c>
    </row>
    <row r="349" spans="9:33" x14ac:dyDescent="0.25">
      <c r="I349" s="19" t="str">
        <f>alimentos[[#This Row],[Item]]</f>
        <v>N</v>
      </c>
      <c r="J349" s="4">
        <f>IFERROR(alimentos[[#This Row],[kg/embalagem]],0)</f>
        <v>0</v>
      </c>
      <c r="K349" s="4">
        <f>IFERROR(alimentos[[#This Row],[Preço]],0)</f>
        <v>0</v>
      </c>
      <c r="L349" s="4">
        <f>SUMIFS(super1[Qtde],super1[Item],tab_alimentos[[#This Row],[Item]],super1[Bairro],mercado1)+SUMIFS(supercb[Qtde],supercb[Item],tab_alimentos[[#This Row],[Item]],supercb[Bairro],mercado1)</f>
        <v>0</v>
      </c>
      <c r="M349" s="4">
        <f>SUMIFS(super1[Qtde],super1[Item],tab_alimentos[[#This Row],[Item]],super1[Bairro],mercado2)+SUMIFS(supercb[Qtde],supercb[Item],tab_alimentos[[#This Row],[Item]],supercb[Bairro],mercado2)</f>
        <v>0</v>
      </c>
      <c r="N349" s="4">
        <f>SUMIFS(super1[Qtde],super1[Item],tab_alimentos[[#This Row],[Item]],super1[Bairro],mercado3)+SUMIFS(supercb[Qtde],supercb[Item],tab_alimentos[[#This Row],[Item]],supercb[Bairro],mercado3)</f>
        <v>0</v>
      </c>
      <c r="O349" s="4">
        <f>SUMIFS(super1[Qtde],super1[Item],tab_alimentos[[#This Row],[Item]],super1[Bairro],mercado4)+SUMIFS(supercb[Qtde],supercb[Item],tab_alimentos[[#This Row],[Item]],supercb[Bairro],mercado4)</f>
        <v>0</v>
      </c>
      <c r="P349" s="4">
        <f>SUMIFS(super1[Qtde],super1[Item],tab_alimentos[[#This Row],[Item]],super1[Bairro],mercado5)+SUMIFS(supercb[Qtde],supercb[Item],tab_alimentos[[#This Row],[Item]],supercb[Bairro],mercado5)</f>
        <v>0</v>
      </c>
      <c r="Q349" s="4">
        <f>SUMIFS(super1[Qtde],super1[Item],tab_alimentos[[#This Row],[Item]],super1[Bairro],mercado6)+SUMIFS(supercb[Qtde],supercb[Item],tab_alimentos[[#This Row],[Item]],supercb[Bairro],mercado6)</f>
        <v>0</v>
      </c>
      <c r="R349" s="4">
        <f>SUMIFS(super1[Qtde],super1[Item],tab_alimentos[[#This Row],[Item]],super1[Bairro],mercado7)+SUMIFS(supercb[Qtde],supercb[Item],tab_alimentos[[#This Row],[Item]],supercb[Bairro],mercado7)</f>
        <v>0</v>
      </c>
      <c r="S349" s="4">
        <f>SUMIFS(super1[Qtde],super1[Item],tab_alimentos[[#This Row],[Item]],super1[Bairro],mercado8)+SUMIFS(supercb[Qtde],supercb[Item],tab_alimentos[[#This Row],[Item]],supercb[Bairro],mercado8)</f>
        <v>0</v>
      </c>
      <c r="T349" s="4">
        <f>SUMIFS(super1[Qtde],super1[Item],tab_alimentos[[#This Row],[Item]],super1[Bairro],mercado9)+SUMIFS(supercb[Qtde],supercb[Item],tab_alimentos[[#This Row],[Item]],supercb[Bairro],mercado9)</f>
        <v>0</v>
      </c>
      <c r="U349" s="4">
        <f>SUMIFS(super1[Qtde],super1[Item],tab_alimentos[[#This Row],[Item]],super1[Bairro],mercado10)+SUMIFS(supercb[Qtde],supercb[Item],tab_alimentos[[#This Row],[Item]],supercb[Bairro],mercado10)</f>
        <v>0</v>
      </c>
      <c r="V349" s="4">
        <f>SUMIFS(super1[Qtde],super1[Item],tab_alimentos[[#This Row],[Item]],super1[Bairro],mercado11)+SUMIFS(supercb[Qtde],supercb[Item],tab_alimentos[[#This Row],[Item]],supercb[Bairro],mercado11)</f>
        <v>0</v>
      </c>
      <c r="W349" s="4">
        <f>SUMIFS(super1[Qtde],super1[Item],tab_alimentos[[#This Row],[Item]],super1[Bairro],mercado12)+SUMIFS(supercb[Qtde],supercb[Item],tab_alimentos[[#This Row],[Item]],supercb[Bairro],mercado12)</f>
        <v>0</v>
      </c>
      <c r="X349" s="4">
        <f>SUMIFS(super1[Qtde],super1[Item],tab_alimentos[[#This Row],[Item]],super1[Bairro],mercado13)+SUMIFS(supercb[Qtde],supercb[Item],tab_alimentos[[#This Row],[Item]],supercb[Bairro],mercado13)</f>
        <v>0</v>
      </c>
      <c r="Y349" s="4">
        <f>SUMIFS(super1[Qtde],super1[Item],tab_alimentos[[#This Row],[Item]],super1[Bairro],mercado14)+SUMIFS(supercb[Qtde],supercb[Item],tab_alimentos[[#This Row],[Item]],supercb[Bairro],mercado14)</f>
        <v>0</v>
      </c>
      <c r="Z349" s="4">
        <f>SUMIFS(super1[Qtde],super1[Item],tab_alimentos[[#This Row],[Item]],super1[Bairro],mercado15)+SUMIFS(supercb[Qtde],supercb[Item],tab_alimentos[[#This Row],[Item]],supercb[Bairro],mercado15)</f>
        <v>0</v>
      </c>
      <c r="AA349" s="4">
        <f>SUMIFS(super1[Qtde],super1[Item],tab_alimentos[[#This Row],[Item]],super1[Bairro],mercado16)+SUMIFS(supercb[Qtde],supercb[Item],tab_alimentos[[#This Row],[Item]],supercb[Bairro],mercado16)</f>
        <v>0</v>
      </c>
      <c r="AB349" s="4">
        <f>SUMIFS(super1[Qtde],super1[Item],tab_alimentos[[#This Row],[Item]],super1[Bairro],mercado17)+SUMIFS(supercb[Qtde],supercb[Item],tab_alimentos[[#This Row],[Item]],supercb[Bairro],mercado17)</f>
        <v>0</v>
      </c>
      <c r="AC349" s="4">
        <f>SUMIFS(super1[Qtde],super1[Item],tab_alimentos[[#This Row],[Item]],super1[Bairro],mercado18)+SUMIFS(supercb[Qtde],supercb[Item],tab_alimentos[[#This Row],[Item]],supercb[Bairro],mercado18)</f>
        <v>0</v>
      </c>
      <c r="AD349" s="4">
        <f>SUMIFS(super1[Qtde],super1[Item],tab_alimentos[[#This Row],[Item]],super1[Bairro],extras)+SUMIFS(supercb[Qtde],supercb[Item],tab_alimentos[[#This Row],[Item]],supercb[Bairro],extras)</f>
        <v>0</v>
      </c>
      <c r="AE349" s="4">
        <f t="shared" si="94"/>
        <v>0</v>
      </c>
      <c r="AF349" s="4">
        <f t="shared" si="95"/>
        <v>0</v>
      </c>
      <c r="AG349" s="6">
        <f t="shared" si="96"/>
        <v>0</v>
      </c>
    </row>
    <row r="350" spans="9:33" x14ac:dyDescent="0.25">
      <c r="I350" s="19" t="str">
        <f>alimentos[[#This Row],[Item]]</f>
        <v>Nozes (200g)</v>
      </c>
      <c r="J350" s="4">
        <f>IFERROR(alimentos[[#This Row],[kg/embalagem]],0)</f>
        <v>0.2</v>
      </c>
      <c r="K350" s="4">
        <f>IFERROR(alimentos[[#This Row],[Preço]],0)</f>
        <v>18.899999999999999</v>
      </c>
      <c r="L350" s="4">
        <f>SUMIFS(super1[Qtde],super1[Item],tab_alimentos[[#This Row],[Item]],super1[Bairro],mercado1)+SUMIFS(supercb[Qtde],supercb[Item],tab_alimentos[[#This Row],[Item]],supercb[Bairro],mercado1)</f>
        <v>0</v>
      </c>
      <c r="M350" s="4">
        <f>SUMIFS(super1[Qtde],super1[Item],tab_alimentos[[#This Row],[Item]],super1[Bairro],mercado2)+SUMIFS(supercb[Qtde],supercb[Item],tab_alimentos[[#This Row],[Item]],supercb[Bairro],mercado2)</f>
        <v>0</v>
      </c>
      <c r="N350" s="4">
        <f>SUMIFS(super1[Qtde],super1[Item],tab_alimentos[[#This Row],[Item]],super1[Bairro],mercado3)+SUMIFS(supercb[Qtde],supercb[Item],tab_alimentos[[#This Row],[Item]],supercb[Bairro],mercado3)</f>
        <v>0</v>
      </c>
      <c r="O350" s="4">
        <f>SUMIFS(super1[Qtde],super1[Item],tab_alimentos[[#This Row],[Item]],super1[Bairro],mercado4)+SUMIFS(supercb[Qtde],supercb[Item],tab_alimentos[[#This Row],[Item]],supercb[Bairro],mercado4)</f>
        <v>0</v>
      </c>
      <c r="P350" s="4">
        <f>SUMIFS(super1[Qtde],super1[Item],tab_alimentos[[#This Row],[Item]],super1[Bairro],mercado5)+SUMIFS(supercb[Qtde],supercb[Item],tab_alimentos[[#This Row],[Item]],supercb[Bairro],mercado5)</f>
        <v>0</v>
      </c>
      <c r="Q350" s="4">
        <f>SUMIFS(super1[Qtde],super1[Item],tab_alimentos[[#This Row],[Item]],super1[Bairro],mercado6)+SUMIFS(supercb[Qtde],supercb[Item],tab_alimentos[[#This Row],[Item]],supercb[Bairro],mercado6)</f>
        <v>0</v>
      </c>
      <c r="R350" s="4">
        <f>SUMIFS(super1[Qtde],super1[Item],tab_alimentos[[#This Row],[Item]],super1[Bairro],mercado7)+SUMIFS(supercb[Qtde],supercb[Item],tab_alimentos[[#This Row],[Item]],supercb[Bairro],mercado7)</f>
        <v>0</v>
      </c>
      <c r="S350" s="4">
        <f>SUMIFS(super1[Qtde],super1[Item],tab_alimentos[[#This Row],[Item]],super1[Bairro],mercado8)+SUMIFS(supercb[Qtde],supercb[Item],tab_alimentos[[#This Row],[Item]],supercb[Bairro],mercado8)</f>
        <v>0</v>
      </c>
      <c r="T350" s="4">
        <f>SUMIFS(super1[Qtde],super1[Item],tab_alimentos[[#This Row],[Item]],super1[Bairro],mercado9)+SUMIFS(supercb[Qtde],supercb[Item],tab_alimentos[[#This Row],[Item]],supercb[Bairro],mercado9)</f>
        <v>0</v>
      </c>
      <c r="U350" s="4">
        <f>SUMIFS(super1[Qtde],super1[Item],tab_alimentos[[#This Row],[Item]],super1[Bairro],mercado10)+SUMIFS(supercb[Qtde],supercb[Item],tab_alimentos[[#This Row],[Item]],supercb[Bairro],mercado10)</f>
        <v>0</v>
      </c>
      <c r="V350" s="4">
        <f>SUMIFS(super1[Qtde],super1[Item],tab_alimentos[[#This Row],[Item]],super1[Bairro],mercado11)+SUMIFS(supercb[Qtde],supercb[Item],tab_alimentos[[#This Row],[Item]],supercb[Bairro],mercado11)</f>
        <v>0</v>
      </c>
      <c r="W350" s="4">
        <f>SUMIFS(super1[Qtde],super1[Item],tab_alimentos[[#This Row],[Item]],super1[Bairro],mercado12)+SUMIFS(supercb[Qtde],supercb[Item],tab_alimentos[[#This Row],[Item]],supercb[Bairro],mercado12)</f>
        <v>0</v>
      </c>
      <c r="X350" s="4">
        <f>SUMIFS(super1[Qtde],super1[Item],tab_alimentos[[#This Row],[Item]],super1[Bairro],mercado13)+SUMIFS(supercb[Qtde],supercb[Item],tab_alimentos[[#This Row],[Item]],supercb[Bairro],mercado13)</f>
        <v>0</v>
      </c>
      <c r="Y350" s="4">
        <f>SUMIFS(super1[Qtde],super1[Item],tab_alimentos[[#This Row],[Item]],super1[Bairro],mercado14)+SUMIFS(supercb[Qtde],supercb[Item],tab_alimentos[[#This Row],[Item]],supercb[Bairro],mercado14)</f>
        <v>0</v>
      </c>
      <c r="Z350" s="4">
        <f>SUMIFS(super1[Qtde],super1[Item],tab_alimentos[[#This Row],[Item]],super1[Bairro],mercado15)+SUMIFS(supercb[Qtde],supercb[Item],tab_alimentos[[#This Row],[Item]],supercb[Bairro],mercado15)</f>
        <v>0</v>
      </c>
      <c r="AA350" s="4">
        <f>SUMIFS(super1[Qtde],super1[Item],tab_alimentos[[#This Row],[Item]],super1[Bairro],mercado16)+SUMIFS(supercb[Qtde],supercb[Item],tab_alimentos[[#This Row],[Item]],supercb[Bairro],mercado16)</f>
        <v>0</v>
      </c>
      <c r="AB350" s="4">
        <f>SUMIFS(super1[Qtde],super1[Item],tab_alimentos[[#This Row],[Item]],super1[Bairro],mercado17)+SUMIFS(supercb[Qtde],supercb[Item],tab_alimentos[[#This Row],[Item]],supercb[Bairro],mercado17)</f>
        <v>0</v>
      </c>
      <c r="AC350" s="4">
        <f>SUMIFS(super1[Qtde],super1[Item],tab_alimentos[[#This Row],[Item]],super1[Bairro],mercado18)+SUMIFS(supercb[Qtde],supercb[Item],tab_alimentos[[#This Row],[Item]],supercb[Bairro],mercado18)</f>
        <v>0</v>
      </c>
      <c r="AD350" s="4">
        <f>SUMIFS(super1[Qtde],super1[Item],tab_alimentos[[#This Row],[Item]],super1[Bairro],extras)+SUMIFS(supercb[Qtde],supercb[Item],tab_alimentos[[#This Row],[Item]],supercb[Bairro],extras)</f>
        <v>0</v>
      </c>
      <c r="AE350" s="4">
        <f t="shared" si="94"/>
        <v>0</v>
      </c>
      <c r="AF350" s="4">
        <f t="shared" si="95"/>
        <v>0</v>
      </c>
      <c r="AG350" s="6">
        <f t="shared" si="96"/>
        <v>0</v>
      </c>
    </row>
    <row r="351" spans="9:33" x14ac:dyDescent="0.25">
      <c r="I351" s="19" t="str">
        <f>alimentos[[#This Row],[Item]]</f>
        <v>O</v>
      </c>
      <c r="J351" s="4">
        <f>IFERROR(alimentos[[#This Row],[kg/embalagem]],0)</f>
        <v>0</v>
      </c>
      <c r="K351" s="4">
        <f>IFERROR(alimentos[[#This Row],[Preço]],0)</f>
        <v>0</v>
      </c>
      <c r="L351" s="4">
        <f>SUMIFS(super1[Qtde],super1[Item],tab_alimentos[[#This Row],[Item]],super1[Bairro],mercado1)+SUMIFS(supercb[Qtde],supercb[Item],tab_alimentos[[#This Row],[Item]],supercb[Bairro],mercado1)</f>
        <v>0</v>
      </c>
      <c r="M351" s="4">
        <f>SUMIFS(super1[Qtde],super1[Item],tab_alimentos[[#This Row],[Item]],super1[Bairro],mercado2)+SUMIFS(supercb[Qtde],supercb[Item],tab_alimentos[[#This Row],[Item]],supercb[Bairro],mercado2)</f>
        <v>0</v>
      </c>
      <c r="N351" s="4">
        <f>SUMIFS(super1[Qtde],super1[Item],tab_alimentos[[#This Row],[Item]],super1[Bairro],mercado3)+SUMIFS(supercb[Qtde],supercb[Item],tab_alimentos[[#This Row],[Item]],supercb[Bairro],mercado3)</f>
        <v>0</v>
      </c>
      <c r="O351" s="4">
        <f>SUMIFS(super1[Qtde],super1[Item],tab_alimentos[[#This Row],[Item]],super1[Bairro],mercado4)+SUMIFS(supercb[Qtde],supercb[Item],tab_alimentos[[#This Row],[Item]],supercb[Bairro],mercado4)</f>
        <v>0</v>
      </c>
      <c r="P351" s="4">
        <f>SUMIFS(super1[Qtde],super1[Item],tab_alimentos[[#This Row],[Item]],super1[Bairro],mercado5)+SUMIFS(supercb[Qtde],supercb[Item],tab_alimentos[[#This Row],[Item]],supercb[Bairro],mercado5)</f>
        <v>0</v>
      </c>
      <c r="Q351" s="4">
        <f>SUMIFS(super1[Qtde],super1[Item],tab_alimentos[[#This Row],[Item]],super1[Bairro],mercado6)+SUMIFS(supercb[Qtde],supercb[Item],tab_alimentos[[#This Row],[Item]],supercb[Bairro],mercado6)</f>
        <v>0</v>
      </c>
      <c r="R351" s="4">
        <f>SUMIFS(super1[Qtde],super1[Item],tab_alimentos[[#This Row],[Item]],super1[Bairro],mercado7)+SUMIFS(supercb[Qtde],supercb[Item],tab_alimentos[[#This Row],[Item]],supercb[Bairro],mercado7)</f>
        <v>0</v>
      </c>
      <c r="S351" s="4">
        <f>SUMIFS(super1[Qtde],super1[Item],tab_alimentos[[#This Row],[Item]],super1[Bairro],mercado8)+SUMIFS(supercb[Qtde],supercb[Item],tab_alimentos[[#This Row],[Item]],supercb[Bairro],mercado8)</f>
        <v>0</v>
      </c>
      <c r="T351" s="4">
        <f>SUMIFS(super1[Qtde],super1[Item],tab_alimentos[[#This Row],[Item]],super1[Bairro],mercado9)+SUMIFS(supercb[Qtde],supercb[Item],tab_alimentos[[#This Row],[Item]],supercb[Bairro],mercado9)</f>
        <v>0</v>
      </c>
      <c r="U351" s="4">
        <f>SUMIFS(super1[Qtde],super1[Item],tab_alimentos[[#This Row],[Item]],super1[Bairro],mercado10)+SUMIFS(supercb[Qtde],supercb[Item],tab_alimentos[[#This Row],[Item]],supercb[Bairro],mercado10)</f>
        <v>0</v>
      </c>
      <c r="V351" s="4">
        <f>SUMIFS(super1[Qtde],super1[Item],tab_alimentos[[#This Row],[Item]],super1[Bairro],mercado11)+SUMIFS(supercb[Qtde],supercb[Item],tab_alimentos[[#This Row],[Item]],supercb[Bairro],mercado11)</f>
        <v>0</v>
      </c>
      <c r="W351" s="4">
        <f>SUMIFS(super1[Qtde],super1[Item],tab_alimentos[[#This Row],[Item]],super1[Bairro],mercado12)+SUMIFS(supercb[Qtde],supercb[Item],tab_alimentos[[#This Row],[Item]],supercb[Bairro],mercado12)</f>
        <v>0</v>
      </c>
      <c r="X351" s="4">
        <f>SUMIFS(super1[Qtde],super1[Item],tab_alimentos[[#This Row],[Item]],super1[Bairro],mercado13)+SUMIFS(supercb[Qtde],supercb[Item],tab_alimentos[[#This Row],[Item]],supercb[Bairro],mercado13)</f>
        <v>0</v>
      </c>
      <c r="Y351" s="4">
        <f>SUMIFS(super1[Qtde],super1[Item],tab_alimentos[[#This Row],[Item]],super1[Bairro],mercado14)+SUMIFS(supercb[Qtde],supercb[Item],tab_alimentos[[#This Row],[Item]],supercb[Bairro],mercado14)</f>
        <v>0</v>
      </c>
      <c r="Z351" s="4">
        <f>SUMIFS(super1[Qtde],super1[Item],tab_alimentos[[#This Row],[Item]],super1[Bairro],mercado15)+SUMIFS(supercb[Qtde],supercb[Item],tab_alimentos[[#This Row],[Item]],supercb[Bairro],mercado15)</f>
        <v>0</v>
      </c>
      <c r="AA351" s="4">
        <f>SUMIFS(super1[Qtde],super1[Item],tab_alimentos[[#This Row],[Item]],super1[Bairro],mercado16)+SUMIFS(supercb[Qtde],supercb[Item],tab_alimentos[[#This Row],[Item]],supercb[Bairro],mercado16)</f>
        <v>0</v>
      </c>
      <c r="AB351" s="4">
        <f>SUMIFS(super1[Qtde],super1[Item],tab_alimentos[[#This Row],[Item]],super1[Bairro],mercado17)+SUMIFS(supercb[Qtde],supercb[Item],tab_alimentos[[#This Row],[Item]],supercb[Bairro],mercado17)</f>
        <v>0</v>
      </c>
      <c r="AC351" s="4">
        <f>SUMIFS(super1[Qtde],super1[Item],tab_alimentos[[#This Row],[Item]],super1[Bairro],mercado18)+SUMIFS(supercb[Qtde],supercb[Item],tab_alimentos[[#This Row],[Item]],supercb[Bairro],mercado18)</f>
        <v>0</v>
      </c>
      <c r="AD351" s="4">
        <f>SUMIFS(super1[Qtde],super1[Item],tab_alimentos[[#This Row],[Item]],super1[Bairro],extras)+SUMIFS(supercb[Qtde],supercb[Item],tab_alimentos[[#This Row],[Item]],supercb[Bairro],extras)</f>
        <v>0</v>
      </c>
      <c r="AE351" s="4">
        <f t="shared" si="94"/>
        <v>0</v>
      </c>
      <c r="AF351" s="4">
        <f t="shared" si="95"/>
        <v>0</v>
      </c>
      <c r="AG351" s="6">
        <f t="shared" si="96"/>
        <v>0</v>
      </c>
    </row>
    <row r="352" spans="9:33" x14ac:dyDescent="0.25">
      <c r="I352" s="19" t="str">
        <f>alimentos[[#This Row],[Item]]</f>
        <v>Óleo (200mL)</v>
      </c>
      <c r="J352" s="4">
        <f>IFERROR(alimentos[[#This Row],[kg/embalagem]],0)</f>
        <v>0.2</v>
      </c>
      <c r="K352" s="4">
        <f>IFERROR(alimentos[[#This Row],[Preço]],0)</f>
        <v>4.95</v>
      </c>
      <c r="L352" s="4">
        <f>SUMIFS(super1[Qtde],super1[Item],tab_alimentos[[#This Row],[Item]],super1[Bairro],mercado1)+SUMIFS(supercb[Qtde],supercb[Item],tab_alimentos[[#This Row],[Item]],supercb[Bairro],mercado1)</f>
        <v>0</v>
      </c>
      <c r="M352" s="4">
        <f>SUMIFS(super1[Qtde],super1[Item],tab_alimentos[[#This Row],[Item]],super1[Bairro],mercado2)+SUMIFS(supercb[Qtde],supercb[Item],tab_alimentos[[#This Row],[Item]],supercb[Bairro],mercado2)</f>
        <v>0</v>
      </c>
      <c r="N352" s="4">
        <f>SUMIFS(super1[Qtde],super1[Item],tab_alimentos[[#This Row],[Item]],super1[Bairro],mercado3)+SUMIFS(supercb[Qtde],supercb[Item],tab_alimentos[[#This Row],[Item]],supercb[Bairro],mercado3)</f>
        <v>0</v>
      </c>
      <c r="O352" s="4">
        <f>SUMIFS(super1[Qtde],super1[Item],tab_alimentos[[#This Row],[Item]],super1[Bairro],mercado4)+SUMIFS(supercb[Qtde],supercb[Item],tab_alimentos[[#This Row],[Item]],supercb[Bairro],mercado4)</f>
        <v>0</v>
      </c>
      <c r="P352" s="4">
        <f>SUMIFS(super1[Qtde],super1[Item],tab_alimentos[[#This Row],[Item]],super1[Bairro],mercado5)+SUMIFS(supercb[Qtde],supercb[Item],tab_alimentos[[#This Row],[Item]],supercb[Bairro],mercado5)</f>
        <v>0</v>
      </c>
      <c r="Q352" s="4">
        <f>SUMIFS(super1[Qtde],super1[Item],tab_alimentos[[#This Row],[Item]],super1[Bairro],mercado6)+SUMIFS(supercb[Qtde],supercb[Item],tab_alimentos[[#This Row],[Item]],supercb[Bairro],mercado6)</f>
        <v>0</v>
      </c>
      <c r="R352" s="4">
        <f>SUMIFS(super1[Qtde],super1[Item],tab_alimentos[[#This Row],[Item]],super1[Bairro],mercado7)+SUMIFS(supercb[Qtde],supercb[Item],tab_alimentos[[#This Row],[Item]],supercb[Bairro],mercado7)</f>
        <v>0</v>
      </c>
      <c r="S352" s="4">
        <f>SUMIFS(super1[Qtde],super1[Item],tab_alimentos[[#This Row],[Item]],super1[Bairro],mercado8)+SUMIFS(supercb[Qtde],supercb[Item],tab_alimentos[[#This Row],[Item]],supercb[Bairro],mercado8)</f>
        <v>0</v>
      </c>
      <c r="T352" s="4">
        <f>SUMIFS(super1[Qtde],super1[Item],tab_alimentos[[#This Row],[Item]],super1[Bairro],mercado9)+SUMIFS(supercb[Qtde],supercb[Item],tab_alimentos[[#This Row],[Item]],supercb[Bairro],mercado9)</f>
        <v>0</v>
      </c>
      <c r="U352" s="4">
        <f>SUMIFS(super1[Qtde],super1[Item],tab_alimentos[[#This Row],[Item]],super1[Bairro],mercado10)+SUMIFS(supercb[Qtde],supercb[Item],tab_alimentos[[#This Row],[Item]],supercb[Bairro],mercado10)</f>
        <v>0</v>
      </c>
      <c r="V352" s="4">
        <f>SUMIFS(super1[Qtde],super1[Item],tab_alimentos[[#This Row],[Item]],super1[Bairro],mercado11)+SUMIFS(supercb[Qtde],supercb[Item],tab_alimentos[[#This Row],[Item]],supercb[Bairro],mercado11)</f>
        <v>0</v>
      </c>
      <c r="W352" s="4">
        <f>SUMIFS(super1[Qtde],super1[Item],tab_alimentos[[#This Row],[Item]],super1[Bairro],mercado12)+SUMIFS(supercb[Qtde],supercb[Item],tab_alimentos[[#This Row],[Item]],supercb[Bairro],mercado12)</f>
        <v>0</v>
      </c>
      <c r="X352" s="4">
        <f>SUMIFS(super1[Qtde],super1[Item],tab_alimentos[[#This Row],[Item]],super1[Bairro],mercado13)+SUMIFS(supercb[Qtde],supercb[Item],tab_alimentos[[#This Row],[Item]],supercb[Bairro],mercado13)</f>
        <v>0</v>
      </c>
      <c r="Y352" s="4">
        <f>SUMIFS(super1[Qtde],super1[Item],tab_alimentos[[#This Row],[Item]],super1[Bairro],mercado14)+SUMIFS(supercb[Qtde],supercb[Item],tab_alimentos[[#This Row],[Item]],supercb[Bairro],mercado14)</f>
        <v>0</v>
      </c>
      <c r="Z352" s="4">
        <f>SUMIFS(super1[Qtde],super1[Item],tab_alimentos[[#This Row],[Item]],super1[Bairro],mercado15)+SUMIFS(supercb[Qtde],supercb[Item],tab_alimentos[[#This Row],[Item]],supercb[Bairro],mercado15)</f>
        <v>0</v>
      </c>
      <c r="AA352" s="4">
        <f>SUMIFS(super1[Qtde],super1[Item],tab_alimentos[[#This Row],[Item]],super1[Bairro],mercado16)+SUMIFS(supercb[Qtde],supercb[Item],tab_alimentos[[#This Row],[Item]],supercb[Bairro],mercado16)</f>
        <v>0</v>
      </c>
      <c r="AB352" s="4">
        <f>SUMIFS(super1[Qtde],super1[Item],tab_alimentos[[#This Row],[Item]],super1[Bairro],mercado17)+SUMIFS(supercb[Qtde],supercb[Item],tab_alimentos[[#This Row],[Item]],supercb[Bairro],mercado17)</f>
        <v>0</v>
      </c>
      <c r="AC352" s="4">
        <f>SUMIFS(super1[Qtde],super1[Item],tab_alimentos[[#This Row],[Item]],super1[Bairro],mercado18)+SUMIFS(supercb[Qtde],supercb[Item],tab_alimentos[[#This Row],[Item]],supercb[Bairro],mercado18)</f>
        <v>0</v>
      </c>
      <c r="AD352" s="4">
        <f>SUMIFS(super1[Qtde],super1[Item],tab_alimentos[[#This Row],[Item]],super1[Bairro],extras)+SUMIFS(supercb[Qtde],supercb[Item],tab_alimentos[[#This Row],[Item]],supercb[Bairro],extras)</f>
        <v>0</v>
      </c>
      <c r="AE352" s="4">
        <f t="shared" si="94"/>
        <v>0</v>
      </c>
      <c r="AF352" s="4">
        <f t="shared" si="95"/>
        <v>0</v>
      </c>
      <c r="AG352" s="6">
        <f t="shared" si="96"/>
        <v>0</v>
      </c>
    </row>
    <row r="353" spans="9:33" x14ac:dyDescent="0.25">
      <c r="I353" s="19" t="str">
        <f>alimentos[[#This Row],[Item]]</f>
        <v>Óleo (900mL)</v>
      </c>
      <c r="J353" s="4">
        <f>IFERROR(alimentos[[#This Row],[kg/embalagem]],0)</f>
        <v>0.9</v>
      </c>
      <c r="K353" s="4">
        <f>IFERROR(alimentos[[#This Row],[Preço]],0)</f>
        <v>7.99</v>
      </c>
      <c r="L353" s="4">
        <f>SUMIFS(super1[Qtde],super1[Item],tab_alimentos[[#This Row],[Item]],super1[Bairro],mercado1)+SUMIFS(supercb[Qtde],supercb[Item],tab_alimentos[[#This Row],[Item]],supercb[Bairro],mercado1)</f>
        <v>0</v>
      </c>
      <c r="M353" s="4">
        <f>SUMIFS(super1[Qtde],super1[Item],tab_alimentos[[#This Row],[Item]],super1[Bairro],mercado2)+SUMIFS(supercb[Qtde],supercb[Item],tab_alimentos[[#This Row],[Item]],supercb[Bairro],mercado2)</f>
        <v>0</v>
      </c>
      <c r="N353" s="4">
        <f>SUMIFS(super1[Qtde],super1[Item],tab_alimentos[[#This Row],[Item]],super1[Bairro],mercado3)+SUMIFS(supercb[Qtde],supercb[Item],tab_alimentos[[#This Row],[Item]],supercb[Bairro],mercado3)</f>
        <v>0</v>
      </c>
      <c r="O353" s="4">
        <f>SUMIFS(super1[Qtde],super1[Item],tab_alimentos[[#This Row],[Item]],super1[Bairro],mercado4)+SUMIFS(supercb[Qtde],supercb[Item],tab_alimentos[[#This Row],[Item]],supercb[Bairro],mercado4)</f>
        <v>0</v>
      </c>
      <c r="P353" s="4">
        <f>SUMIFS(super1[Qtde],super1[Item],tab_alimentos[[#This Row],[Item]],super1[Bairro],mercado5)+SUMIFS(supercb[Qtde],supercb[Item],tab_alimentos[[#This Row],[Item]],supercb[Bairro],mercado5)</f>
        <v>0</v>
      </c>
      <c r="Q353" s="4">
        <f>SUMIFS(super1[Qtde],super1[Item],tab_alimentos[[#This Row],[Item]],super1[Bairro],mercado6)+SUMIFS(supercb[Qtde],supercb[Item],tab_alimentos[[#This Row],[Item]],supercb[Bairro],mercado6)</f>
        <v>0</v>
      </c>
      <c r="R353" s="4">
        <f>SUMIFS(super1[Qtde],super1[Item],tab_alimentos[[#This Row],[Item]],super1[Bairro],mercado7)+SUMIFS(supercb[Qtde],supercb[Item],tab_alimentos[[#This Row],[Item]],supercb[Bairro],mercado7)</f>
        <v>0</v>
      </c>
      <c r="S353" s="4">
        <f>SUMIFS(super1[Qtde],super1[Item],tab_alimentos[[#This Row],[Item]],super1[Bairro],mercado8)+SUMIFS(supercb[Qtde],supercb[Item],tab_alimentos[[#This Row],[Item]],supercb[Bairro],mercado8)</f>
        <v>0</v>
      </c>
      <c r="T353" s="4">
        <f>SUMIFS(super1[Qtde],super1[Item],tab_alimentos[[#This Row],[Item]],super1[Bairro],mercado9)+SUMIFS(supercb[Qtde],supercb[Item],tab_alimentos[[#This Row],[Item]],supercb[Bairro],mercado9)</f>
        <v>0</v>
      </c>
      <c r="U353" s="4">
        <f>SUMIFS(super1[Qtde],super1[Item],tab_alimentos[[#This Row],[Item]],super1[Bairro],mercado10)+SUMIFS(supercb[Qtde],supercb[Item],tab_alimentos[[#This Row],[Item]],supercb[Bairro],mercado10)</f>
        <v>0</v>
      </c>
      <c r="V353" s="4">
        <f>SUMIFS(super1[Qtde],super1[Item],tab_alimentos[[#This Row],[Item]],super1[Bairro],mercado11)+SUMIFS(supercb[Qtde],supercb[Item],tab_alimentos[[#This Row],[Item]],supercb[Bairro],mercado11)</f>
        <v>0</v>
      </c>
      <c r="W353" s="4">
        <f>SUMIFS(super1[Qtde],super1[Item],tab_alimentos[[#This Row],[Item]],super1[Bairro],mercado12)+SUMIFS(supercb[Qtde],supercb[Item],tab_alimentos[[#This Row],[Item]],supercb[Bairro],mercado12)</f>
        <v>0</v>
      </c>
      <c r="X353" s="4">
        <f>SUMIFS(super1[Qtde],super1[Item],tab_alimentos[[#This Row],[Item]],super1[Bairro],mercado13)+SUMIFS(supercb[Qtde],supercb[Item],tab_alimentos[[#This Row],[Item]],supercb[Bairro],mercado13)</f>
        <v>0</v>
      </c>
      <c r="Y353" s="4">
        <f>SUMIFS(super1[Qtde],super1[Item],tab_alimentos[[#This Row],[Item]],super1[Bairro],mercado14)+SUMIFS(supercb[Qtde],supercb[Item],tab_alimentos[[#This Row],[Item]],supercb[Bairro],mercado14)</f>
        <v>0</v>
      </c>
      <c r="Z353" s="4">
        <f>SUMIFS(super1[Qtde],super1[Item],tab_alimentos[[#This Row],[Item]],super1[Bairro],mercado15)+SUMIFS(supercb[Qtde],supercb[Item],tab_alimentos[[#This Row],[Item]],supercb[Bairro],mercado15)</f>
        <v>0</v>
      </c>
      <c r="AA353" s="4">
        <f>SUMIFS(super1[Qtde],super1[Item],tab_alimentos[[#This Row],[Item]],super1[Bairro],mercado16)+SUMIFS(supercb[Qtde],supercb[Item],tab_alimentos[[#This Row],[Item]],supercb[Bairro],mercado16)</f>
        <v>0</v>
      </c>
      <c r="AB353" s="4">
        <f>SUMIFS(super1[Qtde],super1[Item],tab_alimentos[[#This Row],[Item]],super1[Bairro],mercado17)+SUMIFS(supercb[Qtde],supercb[Item],tab_alimentos[[#This Row],[Item]],supercb[Bairro],mercado17)</f>
        <v>0</v>
      </c>
      <c r="AC353" s="4">
        <f>SUMIFS(super1[Qtde],super1[Item],tab_alimentos[[#This Row],[Item]],super1[Bairro],mercado18)+SUMIFS(supercb[Qtde],supercb[Item],tab_alimentos[[#This Row],[Item]],supercb[Bairro],mercado18)</f>
        <v>0</v>
      </c>
      <c r="AD353" s="4">
        <f>SUMIFS(super1[Qtde],super1[Item],tab_alimentos[[#This Row],[Item]],super1[Bairro],extras)+SUMIFS(supercb[Qtde],supercb[Item],tab_alimentos[[#This Row],[Item]],supercb[Bairro],extras)</f>
        <v>0</v>
      </c>
      <c r="AE353" s="4">
        <f t="shared" si="94"/>
        <v>0</v>
      </c>
      <c r="AF353" s="4">
        <f t="shared" si="95"/>
        <v>0</v>
      </c>
      <c r="AG353" s="6">
        <f t="shared" si="96"/>
        <v>0</v>
      </c>
    </row>
    <row r="354" spans="9:33" x14ac:dyDescent="0.25">
      <c r="I354" s="19" t="str">
        <f>alimentos[[#This Row],[Item]]</f>
        <v>Orégano (10g)</v>
      </c>
      <c r="J354" s="4">
        <f>IFERROR(alimentos[[#This Row],[kg/embalagem]],0)</f>
        <v>0.01</v>
      </c>
      <c r="K354" s="4">
        <f>IFERROR(alimentos[[#This Row],[Preço]],0)</f>
        <v>2.89</v>
      </c>
      <c r="L354" s="4">
        <f>SUMIFS(super1[Qtde],super1[Item],tab_alimentos[[#This Row],[Item]],super1[Bairro],mercado1)+SUMIFS(supercb[Qtde],supercb[Item],tab_alimentos[[#This Row],[Item]],supercb[Bairro],mercado1)</f>
        <v>0</v>
      </c>
      <c r="M354" s="4">
        <f>SUMIFS(super1[Qtde],super1[Item],tab_alimentos[[#This Row],[Item]],super1[Bairro],mercado2)+SUMIFS(supercb[Qtde],supercb[Item],tab_alimentos[[#This Row],[Item]],supercb[Bairro],mercado2)</f>
        <v>0</v>
      </c>
      <c r="N354" s="4">
        <f>SUMIFS(super1[Qtde],super1[Item],tab_alimentos[[#This Row],[Item]],super1[Bairro],mercado3)+SUMIFS(supercb[Qtde],supercb[Item],tab_alimentos[[#This Row],[Item]],supercb[Bairro],mercado3)</f>
        <v>0</v>
      </c>
      <c r="O354" s="4">
        <f>SUMIFS(super1[Qtde],super1[Item],tab_alimentos[[#This Row],[Item]],super1[Bairro],mercado4)+SUMIFS(supercb[Qtde],supercb[Item],tab_alimentos[[#This Row],[Item]],supercb[Bairro],mercado4)</f>
        <v>0</v>
      </c>
      <c r="P354" s="4">
        <f>SUMIFS(super1[Qtde],super1[Item],tab_alimentos[[#This Row],[Item]],super1[Bairro],mercado5)+SUMIFS(supercb[Qtde],supercb[Item],tab_alimentos[[#This Row],[Item]],supercb[Bairro],mercado5)</f>
        <v>0</v>
      </c>
      <c r="Q354" s="4">
        <f>SUMIFS(super1[Qtde],super1[Item],tab_alimentos[[#This Row],[Item]],super1[Bairro],mercado6)+SUMIFS(supercb[Qtde],supercb[Item],tab_alimentos[[#This Row],[Item]],supercb[Bairro],mercado6)</f>
        <v>0</v>
      </c>
      <c r="R354" s="4">
        <f>SUMIFS(super1[Qtde],super1[Item],tab_alimentos[[#This Row],[Item]],super1[Bairro],mercado7)+SUMIFS(supercb[Qtde],supercb[Item],tab_alimentos[[#This Row],[Item]],supercb[Bairro],mercado7)</f>
        <v>0</v>
      </c>
      <c r="S354" s="4">
        <f>SUMIFS(super1[Qtde],super1[Item],tab_alimentos[[#This Row],[Item]],super1[Bairro],mercado8)+SUMIFS(supercb[Qtde],supercb[Item],tab_alimentos[[#This Row],[Item]],supercb[Bairro],mercado8)</f>
        <v>0</v>
      </c>
      <c r="T354" s="4">
        <f>SUMIFS(super1[Qtde],super1[Item],tab_alimentos[[#This Row],[Item]],super1[Bairro],mercado9)+SUMIFS(supercb[Qtde],supercb[Item],tab_alimentos[[#This Row],[Item]],supercb[Bairro],mercado9)</f>
        <v>0</v>
      </c>
      <c r="U354" s="4">
        <f>SUMIFS(super1[Qtde],super1[Item],tab_alimentos[[#This Row],[Item]],super1[Bairro],mercado10)+SUMIFS(supercb[Qtde],supercb[Item],tab_alimentos[[#This Row],[Item]],supercb[Bairro],mercado10)</f>
        <v>0</v>
      </c>
      <c r="V354" s="4">
        <f>SUMIFS(super1[Qtde],super1[Item],tab_alimentos[[#This Row],[Item]],super1[Bairro],mercado11)+SUMIFS(supercb[Qtde],supercb[Item],tab_alimentos[[#This Row],[Item]],supercb[Bairro],mercado11)</f>
        <v>0</v>
      </c>
      <c r="W354" s="4">
        <f>SUMIFS(super1[Qtde],super1[Item],tab_alimentos[[#This Row],[Item]],super1[Bairro],mercado12)+SUMIFS(supercb[Qtde],supercb[Item],tab_alimentos[[#This Row],[Item]],supercb[Bairro],mercado12)</f>
        <v>0</v>
      </c>
      <c r="X354" s="4">
        <f>SUMIFS(super1[Qtde],super1[Item],tab_alimentos[[#This Row],[Item]],super1[Bairro],mercado13)+SUMIFS(supercb[Qtde],supercb[Item],tab_alimentos[[#This Row],[Item]],supercb[Bairro],mercado13)</f>
        <v>0</v>
      </c>
      <c r="Y354" s="4">
        <f>SUMIFS(super1[Qtde],super1[Item],tab_alimentos[[#This Row],[Item]],super1[Bairro],mercado14)+SUMIFS(supercb[Qtde],supercb[Item],tab_alimentos[[#This Row],[Item]],supercb[Bairro],mercado14)</f>
        <v>0</v>
      </c>
      <c r="Z354" s="4">
        <f>SUMIFS(super1[Qtde],super1[Item],tab_alimentos[[#This Row],[Item]],super1[Bairro],mercado15)+SUMIFS(supercb[Qtde],supercb[Item],tab_alimentos[[#This Row],[Item]],supercb[Bairro],mercado15)</f>
        <v>0</v>
      </c>
      <c r="AA354" s="4">
        <f>SUMIFS(super1[Qtde],super1[Item],tab_alimentos[[#This Row],[Item]],super1[Bairro],mercado16)+SUMIFS(supercb[Qtde],supercb[Item],tab_alimentos[[#This Row],[Item]],supercb[Bairro],mercado16)</f>
        <v>0</v>
      </c>
      <c r="AB354" s="4">
        <f>SUMIFS(super1[Qtde],super1[Item],tab_alimentos[[#This Row],[Item]],super1[Bairro],mercado17)+SUMIFS(supercb[Qtde],supercb[Item],tab_alimentos[[#This Row],[Item]],supercb[Bairro],mercado17)</f>
        <v>0</v>
      </c>
      <c r="AC354" s="4">
        <f>SUMIFS(super1[Qtde],super1[Item],tab_alimentos[[#This Row],[Item]],super1[Bairro],mercado18)+SUMIFS(supercb[Qtde],supercb[Item],tab_alimentos[[#This Row],[Item]],supercb[Bairro],mercado18)</f>
        <v>0</v>
      </c>
      <c r="AD354" s="4">
        <f>SUMIFS(super1[Qtde],super1[Item],tab_alimentos[[#This Row],[Item]],super1[Bairro],extras)+SUMIFS(supercb[Qtde],supercb[Item],tab_alimentos[[#This Row],[Item]],supercb[Bairro],extras)</f>
        <v>0</v>
      </c>
      <c r="AE354" s="4">
        <f t="shared" si="94"/>
        <v>0</v>
      </c>
      <c r="AF354" s="4">
        <f t="shared" si="95"/>
        <v>0</v>
      </c>
      <c r="AG354" s="6">
        <f t="shared" si="96"/>
        <v>0</v>
      </c>
    </row>
    <row r="355" spans="9:33" x14ac:dyDescent="0.25">
      <c r="I355" s="19" t="str">
        <f>alimentos[[#This Row],[Item]]</f>
        <v>P</v>
      </c>
      <c r="J355" s="4">
        <f>IFERROR(alimentos[[#This Row],[kg/embalagem]],0)</f>
        <v>0</v>
      </c>
      <c r="K355" s="4">
        <f>IFERROR(alimentos[[#This Row],[Preço]],0)</f>
        <v>0</v>
      </c>
      <c r="L355" s="4">
        <f>SUMIFS(super1[Qtde],super1[Item],tab_alimentos[[#This Row],[Item]],super1[Bairro],mercado1)+SUMIFS(supercb[Qtde],supercb[Item],tab_alimentos[[#This Row],[Item]],supercb[Bairro],mercado1)</f>
        <v>0</v>
      </c>
      <c r="M355" s="4">
        <f>SUMIFS(super1[Qtde],super1[Item],tab_alimentos[[#This Row],[Item]],super1[Bairro],mercado2)+SUMIFS(supercb[Qtde],supercb[Item],tab_alimentos[[#This Row],[Item]],supercb[Bairro],mercado2)</f>
        <v>0</v>
      </c>
      <c r="N355" s="4">
        <f>SUMIFS(super1[Qtde],super1[Item],tab_alimentos[[#This Row],[Item]],super1[Bairro],mercado3)+SUMIFS(supercb[Qtde],supercb[Item],tab_alimentos[[#This Row],[Item]],supercb[Bairro],mercado3)</f>
        <v>0</v>
      </c>
      <c r="O355" s="4">
        <f>SUMIFS(super1[Qtde],super1[Item],tab_alimentos[[#This Row],[Item]],super1[Bairro],mercado4)+SUMIFS(supercb[Qtde],supercb[Item],tab_alimentos[[#This Row],[Item]],supercb[Bairro],mercado4)</f>
        <v>0</v>
      </c>
      <c r="P355" s="4">
        <f>SUMIFS(super1[Qtde],super1[Item],tab_alimentos[[#This Row],[Item]],super1[Bairro],mercado5)+SUMIFS(supercb[Qtde],supercb[Item],tab_alimentos[[#This Row],[Item]],supercb[Bairro],mercado5)</f>
        <v>0</v>
      </c>
      <c r="Q355" s="4">
        <f>SUMIFS(super1[Qtde],super1[Item],tab_alimentos[[#This Row],[Item]],super1[Bairro],mercado6)+SUMIFS(supercb[Qtde],supercb[Item],tab_alimentos[[#This Row],[Item]],supercb[Bairro],mercado6)</f>
        <v>0</v>
      </c>
      <c r="R355" s="4">
        <f>SUMIFS(super1[Qtde],super1[Item],tab_alimentos[[#This Row],[Item]],super1[Bairro],mercado7)+SUMIFS(supercb[Qtde],supercb[Item],tab_alimentos[[#This Row],[Item]],supercb[Bairro],mercado7)</f>
        <v>0</v>
      </c>
      <c r="S355" s="4">
        <f>SUMIFS(super1[Qtde],super1[Item],tab_alimentos[[#This Row],[Item]],super1[Bairro],mercado8)+SUMIFS(supercb[Qtde],supercb[Item],tab_alimentos[[#This Row],[Item]],supercb[Bairro],mercado8)</f>
        <v>0</v>
      </c>
      <c r="T355" s="4">
        <f>SUMIFS(super1[Qtde],super1[Item],tab_alimentos[[#This Row],[Item]],super1[Bairro],mercado9)+SUMIFS(supercb[Qtde],supercb[Item],tab_alimentos[[#This Row],[Item]],supercb[Bairro],mercado9)</f>
        <v>0</v>
      </c>
      <c r="U355" s="4">
        <f>SUMIFS(super1[Qtde],super1[Item],tab_alimentos[[#This Row],[Item]],super1[Bairro],mercado10)+SUMIFS(supercb[Qtde],supercb[Item],tab_alimentos[[#This Row],[Item]],supercb[Bairro],mercado10)</f>
        <v>0</v>
      </c>
      <c r="V355" s="4">
        <f>SUMIFS(super1[Qtde],super1[Item],tab_alimentos[[#This Row],[Item]],super1[Bairro],mercado11)+SUMIFS(supercb[Qtde],supercb[Item],tab_alimentos[[#This Row],[Item]],supercb[Bairro],mercado11)</f>
        <v>0</v>
      </c>
      <c r="W355" s="4">
        <f>SUMIFS(super1[Qtde],super1[Item],tab_alimentos[[#This Row],[Item]],super1[Bairro],mercado12)+SUMIFS(supercb[Qtde],supercb[Item],tab_alimentos[[#This Row],[Item]],supercb[Bairro],mercado12)</f>
        <v>0</v>
      </c>
      <c r="X355" s="4">
        <f>SUMIFS(super1[Qtde],super1[Item],tab_alimentos[[#This Row],[Item]],super1[Bairro],mercado13)+SUMIFS(supercb[Qtde],supercb[Item],tab_alimentos[[#This Row],[Item]],supercb[Bairro],mercado13)</f>
        <v>0</v>
      </c>
      <c r="Y355" s="4">
        <f>SUMIFS(super1[Qtde],super1[Item],tab_alimentos[[#This Row],[Item]],super1[Bairro],mercado14)+SUMIFS(supercb[Qtde],supercb[Item],tab_alimentos[[#This Row],[Item]],supercb[Bairro],mercado14)</f>
        <v>0</v>
      </c>
      <c r="Z355" s="4">
        <f>SUMIFS(super1[Qtde],super1[Item],tab_alimentos[[#This Row],[Item]],super1[Bairro],mercado15)+SUMIFS(supercb[Qtde],supercb[Item],tab_alimentos[[#This Row],[Item]],supercb[Bairro],mercado15)</f>
        <v>0</v>
      </c>
      <c r="AA355" s="4">
        <f>SUMIFS(super1[Qtde],super1[Item],tab_alimentos[[#This Row],[Item]],super1[Bairro],mercado16)+SUMIFS(supercb[Qtde],supercb[Item],tab_alimentos[[#This Row],[Item]],supercb[Bairro],mercado16)</f>
        <v>0</v>
      </c>
      <c r="AB355" s="4">
        <f>SUMIFS(super1[Qtde],super1[Item],tab_alimentos[[#This Row],[Item]],super1[Bairro],mercado17)+SUMIFS(supercb[Qtde],supercb[Item],tab_alimentos[[#This Row],[Item]],supercb[Bairro],mercado17)</f>
        <v>0</v>
      </c>
      <c r="AC355" s="4">
        <f>SUMIFS(super1[Qtde],super1[Item],tab_alimentos[[#This Row],[Item]],super1[Bairro],mercado18)+SUMIFS(supercb[Qtde],supercb[Item],tab_alimentos[[#This Row],[Item]],supercb[Bairro],mercado18)</f>
        <v>0</v>
      </c>
      <c r="AD355" s="4">
        <f>SUMIFS(super1[Qtde],super1[Item],tab_alimentos[[#This Row],[Item]],super1[Bairro],extras)+SUMIFS(supercb[Qtde],supercb[Item],tab_alimentos[[#This Row],[Item]],supercb[Bairro],extras)</f>
        <v>0</v>
      </c>
      <c r="AE355" s="4">
        <f t="shared" si="94"/>
        <v>0</v>
      </c>
      <c r="AF355" s="4">
        <f t="shared" si="95"/>
        <v>0</v>
      </c>
      <c r="AG355" s="6">
        <f t="shared" si="96"/>
        <v>0</v>
      </c>
    </row>
    <row r="356" spans="9:33" x14ac:dyDescent="0.25">
      <c r="I356" s="19" t="str">
        <f>alimentos[[#This Row],[Item]]</f>
        <v>Palmito (300g)</v>
      </c>
      <c r="J356" s="4">
        <f>IFERROR(alimentos[[#This Row],[kg/embalagem]],0)</f>
        <v>0.3</v>
      </c>
      <c r="K356" s="4">
        <v>0</v>
      </c>
      <c r="L356" s="4">
        <f>SUMIFS(super1[Qtde],super1[Item],tab_alimentos[[#This Row],[Item]],super1[Bairro],mercado1)+SUMIFS(supercb[Qtde],supercb[Item],tab_alimentos[[#This Row],[Item]],supercb[Bairro],mercado1)</f>
        <v>0</v>
      </c>
      <c r="M356" s="4">
        <f>SUMIFS(super1[Qtde],super1[Item],tab_alimentos[[#This Row],[Item]],super1[Bairro],mercado2)+SUMIFS(supercb[Qtde],supercb[Item],tab_alimentos[[#This Row],[Item]],supercb[Bairro],mercado2)</f>
        <v>0</v>
      </c>
      <c r="N356" s="4">
        <f>SUMIFS(super1[Qtde],super1[Item],tab_alimentos[[#This Row],[Item]],super1[Bairro],mercado3)+SUMIFS(supercb[Qtde],supercb[Item],tab_alimentos[[#This Row],[Item]],supercb[Bairro],mercado3)</f>
        <v>0</v>
      </c>
      <c r="O356" s="4">
        <f>SUMIFS(super1[Qtde],super1[Item],tab_alimentos[[#This Row],[Item]],super1[Bairro],mercado4)+SUMIFS(supercb[Qtde],supercb[Item],tab_alimentos[[#This Row],[Item]],supercb[Bairro],mercado4)</f>
        <v>0</v>
      </c>
      <c r="P356" s="4">
        <f>SUMIFS(super1[Qtde],super1[Item],tab_alimentos[[#This Row],[Item]],super1[Bairro],mercado5)+SUMIFS(supercb[Qtde],supercb[Item],tab_alimentos[[#This Row],[Item]],supercb[Bairro],mercado5)</f>
        <v>0</v>
      </c>
      <c r="Q356" s="4">
        <f>SUMIFS(super1[Qtde],super1[Item],tab_alimentos[[#This Row],[Item]],super1[Bairro],mercado6)+SUMIFS(supercb[Qtde],supercb[Item],tab_alimentos[[#This Row],[Item]],supercb[Bairro],mercado6)</f>
        <v>0</v>
      </c>
      <c r="R356" s="4">
        <f>SUMIFS(super1[Qtde],super1[Item],tab_alimentos[[#This Row],[Item]],super1[Bairro],mercado7)+SUMIFS(supercb[Qtde],supercb[Item],tab_alimentos[[#This Row],[Item]],supercb[Bairro],mercado7)</f>
        <v>0</v>
      </c>
      <c r="S356" s="4">
        <f>SUMIFS(super1[Qtde],super1[Item],tab_alimentos[[#This Row],[Item]],super1[Bairro],mercado8)+SUMIFS(supercb[Qtde],supercb[Item],tab_alimentos[[#This Row],[Item]],supercb[Bairro],mercado8)</f>
        <v>0</v>
      </c>
      <c r="T356" s="4">
        <f>SUMIFS(super1[Qtde],super1[Item],tab_alimentos[[#This Row],[Item]],super1[Bairro],mercado9)+SUMIFS(supercb[Qtde],supercb[Item],tab_alimentos[[#This Row],[Item]],supercb[Bairro],mercado9)</f>
        <v>0</v>
      </c>
      <c r="U356" s="4">
        <f>SUMIFS(super1[Qtde],super1[Item],tab_alimentos[[#This Row],[Item]],super1[Bairro],mercado10)+SUMIFS(supercb[Qtde],supercb[Item],tab_alimentos[[#This Row],[Item]],supercb[Bairro],mercado10)</f>
        <v>0</v>
      </c>
      <c r="V356" s="4">
        <f>SUMIFS(super1[Qtde],super1[Item],tab_alimentos[[#This Row],[Item]],super1[Bairro],mercado11)+SUMIFS(supercb[Qtde],supercb[Item],tab_alimentos[[#This Row],[Item]],supercb[Bairro],mercado11)</f>
        <v>0</v>
      </c>
      <c r="W356" s="4">
        <f>SUMIFS(super1[Qtde],super1[Item],tab_alimentos[[#This Row],[Item]],super1[Bairro],mercado12)+SUMIFS(supercb[Qtde],supercb[Item],tab_alimentos[[#This Row],[Item]],supercb[Bairro],mercado12)</f>
        <v>0</v>
      </c>
      <c r="X356" s="4">
        <f>SUMIFS(super1[Qtde],super1[Item],tab_alimentos[[#This Row],[Item]],super1[Bairro],mercado13)+SUMIFS(supercb[Qtde],supercb[Item],tab_alimentos[[#This Row],[Item]],supercb[Bairro],mercado13)</f>
        <v>0</v>
      </c>
      <c r="Y356" s="4">
        <f>SUMIFS(super1[Qtde],super1[Item],tab_alimentos[[#This Row],[Item]],super1[Bairro],mercado14)+SUMIFS(supercb[Qtde],supercb[Item],tab_alimentos[[#This Row],[Item]],supercb[Bairro],mercado14)</f>
        <v>0</v>
      </c>
      <c r="Z356" s="4">
        <f>SUMIFS(super1[Qtde],super1[Item],tab_alimentos[[#This Row],[Item]],super1[Bairro],mercado15)+SUMIFS(supercb[Qtde],supercb[Item],tab_alimentos[[#This Row],[Item]],supercb[Bairro],mercado15)</f>
        <v>0</v>
      </c>
      <c r="AA356" s="4">
        <f>SUMIFS(super1[Qtde],super1[Item],tab_alimentos[[#This Row],[Item]],super1[Bairro],mercado16)+SUMIFS(supercb[Qtde],supercb[Item],tab_alimentos[[#This Row],[Item]],supercb[Bairro],mercado16)</f>
        <v>0</v>
      </c>
      <c r="AB356" s="4">
        <f>SUMIFS(super1[Qtde],super1[Item],tab_alimentos[[#This Row],[Item]],super1[Bairro],mercado17)+SUMIFS(supercb[Qtde],supercb[Item],tab_alimentos[[#This Row],[Item]],supercb[Bairro],mercado17)</f>
        <v>0</v>
      </c>
      <c r="AC356" s="4">
        <f>SUMIFS(super1[Qtde],super1[Item],tab_alimentos[[#This Row],[Item]],super1[Bairro],mercado18)+SUMIFS(supercb[Qtde],supercb[Item],tab_alimentos[[#This Row],[Item]],supercb[Bairro],mercado18)</f>
        <v>0</v>
      </c>
      <c r="AD356" s="4">
        <f>SUMIFS(super1[Qtde],super1[Item],tab_alimentos[[#This Row],[Item]],super1[Bairro],extras)+SUMIFS(supercb[Qtde],supercb[Item],tab_alimentos[[#This Row],[Item]],supercb[Bairro],extras)</f>
        <v>0</v>
      </c>
      <c r="AE356" s="4">
        <f t="shared" si="94"/>
        <v>0</v>
      </c>
      <c r="AF356" s="4">
        <f t="shared" si="95"/>
        <v>0</v>
      </c>
      <c r="AG356" s="6">
        <f t="shared" si="96"/>
        <v>0</v>
      </c>
    </row>
    <row r="357" spans="9:33" x14ac:dyDescent="0.25">
      <c r="I357" s="19" t="str">
        <f>alimentos[[#This Row],[Item]]</f>
        <v>Palmito (500g)</v>
      </c>
      <c r="J357" s="4">
        <v>0.39</v>
      </c>
      <c r="K357" s="4">
        <f>IFERROR(alimentos[[#This Row],[Preço]],0)</f>
        <v>27.99</v>
      </c>
      <c r="L357" s="4">
        <f>SUMIFS(super1[Qtde],super1[Item],tab_alimentos[[#This Row],[Item]],super1[Bairro],mercado1)+SUMIFS(supercb[Qtde],supercb[Item],tab_alimentos[[#This Row],[Item]],supercb[Bairro],mercado1)</f>
        <v>0</v>
      </c>
      <c r="M357" s="4">
        <f>SUMIFS(super1[Qtde],super1[Item],tab_alimentos[[#This Row],[Item]],super1[Bairro],mercado2)+SUMIFS(supercb[Qtde],supercb[Item],tab_alimentos[[#This Row],[Item]],supercb[Bairro],mercado2)</f>
        <v>0</v>
      </c>
      <c r="N357" s="4">
        <f>SUMIFS(super1[Qtde],super1[Item],tab_alimentos[[#This Row],[Item]],super1[Bairro],mercado3)+SUMIFS(supercb[Qtde],supercb[Item],tab_alimentos[[#This Row],[Item]],supercb[Bairro],mercado3)</f>
        <v>0</v>
      </c>
      <c r="O357" s="4">
        <f>SUMIFS(super1[Qtde],super1[Item],tab_alimentos[[#This Row],[Item]],super1[Bairro],mercado4)+SUMIFS(supercb[Qtde],supercb[Item],tab_alimentos[[#This Row],[Item]],supercb[Bairro],mercado4)</f>
        <v>0</v>
      </c>
      <c r="P357" s="4">
        <f>SUMIFS(super1[Qtde],super1[Item],tab_alimentos[[#This Row],[Item]],super1[Bairro],mercado5)+SUMIFS(supercb[Qtde],supercb[Item],tab_alimentos[[#This Row],[Item]],supercb[Bairro],mercado5)</f>
        <v>0</v>
      </c>
      <c r="Q357" s="4">
        <f>SUMIFS(super1[Qtde],super1[Item],tab_alimentos[[#This Row],[Item]],super1[Bairro],mercado6)+SUMIFS(supercb[Qtde],supercb[Item],tab_alimentos[[#This Row],[Item]],supercb[Bairro],mercado6)</f>
        <v>0</v>
      </c>
      <c r="R357" s="4">
        <f>SUMIFS(super1[Qtde],super1[Item],tab_alimentos[[#This Row],[Item]],super1[Bairro],mercado7)+SUMIFS(supercb[Qtde],supercb[Item],tab_alimentos[[#This Row],[Item]],supercb[Bairro],mercado7)</f>
        <v>0</v>
      </c>
      <c r="S357" s="4">
        <f>SUMIFS(super1[Qtde],super1[Item],tab_alimentos[[#This Row],[Item]],super1[Bairro],mercado8)+SUMIFS(supercb[Qtde],supercb[Item],tab_alimentos[[#This Row],[Item]],supercb[Bairro],mercado8)</f>
        <v>0</v>
      </c>
      <c r="T357" s="4">
        <f>SUMIFS(super1[Qtde],super1[Item],tab_alimentos[[#This Row],[Item]],super1[Bairro],mercado9)+SUMIFS(supercb[Qtde],supercb[Item],tab_alimentos[[#This Row],[Item]],supercb[Bairro],mercado9)</f>
        <v>0</v>
      </c>
      <c r="U357" s="4">
        <f>SUMIFS(super1[Qtde],super1[Item],tab_alimentos[[#This Row],[Item]],super1[Bairro],mercado10)+SUMIFS(supercb[Qtde],supercb[Item],tab_alimentos[[#This Row],[Item]],supercb[Bairro],mercado10)</f>
        <v>0</v>
      </c>
      <c r="V357" s="4">
        <f>SUMIFS(super1[Qtde],super1[Item],tab_alimentos[[#This Row],[Item]],super1[Bairro],mercado11)+SUMIFS(supercb[Qtde],supercb[Item],tab_alimentos[[#This Row],[Item]],supercb[Bairro],mercado11)</f>
        <v>0</v>
      </c>
      <c r="W357" s="4">
        <f>SUMIFS(super1[Qtde],super1[Item],tab_alimentos[[#This Row],[Item]],super1[Bairro],mercado12)+SUMIFS(supercb[Qtde],supercb[Item],tab_alimentos[[#This Row],[Item]],supercb[Bairro],mercado12)</f>
        <v>0</v>
      </c>
      <c r="X357" s="4">
        <f>SUMIFS(super1[Qtde],super1[Item],tab_alimentos[[#This Row],[Item]],super1[Bairro],mercado13)+SUMIFS(supercb[Qtde],supercb[Item],tab_alimentos[[#This Row],[Item]],supercb[Bairro],mercado13)</f>
        <v>0</v>
      </c>
      <c r="Y357" s="4">
        <f>SUMIFS(super1[Qtde],super1[Item],tab_alimentos[[#This Row],[Item]],super1[Bairro],mercado14)+SUMIFS(supercb[Qtde],supercb[Item],tab_alimentos[[#This Row],[Item]],supercb[Bairro],mercado14)</f>
        <v>0</v>
      </c>
      <c r="Z357" s="4">
        <f>SUMIFS(super1[Qtde],super1[Item],tab_alimentos[[#This Row],[Item]],super1[Bairro],mercado15)+SUMIFS(supercb[Qtde],supercb[Item],tab_alimentos[[#This Row],[Item]],supercb[Bairro],mercado15)</f>
        <v>0</v>
      </c>
      <c r="AA357" s="4">
        <f>SUMIFS(super1[Qtde],super1[Item],tab_alimentos[[#This Row],[Item]],super1[Bairro],mercado16)+SUMIFS(supercb[Qtde],supercb[Item],tab_alimentos[[#This Row],[Item]],supercb[Bairro],mercado16)</f>
        <v>0</v>
      </c>
      <c r="AB357" s="4">
        <f>SUMIFS(super1[Qtde],super1[Item],tab_alimentos[[#This Row],[Item]],super1[Bairro],mercado17)+SUMIFS(supercb[Qtde],supercb[Item],tab_alimentos[[#This Row],[Item]],supercb[Bairro],mercado17)</f>
        <v>0</v>
      </c>
      <c r="AC357" s="4">
        <f>SUMIFS(super1[Qtde],super1[Item],tab_alimentos[[#This Row],[Item]],super1[Bairro],mercado18)+SUMIFS(supercb[Qtde],supercb[Item],tab_alimentos[[#This Row],[Item]],supercb[Bairro],mercado18)</f>
        <v>0</v>
      </c>
      <c r="AD357" s="4">
        <f>SUMIFS(super1[Qtde],super1[Item],tab_alimentos[[#This Row],[Item]],super1[Bairro],extras)+SUMIFS(supercb[Qtde],supercb[Item],tab_alimentos[[#This Row],[Item]],supercb[Bairro],extras)</f>
        <v>0</v>
      </c>
      <c r="AE357" s="4">
        <f t="shared" si="94"/>
        <v>0</v>
      </c>
      <c r="AF357" s="4">
        <f t="shared" si="95"/>
        <v>0</v>
      </c>
      <c r="AG357" s="6">
        <f t="shared" si="96"/>
        <v>0</v>
      </c>
    </row>
    <row r="358" spans="9:33" x14ac:dyDescent="0.25">
      <c r="I358" s="19" t="str">
        <f>alimentos[[#This Row],[Item]]</f>
        <v>Palmito (530g)</v>
      </c>
      <c r="J358" s="4">
        <f>IFERROR(alimentos[[#This Row],[kg/embalagem]],0)</f>
        <v>0.53</v>
      </c>
      <c r="K358" s="4">
        <f>IFERROR(alimentos[[#This Row],[Preço]],0)</f>
        <v>28.99</v>
      </c>
      <c r="L358" s="4">
        <f>SUMIFS(super1[Qtde],super1[Item],tab_alimentos[[#This Row],[Item]],super1[Bairro],mercado1)+SUMIFS(supercb[Qtde],supercb[Item],tab_alimentos[[#This Row],[Item]],supercb[Bairro],mercado1)</f>
        <v>0</v>
      </c>
      <c r="M358" s="4">
        <f>SUMIFS(super1[Qtde],super1[Item],tab_alimentos[[#This Row],[Item]],super1[Bairro],mercado2)+SUMIFS(supercb[Qtde],supercb[Item],tab_alimentos[[#This Row],[Item]],supercb[Bairro],mercado2)</f>
        <v>0</v>
      </c>
      <c r="N358" s="4">
        <f>SUMIFS(super1[Qtde],super1[Item],tab_alimentos[[#This Row],[Item]],super1[Bairro],mercado3)+SUMIFS(supercb[Qtde],supercb[Item],tab_alimentos[[#This Row],[Item]],supercb[Bairro],mercado3)</f>
        <v>0</v>
      </c>
      <c r="O358" s="4">
        <f>SUMIFS(super1[Qtde],super1[Item],tab_alimentos[[#This Row],[Item]],super1[Bairro],mercado4)+SUMIFS(supercb[Qtde],supercb[Item],tab_alimentos[[#This Row],[Item]],supercb[Bairro],mercado4)</f>
        <v>0</v>
      </c>
      <c r="P358" s="4">
        <f>SUMIFS(super1[Qtde],super1[Item],tab_alimentos[[#This Row],[Item]],super1[Bairro],mercado5)+SUMIFS(supercb[Qtde],supercb[Item],tab_alimentos[[#This Row],[Item]],supercb[Bairro],mercado5)</f>
        <v>0</v>
      </c>
      <c r="Q358" s="4">
        <f>SUMIFS(super1[Qtde],super1[Item],tab_alimentos[[#This Row],[Item]],super1[Bairro],mercado6)+SUMIFS(supercb[Qtde],supercb[Item],tab_alimentos[[#This Row],[Item]],supercb[Bairro],mercado6)</f>
        <v>0</v>
      </c>
      <c r="R358" s="4">
        <f>SUMIFS(super1[Qtde],super1[Item],tab_alimentos[[#This Row],[Item]],super1[Bairro],mercado7)+SUMIFS(supercb[Qtde],supercb[Item],tab_alimentos[[#This Row],[Item]],supercb[Bairro],mercado7)</f>
        <v>0</v>
      </c>
      <c r="S358" s="4">
        <f>SUMIFS(super1[Qtde],super1[Item],tab_alimentos[[#This Row],[Item]],super1[Bairro],mercado8)+SUMIFS(supercb[Qtde],supercb[Item],tab_alimentos[[#This Row],[Item]],supercb[Bairro],mercado8)</f>
        <v>0</v>
      </c>
      <c r="T358" s="4">
        <f>SUMIFS(super1[Qtde],super1[Item],tab_alimentos[[#This Row],[Item]],super1[Bairro],mercado9)+SUMIFS(supercb[Qtde],supercb[Item],tab_alimentos[[#This Row],[Item]],supercb[Bairro],mercado9)</f>
        <v>0</v>
      </c>
      <c r="U358" s="4">
        <f>SUMIFS(super1[Qtde],super1[Item],tab_alimentos[[#This Row],[Item]],super1[Bairro],mercado10)+SUMIFS(supercb[Qtde],supercb[Item],tab_alimentos[[#This Row],[Item]],supercb[Bairro],mercado10)</f>
        <v>0</v>
      </c>
      <c r="V358" s="4">
        <f>SUMIFS(super1[Qtde],super1[Item],tab_alimentos[[#This Row],[Item]],super1[Bairro],mercado11)+SUMIFS(supercb[Qtde],supercb[Item],tab_alimentos[[#This Row],[Item]],supercb[Bairro],mercado11)</f>
        <v>0</v>
      </c>
      <c r="W358" s="4">
        <f>SUMIFS(super1[Qtde],super1[Item],tab_alimentos[[#This Row],[Item]],super1[Bairro],mercado12)+SUMIFS(supercb[Qtde],supercb[Item],tab_alimentos[[#This Row],[Item]],supercb[Bairro],mercado12)</f>
        <v>0</v>
      </c>
      <c r="X358" s="4">
        <f>SUMIFS(super1[Qtde],super1[Item],tab_alimentos[[#This Row],[Item]],super1[Bairro],mercado13)+SUMIFS(supercb[Qtde],supercb[Item],tab_alimentos[[#This Row],[Item]],supercb[Bairro],mercado13)</f>
        <v>0</v>
      </c>
      <c r="Y358" s="4">
        <f>SUMIFS(super1[Qtde],super1[Item],tab_alimentos[[#This Row],[Item]],super1[Bairro],mercado14)+SUMIFS(supercb[Qtde],supercb[Item],tab_alimentos[[#This Row],[Item]],supercb[Bairro],mercado14)</f>
        <v>0</v>
      </c>
      <c r="Z358" s="4">
        <f>SUMIFS(super1[Qtde],super1[Item],tab_alimentos[[#This Row],[Item]],super1[Bairro],mercado15)+SUMIFS(supercb[Qtde],supercb[Item],tab_alimentos[[#This Row],[Item]],supercb[Bairro],mercado15)</f>
        <v>0</v>
      </c>
      <c r="AA358" s="4">
        <f>SUMIFS(super1[Qtde],super1[Item],tab_alimentos[[#This Row],[Item]],super1[Bairro],mercado16)+SUMIFS(supercb[Qtde],supercb[Item],tab_alimentos[[#This Row],[Item]],supercb[Bairro],mercado16)</f>
        <v>0</v>
      </c>
      <c r="AB358" s="4">
        <f>SUMIFS(super1[Qtde],super1[Item],tab_alimentos[[#This Row],[Item]],super1[Bairro],mercado17)+SUMIFS(supercb[Qtde],supercb[Item],tab_alimentos[[#This Row],[Item]],supercb[Bairro],mercado17)</f>
        <v>0</v>
      </c>
      <c r="AC358" s="4">
        <f>SUMIFS(super1[Qtde],super1[Item],tab_alimentos[[#This Row],[Item]],super1[Bairro],mercado18)+SUMIFS(supercb[Qtde],supercb[Item],tab_alimentos[[#This Row],[Item]],supercb[Bairro],mercado18)</f>
        <v>0</v>
      </c>
      <c r="AD358" s="4">
        <f>SUMIFS(super1[Qtde],super1[Item],tab_alimentos[[#This Row],[Item]],super1[Bairro],extras)+SUMIFS(supercb[Qtde],supercb[Item],tab_alimentos[[#This Row],[Item]],supercb[Bairro],extras)</f>
        <v>0</v>
      </c>
      <c r="AE358" s="4">
        <f t="shared" si="94"/>
        <v>0</v>
      </c>
      <c r="AF358" s="4">
        <f t="shared" si="95"/>
        <v>0</v>
      </c>
      <c r="AG358" s="6">
        <f t="shared" si="96"/>
        <v>0</v>
      </c>
    </row>
    <row r="359" spans="9:33" x14ac:dyDescent="0.25">
      <c r="I359" s="19" t="str">
        <f>alimentos[[#This Row],[Item]]</f>
        <v>Panetone (400g)</v>
      </c>
      <c r="J359" s="4">
        <f>IFERROR(alimentos[[#This Row],[kg/embalagem]],0)</f>
        <v>0.4</v>
      </c>
      <c r="K359" s="4">
        <f>IFERROR(alimentos[[#This Row],[Preço]],0)</f>
        <v>13.99</v>
      </c>
      <c r="L359" s="4">
        <f>SUMIFS(super1[Qtde],super1[Item],tab_alimentos[[#This Row],[Item]],super1[Bairro],mercado1)+SUMIFS(supercb[Qtde],supercb[Item],tab_alimentos[[#This Row],[Item]],supercb[Bairro],mercado1)</f>
        <v>0</v>
      </c>
      <c r="M359" s="4">
        <f>SUMIFS(super1[Qtde],super1[Item],tab_alimentos[[#This Row],[Item]],super1[Bairro],mercado2)+SUMIFS(supercb[Qtde],supercb[Item],tab_alimentos[[#This Row],[Item]],supercb[Bairro],mercado2)</f>
        <v>0</v>
      </c>
      <c r="N359" s="4">
        <f>SUMIFS(super1[Qtde],super1[Item],tab_alimentos[[#This Row],[Item]],super1[Bairro],mercado3)+SUMIFS(supercb[Qtde],supercb[Item],tab_alimentos[[#This Row],[Item]],supercb[Bairro],mercado3)</f>
        <v>0</v>
      </c>
      <c r="O359" s="4">
        <f>SUMIFS(super1[Qtde],super1[Item],tab_alimentos[[#This Row],[Item]],super1[Bairro],mercado4)+SUMIFS(supercb[Qtde],supercb[Item],tab_alimentos[[#This Row],[Item]],supercb[Bairro],mercado4)</f>
        <v>0</v>
      </c>
      <c r="P359" s="4">
        <f>SUMIFS(super1[Qtde],super1[Item],tab_alimentos[[#This Row],[Item]],super1[Bairro],mercado5)+SUMIFS(supercb[Qtde],supercb[Item],tab_alimentos[[#This Row],[Item]],supercb[Bairro],mercado5)</f>
        <v>0</v>
      </c>
      <c r="Q359" s="4">
        <f>SUMIFS(super1[Qtde],super1[Item],tab_alimentos[[#This Row],[Item]],super1[Bairro],mercado6)+SUMIFS(supercb[Qtde],supercb[Item],tab_alimentos[[#This Row],[Item]],supercb[Bairro],mercado6)</f>
        <v>0</v>
      </c>
      <c r="R359" s="4">
        <f>SUMIFS(super1[Qtde],super1[Item],tab_alimentos[[#This Row],[Item]],super1[Bairro],mercado7)+SUMIFS(supercb[Qtde],supercb[Item],tab_alimentos[[#This Row],[Item]],supercb[Bairro],mercado7)</f>
        <v>0</v>
      </c>
      <c r="S359" s="4">
        <f>SUMIFS(super1[Qtde],super1[Item],tab_alimentos[[#This Row],[Item]],super1[Bairro],mercado8)+SUMIFS(supercb[Qtde],supercb[Item],tab_alimentos[[#This Row],[Item]],supercb[Bairro],mercado8)</f>
        <v>0</v>
      </c>
      <c r="T359" s="4">
        <f>SUMIFS(super1[Qtde],super1[Item],tab_alimentos[[#This Row],[Item]],super1[Bairro],mercado9)+SUMIFS(supercb[Qtde],supercb[Item],tab_alimentos[[#This Row],[Item]],supercb[Bairro],mercado9)</f>
        <v>0</v>
      </c>
      <c r="U359" s="4">
        <f>SUMIFS(super1[Qtde],super1[Item],tab_alimentos[[#This Row],[Item]],super1[Bairro],mercado10)+SUMIFS(supercb[Qtde],supercb[Item],tab_alimentos[[#This Row],[Item]],supercb[Bairro],mercado10)</f>
        <v>0</v>
      </c>
      <c r="V359" s="4">
        <f>SUMIFS(super1[Qtde],super1[Item],tab_alimentos[[#This Row],[Item]],super1[Bairro],mercado11)+SUMIFS(supercb[Qtde],supercb[Item],tab_alimentos[[#This Row],[Item]],supercb[Bairro],mercado11)</f>
        <v>0</v>
      </c>
      <c r="W359" s="4">
        <f>SUMIFS(super1[Qtde],super1[Item],tab_alimentos[[#This Row],[Item]],super1[Bairro],mercado12)+SUMIFS(supercb[Qtde],supercb[Item],tab_alimentos[[#This Row],[Item]],supercb[Bairro],mercado12)</f>
        <v>0</v>
      </c>
      <c r="X359" s="4">
        <f>SUMIFS(super1[Qtde],super1[Item],tab_alimentos[[#This Row],[Item]],super1[Bairro],mercado13)+SUMIFS(supercb[Qtde],supercb[Item],tab_alimentos[[#This Row],[Item]],supercb[Bairro],mercado13)</f>
        <v>0</v>
      </c>
      <c r="Y359" s="4">
        <f>SUMIFS(super1[Qtde],super1[Item],tab_alimentos[[#This Row],[Item]],super1[Bairro],mercado14)+SUMIFS(supercb[Qtde],supercb[Item],tab_alimentos[[#This Row],[Item]],supercb[Bairro],mercado14)</f>
        <v>0</v>
      </c>
      <c r="Z359" s="4">
        <f>SUMIFS(super1[Qtde],super1[Item],tab_alimentos[[#This Row],[Item]],super1[Bairro],mercado15)+SUMIFS(supercb[Qtde],supercb[Item],tab_alimentos[[#This Row],[Item]],supercb[Bairro],mercado15)</f>
        <v>0</v>
      </c>
      <c r="AA359" s="4">
        <f>SUMIFS(super1[Qtde],super1[Item],tab_alimentos[[#This Row],[Item]],super1[Bairro],mercado16)+SUMIFS(supercb[Qtde],supercb[Item],tab_alimentos[[#This Row],[Item]],supercb[Bairro],mercado16)</f>
        <v>0</v>
      </c>
      <c r="AB359" s="4">
        <f>SUMIFS(super1[Qtde],super1[Item],tab_alimentos[[#This Row],[Item]],super1[Bairro],mercado17)+SUMIFS(supercb[Qtde],supercb[Item],tab_alimentos[[#This Row],[Item]],supercb[Bairro],mercado17)</f>
        <v>0</v>
      </c>
      <c r="AC359" s="4">
        <f>SUMIFS(super1[Qtde],super1[Item],tab_alimentos[[#This Row],[Item]],super1[Bairro],mercado18)+SUMIFS(supercb[Qtde],supercb[Item],tab_alimentos[[#This Row],[Item]],supercb[Bairro],mercado18)</f>
        <v>0</v>
      </c>
      <c r="AD359" s="4">
        <f>SUMIFS(super1[Qtde],super1[Item],tab_alimentos[[#This Row],[Item]],super1[Bairro],extras)+SUMIFS(supercb[Qtde],supercb[Item],tab_alimentos[[#This Row],[Item]],supercb[Bairro],extras)</f>
        <v>0</v>
      </c>
      <c r="AE359" s="4">
        <f t="shared" si="94"/>
        <v>0</v>
      </c>
      <c r="AF359" s="4">
        <f t="shared" si="95"/>
        <v>0</v>
      </c>
      <c r="AG359" s="6">
        <f t="shared" si="96"/>
        <v>0</v>
      </c>
    </row>
    <row r="360" spans="9:33" x14ac:dyDescent="0.25">
      <c r="I360" s="19" t="str">
        <f>alimentos[[#This Row],[Item]]</f>
        <v>Panetone (500g)</v>
      </c>
      <c r="J360" s="4">
        <f>IFERROR(alimentos[[#This Row],[kg/embalagem]],0)</f>
        <v>0.5</v>
      </c>
      <c r="K360" s="4">
        <f>IFERROR(alimentos[[#This Row],[Preço]],0)</f>
        <v>21.99</v>
      </c>
      <c r="L360" s="4">
        <f>SUMIFS(super1[Qtde],super1[Item],tab_alimentos[[#This Row],[Item]],super1[Bairro],mercado1)+SUMIFS(supercb[Qtde],supercb[Item],tab_alimentos[[#This Row],[Item]],supercb[Bairro],mercado1)</f>
        <v>0</v>
      </c>
      <c r="M360" s="4">
        <f>SUMIFS(super1[Qtde],super1[Item],tab_alimentos[[#This Row],[Item]],super1[Bairro],mercado2)+SUMIFS(supercb[Qtde],supercb[Item],tab_alimentos[[#This Row],[Item]],supercb[Bairro],mercado2)</f>
        <v>0</v>
      </c>
      <c r="N360" s="4">
        <f>SUMIFS(super1[Qtde],super1[Item],tab_alimentos[[#This Row],[Item]],super1[Bairro],mercado3)+SUMIFS(supercb[Qtde],supercb[Item],tab_alimentos[[#This Row],[Item]],supercb[Bairro],mercado3)</f>
        <v>0</v>
      </c>
      <c r="O360" s="4">
        <f>SUMIFS(super1[Qtde],super1[Item],tab_alimentos[[#This Row],[Item]],super1[Bairro],mercado4)+SUMIFS(supercb[Qtde],supercb[Item],tab_alimentos[[#This Row],[Item]],supercb[Bairro],mercado4)</f>
        <v>0</v>
      </c>
      <c r="P360" s="4">
        <f>SUMIFS(super1[Qtde],super1[Item],tab_alimentos[[#This Row],[Item]],super1[Bairro],mercado5)+SUMIFS(supercb[Qtde],supercb[Item],tab_alimentos[[#This Row],[Item]],supercb[Bairro],mercado5)</f>
        <v>0</v>
      </c>
      <c r="Q360" s="4">
        <f>SUMIFS(super1[Qtde],super1[Item],tab_alimentos[[#This Row],[Item]],super1[Bairro],mercado6)+SUMIFS(supercb[Qtde],supercb[Item],tab_alimentos[[#This Row],[Item]],supercb[Bairro],mercado6)</f>
        <v>0</v>
      </c>
      <c r="R360" s="4">
        <f>SUMIFS(super1[Qtde],super1[Item],tab_alimentos[[#This Row],[Item]],super1[Bairro],mercado7)+SUMIFS(supercb[Qtde],supercb[Item],tab_alimentos[[#This Row],[Item]],supercb[Bairro],mercado7)</f>
        <v>0</v>
      </c>
      <c r="S360" s="4">
        <f>SUMIFS(super1[Qtde],super1[Item],tab_alimentos[[#This Row],[Item]],super1[Bairro],mercado8)+SUMIFS(supercb[Qtde],supercb[Item],tab_alimentos[[#This Row],[Item]],supercb[Bairro],mercado8)</f>
        <v>0</v>
      </c>
      <c r="T360" s="4">
        <f>SUMIFS(super1[Qtde],super1[Item],tab_alimentos[[#This Row],[Item]],super1[Bairro],mercado9)+SUMIFS(supercb[Qtde],supercb[Item],tab_alimentos[[#This Row],[Item]],supercb[Bairro],mercado9)</f>
        <v>0</v>
      </c>
      <c r="U360" s="4">
        <f>SUMIFS(super1[Qtde],super1[Item],tab_alimentos[[#This Row],[Item]],super1[Bairro],mercado10)+SUMIFS(supercb[Qtde],supercb[Item],tab_alimentos[[#This Row],[Item]],supercb[Bairro],mercado10)</f>
        <v>0</v>
      </c>
      <c r="V360" s="4">
        <f>SUMIFS(super1[Qtde],super1[Item],tab_alimentos[[#This Row],[Item]],super1[Bairro],mercado11)+SUMIFS(supercb[Qtde],supercb[Item],tab_alimentos[[#This Row],[Item]],supercb[Bairro],mercado11)</f>
        <v>0</v>
      </c>
      <c r="W360" s="4">
        <f>SUMIFS(super1[Qtde],super1[Item],tab_alimentos[[#This Row],[Item]],super1[Bairro],mercado12)+SUMIFS(supercb[Qtde],supercb[Item],tab_alimentos[[#This Row],[Item]],supercb[Bairro],mercado12)</f>
        <v>0</v>
      </c>
      <c r="X360" s="4">
        <f>SUMIFS(super1[Qtde],super1[Item],tab_alimentos[[#This Row],[Item]],super1[Bairro],mercado13)+SUMIFS(supercb[Qtde],supercb[Item],tab_alimentos[[#This Row],[Item]],supercb[Bairro],mercado13)</f>
        <v>0</v>
      </c>
      <c r="Y360" s="4">
        <f>SUMIFS(super1[Qtde],super1[Item],tab_alimentos[[#This Row],[Item]],super1[Bairro],mercado14)+SUMIFS(supercb[Qtde],supercb[Item],tab_alimentos[[#This Row],[Item]],supercb[Bairro],mercado14)</f>
        <v>0</v>
      </c>
      <c r="Z360" s="4">
        <f>SUMIFS(super1[Qtde],super1[Item],tab_alimentos[[#This Row],[Item]],super1[Bairro],mercado15)+SUMIFS(supercb[Qtde],supercb[Item],tab_alimentos[[#This Row],[Item]],supercb[Bairro],mercado15)</f>
        <v>0</v>
      </c>
      <c r="AA360" s="4">
        <f>SUMIFS(super1[Qtde],super1[Item],tab_alimentos[[#This Row],[Item]],super1[Bairro],mercado16)+SUMIFS(supercb[Qtde],supercb[Item],tab_alimentos[[#This Row],[Item]],supercb[Bairro],mercado16)</f>
        <v>0</v>
      </c>
      <c r="AB360" s="4">
        <f>SUMIFS(super1[Qtde],super1[Item],tab_alimentos[[#This Row],[Item]],super1[Bairro],mercado17)+SUMIFS(supercb[Qtde],supercb[Item],tab_alimentos[[#This Row],[Item]],supercb[Bairro],mercado17)</f>
        <v>0</v>
      </c>
      <c r="AC360" s="4">
        <f>SUMIFS(super1[Qtde],super1[Item],tab_alimentos[[#This Row],[Item]],super1[Bairro],mercado18)+SUMIFS(supercb[Qtde],supercb[Item],tab_alimentos[[#This Row],[Item]],supercb[Bairro],mercado18)</f>
        <v>0</v>
      </c>
      <c r="AD360" s="4">
        <f>SUMIFS(super1[Qtde],super1[Item],tab_alimentos[[#This Row],[Item]],super1[Bairro],extras)+SUMIFS(supercb[Qtde],supercb[Item],tab_alimentos[[#This Row],[Item]],supercb[Bairro],extras)</f>
        <v>0</v>
      </c>
      <c r="AE360" s="4">
        <f t="shared" si="94"/>
        <v>0</v>
      </c>
      <c r="AF360" s="4">
        <f t="shared" si="95"/>
        <v>0</v>
      </c>
      <c r="AG360" s="6">
        <f t="shared" si="96"/>
        <v>0</v>
      </c>
    </row>
    <row r="361" spans="9:33" x14ac:dyDescent="0.25">
      <c r="I361" s="19" t="str">
        <f>alimentos[[#This Row],[Item]]</f>
        <v>Panetone (80g)</v>
      </c>
      <c r="J361" s="4">
        <f>IFERROR(alimentos[[#This Row],[kg/embalagem]],0)</f>
        <v>0.08</v>
      </c>
      <c r="K361" s="4">
        <f>IFERROR(alimentos[[#This Row],[Preço]],0)</f>
        <v>6.79</v>
      </c>
      <c r="L361" s="4">
        <f>SUMIFS(super1[Qtde],super1[Item],tab_alimentos[[#This Row],[Item]],super1[Bairro],mercado1)+SUMIFS(supercb[Qtde],supercb[Item],tab_alimentos[[#This Row],[Item]],supercb[Bairro],mercado1)</f>
        <v>0</v>
      </c>
      <c r="M361" s="4">
        <f>SUMIFS(super1[Qtde],super1[Item],tab_alimentos[[#This Row],[Item]],super1[Bairro],mercado2)+SUMIFS(supercb[Qtde],supercb[Item],tab_alimentos[[#This Row],[Item]],supercb[Bairro],mercado2)</f>
        <v>0</v>
      </c>
      <c r="N361" s="4">
        <f>SUMIFS(super1[Qtde],super1[Item],tab_alimentos[[#This Row],[Item]],super1[Bairro],mercado3)+SUMIFS(supercb[Qtde],supercb[Item],tab_alimentos[[#This Row],[Item]],supercb[Bairro],mercado3)</f>
        <v>0</v>
      </c>
      <c r="O361" s="4">
        <f>SUMIFS(super1[Qtde],super1[Item],tab_alimentos[[#This Row],[Item]],super1[Bairro],mercado4)+SUMIFS(supercb[Qtde],supercb[Item],tab_alimentos[[#This Row],[Item]],supercb[Bairro],mercado4)</f>
        <v>0</v>
      </c>
      <c r="P361" s="4">
        <f>SUMIFS(super1[Qtde],super1[Item],tab_alimentos[[#This Row],[Item]],super1[Bairro],mercado5)+SUMIFS(supercb[Qtde],supercb[Item],tab_alimentos[[#This Row],[Item]],supercb[Bairro],mercado5)</f>
        <v>0</v>
      </c>
      <c r="Q361" s="4">
        <f>SUMIFS(super1[Qtde],super1[Item],tab_alimentos[[#This Row],[Item]],super1[Bairro],mercado6)+SUMIFS(supercb[Qtde],supercb[Item],tab_alimentos[[#This Row],[Item]],supercb[Bairro],mercado6)</f>
        <v>0</v>
      </c>
      <c r="R361" s="4">
        <f>SUMIFS(super1[Qtde],super1[Item],tab_alimentos[[#This Row],[Item]],super1[Bairro],mercado7)+SUMIFS(supercb[Qtde],supercb[Item],tab_alimentos[[#This Row],[Item]],supercb[Bairro],mercado7)</f>
        <v>0</v>
      </c>
      <c r="S361" s="4">
        <f>SUMIFS(super1[Qtde],super1[Item],tab_alimentos[[#This Row],[Item]],super1[Bairro],mercado8)+SUMIFS(supercb[Qtde],supercb[Item],tab_alimentos[[#This Row],[Item]],supercb[Bairro],mercado8)</f>
        <v>0</v>
      </c>
      <c r="T361" s="4">
        <f>SUMIFS(super1[Qtde],super1[Item],tab_alimentos[[#This Row],[Item]],super1[Bairro],mercado9)+SUMIFS(supercb[Qtde],supercb[Item],tab_alimentos[[#This Row],[Item]],supercb[Bairro],mercado9)</f>
        <v>0</v>
      </c>
      <c r="U361" s="4">
        <f>SUMIFS(super1[Qtde],super1[Item],tab_alimentos[[#This Row],[Item]],super1[Bairro],mercado10)+SUMIFS(supercb[Qtde],supercb[Item],tab_alimentos[[#This Row],[Item]],supercb[Bairro],mercado10)</f>
        <v>0</v>
      </c>
      <c r="V361" s="4">
        <f>SUMIFS(super1[Qtde],super1[Item],tab_alimentos[[#This Row],[Item]],super1[Bairro],mercado11)+SUMIFS(supercb[Qtde],supercb[Item],tab_alimentos[[#This Row],[Item]],supercb[Bairro],mercado11)</f>
        <v>0</v>
      </c>
      <c r="W361" s="4">
        <f>SUMIFS(super1[Qtde],super1[Item],tab_alimentos[[#This Row],[Item]],super1[Bairro],mercado12)+SUMIFS(supercb[Qtde],supercb[Item],tab_alimentos[[#This Row],[Item]],supercb[Bairro],mercado12)</f>
        <v>0</v>
      </c>
      <c r="X361" s="4">
        <f>SUMIFS(super1[Qtde],super1[Item],tab_alimentos[[#This Row],[Item]],super1[Bairro],mercado13)+SUMIFS(supercb[Qtde],supercb[Item],tab_alimentos[[#This Row],[Item]],supercb[Bairro],mercado13)</f>
        <v>0</v>
      </c>
      <c r="Y361" s="4">
        <f>SUMIFS(super1[Qtde],super1[Item],tab_alimentos[[#This Row],[Item]],super1[Bairro],mercado14)+SUMIFS(supercb[Qtde],supercb[Item],tab_alimentos[[#This Row],[Item]],supercb[Bairro],mercado14)</f>
        <v>0</v>
      </c>
      <c r="Z361" s="4">
        <f>SUMIFS(super1[Qtde],super1[Item],tab_alimentos[[#This Row],[Item]],super1[Bairro],mercado15)+SUMIFS(supercb[Qtde],supercb[Item],tab_alimentos[[#This Row],[Item]],supercb[Bairro],mercado15)</f>
        <v>0</v>
      </c>
      <c r="AA361" s="4">
        <f>SUMIFS(super1[Qtde],super1[Item],tab_alimentos[[#This Row],[Item]],super1[Bairro],mercado16)+SUMIFS(supercb[Qtde],supercb[Item],tab_alimentos[[#This Row],[Item]],supercb[Bairro],mercado16)</f>
        <v>0</v>
      </c>
      <c r="AB361" s="4">
        <f>SUMIFS(super1[Qtde],super1[Item],tab_alimentos[[#This Row],[Item]],super1[Bairro],mercado17)+SUMIFS(supercb[Qtde],supercb[Item],tab_alimentos[[#This Row],[Item]],supercb[Bairro],mercado17)</f>
        <v>0</v>
      </c>
      <c r="AC361" s="4">
        <f>SUMIFS(super1[Qtde],super1[Item],tab_alimentos[[#This Row],[Item]],super1[Bairro],mercado18)+SUMIFS(supercb[Qtde],supercb[Item],tab_alimentos[[#This Row],[Item]],supercb[Bairro],mercado18)</f>
        <v>0</v>
      </c>
      <c r="AD361" s="4">
        <f>SUMIFS(super1[Qtde],super1[Item],tab_alimentos[[#This Row],[Item]],super1[Bairro],extras)+SUMIFS(supercb[Qtde],supercb[Item],tab_alimentos[[#This Row],[Item]],supercb[Bairro],extras)</f>
        <v>0</v>
      </c>
      <c r="AE361" s="4">
        <f t="shared" si="94"/>
        <v>0</v>
      </c>
      <c r="AF361" s="4">
        <f t="shared" si="95"/>
        <v>0</v>
      </c>
      <c r="AG361" s="6">
        <f t="shared" si="96"/>
        <v>0</v>
      </c>
    </row>
    <row r="362" spans="9:33" x14ac:dyDescent="0.25">
      <c r="I362" s="19" t="str">
        <f>alimentos[[#This Row],[Item]]</f>
        <v>Pão de Forma (500g)</v>
      </c>
      <c r="J362" s="4">
        <f>IFERROR(alimentos[[#This Row],[kg/embalagem]],0)</f>
        <v>0.5</v>
      </c>
      <c r="K362" s="4">
        <f>IFERROR(alimentos[[#This Row],[Preço]],0)</f>
        <v>11.7</v>
      </c>
      <c r="L362" s="4">
        <f>SUMIFS(super1[Qtde],super1[Item],tab_alimentos[[#This Row],[Item]],super1[Bairro],mercado1)+SUMIFS(supercb[Qtde],supercb[Item],tab_alimentos[[#This Row],[Item]],supercb[Bairro],mercado1)</f>
        <v>0</v>
      </c>
      <c r="M362" s="4">
        <f>SUMIFS(super1[Qtde],super1[Item],tab_alimentos[[#This Row],[Item]],super1[Bairro],mercado2)+SUMIFS(supercb[Qtde],supercb[Item],tab_alimentos[[#This Row],[Item]],supercb[Bairro],mercado2)</f>
        <v>0</v>
      </c>
      <c r="N362" s="4">
        <f>SUMIFS(super1[Qtde],super1[Item],tab_alimentos[[#This Row],[Item]],super1[Bairro],mercado3)+SUMIFS(supercb[Qtde],supercb[Item],tab_alimentos[[#This Row],[Item]],supercb[Bairro],mercado3)</f>
        <v>0</v>
      </c>
      <c r="O362" s="4">
        <f>SUMIFS(super1[Qtde],super1[Item],tab_alimentos[[#This Row],[Item]],super1[Bairro],mercado4)+SUMIFS(supercb[Qtde],supercb[Item],tab_alimentos[[#This Row],[Item]],supercb[Bairro],mercado4)</f>
        <v>0</v>
      </c>
      <c r="P362" s="4">
        <f>SUMIFS(super1[Qtde],super1[Item],tab_alimentos[[#This Row],[Item]],super1[Bairro],mercado5)+SUMIFS(supercb[Qtde],supercb[Item],tab_alimentos[[#This Row],[Item]],supercb[Bairro],mercado5)</f>
        <v>0</v>
      </c>
      <c r="Q362" s="4">
        <f>SUMIFS(super1[Qtde],super1[Item],tab_alimentos[[#This Row],[Item]],super1[Bairro],mercado6)+SUMIFS(supercb[Qtde],supercb[Item],tab_alimentos[[#This Row],[Item]],supercb[Bairro],mercado6)</f>
        <v>0</v>
      </c>
      <c r="R362" s="4">
        <f>SUMIFS(super1[Qtde],super1[Item],tab_alimentos[[#This Row],[Item]],super1[Bairro],mercado7)+SUMIFS(supercb[Qtde],supercb[Item],tab_alimentos[[#This Row],[Item]],supercb[Bairro],mercado7)</f>
        <v>0</v>
      </c>
      <c r="S362" s="4">
        <f>SUMIFS(super1[Qtde],super1[Item],tab_alimentos[[#This Row],[Item]],super1[Bairro],mercado8)+SUMIFS(supercb[Qtde],supercb[Item],tab_alimentos[[#This Row],[Item]],supercb[Bairro],mercado8)</f>
        <v>0</v>
      </c>
      <c r="T362" s="4">
        <f>SUMIFS(super1[Qtde],super1[Item],tab_alimentos[[#This Row],[Item]],super1[Bairro],mercado9)+SUMIFS(supercb[Qtde],supercb[Item],tab_alimentos[[#This Row],[Item]],supercb[Bairro],mercado9)</f>
        <v>0</v>
      </c>
      <c r="U362" s="4">
        <f>SUMIFS(super1[Qtde],super1[Item],tab_alimentos[[#This Row],[Item]],super1[Bairro],mercado10)+SUMIFS(supercb[Qtde],supercb[Item],tab_alimentos[[#This Row],[Item]],supercb[Bairro],mercado10)</f>
        <v>0</v>
      </c>
      <c r="V362" s="4">
        <f>SUMIFS(super1[Qtde],super1[Item],tab_alimentos[[#This Row],[Item]],super1[Bairro],mercado11)+SUMIFS(supercb[Qtde],supercb[Item],tab_alimentos[[#This Row],[Item]],supercb[Bairro],mercado11)</f>
        <v>0</v>
      </c>
      <c r="W362" s="4">
        <f>SUMIFS(super1[Qtde],super1[Item],tab_alimentos[[#This Row],[Item]],super1[Bairro],mercado12)+SUMIFS(supercb[Qtde],supercb[Item],tab_alimentos[[#This Row],[Item]],supercb[Bairro],mercado12)</f>
        <v>0</v>
      </c>
      <c r="X362" s="4">
        <f>SUMIFS(super1[Qtde],super1[Item],tab_alimentos[[#This Row],[Item]],super1[Bairro],mercado13)+SUMIFS(supercb[Qtde],supercb[Item],tab_alimentos[[#This Row],[Item]],supercb[Bairro],mercado13)</f>
        <v>0</v>
      </c>
      <c r="Y362" s="4">
        <f>SUMIFS(super1[Qtde],super1[Item],tab_alimentos[[#This Row],[Item]],super1[Bairro],mercado14)+SUMIFS(supercb[Qtde],supercb[Item],tab_alimentos[[#This Row],[Item]],supercb[Bairro],mercado14)</f>
        <v>0</v>
      </c>
      <c r="Z362" s="4">
        <f>SUMIFS(super1[Qtde],super1[Item],tab_alimentos[[#This Row],[Item]],super1[Bairro],mercado15)+SUMIFS(supercb[Qtde],supercb[Item],tab_alimentos[[#This Row],[Item]],supercb[Bairro],mercado15)</f>
        <v>0</v>
      </c>
      <c r="AA362" s="4">
        <f>SUMIFS(super1[Qtde],super1[Item],tab_alimentos[[#This Row],[Item]],super1[Bairro],mercado16)+SUMIFS(supercb[Qtde],supercb[Item],tab_alimentos[[#This Row],[Item]],supercb[Bairro],mercado16)</f>
        <v>0</v>
      </c>
      <c r="AB362" s="4">
        <f>SUMIFS(super1[Qtde],super1[Item],tab_alimentos[[#This Row],[Item]],super1[Bairro],mercado17)+SUMIFS(supercb[Qtde],supercb[Item],tab_alimentos[[#This Row],[Item]],supercb[Bairro],mercado17)</f>
        <v>0</v>
      </c>
      <c r="AC362" s="4">
        <f>SUMIFS(super1[Qtde],super1[Item],tab_alimentos[[#This Row],[Item]],super1[Bairro],mercado18)+SUMIFS(supercb[Qtde],supercb[Item],tab_alimentos[[#This Row],[Item]],supercb[Bairro],mercado18)</f>
        <v>0</v>
      </c>
      <c r="AD362" s="4">
        <f>SUMIFS(super1[Qtde],super1[Item],tab_alimentos[[#This Row],[Item]],super1[Bairro],extras)+SUMIFS(supercb[Qtde],supercb[Item],tab_alimentos[[#This Row],[Item]],supercb[Bairro],extras)</f>
        <v>0</v>
      </c>
      <c r="AE362" s="4">
        <f t="shared" si="94"/>
        <v>0</v>
      </c>
      <c r="AF362" s="4">
        <f t="shared" si="95"/>
        <v>0</v>
      </c>
      <c r="AG362" s="6">
        <f t="shared" si="96"/>
        <v>0</v>
      </c>
    </row>
    <row r="363" spans="9:33" x14ac:dyDescent="0.25">
      <c r="I363" s="19" t="str">
        <f>alimentos[[#This Row],[Item]]</f>
        <v>Pão de Mel (200g)</v>
      </c>
      <c r="J363" s="4">
        <f>IFERROR(alimentos[[#This Row],[kg/embalagem]],0)</f>
        <v>0.2</v>
      </c>
      <c r="K363" s="4">
        <f>IFERROR(alimentos[[#This Row],[Preço]],0)</f>
        <v>10.5</v>
      </c>
      <c r="L363" s="4">
        <f>SUMIFS(super1[Qtde],super1[Item],tab_alimentos[[#This Row],[Item]],super1[Bairro],mercado1)+SUMIFS(supercb[Qtde],supercb[Item],tab_alimentos[[#This Row],[Item]],supercb[Bairro],mercado1)</f>
        <v>0</v>
      </c>
      <c r="M363" s="4">
        <f>SUMIFS(super1[Qtde],super1[Item],tab_alimentos[[#This Row],[Item]],super1[Bairro],mercado2)+SUMIFS(supercb[Qtde],supercb[Item],tab_alimentos[[#This Row],[Item]],supercb[Bairro],mercado2)</f>
        <v>0</v>
      </c>
      <c r="N363" s="4">
        <f>SUMIFS(super1[Qtde],super1[Item],tab_alimentos[[#This Row],[Item]],super1[Bairro],mercado3)+SUMIFS(supercb[Qtde],supercb[Item],tab_alimentos[[#This Row],[Item]],supercb[Bairro],mercado3)</f>
        <v>0</v>
      </c>
      <c r="O363" s="4">
        <f>SUMIFS(super1[Qtde],super1[Item],tab_alimentos[[#This Row],[Item]],super1[Bairro],mercado4)+SUMIFS(supercb[Qtde],supercb[Item],tab_alimentos[[#This Row],[Item]],supercb[Bairro],mercado4)</f>
        <v>0</v>
      </c>
      <c r="P363" s="4">
        <f>SUMIFS(super1[Qtde],super1[Item],tab_alimentos[[#This Row],[Item]],super1[Bairro],mercado5)+SUMIFS(supercb[Qtde],supercb[Item],tab_alimentos[[#This Row],[Item]],supercb[Bairro],mercado5)</f>
        <v>0</v>
      </c>
      <c r="Q363" s="4">
        <f>SUMIFS(super1[Qtde],super1[Item],tab_alimentos[[#This Row],[Item]],super1[Bairro],mercado6)+SUMIFS(supercb[Qtde],supercb[Item],tab_alimentos[[#This Row],[Item]],supercb[Bairro],mercado6)</f>
        <v>0</v>
      </c>
      <c r="R363" s="4">
        <f>SUMIFS(super1[Qtde],super1[Item],tab_alimentos[[#This Row],[Item]],super1[Bairro],mercado7)+SUMIFS(supercb[Qtde],supercb[Item],tab_alimentos[[#This Row],[Item]],supercb[Bairro],mercado7)</f>
        <v>0</v>
      </c>
      <c r="S363" s="4">
        <f>SUMIFS(super1[Qtde],super1[Item],tab_alimentos[[#This Row],[Item]],super1[Bairro],mercado8)+SUMIFS(supercb[Qtde],supercb[Item],tab_alimentos[[#This Row],[Item]],supercb[Bairro],mercado8)</f>
        <v>0</v>
      </c>
      <c r="T363" s="4">
        <f>SUMIFS(super1[Qtde],super1[Item],tab_alimentos[[#This Row],[Item]],super1[Bairro],mercado9)+SUMIFS(supercb[Qtde],supercb[Item],tab_alimentos[[#This Row],[Item]],supercb[Bairro],mercado9)</f>
        <v>0</v>
      </c>
      <c r="U363" s="4">
        <f>SUMIFS(super1[Qtde],super1[Item],tab_alimentos[[#This Row],[Item]],super1[Bairro],mercado10)+SUMIFS(supercb[Qtde],supercb[Item],tab_alimentos[[#This Row],[Item]],supercb[Bairro],mercado10)</f>
        <v>0</v>
      </c>
      <c r="V363" s="4">
        <f>SUMIFS(super1[Qtde],super1[Item],tab_alimentos[[#This Row],[Item]],super1[Bairro],mercado11)+SUMIFS(supercb[Qtde],supercb[Item],tab_alimentos[[#This Row],[Item]],supercb[Bairro],mercado11)</f>
        <v>0</v>
      </c>
      <c r="W363" s="4">
        <f>SUMIFS(super1[Qtde],super1[Item],tab_alimentos[[#This Row],[Item]],super1[Bairro],mercado12)+SUMIFS(supercb[Qtde],supercb[Item],tab_alimentos[[#This Row],[Item]],supercb[Bairro],mercado12)</f>
        <v>0</v>
      </c>
      <c r="X363" s="4">
        <f>SUMIFS(super1[Qtde],super1[Item],tab_alimentos[[#This Row],[Item]],super1[Bairro],mercado13)+SUMIFS(supercb[Qtde],supercb[Item],tab_alimentos[[#This Row],[Item]],supercb[Bairro],mercado13)</f>
        <v>0</v>
      </c>
      <c r="Y363" s="4">
        <f>SUMIFS(super1[Qtde],super1[Item],tab_alimentos[[#This Row],[Item]],super1[Bairro],mercado14)+SUMIFS(supercb[Qtde],supercb[Item],tab_alimentos[[#This Row],[Item]],supercb[Bairro],mercado14)</f>
        <v>0</v>
      </c>
      <c r="Z363" s="4">
        <f>SUMIFS(super1[Qtde],super1[Item],tab_alimentos[[#This Row],[Item]],super1[Bairro],mercado15)+SUMIFS(supercb[Qtde],supercb[Item],tab_alimentos[[#This Row],[Item]],supercb[Bairro],mercado15)</f>
        <v>0</v>
      </c>
      <c r="AA363" s="4">
        <f>SUMIFS(super1[Qtde],super1[Item],tab_alimentos[[#This Row],[Item]],super1[Bairro],mercado16)+SUMIFS(supercb[Qtde],supercb[Item],tab_alimentos[[#This Row],[Item]],supercb[Bairro],mercado16)</f>
        <v>0</v>
      </c>
      <c r="AB363" s="4">
        <f>SUMIFS(super1[Qtde],super1[Item],tab_alimentos[[#This Row],[Item]],super1[Bairro],mercado17)+SUMIFS(supercb[Qtde],supercb[Item],tab_alimentos[[#This Row],[Item]],supercb[Bairro],mercado17)</f>
        <v>0</v>
      </c>
      <c r="AC363" s="4">
        <f>SUMIFS(super1[Qtde],super1[Item],tab_alimentos[[#This Row],[Item]],super1[Bairro],mercado18)+SUMIFS(supercb[Qtde],supercb[Item],tab_alimentos[[#This Row],[Item]],supercb[Bairro],mercado18)</f>
        <v>0</v>
      </c>
      <c r="AD363" s="4">
        <f>SUMIFS(super1[Qtde],super1[Item],tab_alimentos[[#This Row],[Item]],super1[Bairro],extras)+SUMIFS(supercb[Qtde],supercb[Item],tab_alimentos[[#This Row],[Item]],supercb[Bairro],extras)</f>
        <v>0</v>
      </c>
      <c r="AE363" s="4">
        <f t="shared" si="94"/>
        <v>0</v>
      </c>
      <c r="AF363" s="4">
        <f t="shared" si="95"/>
        <v>0</v>
      </c>
      <c r="AG363" s="6">
        <f t="shared" si="96"/>
        <v>0</v>
      </c>
    </row>
    <row r="364" spans="9:33" x14ac:dyDescent="0.25">
      <c r="I364" s="19" t="str">
        <f>alimentos[[#This Row],[Item]]</f>
        <v>Pão de Mel (240g)</v>
      </c>
      <c r="J364" s="4">
        <f>IFERROR(alimentos[[#This Row],[kg/embalagem]],0)</f>
        <v>0.24</v>
      </c>
      <c r="K364" s="4">
        <f>IFERROR(alimentos[[#This Row],[Preço]],0)</f>
        <v>12.2</v>
      </c>
      <c r="L364" s="4">
        <f>SUMIFS(super1[Qtde],super1[Item],tab_alimentos[[#This Row],[Item]],super1[Bairro],mercado1)+SUMIFS(supercb[Qtde],supercb[Item],tab_alimentos[[#This Row],[Item]],supercb[Bairro],mercado1)</f>
        <v>0</v>
      </c>
      <c r="M364" s="4">
        <f>SUMIFS(super1[Qtde],super1[Item],tab_alimentos[[#This Row],[Item]],super1[Bairro],mercado2)+SUMIFS(supercb[Qtde],supercb[Item],tab_alimentos[[#This Row],[Item]],supercb[Bairro],mercado2)</f>
        <v>0</v>
      </c>
      <c r="N364" s="4">
        <f>SUMIFS(super1[Qtde],super1[Item],tab_alimentos[[#This Row],[Item]],super1[Bairro],mercado3)+SUMIFS(supercb[Qtde],supercb[Item],tab_alimentos[[#This Row],[Item]],supercb[Bairro],mercado3)</f>
        <v>0</v>
      </c>
      <c r="O364" s="4">
        <f>SUMIFS(super1[Qtde],super1[Item],tab_alimentos[[#This Row],[Item]],super1[Bairro],mercado4)+SUMIFS(supercb[Qtde],supercb[Item],tab_alimentos[[#This Row],[Item]],supercb[Bairro],mercado4)</f>
        <v>0</v>
      </c>
      <c r="P364" s="4">
        <f>SUMIFS(super1[Qtde],super1[Item],tab_alimentos[[#This Row],[Item]],super1[Bairro],mercado5)+SUMIFS(supercb[Qtde],supercb[Item],tab_alimentos[[#This Row],[Item]],supercb[Bairro],mercado5)</f>
        <v>0</v>
      </c>
      <c r="Q364" s="4">
        <f>SUMIFS(super1[Qtde],super1[Item],tab_alimentos[[#This Row],[Item]],super1[Bairro],mercado6)+SUMIFS(supercb[Qtde],supercb[Item],tab_alimentos[[#This Row],[Item]],supercb[Bairro],mercado6)</f>
        <v>0</v>
      </c>
      <c r="R364" s="4">
        <f>SUMIFS(super1[Qtde],super1[Item],tab_alimentos[[#This Row],[Item]],super1[Bairro],mercado7)+SUMIFS(supercb[Qtde],supercb[Item],tab_alimentos[[#This Row],[Item]],supercb[Bairro],mercado7)</f>
        <v>0</v>
      </c>
      <c r="S364" s="4">
        <f>SUMIFS(super1[Qtde],super1[Item],tab_alimentos[[#This Row],[Item]],super1[Bairro],mercado8)+SUMIFS(supercb[Qtde],supercb[Item],tab_alimentos[[#This Row],[Item]],supercb[Bairro],mercado8)</f>
        <v>0</v>
      </c>
      <c r="T364" s="4">
        <f>SUMIFS(super1[Qtde],super1[Item],tab_alimentos[[#This Row],[Item]],super1[Bairro],mercado9)+SUMIFS(supercb[Qtde],supercb[Item],tab_alimentos[[#This Row],[Item]],supercb[Bairro],mercado9)</f>
        <v>0</v>
      </c>
      <c r="U364" s="4">
        <f>SUMIFS(super1[Qtde],super1[Item],tab_alimentos[[#This Row],[Item]],super1[Bairro],mercado10)+SUMIFS(supercb[Qtde],supercb[Item],tab_alimentos[[#This Row],[Item]],supercb[Bairro],mercado10)</f>
        <v>0</v>
      </c>
      <c r="V364" s="4">
        <f>SUMIFS(super1[Qtde],super1[Item],tab_alimentos[[#This Row],[Item]],super1[Bairro],mercado11)+SUMIFS(supercb[Qtde],supercb[Item],tab_alimentos[[#This Row],[Item]],supercb[Bairro],mercado11)</f>
        <v>0</v>
      </c>
      <c r="W364" s="4">
        <f>SUMIFS(super1[Qtde],super1[Item],tab_alimentos[[#This Row],[Item]],super1[Bairro],mercado12)+SUMIFS(supercb[Qtde],supercb[Item],tab_alimentos[[#This Row],[Item]],supercb[Bairro],mercado12)</f>
        <v>0</v>
      </c>
      <c r="X364" s="4">
        <f>SUMIFS(super1[Qtde],super1[Item],tab_alimentos[[#This Row],[Item]],super1[Bairro],mercado13)+SUMIFS(supercb[Qtde],supercb[Item],tab_alimentos[[#This Row],[Item]],supercb[Bairro],mercado13)</f>
        <v>0</v>
      </c>
      <c r="Y364" s="4">
        <f>SUMIFS(super1[Qtde],super1[Item],tab_alimentos[[#This Row],[Item]],super1[Bairro],mercado14)+SUMIFS(supercb[Qtde],supercb[Item],tab_alimentos[[#This Row],[Item]],supercb[Bairro],mercado14)</f>
        <v>0</v>
      </c>
      <c r="Z364" s="4">
        <f>SUMIFS(super1[Qtde],super1[Item],tab_alimentos[[#This Row],[Item]],super1[Bairro],mercado15)+SUMIFS(supercb[Qtde],supercb[Item],tab_alimentos[[#This Row],[Item]],supercb[Bairro],mercado15)</f>
        <v>0</v>
      </c>
      <c r="AA364" s="4">
        <f>SUMIFS(super1[Qtde],super1[Item],tab_alimentos[[#This Row],[Item]],super1[Bairro],mercado16)+SUMIFS(supercb[Qtde],supercb[Item],tab_alimentos[[#This Row],[Item]],supercb[Bairro],mercado16)</f>
        <v>0</v>
      </c>
      <c r="AB364" s="4">
        <f>SUMIFS(super1[Qtde],super1[Item],tab_alimentos[[#This Row],[Item]],super1[Bairro],mercado17)+SUMIFS(supercb[Qtde],supercb[Item],tab_alimentos[[#This Row],[Item]],supercb[Bairro],mercado17)</f>
        <v>0</v>
      </c>
      <c r="AC364" s="4">
        <f>SUMIFS(super1[Qtde],super1[Item],tab_alimentos[[#This Row],[Item]],super1[Bairro],mercado18)+SUMIFS(supercb[Qtde],supercb[Item],tab_alimentos[[#This Row],[Item]],supercb[Bairro],mercado18)</f>
        <v>0</v>
      </c>
      <c r="AD364" s="4">
        <f>SUMIFS(super1[Qtde],super1[Item],tab_alimentos[[#This Row],[Item]],super1[Bairro],extras)+SUMIFS(supercb[Qtde],supercb[Item],tab_alimentos[[#This Row],[Item]],supercb[Bairro],extras)</f>
        <v>0</v>
      </c>
      <c r="AE364" s="4">
        <f t="shared" si="94"/>
        <v>0</v>
      </c>
      <c r="AF364" s="4">
        <f t="shared" si="95"/>
        <v>0</v>
      </c>
      <c r="AG364" s="6">
        <f t="shared" si="96"/>
        <v>0</v>
      </c>
    </row>
    <row r="365" spans="9:33" x14ac:dyDescent="0.25">
      <c r="I365" s="19" t="str">
        <f>alimentos[[#This Row],[Item]]</f>
        <v>Pão de Mel (300g)</v>
      </c>
      <c r="J365" s="4">
        <f>IFERROR(alimentos[[#This Row],[kg/embalagem]],0)</f>
        <v>0.3</v>
      </c>
      <c r="K365" s="4">
        <f>IFERROR(alimentos[[#This Row],[Preço]],0)</f>
        <v>14.99</v>
      </c>
      <c r="L365" s="4">
        <f>SUMIFS(super1[Qtde],super1[Item],tab_alimentos[[#This Row],[Item]],super1[Bairro],mercado1)+SUMIFS(supercb[Qtde],supercb[Item],tab_alimentos[[#This Row],[Item]],supercb[Bairro],mercado1)</f>
        <v>0</v>
      </c>
      <c r="M365" s="4">
        <f>SUMIFS(super1[Qtde],super1[Item],tab_alimentos[[#This Row],[Item]],super1[Bairro],mercado2)+SUMIFS(supercb[Qtde],supercb[Item],tab_alimentos[[#This Row],[Item]],supercb[Bairro],mercado2)</f>
        <v>0</v>
      </c>
      <c r="N365" s="4">
        <f>SUMIFS(super1[Qtde],super1[Item],tab_alimentos[[#This Row],[Item]],super1[Bairro],mercado3)+SUMIFS(supercb[Qtde],supercb[Item],tab_alimentos[[#This Row],[Item]],supercb[Bairro],mercado3)</f>
        <v>0</v>
      </c>
      <c r="O365" s="4">
        <f>SUMIFS(super1[Qtde],super1[Item],tab_alimentos[[#This Row],[Item]],super1[Bairro],mercado4)+SUMIFS(supercb[Qtde],supercb[Item],tab_alimentos[[#This Row],[Item]],supercb[Bairro],mercado4)</f>
        <v>0</v>
      </c>
      <c r="P365" s="4">
        <f>SUMIFS(super1[Qtde],super1[Item],tab_alimentos[[#This Row],[Item]],super1[Bairro],mercado5)+SUMIFS(supercb[Qtde],supercb[Item],tab_alimentos[[#This Row],[Item]],supercb[Bairro],mercado5)</f>
        <v>0</v>
      </c>
      <c r="Q365" s="4">
        <f>SUMIFS(super1[Qtde],super1[Item],tab_alimentos[[#This Row],[Item]],super1[Bairro],mercado6)+SUMIFS(supercb[Qtde],supercb[Item],tab_alimentos[[#This Row],[Item]],supercb[Bairro],mercado6)</f>
        <v>0</v>
      </c>
      <c r="R365" s="4">
        <f>SUMIFS(super1[Qtde],super1[Item],tab_alimentos[[#This Row],[Item]],super1[Bairro],mercado7)+SUMIFS(supercb[Qtde],supercb[Item],tab_alimentos[[#This Row],[Item]],supercb[Bairro],mercado7)</f>
        <v>0</v>
      </c>
      <c r="S365" s="4">
        <f>SUMIFS(super1[Qtde],super1[Item],tab_alimentos[[#This Row],[Item]],super1[Bairro],mercado8)+SUMIFS(supercb[Qtde],supercb[Item],tab_alimentos[[#This Row],[Item]],supercb[Bairro],mercado8)</f>
        <v>0</v>
      </c>
      <c r="T365" s="4">
        <f>SUMIFS(super1[Qtde],super1[Item],tab_alimentos[[#This Row],[Item]],super1[Bairro],mercado9)+SUMIFS(supercb[Qtde],supercb[Item],tab_alimentos[[#This Row],[Item]],supercb[Bairro],mercado9)</f>
        <v>0</v>
      </c>
      <c r="U365" s="4">
        <f>SUMIFS(super1[Qtde],super1[Item],tab_alimentos[[#This Row],[Item]],super1[Bairro],mercado10)+SUMIFS(supercb[Qtde],supercb[Item],tab_alimentos[[#This Row],[Item]],supercb[Bairro],mercado10)</f>
        <v>0</v>
      </c>
      <c r="V365" s="4">
        <f>SUMIFS(super1[Qtde],super1[Item],tab_alimentos[[#This Row],[Item]],super1[Bairro],mercado11)+SUMIFS(supercb[Qtde],supercb[Item],tab_alimentos[[#This Row],[Item]],supercb[Bairro],mercado11)</f>
        <v>0</v>
      </c>
      <c r="W365" s="4">
        <f>SUMIFS(super1[Qtde],super1[Item],tab_alimentos[[#This Row],[Item]],super1[Bairro],mercado12)+SUMIFS(supercb[Qtde],supercb[Item],tab_alimentos[[#This Row],[Item]],supercb[Bairro],mercado12)</f>
        <v>0</v>
      </c>
      <c r="X365" s="4">
        <f>SUMIFS(super1[Qtde],super1[Item],tab_alimentos[[#This Row],[Item]],super1[Bairro],mercado13)+SUMIFS(supercb[Qtde],supercb[Item],tab_alimentos[[#This Row],[Item]],supercb[Bairro],mercado13)</f>
        <v>0</v>
      </c>
      <c r="Y365" s="4">
        <f>SUMIFS(super1[Qtde],super1[Item],tab_alimentos[[#This Row],[Item]],super1[Bairro],mercado14)+SUMIFS(supercb[Qtde],supercb[Item],tab_alimentos[[#This Row],[Item]],supercb[Bairro],mercado14)</f>
        <v>0</v>
      </c>
      <c r="Z365" s="4">
        <f>SUMIFS(super1[Qtde],super1[Item],tab_alimentos[[#This Row],[Item]],super1[Bairro],mercado15)+SUMIFS(supercb[Qtde],supercb[Item],tab_alimentos[[#This Row],[Item]],supercb[Bairro],mercado15)</f>
        <v>0</v>
      </c>
      <c r="AA365" s="4">
        <f>SUMIFS(super1[Qtde],super1[Item],tab_alimentos[[#This Row],[Item]],super1[Bairro],mercado16)+SUMIFS(supercb[Qtde],supercb[Item],tab_alimentos[[#This Row],[Item]],supercb[Bairro],mercado16)</f>
        <v>0</v>
      </c>
      <c r="AB365" s="4">
        <f>SUMIFS(super1[Qtde],super1[Item],tab_alimentos[[#This Row],[Item]],super1[Bairro],mercado17)+SUMIFS(supercb[Qtde],supercb[Item],tab_alimentos[[#This Row],[Item]],supercb[Bairro],mercado17)</f>
        <v>0</v>
      </c>
      <c r="AC365" s="4">
        <f>SUMIFS(super1[Qtde],super1[Item],tab_alimentos[[#This Row],[Item]],super1[Bairro],mercado18)+SUMIFS(supercb[Qtde],supercb[Item],tab_alimentos[[#This Row],[Item]],supercb[Bairro],mercado18)</f>
        <v>0</v>
      </c>
      <c r="AD365" s="4">
        <f>SUMIFS(super1[Qtde],super1[Item],tab_alimentos[[#This Row],[Item]],super1[Bairro],extras)+SUMIFS(supercb[Qtde],supercb[Item],tab_alimentos[[#This Row],[Item]],supercb[Bairro],extras)</f>
        <v>0</v>
      </c>
      <c r="AE365" s="4">
        <f t="shared" si="94"/>
        <v>0</v>
      </c>
      <c r="AF365" s="4">
        <f t="shared" si="95"/>
        <v>0</v>
      </c>
      <c r="AG365" s="6">
        <f t="shared" si="96"/>
        <v>0</v>
      </c>
    </row>
    <row r="366" spans="9:33" x14ac:dyDescent="0.25">
      <c r="I366" s="19" t="str">
        <f>alimentos[[#This Row],[Item]]</f>
        <v>Pão de Mel (500g)</v>
      </c>
      <c r="J366" s="4">
        <f>IFERROR(alimentos[[#This Row],[kg/embalagem]],0)</f>
        <v>0.5</v>
      </c>
      <c r="K366" s="4">
        <f>IFERROR(alimentos[[#This Row],[Preço]],0)</f>
        <v>8.99</v>
      </c>
      <c r="L366" s="4">
        <f>SUMIFS(super1[Qtde],super1[Item],tab_alimentos[[#This Row],[Item]],super1[Bairro],mercado1)+SUMIFS(supercb[Qtde],supercb[Item],tab_alimentos[[#This Row],[Item]],supercb[Bairro],mercado1)</f>
        <v>0</v>
      </c>
      <c r="M366" s="4">
        <f>SUMIFS(super1[Qtde],super1[Item],tab_alimentos[[#This Row],[Item]],super1[Bairro],mercado2)+SUMIFS(supercb[Qtde],supercb[Item],tab_alimentos[[#This Row],[Item]],supercb[Bairro],mercado2)</f>
        <v>0</v>
      </c>
      <c r="N366" s="4">
        <f>SUMIFS(super1[Qtde],super1[Item],tab_alimentos[[#This Row],[Item]],super1[Bairro],mercado3)+SUMIFS(supercb[Qtde],supercb[Item],tab_alimentos[[#This Row],[Item]],supercb[Bairro],mercado3)</f>
        <v>0</v>
      </c>
      <c r="O366" s="4">
        <f>SUMIFS(super1[Qtde],super1[Item],tab_alimentos[[#This Row],[Item]],super1[Bairro],mercado4)+SUMIFS(supercb[Qtde],supercb[Item],tab_alimentos[[#This Row],[Item]],supercb[Bairro],mercado4)</f>
        <v>0</v>
      </c>
      <c r="P366" s="4">
        <f>SUMIFS(super1[Qtde],super1[Item],tab_alimentos[[#This Row],[Item]],super1[Bairro],mercado5)+SUMIFS(supercb[Qtde],supercb[Item],tab_alimentos[[#This Row],[Item]],supercb[Bairro],mercado5)</f>
        <v>0</v>
      </c>
      <c r="Q366" s="4">
        <f>SUMIFS(super1[Qtde],super1[Item],tab_alimentos[[#This Row],[Item]],super1[Bairro],mercado6)+SUMIFS(supercb[Qtde],supercb[Item],tab_alimentos[[#This Row],[Item]],supercb[Bairro],mercado6)</f>
        <v>0</v>
      </c>
      <c r="R366" s="4">
        <f>SUMIFS(super1[Qtde],super1[Item],tab_alimentos[[#This Row],[Item]],super1[Bairro],mercado7)+SUMIFS(supercb[Qtde],supercb[Item],tab_alimentos[[#This Row],[Item]],supercb[Bairro],mercado7)</f>
        <v>0</v>
      </c>
      <c r="S366" s="4">
        <f>SUMIFS(super1[Qtde],super1[Item],tab_alimentos[[#This Row],[Item]],super1[Bairro],mercado8)+SUMIFS(supercb[Qtde],supercb[Item],tab_alimentos[[#This Row],[Item]],supercb[Bairro],mercado8)</f>
        <v>0</v>
      </c>
      <c r="T366" s="4">
        <f>SUMIFS(super1[Qtde],super1[Item],tab_alimentos[[#This Row],[Item]],super1[Bairro],mercado9)+SUMIFS(supercb[Qtde],supercb[Item],tab_alimentos[[#This Row],[Item]],supercb[Bairro],mercado9)</f>
        <v>0</v>
      </c>
      <c r="U366" s="4">
        <f>SUMIFS(super1[Qtde],super1[Item],tab_alimentos[[#This Row],[Item]],super1[Bairro],mercado10)+SUMIFS(supercb[Qtde],supercb[Item],tab_alimentos[[#This Row],[Item]],supercb[Bairro],mercado10)</f>
        <v>0</v>
      </c>
      <c r="V366" s="4">
        <f>SUMIFS(super1[Qtde],super1[Item],tab_alimentos[[#This Row],[Item]],super1[Bairro],mercado11)+SUMIFS(supercb[Qtde],supercb[Item],tab_alimentos[[#This Row],[Item]],supercb[Bairro],mercado11)</f>
        <v>0</v>
      </c>
      <c r="W366" s="4">
        <f>SUMIFS(super1[Qtde],super1[Item],tab_alimentos[[#This Row],[Item]],super1[Bairro],mercado12)+SUMIFS(supercb[Qtde],supercb[Item],tab_alimentos[[#This Row],[Item]],supercb[Bairro],mercado12)</f>
        <v>0</v>
      </c>
      <c r="X366" s="4">
        <f>SUMIFS(super1[Qtde],super1[Item],tab_alimentos[[#This Row],[Item]],super1[Bairro],mercado13)+SUMIFS(supercb[Qtde],supercb[Item],tab_alimentos[[#This Row],[Item]],supercb[Bairro],mercado13)</f>
        <v>0</v>
      </c>
      <c r="Y366" s="4">
        <f>SUMIFS(super1[Qtde],super1[Item],tab_alimentos[[#This Row],[Item]],super1[Bairro],mercado14)+SUMIFS(supercb[Qtde],supercb[Item],tab_alimentos[[#This Row],[Item]],supercb[Bairro],mercado14)</f>
        <v>0</v>
      </c>
      <c r="Z366" s="4">
        <f>SUMIFS(super1[Qtde],super1[Item],tab_alimentos[[#This Row],[Item]],super1[Bairro],mercado15)+SUMIFS(supercb[Qtde],supercb[Item],tab_alimentos[[#This Row],[Item]],supercb[Bairro],mercado15)</f>
        <v>0</v>
      </c>
      <c r="AA366" s="4">
        <f>SUMIFS(super1[Qtde],super1[Item],tab_alimentos[[#This Row],[Item]],super1[Bairro],mercado16)+SUMIFS(supercb[Qtde],supercb[Item],tab_alimentos[[#This Row],[Item]],supercb[Bairro],mercado16)</f>
        <v>0</v>
      </c>
      <c r="AB366" s="4">
        <f>SUMIFS(super1[Qtde],super1[Item],tab_alimentos[[#This Row],[Item]],super1[Bairro],mercado17)+SUMIFS(supercb[Qtde],supercb[Item],tab_alimentos[[#This Row],[Item]],supercb[Bairro],mercado17)</f>
        <v>0</v>
      </c>
      <c r="AC366" s="4">
        <f>SUMIFS(super1[Qtde],super1[Item],tab_alimentos[[#This Row],[Item]],super1[Bairro],mercado18)+SUMIFS(supercb[Qtde],supercb[Item],tab_alimentos[[#This Row],[Item]],supercb[Bairro],mercado18)</f>
        <v>0</v>
      </c>
      <c r="AD366" s="4">
        <f>SUMIFS(super1[Qtde],super1[Item],tab_alimentos[[#This Row],[Item]],super1[Bairro],extras)+SUMIFS(supercb[Qtde],supercb[Item],tab_alimentos[[#This Row],[Item]],supercb[Bairro],extras)</f>
        <v>0</v>
      </c>
      <c r="AE366" s="4">
        <f t="shared" si="94"/>
        <v>0</v>
      </c>
      <c r="AF366" s="4">
        <f t="shared" si="95"/>
        <v>0</v>
      </c>
      <c r="AG366" s="6">
        <f t="shared" si="96"/>
        <v>0</v>
      </c>
    </row>
    <row r="367" spans="9:33" x14ac:dyDescent="0.25">
      <c r="I367" s="19" t="str">
        <f>alimentos[[#This Row],[Item]]</f>
        <v>Patê de Carne (100g)</v>
      </c>
      <c r="J367" s="4">
        <f>IFERROR(alimentos[[#This Row],[kg/embalagem]],0)</f>
        <v>0.1</v>
      </c>
      <c r="K367" s="4">
        <f>IFERROR(alimentos[[#This Row],[Preço]],0)</f>
        <v>2.79</v>
      </c>
      <c r="L367" s="4">
        <f>SUMIFS(super1[Qtde],super1[Item],tab_alimentos[[#This Row],[Item]],super1[Bairro],mercado1)+SUMIFS(supercb[Qtde],supercb[Item],tab_alimentos[[#This Row],[Item]],supercb[Bairro],mercado1)</f>
        <v>0</v>
      </c>
      <c r="M367" s="4">
        <f>SUMIFS(super1[Qtde],super1[Item],tab_alimentos[[#This Row],[Item]],super1[Bairro],mercado2)+SUMIFS(supercb[Qtde],supercb[Item],tab_alimentos[[#This Row],[Item]],supercb[Bairro],mercado2)</f>
        <v>0</v>
      </c>
      <c r="N367" s="4">
        <f>SUMIFS(super1[Qtde],super1[Item],tab_alimentos[[#This Row],[Item]],super1[Bairro],mercado3)+SUMIFS(supercb[Qtde],supercb[Item],tab_alimentos[[#This Row],[Item]],supercb[Bairro],mercado3)</f>
        <v>0</v>
      </c>
      <c r="O367" s="4">
        <f>SUMIFS(super1[Qtde],super1[Item],tab_alimentos[[#This Row],[Item]],super1[Bairro],mercado4)+SUMIFS(supercb[Qtde],supercb[Item],tab_alimentos[[#This Row],[Item]],supercb[Bairro],mercado4)</f>
        <v>0</v>
      </c>
      <c r="P367" s="4">
        <f>SUMIFS(super1[Qtde],super1[Item],tab_alimentos[[#This Row],[Item]],super1[Bairro],mercado5)+SUMIFS(supercb[Qtde],supercb[Item],tab_alimentos[[#This Row],[Item]],supercb[Bairro],mercado5)</f>
        <v>0</v>
      </c>
      <c r="Q367" s="4">
        <f>SUMIFS(super1[Qtde],super1[Item],tab_alimentos[[#This Row],[Item]],super1[Bairro],mercado6)+SUMIFS(supercb[Qtde],supercb[Item],tab_alimentos[[#This Row],[Item]],supercb[Bairro],mercado6)</f>
        <v>0</v>
      </c>
      <c r="R367" s="4">
        <f>SUMIFS(super1[Qtde],super1[Item],tab_alimentos[[#This Row],[Item]],super1[Bairro],mercado7)+SUMIFS(supercb[Qtde],supercb[Item],tab_alimentos[[#This Row],[Item]],supercb[Bairro],mercado7)</f>
        <v>0</v>
      </c>
      <c r="S367" s="4">
        <f>SUMIFS(super1[Qtde],super1[Item],tab_alimentos[[#This Row],[Item]],super1[Bairro],mercado8)+SUMIFS(supercb[Qtde],supercb[Item],tab_alimentos[[#This Row],[Item]],supercb[Bairro],mercado8)</f>
        <v>0</v>
      </c>
      <c r="T367" s="4">
        <f>SUMIFS(super1[Qtde],super1[Item],tab_alimentos[[#This Row],[Item]],super1[Bairro],mercado9)+SUMIFS(supercb[Qtde],supercb[Item],tab_alimentos[[#This Row],[Item]],supercb[Bairro],mercado9)</f>
        <v>0</v>
      </c>
      <c r="U367" s="4">
        <f>SUMIFS(super1[Qtde],super1[Item],tab_alimentos[[#This Row],[Item]],super1[Bairro],mercado10)+SUMIFS(supercb[Qtde],supercb[Item],tab_alimentos[[#This Row],[Item]],supercb[Bairro],mercado10)</f>
        <v>0</v>
      </c>
      <c r="V367" s="4">
        <f>SUMIFS(super1[Qtde],super1[Item],tab_alimentos[[#This Row],[Item]],super1[Bairro],mercado11)+SUMIFS(supercb[Qtde],supercb[Item],tab_alimentos[[#This Row],[Item]],supercb[Bairro],mercado11)</f>
        <v>0</v>
      </c>
      <c r="W367" s="4">
        <f>SUMIFS(super1[Qtde],super1[Item],tab_alimentos[[#This Row],[Item]],super1[Bairro],mercado12)+SUMIFS(supercb[Qtde],supercb[Item],tab_alimentos[[#This Row],[Item]],supercb[Bairro],mercado12)</f>
        <v>0</v>
      </c>
      <c r="X367" s="4">
        <f>SUMIFS(super1[Qtde],super1[Item],tab_alimentos[[#This Row],[Item]],super1[Bairro],mercado13)+SUMIFS(supercb[Qtde],supercb[Item],tab_alimentos[[#This Row],[Item]],supercb[Bairro],mercado13)</f>
        <v>0</v>
      </c>
      <c r="Y367" s="4">
        <f>SUMIFS(super1[Qtde],super1[Item],tab_alimentos[[#This Row],[Item]],super1[Bairro],mercado14)+SUMIFS(supercb[Qtde],supercb[Item],tab_alimentos[[#This Row],[Item]],supercb[Bairro],mercado14)</f>
        <v>0</v>
      </c>
      <c r="Z367" s="4">
        <f>SUMIFS(super1[Qtde],super1[Item],tab_alimentos[[#This Row],[Item]],super1[Bairro],mercado15)+SUMIFS(supercb[Qtde],supercb[Item],tab_alimentos[[#This Row],[Item]],supercb[Bairro],mercado15)</f>
        <v>0</v>
      </c>
      <c r="AA367" s="4">
        <f>SUMIFS(super1[Qtde],super1[Item],tab_alimentos[[#This Row],[Item]],super1[Bairro],mercado16)+SUMIFS(supercb[Qtde],supercb[Item],tab_alimentos[[#This Row],[Item]],supercb[Bairro],mercado16)</f>
        <v>0</v>
      </c>
      <c r="AB367" s="4">
        <f>SUMIFS(super1[Qtde],super1[Item],tab_alimentos[[#This Row],[Item]],super1[Bairro],mercado17)+SUMIFS(supercb[Qtde],supercb[Item],tab_alimentos[[#This Row],[Item]],supercb[Bairro],mercado17)</f>
        <v>0</v>
      </c>
      <c r="AC367" s="4">
        <f>SUMIFS(super1[Qtde],super1[Item],tab_alimentos[[#This Row],[Item]],super1[Bairro],mercado18)+SUMIFS(supercb[Qtde],supercb[Item],tab_alimentos[[#This Row],[Item]],supercb[Bairro],mercado18)</f>
        <v>0</v>
      </c>
      <c r="AD367" s="4">
        <f>SUMIFS(super1[Qtde],super1[Item],tab_alimentos[[#This Row],[Item]],super1[Bairro],extras)+SUMIFS(supercb[Qtde],supercb[Item],tab_alimentos[[#This Row],[Item]],supercb[Bairro],extras)</f>
        <v>0</v>
      </c>
      <c r="AE367" s="4">
        <f t="shared" si="94"/>
        <v>0</v>
      </c>
      <c r="AF367" s="4">
        <f t="shared" si="95"/>
        <v>0</v>
      </c>
      <c r="AG367" s="6">
        <f t="shared" si="96"/>
        <v>0</v>
      </c>
    </row>
    <row r="368" spans="9:33" x14ac:dyDescent="0.25">
      <c r="I368" s="19" t="str">
        <f>alimentos[[#This Row],[Item]]</f>
        <v>Patê de Peru (100g)</v>
      </c>
      <c r="J368" s="4">
        <f>IFERROR(alimentos[[#This Row],[kg/embalagem]],0)</f>
        <v>0.1</v>
      </c>
      <c r="K368" s="4">
        <f>IFERROR(alimentos[[#This Row],[Preço]],0)</f>
        <v>5.2</v>
      </c>
      <c r="L368" s="4">
        <f>SUMIFS(super1[Qtde],super1[Item],tab_alimentos[[#This Row],[Item]],super1[Bairro],mercado1)+SUMIFS(supercb[Qtde],supercb[Item],tab_alimentos[[#This Row],[Item]],supercb[Bairro],mercado1)</f>
        <v>0</v>
      </c>
      <c r="M368" s="4">
        <f>SUMIFS(super1[Qtde],super1[Item],tab_alimentos[[#This Row],[Item]],super1[Bairro],mercado2)+SUMIFS(supercb[Qtde],supercb[Item],tab_alimentos[[#This Row],[Item]],supercb[Bairro],mercado2)</f>
        <v>0</v>
      </c>
      <c r="N368" s="4">
        <f>SUMIFS(super1[Qtde],super1[Item],tab_alimentos[[#This Row],[Item]],super1[Bairro],mercado3)+SUMIFS(supercb[Qtde],supercb[Item],tab_alimentos[[#This Row],[Item]],supercb[Bairro],mercado3)</f>
        <v>0</v>
      </c>
      <c r="O368" s="4">
        <f>SUMIFS(super1[Qtde],super1[Item],tab_alimentos[[#This Row],[Item]],super1[Bairro],mercado4)+SUMIFS(supercb[Qtde],supercb[Item],tab_alimentos[[#This Row],[Item]],supercb[Bairro],mercado4)</f>
        <v>0</v>
      </c>
      <c r="P368" s="4">
        <f>SUMIFS(super1[Qtde],super1[Item],tab_alimentos[[#This Row],[Item]],super1[Bairro],mercado5)+SUMIFS(supercb[Qtde],supercb[Item],tab_alimentos[[#This Row],[Item]],supercb[Bairro],mercado5)</f>
        <v>0</v>
      </c>
      <c r="Q368" s="4">
        <f>SUMIFS(super1[Qtde],super1[Item],tab_alimentos[[#This Row],[Item]],super1[Bairro],mercado6)+SUMIFS(supercb[Qtde],supercb[Item],tab_alimentos[[#This Row],[Item]],supercb[Bairro],mercado6)</f>
        <v>0</v>
      </c>
      <c r="R368" s="4">
        <f>SUMIFS(super1[Qtde],super1[Item],tab_alimentos[[#This Row],[Item]],super1[Bairro],mercado7)+SUMIFS(supercb[Qtde],supercb[Item],tab_alimentos[[#This Row],[Item]],supercb[Bairro],mercado7)</f>
        <v>0</v>
      </c>
      <c r="S368" s="4">
        <f>SUMIFS(super1[Qtde],super1[Item],tab_alimentos[[#This Row],[Item]],super1[Bairro],mercado8)+SUMIFS(supercb[Qtde],supercb[Item],tab_alimentos[[#This Row],[Item]],supercb[Bairro],mercado8)</f>
        <v>0</v>
      </c>
      <c r="T368" s="4">
        <f>SUMIFS(super1[Qtde],super1[Item],tab_alimentos[[#This Row],[Item]],super1[Bairro],mercado9)+SUMIFS(supercb[Qtde],supercb[Item],tab_alimentos[[#This Row],[Item]],supercb[Bairro],mercado9)</f>
        <v>0</v>
      </c>
      <c r="U368" s="4">
        <f>SUMIFS(super1[Qtde],super1[Item],tab_alimentos[[#This Row],[Item]],super1[Bairro],mercado10)+SUMIFS(supercb[Qtde],supercb[Item],tab_alimentos[[#This Row],[Item]],supercb[Bairro],mercado10)</f>
        <v>0</v>
      </c>
      <c r="V368" s="4">
        <f>SUMIFS(super1[Qtde],super1[Item],tab_alimentos[[#This Row],[Item]],super1[Bairro],mercado11)+SUMIFS(supercb[Qtde],supercb[Item],tab_alimentos[[#This Row],[Item]],supercb[Bairro],mercado11)</f>
        <v>0</v>
      </c>
      <c r="W368" s="4">
        <f>SUMIFS(super1[Qtde],super1[Item],tab_alimentos[[#This Row],[Item]],super1[Bairro],mercado12)+SUMIFS(supercb[Qtde],supercb[Item],tab_alimentos[[#This Row],[Item]],supercb[Bairro],mercado12)</f>
        <v>0</v>
      </c>
      <c r="X368" s="4">
        <f>SUMIFS(super1[Qtde],super1[Item],tab_alimentos[[#This Row],[Item]],super1[Bairro],mercado13)+SUMIFS(supercb[Qtde],supercb[Item],tab_alimentos[[#This Row],[Item]],supercb[Bairro],mercado13)</f>
        <v>0</v>
      </c>
      <c r="Y368" s="4">
        <f>SUMIFS(super1[Qtde],super1[Item],tab_alimentos[[#This Row],[Item]],super1[Bairro],mercado14)+SUMIFS(supercb[Qtde],supercb[Item],tab_alimentos[[#This Row],[Item]],supercb[Bairro],mercado14)</f>
        <v>0</v>
      </c>
      <c r="Z368" s="4">
        <f>SUMIFS(super1[Qtde],super1[Item],tab_alimentos[[#This Row],[Item]],super1[Bairro],mercado15)+SUMIFS(supercb[Qtde],supercb[Item],tab_alimentos[[#This Row],[Item]],supercb[Bairro],mercado15)</f>
        <v>0</v>
      </c>
      <c r="AA368" s="4">
        <f>SUMIFS(super1[Qtde],super1[Item],tab_alimentos[[#This Row],[Item]],super1[Bairro],mercado16)+SUMIFS(supercb[Qtde],supercb[Item],tab_alimentos[[#This Row],[Item]],supercb[Bairro],mercado16)</f>
        <v>0</v>
      </c>
      <c r="AB368" s="4">
        <f>SUMIFS(super1[Qtde],super1[Item],tab_alimentos[[#This Row],[Item]],super1[Bairro],mercado17)+SUMIFS(supercb[Qtde],supercb[Item],tab_alimentos[[#This Row],[Item]],supercb[Bairro],mercado17)</f>
        <v>0</v>
      </c>
      <c r="AC368" s="4">
        <f>SUMIFS(super1[Qtde],super1[Item],tab_alimentos[[#This Row],[Item]],super1[Bairro],mercado18)+SUMIFS(supercb[Qtde],supercb[Item],tab_alimentos[[#This Row],[Item]],supercb[Bairro],mercado18)</f>
        <v>0</v>
      </c>
      <c r="AD368" s="4">
        <f>SUMIFS(super1[Qtde],super1[Item],tab_alimentos[[#This Row],[Item]],super1[Bairro],extras)+SUMIFS(supercb[Qtde],supercb[Item],tab_alimentos[[#This Row],[Item]],supercb[Bairro],extras)</f>
        <v>0</v>
      </c>
      <c r="AE368" s="4">
        <f t="shared" si="94"/>
        <v>0</v>
      </c>
      <c r="AF368" s="4">
        <f t="shared" si="95"/>
        <v>0</v>
      </c>
      <c r="AG368" s="6">
        <f t="shared" si="96"/>
        <v>0</v>
      </c>
    </row>
    <row r="369" spans="9:33" x14ac:dyDescent="0.25">
      <c r="I369" s="19" t="str">
        <f>alimentos[[#This Row],[Item]]</f>
        <v>Patê de Presunto (100g)</v>
      </c>
      <c r="J369" s="4">
        <f>IFERROR(alimentos[[#This Row],[kg/embalagem]],0)</f>
        <v>0.1</v>
      </c>
      <c r="K369" s="4">
        <f>IFERROR(alimentos[[#This Row],[Preço]],0)</f>
        <v>4.8899999999999997</v>
      </c>
      <c r="L369" s="4">
        <f>SUMIFS(super1[Qtde],super1[Item],tab_alimentos[[#This Row],[Item]],super1[Bairro],mercado1)+SUMIFS(supercb[Qtde],supercb[Item],tab_alimentos[[#This Row],[Item]],supercb[Bairro],mercado1)</f>
        <v>0</v>
      </c>
      <c r="M369" s="4">
        <f>SUMIFS(super1[Qtde],super1[Item],tab_alimentos[[#This Row],[Item]],super1[Bairro],mercado2)+SUMIFS(supercb[Qtde],supercb[Item],tab_alimentos[[#This Row],[Item]],supercb[Bairro],mercado2)</f>
        <v>0</v>
      </c>
      <c r="N369" s="4">
        <f>SUMIFS(super1[Qtde],super1[Item],tab_alimentos[[#This Row],[Item]],super1[Bairro],mercado3)+SUMIFS(supercb[Qtde],supercb[Item],tab_alimentos[[#This Row],[Item]],supercb[Bairro],mercado3)</f>
        <v>0</v>
      </c>
      <c r="O369" s="4">
        <f>SUMIFS(super1[Qtde],super1[Item],tab_alimentos[[#This Row],[Item]],super1[Bairro],mercado4)+SUMIFS(supercb[Qtde],supercb[Item],tab_alimentos[[#This Row],[Item]],supercb[Bairro],mercado4)</f>
        <v>0</v>
      </c>
      <c r="P369" s="4">
        <f>SUMIFS(super1[Qtde],super1[Item],tab_alimentos[[#This Row],[Item]],super1[Bairro],mercado5)+SUMIFS(supercb[Qtde],supercb[Item],tab_alimentos[[#This Row],[Item]],supercb[Bairro],mercado5)</f>
        <v>0</v>
      </c>
      <c r="Q369" s="4">
        <f>SUMIFS(super1[Qtde],super1[Item],tab_alimentos[[#This Row],[Item]],super1[Bairro],mercado6)+SUMIFS(supercb[Qtde],supercb[Item],tab_alimentos[[#This Row],[Item]],supercb[Bairro],mercado6)</f>
        <v>0</v>
      </c>
      <c r="R369" s="4">
        <f>SUMIFS(super1[Qtde],super1[Item],tab_alimentos[[#This Row],[Item]],super1[Bairro],mercado7)+SUMIFS(supercb[Qtde],supercb[Item],tab_alimentos[[#This Row],[Item]],supercb[Bairro],mercado7)</f>
        <v>0</v>
      </c>
      <c r="S369" s="4">
        <f>SUMIFS(super1[Qtde],super1[Item],tab_alimentos[[#This Row],[Item]],super1[Bairro],mercado8)+SUMIFS(supercb[Qtde],supercb[Item],tab_alimentos[[#This Row],[Item]],supercb[Bairro],mercado8)</f>
        <v>0</v>
      </c>
      <c r="T369" s="4">
        <f>SUMIFS(super1[Qtde],super1[Item],tab_alimentos[[#This Row],[Item]],super1[Bairro],mercado9)+SUMIFS(supercb[Qtde],supercb[Item],tab_alimentos[[#This Row],[Item]],supercb[Bairro],mercado9)</f>
        <v>0</v>
      </c>
      <c r="U369" s="4">
        <f>SUMIFS(super1[Qtde],super1[Item],tab_alimentos[[#This Row],[Item]],super1[Bairro],mercado10)+SUMIFS(supercb[Qtde],supercb[Item],tab_alimentos[[#This Row],[Item]],supercb[Bairro],mercado10)</f>
        <v>0</v>
      </c>
      <c r="V369" s="4">
        <f>SUMIFS(super1[Qtde],super1[Item],tab_alimentos[[#This Row],[Item]],super1[Bairro],mercado11)+SUMIFS(supercb[Qtde],supercb[Item],tab_alimentos[[#This Row],[Item]],supercb[Bairro],mercado11)</f>
        <v>0</v>
      </c>
      <c r="W369" s="4">
        <f>SUMIFS(super1[Qtde],super1[Item],tab_alimentos[[#This Row],[Item]],super1[Bairro],mercado12)+SUMIFS(supercb[Qtde],supercb[Item],tab_alimentos[[#This Row],[Item]],supercb[Bairro],mercado12)</f>
        <v>0</v>
      </c>
      <c r="X369" s="4">
        <f>SUMIFS(super1[Qtde],super1[Item],tab_alimentos[[#This Row],[Item]],super1[Bairro],mercado13)+SUMIFS(supercb[Qtde],supercb[Item],tab_alimentos[[#This Row],[Item]],supercb[Bairro],mercado13)</f>
        <v>0</v>
      </c>
      <c r="Y369" s="4">
        <f>SUMIFS(super1[Qtde],super1[Item],tab_alimentos[[#This Row],[Item]],super1[Bairro],mercado14)+SUMIFS(supercb[Qtde],supercb[Item],tab_alimentos[[#This Row],[Item]],supercb[Bairro],mercado14)</f>
        <v>0</v>
      </c>
      <c r="Z369" s="4">
        <f>SUMIFS(super1[Qtde],super1[Item],tab_alimentos[[#This Row],[Item]],super1[Bairro],mercado15)+SUMIFS(supercb[Qtde],supercb[Item],tab_alimentos[[#This Row],[Item]],supercb[Bairro],mercado15)</f>
        <v>0</v>
      </c>
      <c r="AA369" s="4">
        <f>SUMIFS(super1[Qtde],super1[Item],tab_alimentos[[#This Row],[Item]],super1[Bairro],mercado16)+SUMIFS(supercb[Qtde],supercb[Item],tab_alimentos[[#This Row],[Item]],supercb[Bairro],mercado16)</f>
        <v>0</v>
      </c>
      <c r="AB369" s="4">
        <f>SUMIFS(super1[Qtde],super1[Item],tab_alimentos[[#This Row],[Item]],super1[Bairro],mercado17)+SUMIFS(supercb[Qtde],supercb[Item],tab_alimentos[[#This Row],[Item]],supercb[Bairro],mercado17)</f>
        <v>0</v>
      </c>
      <c r="AC369" s="4">
        <f>SUMIFS(super1[Qtde],super1[Item],tab_alimentos[[#This Row],[Item]],super1[Bairro],mercado18)+SUMIFS(supercb[Qtde],supercb[Item],tab_alimentos[[#This Row],[Item]],supercb[Bairro],mercado18)</f>
        <v>0</v>
      </c>
      <c r="AD369" s="4">
        <f>SUMIFS(super1[Qtde],super1[Item],tab_alimentos[[#This Row],[Item]],super1[Bairro],extras)+SUMIFS(supercb[Qtde],supercb[Item],tab_alimentos[[#This Row],[Item]],supercb[Bairro],extras)</f>
        <v>0</v>
      </c>
      <c r="AE369" s="4">
        <f t="shared" si="94"/>
        <v>0</v>
      </c>
      <c r="AF369" s="4">
        <f t="shared" si="95"/>
        <v>0</v>
      </c>
      <c r="AG369" s="6">
        <f t="shared" si="96"/>
        <v>0</v>
      </c>
    </row>
    <row r="370" spans="9:33" x14ac:dyDescent="0.25">
      <c r="I370" s="19" t="str">
        <f>alimentos[[#This Row],[Item]]</f>
        <v>Patê de Presunto (150g)</v>
      </c>
      <c r="J370" s="4">
        <f>IFERROR(alimentos[[#This Row],[kg/embalagem]],0)</f>
        <v>0.15</v>
      </c>
      <c r="K370" s="4">
        <f>IFERROR(alimentos[[#This Row],[Preço]],0)</f>
        <v>9.34</v>
      </c>
      <c r="L370" s="4">
        <f>SUMIFS(super1[Qtde],super1[Item],tab_alimentos[[#This Row],[Item]],super1[Bairro],mercado1)+SUMIFS(supercb[Qtde],supercb[Item],tab_alimentos[[#This Row],[Item]],supercb[Bairro],mercado1)</f>
        <v>0</v>
      </c>
      <c r="M370" s="4">
        <f>SUMIFS(super1[Qtde],super1[Item],tab_alimentos[[#This Row],[Item]],super1[Bairro],mercado2)+SUMIFS(supercb[Qtde],supercb[Item],tab_alimentos[[#This Row],[Item]],supercb[Bairro],mercado2)</f>
        <v>0</v>
      </c>
      <c r="N370" s="4">
        <f>SUMIFS(super1[Qtde],super1[Item],tab_alimentos[[#This Row],[Item]],super1[Bairro],mercado3)+SUMIFS(supercb[Qtde],supercb[Item],tab_alimentos[[#This Row],[Item]],supercb[Bairro],mercado3)</f>
        <v>0</v>
      </c>
      <c r="O370" s="4">
        <f>SUMIFS(super1[Qtde],super1[Item],tab_alimentos[[#This Row],[Item]],super1[Bairro],mercado4)+SUMIFS(supercb[Qtde],supercb[Item],tab_alimentos[[#This Row],[Item]],supercb[Bairro],mercado4)</f>
        <v>0</v>
      </c>
      <c r="P370" s="4">
        <f>SUMIFS(super1[Qtde],super1[Item],tab_alimentos[[#This Row],[Item]],super1[Bairro],mercado5)+SUMIFS(supercb[Qtde],supercb[Item],tab_alimentos[[#This Row],[Item]],supercb[Bairro],mercado5)</f>
        <v>0</v>
      </c>
      <c r="Q370" s="4">
        <f>SUMIFS(super1[Qtde],super1[Item],tab_alimentos[[#This Row],[Item]],super1[Bairro],mercado6)+SUMIFS(supercb[Qtde],supercb[Item],tab_alimentos[[#This Row],[Item]],supercb[Bairro],mercado6)</f>
        <v>0</v>
      </c>
      <c r="R370" s="4">
        <f>SUMIFS(super1[Qtde],super1[Item],tab_alimentos[[#This Row],[Item]],super1[Bairro],mercado7)+SUMIFS(supercb[Qtde],supercb[Item],tab_alimentos[[#This Row],[Item]],supercb[Bairro],mercado7)</f>
        <v>0</v>
      </c>
      <c r="S370" s="4">
        <f>SUMIFS(super1[Qtde],super1[Item],tab_alimentos[[#This Row],[Item]],super1[Bairro],mercado8)+SUMIFS(supercb[Qtde],supercb[Item],tab_alimentos[[#This Row],[Item]],supercb[Bairro],mercado8)</f>
        <v>0</v>
      </c>
      <c r="T370" s="4">
        <f>SUMIFS(super1[Qtde],super1[Item],tab_alimentos[[#This Row],[Item]],super1[Bairro],mercado9)+SUMIFS(supercb[Qtde],supercb[Item],tab_alimentos[[#This Row],[Item]],supercb[Bairro],mercado9)</f>
        <v>0</v>
      </c>
      <c r="U370" s="4">
        <f>SUMIFS(super1[Qtde],super1[Item],tab_alimentos[[#This Row],[Item]],super1[Bairro],mercado10)+SUMIFS(supercb[Qtde],supercb[Item],tab_alimentos[[#This Row],[Item]],supercb[Bairro],mercado10)</f>
        <v>0</v>
      </c>
      <c r="V370" s="4">
        <f>SUMIFS(super1[Qtde],super1[Item],tab_alimentos[[#This Row],[Item]],super1[Bairro],mercado11)+SUMIFS(supercb[Qtde],supercb[Item],tab_alimentos[[#This Row],[Item]],supercb[Bairro],mercado11)</f>
        <v>0</v>
      </c>
      <c r="W370" s="4">
        <f>SUMIFS(super1[Qtde],super1[Item],tab_alimentos[[#This Row],[Item]],super1[Bairro],mercado12)+SUMIFS(supercb[Qtde],supercb[Item],tab_alimentos[[#This Row],[Item]],supercb[Bairro],mercado12)</f>
        <v>0</v>
      </c>
      <c r="X370" s="4">
        <f>SUMIFS(super1[Qtde],super1[Item],tab_alimentos[[#This Row],[Item]],super1[Bairro],mercado13)+SUMIFS(supercb[Qtde],supercb[Item],tab_alimentos[[#This Row],[Item]],supercb[Bairro],mercado13)</f>
        <v>0</v>
      </c>
      <c r="Y370" s="4">
        <f>SUMIFS(super1[Qtde],super1[Item],tab_alimentos[[#This Row],[Item]],super1[Bairro],mercado14)+SUMIFS(supercb[Qtde],supercb[Item],tab_alimentos[[#This Row],[Item]],supercb[Bairro],mercado14)</f>
        <v>0</v>
      </c>
      <c r="Z370" s="4">
        <f>SUMIFS(super1[Qtde],super1[Item],tab_alimentos[[#This Row],[Item]],super1[Bairro],mercado15)+SUMIFS(supercb[Qtde],supercb[Item],tab_alimentos[[#This Row],[Item]],supercb[Bairro],mercado15)</f>
        <v>0</v>
      </c>
      <c r="AA370" s="4">
        <f>SUMIFS(super1[Qtde],super1[Item],tab_alimentos[[#This Row],[Item]],super1[Bairro],mercado16)+SUMIFS(supercb[Qtde],supercb[Item],tab_alimentos[[#This Row],[Item]],supercb[Bairro],mercado16)</f>
        <v>0</v>
      </c>
      <c r="AB370" s="4">
        <f>SUMIFS(super1[Qtde],super1[Item],tab_alimentos[[#This Row],[Item]],super1[Bairro],mercado17)+SUMIFS(supercb[Qtde],supercb[Item],tab_alimentos[[#This Row],[Item]],supercb[Bairro],mercado17)</f>
        <v>0</v>
      </c>
      <c r="AC370" s="4">
        <f>SUMIFS(super1[Qtde],super1[Item],tab_alimentos[[#This Row],[Item]],super1[Bairro],mercado18)+SUMIFS(supercb[Qtde],supercb[Item],tab_alimentos[[#This Row],[Item]],supercb[Bairro],mercado18)</f>
        <v>0</v>
      </c>
      <c r="AD370" s="4">
        <f>SUMIFS(super1[Qtde],super1[Item],tab_alimentos[[#This Row],[Item]],super1[Bairro],extras)+SUMIFS(supercb[Qtde],supercb[Item],tab_alimentos[[#This Row],[Item]],supercb[Bairro],extras)</f>
        <v>0</v>
      </c>
      <c r="AE370" s="4">
        <f t="shared" si="94"/>
        <v>0</v>
      </c>
      <c r="AF370" s="4">
        <f t="shared" si="95"/>
        <v>0</v>
      </c>
      <c r="AG370" s="6">
        <f t="shared" si="96"/>
        <v>0</v>
      </c>
    </row>
    <row r="371" spans="9:33" x14ac:dyDescent="0.25">
      <c r="I371" s="19" t="str">
        <f>alimentos[[#This Row],[Item]]</f>
        <v>Patê de Sardinha (150g)</v>
      </c>
      <c r="J371" s="4">
        <f>IFERROR(alimentos[[#This Row],[kg/embalagem]],0)</f>
        <v>0.15</v>
      </c>
      <c r="K371" s="4">
        <f>IFERROR(alimentos[[#This Row],[Preço]],0)</f>
        <v>7.49</v>
      </c>
      <c r="L371" s="4">
        <f>SUMIFS(super1[Qtde],super1[Item],tab_alimentos[[#This Row],[Item]],super1[Bairro],mercado1)+SUMIFS(supercb[Qtde],supercb[Item],tab_alimentos[[#This Row],[Item]],supercb[Bairro],mercado1)</f>
        <v>0</v>
      </c>
      <c r="M371" s="4">
        <f>SUMIFS(super1[Qtde],super1[Item],tab_alimentos[[#This Row],[Item]],super1[Bairro],mercado2)+SUMIFS(supercb[Qtde],supercb[Item],tab_alimentos[[#This Row],[Item]],supercb[Bairro],mercado2)</f>
        <v>0</v>
      </c>
      <c r="N371" s="4">
        <f>SUMIFS(super1[Qtde],super1[Item],tab_alimentos[[#This Row],[Item]],super1[Bairro],mercado3)+SUMIFS(supercb[Qtde],supercb[Item],tab_alimentos[[#This Row],[Item]],supercb[Bairro],mercado3)</f>
        <v>0</v>
      </c>
      <c r="O371" s="4">
        <f>SUMIFS(super1[Qtde],super1[Item],tab_alimentos[[#This Row],[Item]],super1[Bairro],mercado4)+SUMIFS(supercb[Qtde],supercb[Item],tab_alimentos[[#This Row],[Item]],supercb[Bairro],mercado4)</f>
        <v>0</v>
      </c>
      <c r="P371" s="4">
        <f>SUMIFS(super1[Qtde],super1[Item],tab_alimentos[[#This Row],[Item]],super1[Bairro],mercado5)+SUMIFS(supercb[Qtde],supercb[Item],tab_alimentos[[#This Row],[Item]],supercb[Bairro],mercado5)</f>
        <v>0</v>
      </c>
      <c r="Q371" s="4">
        <f>SUMIFS(super1[Qtde],super1[Item],tab_alimentos[[#This Row],[Item]],super1[Bairro],mercado6)+SUMIFS(supercb[Qtde],supercb[Item],tab_alimentos[[#This Row],[Item]],supercb[Bairro],mercado6)</f>
        <v>0</v>
      </c>
      <c r="R371" s="4">
        <f>SUMIFS(super1[Qtde],super1[Item],tab_alimentos[[#This Row],[Item]],super1[Bairro],mercado7)+SUMIFS(supercb[Qtde],supercb[Item],tab_alimentos[[#This Row],[Item]],supercb[Bairro],mercado7)</f>
        <v>0</v>
      </c>
      <c r="S371" s="4">
        <f>SUMIFS(super1[Qtde],super1[Item],tab_alimentos[[#This Row],[Item]],super1[Bairro],mercado8)+SUMIFS(supercb[Qtde],supercb[Item],tab_alimentos[[#This Row],[Item]],supercb[Bairro],mercado8)</f>
        <v>0</v>
      </c>
      <c r="T371" s="4">
        <f>SUMIFS(super1[Qtde],super1[Item],tab_alimentos[[#This Row],[Item]],super1[Bairro],mercado9)+SUMIFS(supercb[Qtde],supercb[Item],tab_alimentos[[#This Row],[Item]],supercb[Bairro],mercado9)</f>
        <v>0</v>
      </c>
      <c r="U371" s="4">
        <f>SUMIFS(super1[Qtde],super1[Item],tab_alimentos[[#This Row],[Item]],super1[Bairro],mercado10)+SUMIFS(supercb[Qtde],supercb[Item],tab_alimentos[[#This Row],[Item]],supercb[Bairro],mercado10)</f>
        <v>0</v>
      </c>
      <c r="V371" s="4">
        <f>SUMIFS(super1[Qtde],super1[Item],tab_alimentos[[#This Row],[Item]],super1[Bairro],mercado11)+SUMIFS(supercb[Qtde],supercb[Item],tab_alimentos[[#This Row],[Item]],supercb[Bairro],mercado11)</f>
        <v>0</v>
      </c>
      <c r="W371" s="4">
        <f>SUMIFS(super1[Qtde],super1[Item],tab_alimentos[[#This Row],[Item]],super1[Bairro],mercado12)+SUMIFS(supercb[Qtde],supercb[Item],tab_alimentos[[#This Row],[Item]],supercb[Bairro],mercado12)</f>
        <v>0</v>
      </c>
      <c r="X371" s="4">
        <f>SUMIFS(super1[Qtde],super1[Item],tab_alimentos[[#This Row],[Item]],super1[Bairro],mercado13)+SUMIFS(supercb[Qtde],supercb[Item],tab_alimentos[[#This Row],[Item]],supercb[Bairro],mercado13)</f>
        <v>0</v>
      </c>
      <c r="Y371" s="4">
        <f>SUMIFS(super1[Qtde],super1[Item],tab_alimentos[[#This Row],[Item]],super1[Bairro],mercado14)+SUMIFS(supercb[Qtde],supercb[Item],tab_alimentos[[#This Row],[Item]],supercb[Bairro],mercado14)</f>
        <v>0</v>
      </c>
      <c r="Z371" s="4">
        <f>SUMIFS(super1[Qtde],super1[Item],tab_alimentos[[#This Row],[Item]],super1[Bairro],mercado15)+SUMIFS(supercb[Qtde],supercb[Item],tab_alimentos[[#This Row],[Item]],supercb[Bairro],mercado15)</f>
        <v>0</v>
      </c>
      <c r="AA371" s="4">
        <f>SUMIFS(super1[Qtde],super1[Item],tab_alimentos[[#This Row],[Item]],super1[Bairro],mercado16)+SUMIFS(supercb[Qtde],supercb[Item],tab_alimentos[[#This Row],[Item]],supercb[Bairro],mercado16)</f>
        <v>0</v>
      </c>
      <c r="AB371" s="4">
        <f>SUMIFS(super1[Qtde],super1[Item],tab_alimentos[[#This Row],[Item]],super1[Bairro],mercado17)+SUMIFS(supercb[Qtde],supercb[Item],tab_alimentos[[#This Row],[Item]],supercb[Bairro],mercado17)</f>
        <v>0</v>
      </c>
      <c r="AC371" s="4">
        <f>SUMIFS(super1[Qtde],super1[Item],tab_alimentos[[#This Row],[Item]],super1[Bairro],mercado18)+SUMIFS(supercb[Qtde],supercb[Item],tab_alimentos[[#This Row],[Item]],supercb[Bairro],mercado18)</f>
        <v>0</v>
      </c>
      <c r="AD371" s="4">
        <f>SUMIFS(super1[Qtde],super1[Item],tab_alimentos[[#This Row],[Item]],super1[Bairro],extras)+SUMIFS(supercb[Qtde],supercb[Item],tab_alimentos[[#This Row],[Item]],supercb[Bairro],extras)</f>
        <v>0</v>
      </c>
      <c r="AE371" s="4">
        <f t="shared" si="94"/>
        <v>0</v>
      </c>
      <c r="AF371" s="4">
        <f t="shared" si="95"/>
        <v>0</v>
      </c>
      <c r="AG371" s="6">
        <f t="shared" si="96"/>
        <v>0</v>
      </c>
    </row>
    <row r="372" spans="9:33" x14ac:dyDescent="0.25">
      <c r="I372" s="19" t="str">
        <f>alimentos[[#This Row],[Item]]</f>
        <v>Patê de Sardinha (170g)</v>
      </c>
      <c r="J372" s="4">
        <f>IFERROR(alimentos[[#This Row],[kg/embalagem]],0)</f>
        <v>0.17</v>
      </c>
      <c r="K372" s="4">
        <f>IFERROR(alimentos[[#This Row],[Preço]],0)</f>
        <v>5.99</v>
      </c>
      <c r="L372" s="4">
        <f>SUMIFS(super1[Qtde],super1[Item],tab_alimentos[[#This Row],[Item]],super1[Bairro],mercado1)+SUMIFS(supercb[Qtde],supercb[Item],tab_alimentos[[#This Row],[Item]],supercb[Bairro],mercado1)</f>
        <v>0</v>
      </c>
      <c r="M372" s="4">
        <f>SUMIFS(super1[Qtde],super1[Item],tab_alimentos[[#This Row],[Item]],super1[Bairro],mercado2)+SUMIFS(supercb[Qtde],supercb[Item],tab_alimentos[[#This Row],[Item]],supercb[Bairro],mercado2)</f>
        <v>0</v>
      </c>
      <c r="N372" s="4">
        <f>SUMIFS(super1[Qtde],super1[Item],tab_alimentos[[#This Row],[Item]],super1[Bairro],mercado3)+SUMIFS(supercb[Qtde],supercb[Item],tab_alimentos[[#This Row],[Item]],supercb[Bairro],mercado3)</f>
        <v>0</v>
      </c>
      <c r="O372" s="4">
        <f>SUMIFS(super1[Qtde],super1[Item],tab_alimentos[[#This Row],[Item]],super1[Bairro],mercado4)+SUMIFS(supercb[Qtde],supercb[Item],tab_alimentos[[#This Row],[Item]],supercb[Bairro],mercado4)</f>
        <v>0</v>
      </c>
      <c r="P372" s="4">
        <f>SUMIFS(super1[Qtde],super1[Item],tab_alimentos[[#This Row],[Item]],super1[Bairro],mercado5)+SUMIFS(supercb[Qtde],supercb[Item],tab_alimentos[[#This Row],[Item]],supercb[Bairro],mercado5)</f>
        <v>0</v>
      </c>
      <c r="Q372" s="4">
        <f>SUMIFS(super1[Qtde],super1[Item],tab_alimentos[[#This Row],[Item]],super1[Bairro],mercado6)+SUMIFS(supercb[Qtde],supercb[Item],tab_alimentos[[#This Row],[Item]],supercb[Bairro],mercado6)</f>
        <v>0</v>
      </c>
      <c r="R372" s="4">
        <f>SUMIFS(super1[Qtde],super1[Item],tab_alimentos[[#This Row],[Item]],super1[Bairro],mercado7)+SUMIFS(supercb[Qtde],supercb[Item],tab_alimentos[[#This Row],[Item]],supercb[Bairro],mercado7)</f>
        <v>0</v>
      </c>
      <c r="S372" s="4">
        <f>SUMIFS(super1[Qtde],super1[Item],tab_alimentos[[#This Row],[Item]],super1[Bairro],mercado8)+SUMIFS(supercb[Qtde],supercb[Item],tab_alimentos[[#This Row],[Item]],supercb[Bairro],mercado8)</f>
        <v>0</v>
      </c>
      <c r="T372" s="4">
        <f>SUMIFS(super1[Qtde],super1[Item],tab_alimentos[[#This Row],[Item]],super1[Bairro],mercado9)+SUMIFS(supercb[Qtde],supercb[Item],tab_alimentos[[#This Row],[Item]],supercb[Bairro],mercado9)</f>
        <v>0</v>
      </c>
      <c r="U372" s="4">
        <f>SUMIFS(super1[Qtde],super1[Item],tab_alimentos[[#This Row],[Item]],super1[Bairro],mercado10)+SUMIFS(supercb[Qtde],supercb[Item],tab_alimentos[[#This Row],[Item]],supercb[Bairro],mercado10)</f>
        <v>0</v>
      </c>
      <c r="V372" s="4">
        <f>SUMIFS(super1[Qtde],super1[Item],tab_alimentos[[#This Row],[Item]],super1[Bairro],mercado11)+SUMIFS(supercb[Qtde],supercb[Item],tab_alimentos[[#This Row],[Item]],supercb[Bairro],mercado11)</f>
        <v>0</v>
      </c>
      <c r="W372" s="4">
        <f>SUMIFS(super1[Qtde],super1[Item],tab_alimentos[[#This Row],[Item]],super1[Bairro],mercado12)+SUMIFS(supercb[Qtde],supercb[Item],tab_alimentos[[#This Row],[Item]],supercb[Bairro],mercado12)</f>
        <v>0</v>
      </c>
      <c r="X372" s="4">
        <f>SUMIFS(super1[Qtde],super1[Item],tab_alimentos[[#This Row],[Item]],super1[Bairro],mercado13)+SUMIFS(supercb[Qtde],supercb[Item],tab_alimentos[[#This Row],[Item]],supercb[Bairro],mercado13)</f>
        <v>0</v>
      </c>
      <c r="Y372" s="4">
        <f>SUMIFS(super1[Qtde],super1[Item],tab_alimentos[[#This Row],[Item]],super1[Bairro],mercado14)+SUMIFS(supercb[Qtde],supercb[Item],tab_alimentos[[#This Row],[Item]],supercb[Bairro],mercado14)</f>
        <v>0</v>
      </c>
      <c r="Z372" s="4">
        <f>SUMIFS(super1[Qtde],super1[Item],tab_alimentos[[#This Row],[Item]],super1[Bairro],mercado15)+SUMIFS(supercb[Qtde],supercb[Item],tab_alimentos[[#This Row],[Item]],supercb[Bairro],mercado15)</f>
        <v>0</v>
      </c>
      <c r="AA372" s="4">
        <f>SUMIFS(super1[Qtde],super1[Item],tab_alimentos[[#This Row],[Item]],super1[Bairro],mercado16)+SUMIFS(supercb[Qtde],supercb[Item],tab_alimentos[[#This Row],[Item]],supercb[Bairro],mercado16)</f>
        <v>0</v>
      </c>
      <c r="AB372" s="4">
        <f>SUMIFS(super1[Qtde],super1[Item],tab_alimentos[[#This Row],[Item]],super1[Bairro],mercado17)+SUMIFS(supercb[Qtde],supercb[Item],tab_alimentos[[#This Row],[Item]],supercb[Bairro],mercado17)</f>
        <v>0</v>
      </c>
      <c r="AC372" s="4">
        <f>SUMIFS(super1[Qtde],super1[Item],tab_alimentos[[#This Row],[Item]],super1[Bairro],mercado18)+SUMIFS(supercb[Qtde],supercb[Item],tab_alimentos[[#This Row],[Item]],supercb[Bairro],mercado18)</f>
        <v>0</v>
      </c>
      <c r="AD372" s="4">
        <f>SUMIFS(super1[Qtde],super1[Item],tab_alimentos[[#This Row],[Item]],super1[Bairro],extras)+SUMIFS(supercb[Qtde],supercb[Item],tab_alimentos[[#This Row],[Item]],supercb[Bairro],extras)</f>
        <v>0</v>
      </c>
      <c r="AE372" s="4">
        <f t="shared" si="94"/>
        <v>0</v>
      </c>
      <c r="AF372" s="4">
        <f t="shared" si="95"/>
        <v>0</v>
      </c>
      <c r="AG372" s="6">
        <f t="shared" si="96"/>
        <v>0</v>
      </c>
    </row>
    <row r="373" spans="9:33" x14ac:dyDescent="0.25">
      <c r="I373" s="19" t="str">
        <f>alimentos[[#This Row],[Item]]</f>
        <v>Pêssego em Calda (500g)</v>
      </c>
      <c r="J373" s="4">
        <f>IFERROR(alimentos[[#This Row],[kg/embalagem]],0)</f>
        <v>0.5</v>
      </c>
      <c r="K373" s="4">
        <f>IFERROR(alimentos[[#This Row],[Preço]],0)</f>
        <v>11.5</v>
      </c>
      <c r="L373" s="4">
        <f>SUMIFS(super1[Qtde],super1[Item],tab_alimentos[[#This Row],[Item]],super1[Bairro],mercado1)+SUMIFS(supercb[Qtde],supercb[Item],tab_alimentos[[#This Row],[Item]],supercb[Bairro],mercado1)</f>
        <v>0</v>
      </c>
      <c r="M373" s="4">
        <f>SUMIFS(super1[Qtde],super1[Item],tab_alimentos[[#This Row],[Item]],super1[Bairro],mercado2)+SUMIFS(supercb[Qtde],supercb[Item],tab_alimentos[[#This Row],[Item]],supercb[Bairro],mercado2)</f>
        <v>0</v>
      </c>
      <c r="N373" s="4">
        <f>SUMIFS(super1[Qtde],super1[Item],tab_alimentos[[#This Row],[Item]],super1[Bairro],mercado3)+SUMIFS(supercb[Qtde],supercb[Item],tab_alimentos[[#This Row],[Item]],supercb[Bairro],mercado3)</f>
        <v>0</v>
      </c>
      <c r="O373" s="4">
        <f>SUMIFS(super1[Qtde],super1[Item],tab_alimentos[[#This Row],[Item]],super1[Bairro],mercado4)+SUMIFS(supercb[Qtde],supercb[Item],tab_alimentos[[#This Row],[Item]],supercb[Bairro],mercado4)</f>
        <v>0</v>
      </c>
      <c r="P373" s="4">
        <f>SUMIFS(super1[Qtde],super1[Item],tab_alimentos[[#This Row],[Item]],super1[Bairro],mercado5)+SUMIFS(supercb[Qtde],supercb[Item],tab_alimentos[[#This Row],[Item]],supercb[Bairro],mercado5)</f>
        <v>0</v>
      </c>
      <c r="Q373" s="4">
        <f>SUMIFS(super1[Qtde],super1[Item],tab_alimentos[[#This Row],[Item]],super1[Bairro],mercado6)+SUMIFS(supercb[Qtde],supercb[Item],tab_alimentos[[#This Row],[Item]],supercb[Bairro],mercado6)</f>
        <v>0</v>
      </c>
      <c r="R373" s="4">
        <f>SUMIFS(super1[Qtde],super1[Item],tab_alimentos[[#This Row],[Item]],super1[Bairro],mercado7)+SUMIFS(supercb[Qtde],supercb[Item],tab_alimentos[[#This Row],[Item]],supercb[Bairro],mercado7)</f>
        <v>0</v>
      </c>
      <c r="S373" s="4">
        <f>SUMIFS(super1[Qtde],super1[Item],tab_alimentos[[#This Row],[Item]],super1[Bairro],mercado8)+SUMIFS(supercb[Qtde],supercb[Item],tab_alimentos[[#This Row],[Item]],supercb[Bairro],mercado8)</f>
        <v>0</v>
      </c>
      <c r="T373" s="4">
        <f>SUMIFS(super1[Qtde],super1[Item],tab_alimentos[[#This Row],[Item]],super1[Bairro],mercado9)+SUMIFS(supercb[Qtde],supercb[Item],tab_alimentos[[#This Row],[Item]],supercb[Bairro],mercado9)</f>
        <v>0</v>
      </c>
      <c r="U373" s="4">
        <f>SUMIFS(super1[Qtde],super1[Item],tab_alimentos[[#This Row],[Item]],super1[Bairro],mercado10)+SUMIFS(supercb[Qtde],supercb[Item],tab_alimentos[[#This Row],[Item]],supercb[Bairro],mercado10)</f>
        <v>0</v>
      </c>
      <c r="V373" s="4">
        <f>SUMIFS(super1[Qtde],super1[Item],tab_alimentos[[#This Row],[Item]],super1[Bairro],mercado11)+SUMIFS(supercb[Qtde],supercb[Item],tab_alimentos[[#This Row],[Item]],supercb[Bairro],mercado11)</f>
        <v>0</v>
      </c>
      <c r="W373" s="4">
        <f>SUMIFS(super1[Qtde],super1[Item],tab_alimentos[[#This Row],[Item]],super1[Bairro],mercado12)+SUMIFS(supercb[Qtde],supercb[Item],tab_alimentos[[#This Row],[Item]],supercb[Bairro],mercado12)</f>
        <v>0</v>
      </c>
      <c r="X373" s="4">
        <f>SUMIFS(super1[Qtde],super1[Item],tab_alimentos[[#This Row],[Item]],super1[Bairro],mercado13)+SUMIFS(supercb[Qtde],supercb[Item],tab_alimentos[[#This Row],[Item]],supercb[Bairro],mercado13)</f>
        <v>0</v>
      </c>
      <c r="Y373" s="4">
        <f>SUMIFS(super1[Qtde],super1[Item],tab_alimentos[[#This Row],[Item]],super1[Bairro],mercado14)+SUMIFS(supercb[Qtde],supercb[Item],tab_alimentos[[#This Row],[Item]],supercb[Bairro],mercado14)</f>
        <v>0</v>
      </c>
      <c r="Z373" s="4">
        <f>SUMIFS(super1[Qtde],super1[Item],tab_alimentos[[#This Row],[Item]],super1[Bairro],mercado15)+SUMIFS(supercb[Qtde],supercb[Item],tab_alimentos[[#This Row],[Item]],supercb[Bairro],mercado15)</f>
        <v>0</v>
      </c>
      <c r="AA373" s="4">
        <f>SUMIFS(super1[Qtde],super1[Item],tab_alimentos[[#This Row],[Item]],super1[Bairro],mercado16)+SUMIFS(supercb[Qtde],supercb[Item],tab_alimentos[[#This Row],[Item]],supercb[Bairro],mercado16)</f>
        <v>0</v>
      </c>
      <c r="AB373" s="4">
        <f>SUMIFS(super1[Qtde],super1[Item],tab_alimentos[[#This Row],[Item]],super1[Bairro],mercado17)+SUMIFS(supercb[Qtde],supercb[Item],tab_alimentos[[#This Row],[Item]],supercb[Bairro],mercado17)</f>
        <v>0</v>
      </c>
      <c r="AC373" s="4">
        <f>SUMIFS(super1[Qtde],super1[Item],tab_alimentos[[#This Row],[Item]],super1[Bairro],mercado18)+SUMIFS(supercb[Qtde],supercb[Item],tab_alimentos[[#This Row],[Item]],supercb[Bairro],mercado18)</f>
        <v>0</v>
      </c>
      <c r="AD373" s="4">
        <f>SUMIFS(super1[Qtde],super1[Item],tab_alimentos[[#This Row],[Item]],super1[Bairro],extras)+SUMIFS(supercb[Qtde],supercb[Item],tab_alimentos[[#This Row],[Item]],supercb[Bairro],extras)</f>
        <v>0</v>
      </c>
      <c r="AE373" s="4">
        <f t="shared" si="94"/>
        <v>0</v>
      </c>
      <c r="AF373" s="4">
        <f t="shared" si="95"/>
        <v>0</v>
      </c>
      <c r="AG373" s="6">
        <f t="shared" si="96"/>
        <v>0</v>
      </c>
    </row>
    <row r="374" spans="9:33" x14ac:dyDescent="0.25">
      <c r="I374" s="19" t="str">
        <f>alimentos[[#This Row],[Item]]</f>
        <v>Pipoca de Microondas (100g)</v>
      </c>
      <c r="J374" s="4">
        <f>IFERROR(alimentos[[#This Row],[kg/embalagem]],0)</f>
        <v>0.1</v>
      </c>
      <c r="K374" s="4">
        <f>IFERROR(alimentos[[#This Row],[Preço]],0)</f>
        <v>4.49</v>
      </c>
      <c r="L374" s="4">
        <f>SUMIFS(super1[Qtde],super1[Item],tab_alimentos[[#This Row],[Item]],super1[Bairro],mercado1)+SUMIFS(supercb[Qtde],supercb[Item],tab_alimentos[[#This Row],[Item]],supercb[Bairro],mercado1)</f>
        <v>0</v>
      </c>
      <c r="M374" s="4">
        <f>SUMIFS(super1[Qtde],super1[Item],tab_alimentos[[#This Row],[Item]],super1[Bairro],mercado2)+SUMIFS(supercb[Qtde],supercb[Item],tab_alimentos[[#This Row],[Item]],supercb[Bairro],mercado2)</f>
        <v>0</v>
      </c>
      <c r="N374" s="4">
        <f>SUMIFS(super1[Qtde],super1[Item],tab_alimentos[[#This Row],[Item]],super1[Bairro],mercado3)+SUMIFS(supercb[Qtde],supercb[Item],tab_alimentos[[#This Row],[Item]],supercb[Bairro],mercado3)</f>
        <v>0</v>
      </c>
      <c r="O374" s="4">
        <f>SUMIFS(super1[Qtde],super1[Item],tab_alimentos[[#This Row],[Item]],super1[Bairro],mercado4)+SUMIFS(supercb[Qtde],supercb[Item],tab_alimentos[[#This Row],[Item]],supercb[Bairro],mercado4)</f>
        <v>0</v>
      </c>
      <c r="P374" s="4">
        <f>SUMIFS(super1[Qtde],super1[Item],tab_alimentos[[#This Row],[Item]],super1[Bairro],mercado5)+SUMIFS(supercb[Qtde],supercb[Item],tab_alimentos[[#This Row],[Item]],supercb[Bairro],mercado5)</f>
        <v>0</v>
      </c>
      <c r="Q374" s="4">
        <f>SUMIFS(super1[Qtde],super1[Item],tab_alimentos[[#This Row],[Item]],super1[Bairro],mercado6)+SUMIFS(supercb[Qtde],supercb[Item],tab_alimentos[[#This Row],[Item]],supercb[Bairro],mercado6)</f>
        <v>0</v>
      </c>
      <c r="R374" s="4">
        <f>SUMIFS(super1[Qtde],super1[Item],tab_alimentos[[#This Row],[Item]],super1[Bairro],mercado7)+SUMIFS(supercb[Qtde],supercb[Item],tab_alimentos[[#This Row],[Item]],supercb[Bairro],mercado7)</f>
        <v>0</v>
      </c>
      <c r="S374" s="4">
        <f>SUMIFS(super1[Qtde],super1[Item],tab_alimentos[[#This Row],[Item]],super1[Bairro],mercado8)+SUMIFS(supercb[Qtde],supercb[Item],tab_alimentos[[#This Row],[Item]],supercb[Bairro],mercado8)</f>
        <v>0</v>
      </c>
      <c r="T374" s="4">
        <f>SUMIFS(super1[Qtde],super1[Item],tab_alimentos[[#This Row],[Item]],super1[Bairro],mercado9)+SUMIFS(supercb[Qtde],supercb[Item],tab_alimentos[[#This Row],[Item]],supercb[Bairro],mercado9)</f>
        <v>0</v>
      </c>
      <c r="U374" s="4">
        <f>SUMIFS(super1[Qtde],super1[Item],tab_alimentos[[#This Row],[Item]],super1[Bairro],mercado10)+SUMIFS(supercb[Qtde],supercb[Item],tab_alimentos[[#This Row],[Item]],supercb[Bairro],mercado10)</f>
        <v>0</v>
      </c>
      <c r="V374" s="4">
        <f>SUMIFS(super1[Qtde],super1[Item],tab_alimentos[[#This Row],[Item]],super1[Bairro],mercado11)+SUMIFS(supercb[Qtde],supercb[Item],tab_alimentos[[#This Row],[Item]],supercb[Bairro],mercado11)</f>
        <v>0</v>
      </c>
      <c r="W374" s="4">
        <f>SUMIFS(super1[Qtde],super1[Item],tab_alimentos[[#This Row],[Item]],super1[Bairro],mercado12)+SUMIFS(supercb[Qtde],supercb[Item],tab_alimentos[[#This Row],[Item]],supercb[Bairro],mercado12)</f>
        <v>0</v>
      </c>
      <c r="X374" s="4">
        <f>SUMIFS(super1[Qtde],super1[Item],tab_alimentos[[#This Row],[Item]],super1[Bairro],mercado13)+SUMIFS(supercb[Qtde],supercb[Item],tab_alimentos[[#This Row],[Item]],supercb[Bairro],mercado13)</f>
        <v>0</v>
      </c>
      <c r="Y374" s="4">
        <f>SUMIFS(super1[Qtde],super1[Item],tab_alimentos[[#This Row],[Item]],super1[Bairro],mercado14)+SUMIFS(supercb[Qtde],supercb[Item],tab_alimentos[[#This Row],[Item]],supercb[Bairro],mercado14)</f>
        <v>0</v>
      </c>
      <c r="Z374" s="4">
        <f>SUMIFS(super1[Qtde],super1[Item],tab_alimentos[[#This Row],[Item]],super1[Bairro],mercado15)+SUMIFS(supercb[Qtde],supercb[Item],tab_alimentos[[#This Row],[Item]],supercb[Bairro],mercado15)</f>
        <v>0</v>
      </c>
      <c r="AA374" s="4">
        <f>SUMIFS(super1[Qtde],super1[Item],tab_alimentos[[#This Row],[Item]],super1[Bairro],mercado16)+SUMIFS(supercb[Qtde],supercb[Item],tab_alimentos[[#This Row],[Item]],supercb[Bairro],mercado16)</f>
        <v>0</v>
      </c>
      <c r="AB374" s="4">
        <f>SUMIFS(super1[Qtde],super1[Item],tab_alimentos[[#This Row],[Item]],super1[Bairro],mercado17)+SUMIFS(supercb[Qtde],supercb[Item],tab_alimentos[[#This Row],[Item]],supercb[Bairro],mercado17)</f>
        <v>0</v>
      </c>
      <c r="AC374" s="4">
        <f>SUMIFS(super1[Qtde],super1[Item],tab_alimentos[[#This Row],[Item]],super1[Bairro],mercado18)+SUMIFS(supercb[Qtde],supercb[Item],tab_alimentos[[#This Row],[Item]],supercb[Bairro],mercado18)</f>
        <v>0</v>
      </c>
      <c r="AD374" s="4">
        <f>SUMIFS(super1[Qtde],super1[Item],tab_alimentos[[#This Row],[Item]],super1[Bairro],extras)+SUMIFS(supercb[Qtde],supercb[Item],tab_alimentos[[#This Row],[Item]],supercb[Bairro],extras)</f>
        <v>0</v>
      </c>
      <c r="AE374" s="4">
        <f t="shared" si="94"/>
        <v>0</v>
      </c>
      <c r="AF374" s="4">
        <f t="shared" si="95"/>
        <v>0</v>
      </c>
      <c r="AG374" s="6">
        <f t="shared" si="96"/>
        <v>0</v>
      </c>
    </row>
    <row r="375" spans="9:33" x14ac:dyDescent="0.25">
      <c r="I375" s="19" t="str">
        <f>alimentos[[#This Row],[Item]]</f>
        <v>Pipoca de Microondas (50g)</v>
      </c>
      <c r="J375" s="4">
        <f>IFERROR(alimentos[[#This Row],[kg/embalagem]],0)</f>
        <v>0.05</v>
      </c>
      <c r="K375" s="4">
        <f>IFERROR(alimentos[[#This Row],[Preço]],0)</f>
        <v>3.19</v>
      </c>
      <c r="L375" s="4">
        <f>SUMIFS(super1[Qtde],super1[Item],tab_alimentos[[#This Row],[Item]],super1[Bairro],mercado1)+SUMIFS(supercb[Qtde],supercb[Item],tab_alimentos[[#This Row],[Item]],supercb[Bairro],mercado1)</f>
        <v>0</v>
      </c>
      <c r="M375" s="4">
        <f>SUMIFS(super1[Qtde],super1[Item],tab_alimentos[[#This Row],[Item]],super1[Bairro],mercado2)+SUMIFS(supercb[Qtde],supercb[Item],tab_alimentos[[#This Row],[Item]],supercb[Bairro],mercado2)</f>
        <v>0</v>
      </c>
      <c r="N375" s="4">
        <f>SUMIFS(super1[Qtde],super1[Item],tab_alimentos[[#This Row],[Item]],super1[Bairro],mercado3)+SUMIFS(supercb[Qtde],supercb[Item],tab_alimentos[[#This Row],[Item]],supercb[Bairro],mercado3)</f>
        <v>0</v>
      </c>
      <c r="O375" s="4">
        <f>SUMIFS(super1[Qtde],super1[Item],tab_alimentos[[#This Row],[Item]],super1[Bairro],mercado4)+SUMIFS(supercb[Qtde],supercb[Item],tab_alimentos[[#This Row],[Item]],supercb[Bairro],mercado4)</f>
        <v>0</v>
      </c>
      <c r="P375" s="4">
        <f>SUMIFS(super1[Qtde],super1[Item],tab_alimentos[[#This Row],[Item]],super1[Bairro],mercado5)+SUMIFS(supercb[Qtde],supercb[Item],tab_alimentos[[#This Row],[Item]],supercb[Bairro],mercado5)</f>
        <v>0</v>
      </c>
      <c r="Q375" s="4">
        <f>SUMIFS(super1[Qtde],super1[Item],tab_alimentos[[#This Row],[Item]],super1[Bairro],mercado6)+SUMIFS(supercb[Qtde],supercb[Item],tab_alimentos[[#This Row],[Item]],supercb[Bairro],mercado6)</f>
        <v>0</v>
      </c>
      <c r="R375" s="4">
        <f>SUMIFS(super1[Qtde],super1[Item],tab_alimentos[[#This Row],[Item]],super1[Bairro],mercado7)+SUMIFS(supercb[Qtde],supercb[Item],tab_alimentos[[#This Row],[Item]],supercb[Bairro],mercado7)</f>
        <v>0</v>
      </c>
      <c r="S375" s="4">
        <f>SUMIFS(super1[Qtde],super1[Item],tab_alimentos[[#This Row],[Item]],super1[Bairro],mercado8)+SUMIFS(supercb[Qtde],supercb[Item],tab_alimentos[[#This Row],[Item]],supercb[Bairro],mercado8)</f>
        <v>0</v>
      </c>
      <c r="T375" s="4">
        <f>SUMIFS(super1[Qtde],super1[Item],tab_alimentos[[#This Row],[Item]],super1[Bairro],mercado9)+SUMIFS(supercb[Qtde],supercb[Item],tab_alimentos[[#This Row],[Item]],supercb[Bairro],mercado9)</f>
        <v>0</v>
      </c>
      <c r="U375" s="4">
        <f>SUMIFS(super1[Qtde],super1[Item],tab_alimentos[[#This Row],[Item]],super1[Bairro],mercado10)+SUMIFS(supercb[Qtde],supercb[Item],tab_alimentos[[#This Row],[Item]],supercb[Bairro],mercado10)</f>
        <v>0</v>
      </c>
      <c r="V375" s="4">
        <f>SUMIFS(super1[Qtde],super1[Item],tab_alimentos[[#This Row],[Item]],super1[Bairro],mercado11)+SUMIFS(supercb[Qtde],supercb[Item],tab_alimentos[[#This Row],[Item]],supercb[Bairro],mercado11)</f>
        <v>0</v>
      </c>
      <c r="W375" s="4">
        <f>SUMIFS(super1[Qtde],super1[Item],tab_alimentos[[#This Row],[Item]],super1[Bairro],mercado12)+SUMIFS(supercb[Qtde],supercb[Item],tab_alimentos[[#This Row],[Item]],supercb[Bairro],mercado12)</f>
        <v>0</v>
      </c>
      <c r="X375" s="4">
        <f>SUMIFS(super1[Qtde],super1[Item],tab_alimentos[[#This Row],[Item]],super1[Bairro],mercado13)+SUMIFS(supercb[Qtde],supercb[Item],tab_alimentos[[#This Row],[Item]],supercb[Bairro],mercado13)</f>
        <v>0</v>
      </c>
      <c r="Y375" s="4">
        <f>SUMIFS(super1[Qtde],super1[Item],tab_alimentos[[#This Row],[Item]],super1[Bairro],mercado14)+SUMIFS(supercb[Qtde],supercb[Item],tab_alimentos[[#This Row],[Item]],supercb[Bairro],mercado14)</f>
        <v>0</v>
      </c>
      <c r="Z375" s="4">
        <f>SUMIFS(super1[Qtde],super1[Item],tab_alimentos[[#This Row],[Item]],super1[Bairro],mercado15)+SUMIFS(supercb[Qtde],supercb[Item],tab_alimentos[[#This Row],[Item]],supercb[Bairro],mercado15)</f>
        <v>0</v>
      </c>
      <c r="AA375" s="4">
        <f>SUMIFS(super1[Qtde],super1[Item],tab_alimentos[[#This Row],[Item]],super1[Bairro],mercado16)+SUMIFS(supercb[Qtde],supercb[Item],tab_alimentos[[#This Row],[Item]],supercb[Bairro],mercado16)</f>
        <v>0</v>
      </c>
      <c r="AB375" s="4">
        <f>SUMIFS(super1[Qtde],super1[Item],tab_alimentos[[#This Row],[Item]],super1[Bairro],mercado17)+SUMIFS(supercb[Qtde],supercb[Item],tab_alimentos[[#This Row],[Item]],supercb[Bairro],mercado17)</f>
        <v>0</v>
      </c>
      <c r="AC375" s="4">
        <f>SUMIFS(super1[Qtde],super1[Item],tab_alimentos[[#This Row],[Item]],super1[Bairro],mercado18)+SUMIFS(supercb[Qtde],supercb[Item],tab_alimentos[[#This Row],[Item]],supercb[Bairro],mercado18)</f>
        <v>0</v>
      </c>
      <c r="AD375" s="4">
        <f>SUMIFS(super1[Qtde],super1[Item],tab_alimentos[[#This Row],[Item]],super1[Bairro],extras)+SUMIFS(supercb[Qtde],supercb[Item],tab_alimentos[[#This Row],[Item]],supercb[Bairro],extras)</f>
        <v>0</v>
      </c>
      <c r="AE375" s="4">
        <f t="shared" si="94"/>
        <v>0</v>
      </c>
      <c r="AF375" s="4">
        <f t="shared" si="95"/>
        <v>0</v>
      </c>
      <c r="AG375" s="6">
        <f t="shared" si="96"/>
        <v>0</v>
      </c>
    </row>
    <row r="376" spans="9:33" x14ac:dyDescent="0.25">
      <c r="I376" s="19" t="str">
        <f>alimentos[[#This Row],[Item]]</f>
        <v>Pipoca Doce (100g)</v>
      </c>
      <c r="J376" s="4">
        <f>IFERROR(alimentos[[#This Row],[kg/embalagem]],0)</f>
        <v>0.1</v>
      </c>
      <c r="K376" s="4">
        <f>IFERROR(alimentos[[#This Row],[Preço]],0)</f>
        <v>3.39</v>
      </c>
      <c r="L376" s="4">
        <f>SUMIFS(super1[Qtde],super1[Item],tab_alimentos[[#This Row],[Item]],super1[Bairro],mercado1)+SUMIFS(supercb[Qtde],supercb[Item],tab_alimentos[[#This Row],[Item]],supercb[Bairro],mercado1)</f>
        <v>0</v>
      </c>
      <c r="M376" s="4">
        <f>SUMIFS(super1[Qtde],super1[Item],tab_alimentos[[#This Row],[Item]],super1[Bairro],mercado2)+SUMIFS(supercb[Qtde],supercb[Item],tab_alimentos[[#This Row],[Item]],supercb[Bairro],mercado2)</f>
        <v>0</v>
      </c>
      <c r="N376" s="4">
        <f>SUMIFS(super1[Qtde],super1[Item],tab_alimentos[[#This Row],[Item]],super1[Bairro],mercado3)+SUMIFS(supercb[Qtde],supercb[Item],tab_alimentos[[#This Row],[Item]],supercb[Bairro],mercado3)</f>
        <v>0</v>
      </c>
      <c r="O376" s="4">
        <f>SUMIFS(super1[Qtde],super1[Item],tab_alimentos[[#This Row],[Item]],super1[Bairro],mercado4)+SUMIFS(supercb[Qtde],supercb[Item],tab_alimentos[[#This Row],[Item]],supercb[Bairro],mercado4)</f>
        <v>0</v>
      </c>
      <c r="P376" s="4">
        <f>SUMIFS(super1[Qtde],super1[Item],tab_alimentos[[#This Row],[Item]],super1[Bairro],mercado5)+SUMIFS(supercb[Qtde],supercb[Item],tab_alimentos[[#This Row],[Item]],supercb[Bairro],mercado5)</f>
        <v>0</v>
      </c>
      <c r="Q376" s="4">
        <f>SUMIFS(super1[Qtde],super1[Item],tab_alimentos[[#This Row],[Item]],super1[Bairro],mercado6)+SUMIFS(supercb[Qtde],supercb[Item],tab_alimentos[[#This Row],[Item]],supercb[Bairro],mercado6)</f>
        <v>0</v>
      </c>
      <c r="R376" s="4">
        <f>SUMIFS(super1[Qtde],super1[Item],tab_alimentos[[#This Row],[Item]],super1[Bairro],mercado7)+SUMIFS(supercb[Qtde],supercb[Item],tab_alimentos[[#This Row],[Item]],supercb[Bairro],mercado7)</f>
        <v>0</v>
      </c>
      <c r="S376" s="4">
        <f>SUMIFS(super1[Qtde],super1[Item],tab_alimentos[[#This Row],[Item]],super1[Bairro],mercado8)+SUMIFS(supercb[Qtde],supercb[Item],tab_alimentos[[#This Row],[Item]],supercb[Bairro],mercado8)</f>
        <v>0</v>
      </c>
      <c r="T376" s="4">
        <f>SUMIFS(super1[Qtde],super1[Item],tab_alimentos[[#This Row],[Item]],super1[Bairro],mercado9)+SUMIFS(supercb[Qtde],supercb[Item],tab_alimentos[[#This Row],[Item]],supercb[Bairro],mercado9)</f>
        <v>0</v>
      </c>
      <c r="U376" s="4">
        <f>SUMIFS(super1[Qtde],super1[Item],tab_alimentos[[#This Row],[Item]],super1[Bairro],mercado10)+SUMIFS(supercb[Qtde],supercb[Item],tab_alimentos[[#This Row],[Item]],supercb[Bairro],mercado10)</f>
        <v>0</v>
      </c>
      <c r="V376" s="4">
        <f>SUMIFS(super1[Qtde],super1[Item],tab_alimentos[[#This Row],[Item]],super1[Bairro],mercado11)+SUMIFS(supercb[Qtde],supercb[Item],tab_alimentos[[#This Row],[Item]],supercb[Bairro],mercado11)</f>
        <v>0</v>
      </c>
      <c r="W376" s="4">
        <f>SUMIFS(super1[Qtde],super1[Item],tab_alimentos[[#This Row],[Item]],super1[Bairro],mercado12)+SUMIFS(supercb[Qtde],supercb[Item],tab_alimentos[[#This Row],[Item]],supercb[Bairro],mercado12)</f>
        <v>0</v>
      </c>
      <c r="X376" s="4">
        <f>SUMIFS(super1[Qtde],super1[Item],tab_alimentos[[#This Row],[Item]],super1[Bairro],mercado13)+SUMIFS(supercb[Qtde],supercb[Item],tab_alimentos[[#This Row],[Item]],supercb[Bairro],mercado13)</f>
        <v>0</v>
      </c>
      <c r="Y376" s="4">
        <f>SUMIFS(super1[Qtde],super1[Item],tab_alimentos[[#This Row],[Item]],super1[Bairro],mercado14)+SUMIFS(supercb[Qtde],supercb[Item],tab_alimentos[[#This Row],[Item]],supercb[Bairro],mercado14)</f>
        <v>0</v>
      </c>
      <c r="Z376" s="4">
        <f>SUMIFS(super1[Qtde],super1[Item],tab_alimentos[[#This Row],[Item]],super1[Bairro],mercado15)+SUMIFS(supercb[Qtde],supercb[Item],tab_alimentos[[#This Row],[Item]],supercb[Bairro],mercado15)</f>
        <v>0</v>
      </c>
      <c r="AA376" s="4">
        <f>SUMIFS(super1[Qtde],super1[Item],tab_alimentos[[#This Row],[Item]],super1[Bairro],mercado16)+SUMIFS(supercb[Qtde],supercb[Item],tab_alimentos[[#This Row],[Item]],supercb[Bairro],mercado16)</f>
        <v>0</v>
      </c>
      <c r="AB376" s="4">
        <f>SUMIFS(super1[Qtde],super1[Item],tab_alimentos[[#This Row],[Item]],super1[Bairro],mercado17)+SUMIFS(supercb[Qtde],supercb[Item],tab_alimentos[[#This Row],[Item]],supercb[Bairro],mercado17)</f>
        <v>0</v>
      </c>
      <c r="AC376" s="4">
        <f>SUMIFS(super1[Qtde],super1[Item],tab_alimentos[[#This Row],[Item]],super1[Bairro],mercado18)+SUMIFS(supercb[Qtde],supercb[Item],tab_alimentos[[#This Row],[Item]],supercb[Bairro],mercado18)</f>
        <v>0</v>
      </c>
      <c r="AD376" s="4">
        <f>SUMIFS(super1[Qtde],super1[Item],tab_alimentos[[#This Row],[Item]],super1[Bairro],extras)+SUMIFS(supercb[Qtde],supercb[Item],tab_alimentos[[#This Row],[Item]],supercb[Bairro],extras)</f>
        <v>0</v>
      </c>
      <c r="AE376" s="4">
        <f t="shared" ref="AE376:AE439" si="97">SUM(L376:AC376)</f>
        <v>0</v>
      </c>
      <c r="AF376" s="4">
        <f t="shared" ref="AF376:AF439" si="98">IFERROR(AE376*K376,0)</f>
        <v>0</v>
      </c>
      <c r="AG376" s="6">
        <f t="shared" ref="AG376:AG439" si="99">IFERROR(J376*AE376,0)</f>
        <v>0</v>
      </c>
    </row>
    <row r="377" spans="9:33" x14ac:dyDescent="0.25">
      <c r="I377" s="19" t="str">
        <f>alimentos[[#This Row],[Item]]</f>
        <v>Polenta (1kg)</v>
      </c>
      <c r="J377" s="4">
        <f>IFERROR(alimentos[[#This Row],[kg/embalagem]],0)</f>
        <v>1</v>
      </c>
      <c r="K377" s="4">
        <f>IFERROR(alimentos[[#This Row],[Preço]],0)</f>
        <v>20.9</v>
      </c>
      <c r="L377" s="4">
        <f>SUMIFS(super1[Qtde],super1[Item],tab_alimentos[[#This Row],[Item]],super1[Bairro],mercado1)+SUMIFS(supercb[Qtde],supercb[Item],tab_alimentos[[#This Row],[Item]],supercb[Bairro],mercado1)</f>
        <v>0</v>
      </c>
      <c r="M377" s="4">
        <f>SUMIFS(super1[Qtde],super1[Item],tab_alimentos[[#This Row],[Item]],super1[Bairro],mercado2)+SUMIFS(supercb[Qtde],supercb[Item],tab_alimentos[[#This Row],[Item]],supercb[Bairro],mercado2)</f>
        <v>0</v>
      </c>
      <c r="N377" s="4">
        <f>SUMIFS(super1[Qtde],super1[Item],tab_alimentos[[#This Row],[Item]],super1[Bairro],mercado3)+SUMIFS(supercb[Qtde],supercb[Item],tab_alimentos[[#This Row],[Item]],supercb[Bairro],mercado3)</f>
        <v>0</v>
      </c>
      <c r="O377" s="4">
        <f>SUMIFS(super1[Qtde],super1[Item],tab_alimentos[[#This Row],[Item]],super1[Bairro],mercado4)+SUMIFS(supercb[Qtde],supercb[Item],tab_alimentos[[#This Row],[Item]],supercb[Bairro],mercado4)</f>
        <v>0</v>
      </c>
      <c r="P377" s="4">
        <f>SUMIFS(super1[Qtde],super1[Item],tab_alimentos[[#This Row],[Item]],super1[Bairro],mercado5)+SUMIFS(supercb[Qtde],supercb[Item],tab_alimentos[[#This Row],[Item]],supercb[Bairro],mercado5)</f>
        <v>0</v>
      </c>
      <c r="Q377" s="4">
        <f>SUMIFS(super1[Qtde],super1[Item],tab_alimentos[[#This Row],[Item]],super1[Bairro],mercado6)+SUMIFS(supercb[Qtde],supercb[Item],tab_alimentos[[#This Row],[Item]],supercb[Bairro],mercado6)</f>
        <v>0</v>
      </c>
      <c r="R377" s="4">
        <f>SUMIFS(super1[Qtde],super1[Item],tab_alimentos[[#This Row],[Item]],super1[Bairro],mercado7)+SUMIFS(supercb[Qtde],supercb[Item],tab_alimentos[[#This Row],[Item]],supercb[Bairro],mercado7)</f>
        <v>0</v>
      </c>
      <c r="S377" s="4">
        <f>SUMIFS(super1[Qtde],super1[Item],tab_alimentos[[#This Row],[Item]],super1[Bairro],mercado8)+SUMIFS(supercb[Qtde],supercb[Item],tab_alimentos[[#This Row],[Item]],supercb[Bairro],mercado8)</f>
        <v>0</v>
      </c>
      <c r="T377" s="4">
        <f>SUMIFS(super1[Qtde],super1[Item],tab_alimentos[[#This Row],[Item]],super1[Bairro],mercado9)+SUMIFS(supercb[Qtde],supercb[Item],tab_alimentos[[#This Row],[Item]],supercb[Bairro],mercado9)</f>
        <v>0</v>
      </c>
      <c r="U377" s="4">
        <f>SUMIFS(super1[Qtde],super1[Item],tab_alimentos[[#This Row],[Item]],super1[Bairro],mercado10)+SUMIFS(supercb[Qtde],supercb[Item],tab_alimentos[[#This Row],[Item]],supercb[Bairro],mercado10)</f>
        <v>0</v>
      </c>
      <c r="V377" s="4">
        <f>SUMIFS(super1[Qtde],super1[Item],tab_alimentos[[#This Row],[Item]],super1[Bairro],mercado11)+SUMIFS(supercb[Qtde],supercb[Item],tab_alimentos[[#This Row],[Item]],supercb[Bairro],mercado11)</f>
        <v>0</v>
      </c>
      <c r="W377" s="4">
        <f>SUMIFS(super1[Qtde],super1[Item],tab_alimentos[[#This Row],[Item]],super1[Bairro],mercado12)+SUMIFS(supercb[Qtde],supercb[Item],tab_alimentos[[#This Row],[Item]],supercb[Bairro],mercado12)</f>
        <v>0</v>
      </c>
      <c r="X377" s="4">
        <f>SUMIFS(super1[Qtde],super1[Item],tab_alimentos[[#This Row],[Item]],super1[Bairro],mercado13)+SUMIFS(supercb[Qtde],supercb[Item],tab_alimentos[[#This Row],[Item]],supercb[Bairro],mercado13)</f>
        <v>0</v>
      </c>
      <c r="Y377" s="4">
        <f>SUMIFS(super1[Qtde],super1[Item],tab_alimentos[[#This Row],[Item]],super1[Bairro],mercado14)+SUMIFS(supercb[Qtde],supercb[Item],tab_alimentos[[#This Row],[Item]],supercb[Bairro],mercado14)</f>
        <v>0</v>
      </c>
      <c r="Z377" s="4">
        <f>SUMIFS(super1[Qtde],super1[Item],tab_alimentos[[#This Row],[Item]],super1[Bairro],mercado15)+SUMIFS(supercb[Qtde],supercb[Item],tab_alimentos[[#This Row],[Item]],supercb[Bairro],mercado15)</f>
        <v>0</v>
      </c>
      <c r="AA377" s="4">
        <f>SUMIFS(super1[Qtde],super1[Item],tab_alimentos[[#This Row],[Item]],super1[Bairro],mercado16)+SUMIFS(supercb[Qtde],supercb[Item],tab_alimentos[[#This Row],[Item]],supercb[Bairro],mercado16)</f>
        <v>0</v>
      </c>
      <c r="AB377" s="4">
        <f>SUMIFS(super1[Qtde],super1[Item],tab_alimentos[[#This Row],[Item]],super1[Bairro],mercado17)+SUMIFS(supercb[Qtde],supercb[Item],tab_alimentos[[#This Row],[Item]],supercb[Bairro],mercado17)</f>
        <v>0</v>
      </c>
      <c r="AC377" s="4">
        <f>SUMIFS(super1[Qtde],super1[Item],tab_alimentos[[#This Row],[Item]],super1[Bairro],mercado18)+SUMIFS(supercb[Qtde],supercb[Item],tab_alimentos[[#This Row],[Item]],supercb[Bairro],mercado18)</f>
        <v>0</v>
      </c>
      <c r="AD377" s="4">
        <f>SUMIFS(super1[Qtde],super1[Item],tab_alimentos[[#This Row],[Item]],super1[Bairro],extras)+SUMIFS(supercb[Qtde],supercb[Item],tab_alimentos[[#This Row],[Item]],supercb[Bairro],extras)</f>
        <v>0</v>
      </c>
      <c r="AE377" s="4">
        <f t="shared" si="97"/>
        <v>0</v>
      </c>
      <c r="AF377" s="4">
        <f t="shared" si="98"/>
        <v>0</v>
      </c>
      <c r="AG377" s="6">
        <f t="shared" si="99"/>
        <v>0</v>
      </c>
    </row>
    <row r="378" spans="9:33" x14ac:dyDescent="0.25">
      <c r="I378" s="19" t="str">
        <f>alimentos[[#This Row],[Item]]</f>
        <v>Polenta (500g)</v>
      </c>
      <c r="J378" s="4">
        <f>IFERROR(alimentos[[#This Row],[kg/embalagem]],0)</f>
        <v>0.5</v>
      </c>
      <c r="K378" s="4">
        <f>IFERROR(alimentos[[#This Row],[Preço]],0)</f>
        <v>4.3899999999999997</v>
      </c>
      <c r="L378" s="4">
        <f>SUMIFS(super1[Qtde],super1[Item],tab_alimentos[[#This Row],[Item]],super1[Bairro],mercado1)+SUMIFS(supercb[Qtde],supercb[Item],tab_alimentos[[#This Row],[Item]],supercb[Bairro],mercado1)</f>
        <v>0</v>
      </c>
      <c r="M378" s="4">
        <f>SUMIFS(super1[Qtde],super1[Item],tab_alimentos[[#This Row],[Item]],super1[Bairro],mercado2)+SUMIFS(supercb[Qtde],supercb[Item],tab_alimentos[[#This Row],[Item]],supercb[Bairro],mercado2)</f>
        <v>0</v>
      </c>
      <c r="N378" s="4">
        <f>SUMIFS(super1[Qtde],super1[Item],tab_alimentos[[#This Row],[Item]],super1[Bairro],mercado3)+SUMIFS(supercb[Qtde],supercb[Item],tab_alimentos[[#This Row],[Item]],supercb[Bairro],mercado3)</f>
        <v>0</v>
      </c>
      <c r="O378" s="4">
        <f>SUMIFS(super1[Qtde],super1[Item],tab_alimentos[[#This Row],[Item]],super1[Bairro],mercado4)+SUMIFS(supercb[Qtde],supercb[Item],tab_alimentos[[#This Row],[Item]],supercb[Bairro],mercado4)</f>
        <v>0</v>
      </c>
      <c r="P378" s="4">
        <f>SUMIFS(super1[Qtde],super1[Item],tab_alimentos[[#This Row],[Item]],super1[Bairro],mercado5)+SUMIFS(supercb[Qtde],supercb[Item],tab_alimentos[[#This Row],[Item]],supercb[Bairro],mercado5)</f>
        <v>0</v>
      </c>
      <c r="Q378" s="4">
        <f>SUMIFS(super1[Qtde],super1[Item],tab_alimentos[[#This Row],[Item]],super1[Bairro],mercado6)+SUMIFS(supercb[Qtde],supercb[Item],tab_alimentos[[#This Row],[Item]],supercb[Bairro],mercado6)</f>
        <v>0</v>
      </c>
      <c r="R378" s="4">
        <f>SUMIFS(super1[Qtde],super1[Item],tab_alimentos[[#This Row],[Item]],super1[Bairro],mercado7)+SUMIFS(supercb[Qtde],supercb[Item],tab_alimentos[[#This Row],[Item]],supercb[Bairro],mercado7)</f>
        <v>0</v>
      </c>
      <c r="S378" s="4">
        <f>SUMIFS(super1[Qtde],super1[Item],tab_alimentos[[#This Row],[Item]],super1[Bairro],mercado8)+SUMIFS(supercb[Qtde],supercb[Item],tab_alimentos[[#This Row],[Item]],supercb[Bairro],mercado8)</f>
        <v>0</v>
      </c>
      <c r="T378" s="4">
        <f>SUMIFS(super1[Qtde],super1[Item],tab_alimentos[[#This Row],[Item]],super1[Bairro],mercado9)+SUMIFS(supercb[Qtde],supercb[Item],tab_alimentos[[#This Row],[Item]],supercb[Bairro],mercado9)</f>
        <v>0</v>
      </c>
      <c r="U378" s="4">
        <f>SUMIFS(super1[Qtde],super1[Item],tab_alimentos[[#This Row],[Item]],super1[Bairro],mercado10)+SUMIFS(supercb[Qtde],supercb[Item],tab_alimentos[[#This Row],[Item]],supercb[Bairro],mercado10)</f>
        <v>0</v>
      </c>
      <c r="V378" s="4">
        <f>SUMIFS(super1[Qtde],super1[Item],tab_alimentos[[#This Row],[Item]],super1[Bairro],mercado11)+SUMIFS(supercb[Qtde],supercb[Item],tab_alimentos[[#This Row],[Item]],supercb[Bairro],mercado11)</f>
        <v>0</v>
      </c>
      <c r="W378" s="4">
        <f>SUMIFS(super1[Qtde],super1[Item],tab_alimentos[[#This Row],[Item]],super1[Bairro],mercado12)+SUMIFS(supercb[Qtde],supercb[Item],tab_alimentos[[#This Row],[Item]],supercb[Bairro],mercado12)</f>
        <v>0</v>
      </c>
      <c r="X378" s="4">
        <f>SUMIFS(super1[Qtde],super1[Item],tab_alimentos[[#This Row],[Item]],super1[Bairro],mercado13)+SUMIFS(supercb[Qtde],supercb[Item],tab_alimentos[[#This Row],[Item]],supercb[Bairro],mercado13)</f>
        <v>0</v>
      </c>
      <c r="Y378" s="4">
        <f>SUMIFS(super1[Qtde],super1[Item],tab_alimentos[[#This Row],[Item]],super1[Bairro],mercado14)+SUMIFS(supercb[Qtde],supercb[Item],tab_alimentos[[#This Row],[Item]],supercb[Bairro],mercado14)</f>
        <v>0</v>
      </c>
      <c r="Z378" s="4">
        <f>SUMIFS(super1[Qtde],super1[Item],tab_alimentos[[#This Row],[Item]],super1[Bairro],mercado15)+SUMIFS(supercb[Qtde],supercb[Item],tab_alimentos[[#This Row],[Item]],supercb[Bairro],mercado15)</f>
        <v>0</v>
      </c>
      <c r="AA378" s="4">
        <f>SUMIFS(super1[Qtde],super1[Item],tab_alimentos[[#This Row],[Item]],super1[Bairro],mercado16)+SUMIFS(supercb[Qtde],supercb[Item],tab_alimentos[[#This Row],[Item]],supercb[Bairro],mercado16)</f>
        <v>0</v>
      </c>
      <c r="AB378" s="4">
        <f>SUMIFS(super1[Qtde],super1[Item],tab_alimentos[[#This Row],[Item]],super1[Bairro],mercado17)+SUMIFS(supercb[Qtde],supercb[Item],tab_alimentos[[#This Row],[Item]],supercb[Bairro],mercado17)</f>
        <v>0</v>
      </c>
      <c r="AC378" s="4">
        <f>SUMIFS(super1[Qtde],super1[Item],tab_alimentos[[#This Row],[Item]],super1[Bairro],mercado18)+SUMIFS(supercb[Qtde],supercb[Item],tab_alimentos[[#This Row],[Item]],supercb[Bairro],mercado18)</f>
        <v>0</v>
      </c>
      <c r="AD378" s="4">
        <f>SUMIFS(super1[Qtde],super1[Item],tab_alimentos[[#This Row],[Item]],super1[Bairro],extras)+SUMIFS(supercb[Qtde],supercb[Item],tab_alimentos[[#This Row],[Item]],supercb[Bairro],extras)</f>
        <v>0</v>
      </c>
      <c r="AE378" s="4">
        <f t="shared" si="97"/>
        <v>0</v>
      </c>
      <c r="AF378" s="4">
        <f t="shared" si="98"/>
        <v>0</v>
      </c>
      <c r="AG378" s="6">
        <f t="shared" si="99"/>
        <v>0</v>
      </c>
    </row>
    <row r="379" spans="9:33" x14ac:dyDescent="0.25">
      <c r="I379" s="19" t="str">
        <f>alimentos[[#This Row],[Item]]</f>
        <v>Polvilho (1kg)</v>
      </c>
      <c r="J379" s="4">
        <f>IFERROR(alimentos[[#This Row],[kg/embalagem]],0)</f>
        <v>1</v>
      </c>
      <c r="K379" s="4">
        <f>IFERROR(alimentos[[#This Row],[Preço]],0)</f>
        <v>13</v>
      </c>
      <c r="L379" s="4">
        <f>SUMIFS(super1[Qtde],super1[Item],tab_alimentos[[#This Row],[Item]],super1[Bairro],mercado1)+SUMIFS(supercb[Qtde],supercb[Item],tab_alimentos[[#This Row],[Item]],supercb[Bairro],mercado1)</f>
        <v>0</v>
      </c>
      <c r="M379" s="4">
        <f>SUMIFS(super1[Qtde],super1[Item],tab_alimentos[[#This Row],[Item]],super1[Bairro],mercado2)+SUMIFS(supercb[Qtde],supercb[Item],tab_alimentos[[#This Row],[Item]],supercb[Bairro],mercado2)</f>
        <v>0</v>
      </c>
      <c r="N379" s="4">
        <f>SUMIFS(super1[Qtde],super1[Item],tab_alimentos[[#This Row],[Item]],super1[Bairro],mercado3)+SUMIFS(supercb[Qtde],supercb[Item],tab_alimentos[[#This Row],[Item]],supercb[Bairro],mercado3)</f>
        <v>0</v>
      </c>
      <c r="O379" s="4">
        <f>SUMIFS(super1[Qtde],super1[Item],tab_alimentos[[#This Row],[Item]],super1[Bairro],mercado4)+SUMIFS(supercb[Qtde],supercb[Item],tab_alimentos[[#This Row],[Item]],supercb[Bairro],mercado4)</f>
        <v>0</v>
      </c>
      <c r="P379" s="4">
        <f>SUMIFS(super1[Qtde],super1[Item],tab_alimentos[[#This Row],[Item]],super1[Bairro],mercado5)+SUMIFS(supercb[Qtde],supercb[Item],tab_alimentos[[#This Row],[Item]],supercb[Bairro],mercado5)</f>
        <v>0</v>
      </c>
      <c r="Q379" s="4">
        <f>SUMIFS(super1[Qtde],super1[Item],tab_alimentos[[#This Row],[Item]],super1[Bairro],mercado6)+SUMIFS(supercb[Qtde],supercb[Item],tab_alimentos[[#This Row],[Item]],supercb[Bairro],mercado6)</f>
        <v>0</v>
      </c>
      <c r="R379" s="4">
        <f>SUMIFS(super1[Qtde],super1[Item],tab_alimentos[[#This Row],[Item]],super1[Bairro],mercado7)+SUMIFS(supercb[Qtde],supercb[Item],tab_alimentos[[#This Row],[Item]],supercb[Bairro],mercado7)</f>
        <v>0</v>
      </c>
      <c r="S379" s="4">
        <f>SUMIFS(super1[Qtde],super1[Item],tab_alimentos[[#This Row],[Item]],super1[Bairro],mercado8)+SUMIFS(supercb[Qtde],supercb[Item],tab_alimentos[[#This Row],[Item]],supercb[Bairro],mercado8)</f>
        <v>0</v>
      </c>
      <c r="T379" s="4">
        <f>SUMIFS(super1[Qtde],super1[Item],tab_alimentos[[#This Row],[Item]],super1[Bairro],mercado9)+SUMIFS(supercb[Qtde],supercb[Item],tab_alimentos[[#This Row],[Item]],supercb[Bairro],mercado9)</f>
        <v>0</v>
      </c>
      <c r="U379" s="4">
        <f>SUMIFS(super1[Qtde],super1[Item],tab_alimentos[[#This Row],[Item]],super1[Bairro],mercado10)+SUMIFS(supercb[Qtde],supercb[Item],tab_alimentos[[#This Row],[Item]],supercb[Bairro],mercado10)</f>
        <v>0</v>
      </c>
      <c r="V379" s="4">
        <f>SUMIFS(super1[Qtde],super1[Item],tab_alimentos[[#This Row],[Item]],super1[Bairro],mercado11)+SUMIFS(supercb[Qtde],supercb[Item],tab_alimentos[[#This Row],[Item]],supercb[Bairro],mercado11)</f>
        <v>0</v>
      </c>
      <c r="W379" s="4">
        <f>SUMIFS(super1[Qtde],super1[Item],tab_alimentos[[#This Row],[Item]],super1[Bairro],mercado12)+SUMIFS(supercb[Qtde],supercb[Item],tab_alimentos[[#This Row],[Item]],supercb[Bairro],mercado12)</f>
        <v>0</v>
      </c>
      <c r="X379" s="4">
        <f>SUMIFS(super1[Qtde],super1[Item],tab_alimentos[[#This Row],[Item]],super1[Bairro],mercado13)+SUMIFS(supercb[Qtde],supercb[Item],tab_alimentos[[#This Row],[Item]],supercb[Bairro],mercado13)</f>
        <v>0</v>
      </c>
      <c r="Y379" s="4">
        <f>SUMIFS(super1[Qtde],super1[Item],tab_alimentos[[#This Row],[Item]],super1[Bairro],mercado14)+SUMIFS(supercb[Qtde],supercb[Item],tab_alimentos[[#This Row],[Item]],supercb[Bairro],mercado14)</f>
        <v>0</v>
      </c>
      <c r="Z379" s="4">
        <f>SUMIFS(super1[Qtde],super1[Item],tab_alimentos[[#This Row],[Item]],super1[Bairro],mercado15)+SUMIFS(supercb[Qtde],supercb[Item],tab_alimentos[[#This Row],[Item]],supercb[Bairro],mercado15)</f>
        <v>0</v>
      </c>
      <c r="AA379" s="4">
        <f>SUMIFS(super1[Qtde],super1[Item],tab_alimentos[[#This Row],[Item]],super1[Bairro],mercado16)+SUMIFS(supercb[Qtde],supercb[Item],tab_alimentos[[#This Row],[Item]],supercb[Bairro],mercado16)</f>
        <v>0</v>
      </c>
      <c r="AB379" s="4">
        <f>SUMIFS(super1[Qtde],super1[Item],tab_alimentos[[#This Row],[Item]],super1[Bairro],mercado17)+SUMIFS(supercb[Qtde],supercb[Item],tab_alimentos[[#This Row],[Item]],supercb[Bairro],mercado17)</f>
        <v>0</v>
      </c>
      <c r="AC379" s="4">
        <f>SUMIFS(super1[Qtde],super1[Item],tab_alimentos[[#This Row],[Item]],super1[Bairro],mercado18)+SUMIFS(supercb[Qtde],supercb[Item],tab_alimentos[[#This Row],[Item]],supercb[Bairro],mercado18)</f>
        <v>0</v>
      </c>
      <c r="AD379" s="4">
        <f>SUMIFS(super1[Qtde],super1[Item],tab_alimentos[[#This Row],[Item]],super1[Bairro],extras)+SUMIFS(supercb[Qtde],supercb[Item],tab_alimentos[[#This Row],[Item]],supercb[Bairro],extras)</f>
        <v>0</v>
      </c>
      <c r="AE379" s="4">
        <f t="shared" si="97"/>
        <v>0</v>
      </c>
      <c r="AF379" s="4">
        <f t="shared" si="98"/>
        <v>0</v>
      </c>
      <c r="AG379" s="6">
        <f t="shared" si="99"/>
        <v>0</v>
      </c>
    </row>
    <row r="380" spans="9:33" x14ac:dyDescent="0.25">
      <c r="I380" s="19" t="str">
        <f>alimentos[[#This Row],[Item]]</f>
        <v>Polvilho (500g)</v>
      </c>
      <c r="J380" s="4">
        <f>IFERROR(alimentos[[#This Row],[kg/embalagem]],0)</f>
        <v>0.5</v>
      </c>
      <c r="K380" s="4" t="str">
        <f>IFERROR(alimentos[[#This Row],[Preço]],0)</f>
        <v>R$ 7.39</v>
      </c>
      <c r="L380" s="4">
        <f>SUMIFS(super1[Qtde],super1[Item],tab_alimentos[[#This Row],[Item]],super1[Bairro],mercado1)+SUMIFS(supercb[Qtde],supercb[Item],tab_alimentos[[#This Row],[Item]],supercb[Bairro],mercado1)</f>
        <v>0</v>
      </c>
      <c r="M380" s="4">
        <f>SUMIFS(super1[Qtde],super1[Item],tab_alimentos[[#This Row],[Item]],super1[Bairro],mercado2)+SUMIFS(supercb[Qtde],supercb[Item],tab_alimentos[[#This Row],[Item]],supercb[Bairro],mercado2)</f>
        <v>0</v>
      </c>
      <c r="N380" s="4">
        <f>SUMIFS(super1[Qtde],super1[Item],tab_alimentos[[#This Row],[Item]],super1[Bairro],mercado3)+SUMIFS(supercb[Qtde],supercb[Item],tab_alimentos[[#This Row],[Item]],supercb[Bairro],mercado3)</f>
        <v>0</v>
      </c>
      <c r="O380" s="4">
        <f>SUMIFS(super1[Qtde],super1[Item],tab_alimentos[[#This Row],[Item]],super1[Bairro],mercado4)+SUMIFS(supercb[Qtde],supercb[Item],tab_alimentos[[#This Row],[Item]],supercb[Bairro],mercado4)</f>
        <v>0</v>
      </c>
      <c r="P380" s="4">
        <f>SUMIFS(super1[Qtde],super1[Item],tab_alimentos[[#This Row],[Item]],super1[Bairro],mercado5)+SUMIFS(supercb[Qtde],supercb[Item],tab_alimentos[[#This Row],[Item]],supercb[Bairro],mercado5)</f>
        <v>0</v>
      </c>
      <c r="Q380" s="4">
        <f>SUMIFS(super1[Qtde],super1[Item],tab_alimentos[[#This Row],[Item]],super1[Bairro],mercado6)+SUMIFS(supercb[Qtde],supercb[Item],tab_alimentos[[#This Row],[Item]],supercb[Bairro],mercado6)</f>
        <v>0</v>
      </c>
      <c r="R380" s="4">
        <f>SUMIFS(super1[Qtde],super1[Item],tab_alimentos[[#This Row],[Item]],super1[Bairro],mercado7)+SUMIFS(supercb[Qtde],supercb[Item],tab_alimentos[[#This Row],[Item]],supercb[Bairro],mercado7)</f>
        <v>0</v>
      </c>
      <c r="S380" s="4">
        <f>SUMIFS(super1[Qtde],super1[Item],tab_alimentos[[#This Row],[Item]],super1[Bairro],mercado8)+SUMIFS(supercb[Qtde],supercb[Item],tab_alimentos[[#This Row],[Item]],supercb[Bairro],mercado8)</f>
        <v>0</v>
      </c>
      <c r="T380" s="4">
        <f>SUMIFS(super1[Qtde],super1[Item],tab_alimentos[[#This Row],[Item]],super1[Bairro],mercado9)+SUMIFS(supercb[Qtde],supercb[Item],tab_alimentos[[#This Row],[Item]],supercb[Bairro],mercado9)</f>
        <v>0</v>
      </c>
      <c r="U380" s="4">
        <f>SUMIFS(super1[Qtde],super1[Item],tab_alimentos[[#This Row],[Item]],super1[Bairro],mercado10)+SUMIFS(supercb[Qtde],supercb[Item],tab_alimentos[[#This Row],[Item]],supercb[Bairro],mercado10)</f>
        <v>0</v>
      </c>
      <c r="V380" s="4">
        <f>SUMIFS(super1[Qtde],super1[Item],tab_alimentos[[#This Row],[Item]],super1[Bairro],mercado11)+SUMIFS(supercb[Qtde],supercb[Item],tab_alimentos[[#This Row],[Item]],supercb[Bairro],mercado11)</f>
        <v>0</v>
      </c>
      <c r="W380" s="4">
        <f>SUMIFS(super1[Qtde],super1[Item],tab_alimentos[[#This Row],[Item]],super1[Bairro],mercado12)+SUMIFS(supercb[Qtde],supercb[Item],tab_alimentos[[#This Row],[Item]],supercb[Bairro],mercado12)</f>
        <v>0</v>
      </c>
      <c r="X380" s="4">
        <f>SUMIFS(super1[Qtde],super1[Item],tab_alimentos[[#This Row],[Item]],super1[Bairro],mercado13)+SUMIFS(supercb[Qtde],supercb[Item],tab_alimentos[[#This Row],[Item]],supercb[Bairro],mercado13)</f>
        <v>0</v>
      </c>
      <c r="Y380" s="4">
        <f>SUMIFS(super1[Qtde],super1[Item],tab_alimentos[[#This Row],[Item]],super1[Bairro],mercado14)+SUMIFS(supercb[Qtde],supercb[Item],tab_alimentos[[#This Row],[Item]],supercb[Bairro],mercado14)</f>
        <v>0</v>
      </c>
      <c r="Z380" s="4">
        <f>SUMIFS(super1[Qtde],super1[Item],tab_alimentos[[#This Row],[Item]],super1[Bairro],mercado15)+SUMIFS(supercb[Qtde],supercb[Item],tab_alimentos[[#This Row],[Item]],supercb[Bairro],mercado15)</f>
        <v>0</v>
      </c>
      <c r="AA380" s="4">
        <f>SUMIFS(super1[Qtde],super1[Item],tab_alimentos[[#This Row],[Item]],super1[Bairro],mercado16)+SUMIFS(supercb[Qtde],supercb[Item],tab_alimentos[[#This Row],[Item]],supercb[Bairro],mercado16)</f>
        <v>0</v>
      </c>
      <c r="AB380" s="4">
        <f>SUMIFS(super1[Qtde],super1[Item],tab_alimentos[[#This Row],[Item]],super1[Bairro],mercado17)+SUMIFS(supercb[Qtde],supercb[Item],tab_alimentos[[#This Row],[Item]],supercb[Bairro],mercado17)</f>
        <v>0</v>
      </c>
      <c r="AC380" s="4">
        <f>SUMIFS(super1[Qtde],super1[Item],tab_alimentos[[#This Row],[Item]],super1[Bairro],mercado18)+SUMIFS(supercb[Qtde],supercb[Item],tab_alimentos[[#This Row],[Item]],supercb[Bairro],mercado18)</f>
        <v>0</v>
      </c>
      <c r="AD380" s="4">
        <f>SUMIFS(super1[Qtde],super1[Item],tab_alimentos[[#This Row],[Item]],super1[Bairro],extras)+SUMIFS(supercb[Qtde],supercb[Item],tab_alimentos[[#This Row],[Item]],supercb[Bairro],extras)</f>
        <v>0</v>
      </c>
      <c r="AE380" s="4">
        <f t="shared" si="97"/>
        <v>0</v>
      </c>
      <c r="AF380" s="4">
        <f t="shared" si="98"/>
        <v>0</v>
      </c>
      <c r="AG380" s="6">
        <f t="shared" si="99"/>
        <v>0</v>
      </c>
    </row>
    <row r="381" spans="9:33" x14ac:dyDescent="0.25">
      <c r="I381" s="19" t="str">
        <f>alimentos[[#This Row],[Item]]</f>
        <v>Polvilho Azedo (500g)</v>
      </c>
      <c r="J381" s="4">
        <f>IFERROR(alimentos[[#This Row],[kg/embalagem]],0)</f>
        <v>0.5</v>
      </c>
      <c r="K381" s="4" t="str">
        <f>IFERROR(alimentos[[#This Row],[Preço]],0)</f>
        <v>R$ 7.99</v>
      </c>
      <c r="L381" s="4">
        <f>SUMIFS(super1[Qtde],super1[Item],tab_alimentos[[#This Row],[Item]],super1[Bairro],mercado1)+SUMIFS(supercb[Qtde],supercb[Item],tab_alimentos[[#This Row],[Item]],supercb[Bairro],mercado1)</f>
        <v>0</v>
      </c>
      <c r="M381" s="4">
        <f>SUMIFS(super1[Qtde],super1[Item],tab_alimentos[[#This Row],[Item]],super1[Bairro],mercado2)+SUMIFS(supercb[Qtde],supercb[Item],tab_alimentos[[#This Row],[Item]],supercb[Bairro],mercado2)</f>
        <v>0</v>
      </c>
      <c r="N381" s="4">
        <f>SUMIFS(super1[Qtde],super1[Item],tab_alimentos[[#This Row],[Item]],super1[Bairro],mercado3)+SUMIFS(supercb[Qtde],supercb[Item],tab_alimentos[[#This Row],[Item]],supercb[Bairro],mercado3)</f>
        <v>0</v>
      </c>
      <c r="O381" s="4">
        <f>SUMIFS(super1[Qtde],super1[Item],tab_alimentos[[#This Row],[Item]],super1[Bairro],mercado4)+SUMIFS(supercb[Qtde],supercb[Item],tab_alimentos[[#This Row],[Item]],supercb[Bairro],mercado4)</f>
        <v>0</v>
      </c>
      <c r="P381" s="4">
        <f>SUMIFS(super1[Qtde],super1[Item],tab_alimentos[[#This Row],[Item]],super1[Bairro],mercado5)+SUMIFS(supercb[Qtde],supercb[Item],tab_alimentos[[#This Row],[Item]],supercb[Bairro],mercado5)</f>
        <v>0</v>
      </c>
      <c r="Q381" s="4">
        <f>SUMIFS(super1[Qtde],super1[Item],tab_alimentos[[#This Row],[Item]],super1[Bairro],mercado6)+SUMIFS(supercb[Qtde],supercb[Item],tab_alimentos[[#This Row],[Item]],supercb[Bairro],mercado6)</f>
        <v>0</v>
      </c>
      <c r="R381" s="4">
        <f>SUMIFS(super1[Qtde],super1[Item],tab_alimentos[[#This Row],[Item]],super1[Bairro],mercado7)+SUMIFS(supercb[Qtde],supercb[Item],tab_alimentos[[#This Row],[Item]],supercb[Bairro],mercado7)</f>
        <v>0</v>
      </c>
      <c r="S381" s="4">
        <f>SUMIFS(super1[Qtde],super1[Item],tab_alimentos[[#This Row],[Item]],super1[Bairro],mercado8)+SUMIFS(supercb[Qtde],supercb[Item],tab_alimentos[[#This Row],[Item]],supercb[Bairro],mercado8)</f>
        <v>0</v>
      </c>
      <c r="T381" s="4">
        <f>SUMIFS(super1[Qtde],super1[Item],tab_alimentos[[#This Row],[Item]],super1[Bairro],mercado9)+SUMIFS(supercb[Qtde],supercb[Item],tab_alimentos[[#This Row],[Item]],supercb[Bairro],mercado9)</f>
        <v>0</v>
      </c>
      <c r="U381" s="4">
        <f>SUMIFS(super1[Qtde],super1[Item],tab_alimentos[[#This Row],[Item]],super1[Bairro],mercado10)+SUMIFS(supercb[Qtde],supercb[Item],tab_alimentos[[#This Row],[Item]],supercb[Bairro],mercado10)</f>
        <v>0</v>
      </c>
      <c r="V381" s="4">
        <f>SUMIFS(super1[Qtde],super1[Item],tab_alimentos[[#This Row],[Item]],super1[Bairro],mercado11)+SUMIFS(supercb[Qtde],supercb[Item],tab_alimentos[[#This Row],[Item]],supercb[Bairro],mercado11)</f>
        <v>0</v>
      </c>
      <c r="W381" s="4">
        <f>SUMIFS(super1[Qtde],super1[Item],tab_alimentos[[#This Row],[Item]],super1[Bairro],mercado12)+SUMIFS(supercb[Qtde],supercb[Item],tab_alimentos[[#This Row],[Item]],supercb[Bairro],mercado12)</f>
        <v>0</v>
      </c>
      <c r="X381" s="4">
        <f>SUMIFS(super1[Qtde],super1[Item],tab_alimentos[[#This Row],[Item]],super1[Bairro],mercado13)+SUMIFS(supercb[Qtde],supercb[Item],tab_alimentos[[#This Row],[Item]],supercb[Bairro],mercado13)</f>
        <v>0</v>
      </c>
      <c r="Y381" s="4">
        <f>SUMIFS(super1[Qtde],super1[Item],tab_alimentos[[#This Row],[Item]],super1[Bairro],mercado14)+SUMIFS(supercb[Qtde],supercb[Item],tab_alimentos[[#This Row],[Item]],supercb[Bairro],mercado14)</f>
        <v>0</v>
      </c>
      <c r="Z381" s="4">
        <f>SUMIFS(super1[Qtde],super1[Item],tab_alimentos[[#This Row],[Item]],super1[Bairro],mercado15)+SUMIFS(supercb[Qtde],supercb[Item],tab_alimentos[[#This Row],[Item]],supercb[Bairro],mercado15)</f>
        <v>0</v>
      </c>
      <c r="AA381" s="4">
        <f>SUMIFS(super1[Qtde],super1[Item],tab_alimentos[[#This Row],[Item]],super1[Bairro],mercado16)+SUMIFS(supercb[Qtde],supercb[Item],tab_alimentos[[#This Row],[Item]],supercb[Bairro],mercado16)</f>
        <v>0</v>
      </c>
      <c r="AB381" s="4">
        <f>SUMIFS(super1[Qtde],super1[Item],tab_alimentos[[#This Row],[Item]],super1[Bairro],mercado17)+SUMIFS(supercb[Qtde],supercb[Item],tab_alimentos[[#This Row],[Item]],supercb[Bairro],mercado17)</f>
        <v>0</v>
      </c>
      <c r="AC381" s="4">
        <f>SUMIFS(super1[Qtde],super1[Item],tab_alimentos[[#This Row],[Item]],super1[Bairro],mercado18)+SUMIFS(supercb[Qtde],supercb[Item],tab_alimentos[[#This Row],[Item]],supercb[Bairro],mercado18)</f>
        <v>0</v>
      </c>
      <c r="AD381" s="4">
        <f>SUMIFS(super1[Qtde],super1[Item],tab_alimentos[[#This Row],[Item]],super1[Bairro],extras)+SUMIFS(supercb[Qtde],supercb[Item],tab_alimentos[[#This Row],[Item]],supercb[Bairro],extras)</f>
        <v>0</v>
      </c>
      <c r="AE381" s="4">
        <f t="shared" si="97"/>
        <v>0</v>
      </c>
      <c r="AF381" s="4">
        <f t="shared" si="98"/>
        <v>0</v>
      </c>
      <c r="AG381" s="6">
        <f t="shared" si="99"/>
        <v>0</v>
      </c>
    </row>
    <row r="382" spans="9:33" x14ac:dyDescent="0.25">
      <c r="I382" s="19" t="str">
        <f>alimentos[[#This Row],[Item]]</f>
        <v>Polvilho Doce (1kg)</v>
      </c>
      <c r="J382" s="4">
        <f>IFERROR(alimentos[[#This Row],[kg/embalagem]],0)</f>
        <v>1</v>
      </c>
      <c r="K382" s="4">
        <f>IFERROR(alimentos[[#This Row],[Preço]],0)</f>
        <v>13</v>
      </c>
      <c r="L382" s="4">
        <f>SUMIFS(super1[Qtde],super1[Item],tab_alimentos[[#This Row],[Item]],super1[Bairro],mercado1)+SUMIFS(supercb[Qtde],supercb[Item],tab_alimentos[[#This Row],[Item]],supercb[Bairro],mercado1)</f>
        <v>0</v>
      </c>
      <c r="M382" s="4">
        <f>SUMIFS(super1[Qtde],super1[Item],tab_alimentos[[#This Row],[Item]],super1[Bairro],mercado2)+SUMIFS(supercb[Qtde],supercb[Item],tab_alimentos[[#This Row],[Item]],supercb[Bairro],mercado2)</f>
        <v>0</v>
      </c>
      <c r="N382" s="4">
        <f>SUMIFS(super1[Qtde],super1[Item],tab_alimentos[[#This Row],[Item]],super1[Bairro],mercado3)+SUMIFS(supercb[Qtde],supercb[Item],tab_alimentos[[#This Row],[Item]],supercb[Bairro],mercado3)</f>
        <v>0</v>
      </c>
      <c r="O382" s="4">
        <f>SUMIFS(super1[Qtde],super1[Item],tab_alimentos[[#This Row],[Item]],super1[Bairro],mercado4)+SUMIFS(supercb[Qtde],supercb[Item],tab_alimentos[[#This Row],[Item]],supercb[Bairro],mercado4)</f>
        <v>0</v>
      </c>
      <c r="P382" s="4">
        <f>SUMIFS(super1[Qtde],super1[Item],tab_alimentos[[#This Row],[Item]],super1[Bairro],mercado5)+SUMIFS(supercb[Qtde],supercb[Item],tab_alimentos[[#This Row],[Item]],supercb[Bairro],mercado5)</f>
        <v>0</v>
      </c>
      <c r="Q382" s="4">
        <f>SUMIFS(super1[Qtde],super1[Item],tab_alimentos[[#This Row],[Item]],super1[Bairro],mercado6)+SUMIFS(supercb[Qtde],supercb[Item],tab_alimentos[[#This Row],[Item]],supercb[Bairro],mercado6)</f>
        <v>0</v>
      </c>
      <c r="R382" s="4">
        <f>SUMIFS(super1[Qtde],super1[Item],tab_alimentos[[#This Row],[Item]],super1[Bairro],mercado7)+SUMIFS(supercb[Qtde],supercb[Item],tab_alimentos[[#This Row],[Item]],supercb[Bairro],mercado7)</f>
        <v>0</v>
      </c>
      <c r="S382" s="4">
        <f>SUMIFS(super1[Qtde],super1[Item],tab_alimentos[[#This Row],[Item]],super1[Bairro],mercado8)+SUMIFS(supercb[Qtde],supercb[Item],tab_alimentos[[#This Row],[Item]],supercb[Bairro],mercado8)</f>
        <v>0</v>
      </c>
      <c r="T382" s="4">
        <f>SUMIFS(super1[Qtde],super1[Item],tab_alimentos[[#This Row],[Item]],super1[Bairro],mercado9)+SUMIFS(supercb[Qtde],supercb[Item],tab_alimentos[[#This Row],[Item]],supercb[Bairro],mercado9)</f>
        <v>0</v>
      </c>
      <c r="U382" s="4">
        <f>SUMIFS(super1[Qtde],super1[Item],tab_alimentos[[#This Row],[Item]],super1[Bairro],mercado10)+SUMIFS(supercb[Qtde],supercb[Item],tab_alimentos[[#This Row],[Item]],supercb[Bairro],mercado10)</f>
        <v>0</v>
      </c>
      <c r="V382" s="4">
        <f>SUMIFS(super1[Qtde],super1[Item],tab_alimentos[[#This Row],[Item]],super1[Bairro],mercado11)+SUMIFS(supercb[Qtde],supercb[Item],tab_alimentos[[#This Row],[Item]],supercb[Bairro],mercado11)</f>
        <v>0</v>
      </c>
      <c r="W382" s="4">
        <f>SUMIFS(super1[Qtde],super1[Item],tab_alimentos[[#This Row],[Item]],super1[Bairro],mercado12)+SUMIFS(supercb[Qtde],supercb[Item],tab_alimentos[[#This Row],[Item]],supercb[Bairro],mercado12)</f>
        <v>0</v>
      </c>
      <c r="X382" s="4">
        <f>SUMIFS(super1[Qtde],super1[Item],tab_alimentos[[#This Row],[Item]],super1[Bairro],mercado13)+SUMIFS(supercb[Qtde],supercb[Item],tab_alimentos[[#This Row],[Item]],supercb[Bairro],mercado13)</f>
        <v>0</v>
      </c>
      <c r="Y382" s="4">
        <f>SUMIFS(super1[Qtde],super1[Item],tab_alimentos[[#This Row],[Item]],super1[Bairro],mercado14)+SUMIFS(supercb[Qtde],supercb[Item],tab_alimentos[[#This Row],[Item]],supercb[Bairro],mercado14)</f>
        <v>0</v>
      </c>
      <c r="Z382" s="4">
        <f>SUMIFS(super1[Qtde],super1[Item],tab_alimentos[[#This Row],[Item]],super1[Bairro],mercado15)+SUMIFS(supercb[Qtde],supercb[Item],tab_alimentos[[#This Row],[Item]],supercb[Bairro],mercado15)</f>
        <v>0</v>
      </c>
      <c r="AA382" s="4">
        <f>SUMIFS(super1[Qtde],super1[Item],tab_alimentos[[#This Row],[Item]],super1[Bairro],mercado16)+SUMIFS(supercb[Qtde],supercb[Item],tab_alimentos[[#This Row],[Item]],supercb[Bairro],mercado16)</f>
        <v>0</v>
      </c>
      <c r="AB382" s="4">
        <f>SUMIFS(super1[Qtde],super1[Item],tab_alimentos[[#This Row],[Item]],super1[Bairro],mercado17)+SUMIFS(supercb[Qtde],supercb[Item],tab_alimentos[[#This Row],[Item]],supercb[Bairro],mercado17)</f>
        <v>0</v>
      </c>
      <c r="AC382" s="4">
        <f>SUMIFS(super1[Qtde],super1[Item],tab_alimentos[[#This Row],[Item]],super1[Bairro],mercado18)+SUMIFS(supercb[Qtde],supercb[Item],tab_alimentos[[#This Row],[Item]],supercb[Bairro],mercado18)</f>
        <v>0</v>
      </c>
      <c r="AD382" s="4">
        <f>SUMIFS(super1[Qtde],super1[Item],tab_alimentos[[#This Row],[Item]],super1[Bairro],extras)+SUMIFS(supercb[Qtde],supercb[Item],tab_alimentos[[#This Row],[Item]],supercb[Bairro],extras)</f>
        <v>0</v>
      </c>
      <c r="AE382" s="4">
        <f t="shared" si="97"/>
        <v>0</v>
      </c>
      <c r="AF382" s="4">
        <f t="shared" si="98"/>
        <v>0</v>
      </c>
      <c r="AG382" s="6">
        <f t="shared" si="99"/>
        <v>0</v>
      </c>
    </row>
    <row r="383" spans="9:33" x14ac:dyDescent="0.25">
      <c r="I383" s="19" t="str">
        <f>alimentos[[#This Row],[Item]]</f>
        <v>Polvilho Doce (500g)</v>
      </c>
      <c r="J383" s="4">
        <f>IFERROR(alimentos[[#This Row],[kg/embalagem]],0)</f>
        <v>0.5</v>
      </c>
      <c r="K383" s="4">
        <f>IFERROR(alimentos[[#This Row],[Preço]],0)</f>
        <v>6.2</v>
      </c>
      <c r="L383" s="4">
        <f>SUMIFS(super1[Qtde],super1[Item],tab_alimentos[[#This Row],[Item]],super1[Bairro],mercado1)+SUMIFS(supercb[Qtde],supercb[Item],tab_alimentos[[#This Row],[Item]],supercb[Bairro],mercado1)</f>
        <v>0</v>
      </c>
      <c r="M383" s="4">
        <f>SUMIFS(super1[Qtde],super1[Item],tab_alimentos[[#This Row],[Item]],super1[Bairro],mercado2)+SUMIFS(supercb[Qtde],supercb[Item],tab_alimentos[[#This Row],[Item]],supercb[Bairro],mercado2)</f>
        <v>0</v>
      </c>
      <c r="N383" s="4">
        <f>SUMIFS(super1[Qtde],super1[Item],tab_alimentos[[#This Row],[Item]],super1[Bairro],mercado3)+SUMIFS(supercb[Qtde],supercb[Item],tab_alimentos[[#This Row],[Item]],supercb[Bairro],mercado3)</f>
        <v>0</v>
      </c>
      <c r="O383" s="4">
        <f>SUMIFS(super1[Qtde],super1[Item],tab_alimentos[[#This Row],[Item]],super1[Bairro],mercado4)+SUMIFS(supercb[Qtde],supercb[Item],tab_alimentos[[#This Row],[Item]],supercb[Bairro],mercado4)</f>
        <v>0</v>
      </c>
      <c r="P383" s="4">
        <f>SUMIFS(super1[Qtde],super1[Item],tab_alimentos[[#This Row],[Item]],super1[Bairro],mercado5)+SUMIFS(supercb[Qtde],supercb[Item],tab_alimentos[[#This Row],[Item]],supercb[Bairro],mercado5)</f>
        <v>0</v>
      </c>
      <c r="Q383" s="4">
        <f>SUMIFS(super1[Qtde],super1[Item],tab_alimentos[[#This Row],[Item]],super1[Bairro],mercado6)+SUMIFS(supercb[Qtde],supercb[Item],tab_alimentos[[#This Row],[Item]],supercb[Bairro],mercado6)</f>
        <v>0</v>
      </c>
      <c r="R383" s="4">
        <f>SUMIFS(super1[Qtde],super1[Item],tab_alimentos[[#This Row],[Item]],super1[Bairro],mercado7)+SUMIFS(supercb[Qtde],supercb[Item],tab_alimentos[[#This Row],[Item]],supercb[Bairro],mercado7)</f>
        <v>0</v>
      </c>
      <c r="S383" s="4">
        <f>SUMIFS(super1[Qtde],super1[Item],tab_alimentos[[#This Row],[Item]],super1[Bairro],mercado8)+SUMIFS(supercb[Qtde],supercb[Item],tab_alimentos[[#This Row],[Item]],supercb[Bairro],mercado8)</f>
        <v>0</v>
      </c>
      <c r="T383" s="4">
        <f>SUMIFS(super1[Qtde],super1[Item],tab_alimentos[[#This Row],[Item]],super1[Bairro],mercado9)+SUMIFS(supercb[Qtde],supercb[Item],tab_alimentos[[#This Row],[Item]],supercb[Bairro],mercado9)</f>
        <v>0</v>
      </c>
      <c r="U383" s="4">
        <f>SUMIFS(super1[Qtde],super1[Item],tab_alimentos[[#This Row],[Item]],super1[Bairro],mercado10)+SUMIFS(supercb[Qtde],supercb[Item],tab_alimentos[[#This Row],[Item]],supercb[Bairro],mercado10)</f>
        <v>0</v>
      </c>
      <c r="V383" s="4">
        <f>SUMIFS(super1[Qtde],super1[Item],tab_alimentos[[#This Row],[Item]],super1[Bairro],mercado11)+SUMIFS(supercb[Qtde],supercb[Item],tab_alimentos[[#This Row],[Item]],supercb[Bairro],mercado11)</f>
        <v>0</v>
      </c>
      <c r="W383" s="4">
        <f>SUMIFS(super1[Qtde],super1[Item],tab_alimentos[[#This Row],[Item]],super1[Bairro],mercado12)+SUMIFS(supercb[Qtde],supercb[Item],tab_alimentos[[#This Row],[Item]],supercb[Bairro],mercado12)</f>
        <v>0</v>
      </c>
      <c r="X383" s="4">
        <f>SUMIFS(super1[Qtde],super1[Item],tab_alimentos[[#This Row],[Item]],super1[Bairro],mercado13)+SUMIFS(supercb[Qtde],supercb[Item],tab_alimentos[[#This Row],[Item]],supercb[Bairro],mercado13)</f>
        <v>0</v>
      </c>
      <c r="Y383" s="4">
        <f>SUMIFS(super1[Qtde],super1[Item],tab_alimentos[[#This Row],[Item]],super1[Bairro],mercado14)+SUMIFS(supercb[Qtde],supercb[Item],tab_alimentos[[#This Row],[Item]],supercb[Bairro],mercado14)</f>
        <v>0</v>
      </c>
      <c r="Z383" s="4">
        <f>SUMIFS(super1[Qtde],super1[Item],tab_alimentos[[#This Row],[Item]],super1[Bairro],mercado15)+SUMIFS(supercb[Qtde],supercb[Item],tab_alimentos[[#This Row],[Item]],supercb[Bairro],mercado15)</f>
        <v>0</v>
      </c>
      <c r="AA383" s="4">
        <f>SUMIFS(super1[Qtde],super1[Item],tab_alimentos[[#This Row],[Item]],super1[Bairro],mercado16)+SUMIFS(supercb[Qtde],supercb[Item],tab_alimentos[[#This Row],[Item]],supercb[Bairro],mercado16)</f>
        <v>0</v>
      </c>
      <c r="AB383" s="4">
        <f>SUMIFS(super1[Qtde],super1[Item],tab_alimentos[[#This Row],[Item]],super1[Bairro],mercado17)+SUMIFS(supercb[Qtde],supercb[Item],tab_alimentos[[#This Row],[Item]],supercb[Bairro],mercado17)</f>
        <v>0</v>
      </c>
      <c r="AC383" s="4">
        <f>SUMIFS(super1[Qtde],super1[Item],tab_alimentos[[#This Row],[Item]],super1[Bairro],mercado18)+SUMIFS(supercb[Qtde],supercb[Item],tab_alimentos[[#This Row],[Item]],supercb[Bairro],mercado18)</f>
        <v>0</v>
      </c>
      <c r="AD383" s="4">
        <f>SUMIFS(super1[Qtde],super1[Item],tab_alimentos[[#This Row],[Item]],super1[Bairro],extras)+SUMIFS(supercb[Qtde],supercb[Item],tab_alimentos[[#This Row],[Item]],supercb[Bairro],extras)</f>
        <v>0</v>
      </c>
      <c r="AE383" s="4">
        <f t="shared" si="97"/>
        <v>0</v>
      </c>
      <c r="AF383" s="4">
        <f t="shared" si="98"/>
        <v>0</v>
      </c>
      <c r="AG383" s="6">
        <f t="shared" si="99"/>
        <v>0</v>
      </c>
    </row>
    <row r="384" spans="9:33" x14ac:dyDescent="0.25">
      <c r="I384" s="19" t="str">
        <f>alimentos[[#This Row],[Item]]</f>
        <v>Proteína Texturizada (250g)</v>
      </c>
      <c r="J384" s="4">
        <f>IFERROR(alimentos[[#This Row],[kg/embalagem]],0)</f>
        <v>0.25</v>
      </c>
      <c r="K384" s="4">
        <f>IFERROR(alimentos[[#This Row],[Preço]],0)</f>
        <v>4.96</v>
      </c>
      <c r="L384" s="4">
        <f>SUMIFS(super1[Qtde],super1[Item],tab_alimentos[[#This Row],[Item]],super1[Bairro],mercado1)+SUMIFS(supercb[Qtde],supercb[Item],tab_alimentos[[#This Row],[Item]],supercb[Bairro],mercado1)</f>
        <v>0</v>
      </c>
      <c r="M384" s="4">
        <f>SUMIFS(super1[Qtde],super1[Item],tab_alimentos[[#This Row],[Item]],super1[Bairro],mercado2)+SUMIFS(supercb[Qtde],supercb[Item],tab_alimentos[[#This Row],[Item]],supercb[Bairro],mercado2)</f>
        <v>0</v>
      </c>
      <c r="N384" s="4">
        <f>SUMIFS(super1[Qtde],super1[Item],tab_alimentos[[#This Row],[Item]],super1[Bairro],mercado3)+SUMIFS(supercb[Qtde],supercb[Item],tab_alimentos[[#This Row],[Item]],supercb[Bairro],mercado3)</f>
        <v>0</v>
      </c>
      <c r="O384" s="4">
        <f>SUMIFS(super1[Qtde],super1[Item],tab_alimentos[[#This Row],[Item]],super1[Bairro],mercado4)+SUMIFS(supercb[Qtde],supercb[Item],tab_alimentos[[#This Row],[Item]],supercb[Bairro],mercado4)</f>
        <v>0</v>
      </c>
      <c r="P384" s="4">
        <f>SUMIFS(super1[Qtde],super1[Item],tab_alimentos[[#This Row],[Item]],super1[Bairro],mercado5)+SUMIFS(supercb[Qtde],supercb[Item],tab_alimentos[[#This Row],[Item]],supercb[Bairro],mercado5)</f>
        <v>0</v>
      </c>
      <c r="Q384" s="4">
        <f>SUMIFS(super1[Qtde],super1[Item],tab_alimentos[[#This Row],[Item]],super1[Bairro],mercado6)+SUMIFS(supercb[Qtde],supercb[Item],tab_alimentos[[#This Row],[Item]],supercb[Bairro],mercado6)</f>
        <v>0</v>
      </c>
      <c r="R384" s="4">
        <f>SUMIFS(super1[Qtde],super1[Item],tab_alimentos[[#This Row],[Item]],super1[Bairro],mercado7)+SUMIFS(supercb[Qtde],supercb[Item],tab_alimentos[[#This Row],[Item]],supercb[Bairro],mercado7)</f>
        <v>0</v>
      </c>
      <c r="S384" s="4">
        <f>SUMIFS(super1[Qtde],super1[Item],tab_alimentos[[#This Row],[Item]],super1[Bairro],mercado8)+SUMIFS(supercb[Qtde],supercb[Item],tab_alimentos[[#This Row],[Item]],supercb[Bairro],mercado8)</f>
        <v>0</v>
      </c>
      <c r="T384" s="4">
        <f>SUMIFS(super1[Qtde],super1[Item],tab_alimentos[[#This Row],[Item]],super1[Bairro],mercado9)+SUMIFS(supercb[Qtde],supercb[Item],tab_alimentos[[#This Row],[Item]],supercb[Bairro],mercado9)</f>
        <v>0</v>
      </c>
      <c r="U384" s="4">
        <f>SUMIFS(super1[Qtde],super1[Item],tab_alimentos[[#This Row],[Item]],super1[Bairro],mercado10)+SUMIFS(supercb[Qtde],supercb[Item],tab_alimentos[[#This Row],[Item]],supercb[Bairro],mercado10)</f>
        <v>0</v>
      </c>
      <c r="V384" s="4">
        <f>SUMIFS(super1[Qtde],super1[Item],tab_alimentos[[#This Row],[Item]],super1[Bairro],mercado11)+SUMIFS(supercb[Qtde],supercb[Item],tab_alimentos[[#This Row],[Item]],supercb[Bairro],mercado11)</f>
        <v>0</v>
      </c>
      <c r="W384" s="4">
        <f>SUMIFS(super1[Qtde],super1[Item],tab_alimentos[[#This Row],[Item]],super1[Bairro],mercado12)+SUMIFS(supercb[Qtde],supercb[Item],tab_alimentos[[#This Row],[Item]],supercb[Bairro],mercado12)</f>
        <v>0</v>
      </c>
      <c r="X384" s="4">
        <f>SUMIFS(super1[Qtde],super1[Item],tab_alimentos[[#This Row],[Item]],super1[Bairro],mercado13)+SUMIFS(supercb[Qtde],supercb[Item],tab_alimentos[[#This Row],[Item]],supercb[Bairro],mercado13)</f>
        <v>0</v>
      </c>
      <c r="Y384" s="4">
        <f>SUMIFS(super1[Qtde],super1[Item],tab_alimentos[[#This Row],[Item]],super1[Bairro],mercado14)+SUMIFS(supercb[Qtde],supercb[Item],tab_alimentos[[#This Row],[Item]],supercb[Bairro],mercado14)</f>
        <v>0</v>
      </c>
      <c r="Z384" s="4">
        <f>SUMIFS(super1[Qtde],super1[Item],tab_alimentos[[#This Row],[Item]],super1[Bairro],mercado15)+SUMIFS(supercb[Qtde],supercb[Item],tab_alimentos[[#This Row],[Item]],supercb[Bairro],mercado15)</f>
        <v>0</v>
      </c>
      <c r="AA384" s="4">
        <f>SUMIFS(super1[Qtde],super1[Item],tab_alimentos[[#This Row],[Item]],super1[Bairro],mercado16)+SUMIFS(supercb[Qtde],supercb[Item],tab_alimentos[[#This Row],[Item]],supercb[Bairro],mercado16)</f>
        <v>0</v>
      </c>
      <c r="AB384" s="4">
        <f>SUMIFS(super1[Qtde],super1[Item],tab_alimentos[[#This Row],[Item]],super1[Bairro],mercado17)+SUMIFS(supercb[Qtde],supercb[Item],tab_alimentos[[#This Row],[Item]],supercb[Bairro],mercado17)</f>
        <v>0</v>
      </c>
      <c r="AC384" s="4">
        <f>SUMIFS(super1[Qtde],super1[Item],tab_alimentos[[#This Row],[Item]],super1[Bairro],mercado18)+SUMIFS(supercb[Qtde],supercb[Item],tab_alimentos[[#This Row],[Item]],supercb[Bairro],mercado18)</f>
        <v>0</v>
      </c>
      <c r="AD384" s="4">
        <f>SUMIFS(super1[Qtde],super1[Item],tab_alimentos[[#This Row],[Item]],super1[Bairro],extras)+SUMIFS(supercb[Qtde],supercb[Item],tab_alimentos[[#This Row],[Item]],supercb[Bairro],extras)</f>
        <v>0</v>
      </c>
      <c r="AE384" s="4">
        <f t="shared" si="97"/>
        <v>0</v>
      </c>
      <c r="AF384" s="4">
        <f t="shared" si="98"/>
        <v>0</v>
      </c>
      <c r="AG384" s="6">
        <f t="shared" si="99"/>
        <v>0</v>
      </c>
    </row>
    <row r="385" spans="9:33" x14ac:dyDescent="0.25">
      <c r="I385" s="19" t="str">
        <f>alimentos[[#This Row],[Item]]</f>
        <v>Pudim (30g)</v>
      </c>
      <c r="J385" s="4">
        <f>IFERROR(alimentos[[#This Row],[kg/embalagem]],0)</f>
        <v>0.03</v>
      </c>
      <c r="K385" s="4">
        <f>IFERROR(alimentos[[#This Row],[Preço]],0)</f>
        <v>2.75</v>
      </c>
      <c r="L385" s="4">
        <f>SUMIFS(super1[Qtde],super1[Item],tab_alimentos[[#This Row],[Item]],super1[Bairro],mercado1)+SUMIFS(supercb[Qtde],supercb[Item],tab_alimentos[[#This Row],[Item]],supercb[Bairro],mercado1)</f>
        <v>0</v>
      </c>
      <c r="M385" s="4">
        <f>SUMIFS(super1[Qtde],super1[Item],tab_alimentos[[#This Row],[Item]],super1[Bairro],mercado2)+SUMIFS(supercb[Qtde],supercb[Item],tab_alimentos[[#This Row],[Item]],supercb[Bairro],mercado2)</f>
        <v>0</v>
      </c>
      <c r="N385" s="4">
        <f>SUMIFS(super1[Qtde],super1[Item],tab_alimentos[[#This Row],[Item]],super1[Bairro],mercado3)+SUMIFS(supercb[Qtde],supercb[Item],tab_alimentos[[#This Row],[Item]],supercb[Bairro],mercado3)</f>
        <v>0</v>
      </c>
      <c r="O385" s="4">
        <f>SUMIFS(super1[Qtde],super1[Item],tab_alimentos[[#This Row],[Item]],super1[Bairro],mercado4)+SUMIFS(supercb[Qtde],supercb[Item],tab_alimentos[[#This Row],[Item]],supercb[Bairro],mercado4)</f>
        <v>0</v>
      </c>
      <c r="P385" s="4">
        <f>SUMIFS(super1[Qtde],super1[Item],tab_alimentos[[#This Row],[Item]],super1[Bairro],mercado5)+SUMIFS(supercb[Qtde],supercb[Item],tab_alimentos[[#This Row],[Item]],supercb[Bairro],mercado5)</f>
        <v>0</v>
      </c>
      <c r="Q385" s="4">
        <f>SUMIFS(super1[Qtde],super1[Item],tab_alimentos[[#This Row],[Item]],super1[Bairro],mercado6)+SUMIFS(supercb[Qtde],supercb[Item],tab_alimentos[[#This Row],[Item]],supercb[Bairro],mercado6)</f>
        <v>0</v>
      </c>
      <c r="R385" s="4">
        <f>SUMIFS(super1[Qtde],super1[Item],tab_alimentos[[#This Row],[Item]],super1[Bairro],mercado7)+SUMIFS(supercb[Qtde],supercb[Item],tab_alimentos[[#This Row],[Item]],supercb[Bairro],mercado7)</f>
        <v>0</v>
      </c>
      <c r="S385" s="4">
        <f>SUMIFS(super1[Qtde],super1[Item],tab_alimentos[[#This Row],[Item]],super1[Bairro],mercado8)+SUMIFS(supercb[Qtde],supercb[Item],tab_alimentos[[#This Row],[Item]],supercb[Bairro],mercado8)</f>
        <v>0</v>
      </c>
      <c r="T385" s="4">
        <f>SUMIFS(super1[Qtde],super1[Item],tab_alimentos[[#This Row],[Item]],super1[Bairro],mercado9)+SUMIFS(supercb[Qtde],supercb[Item],tab_alimentos[[#This Row],[Item]],supercb[Bairro],mercado9)</f>
        <v>0</v>
      </c>
      <c r="U385" s="4">
        <f>SUMIFS(super1[Qtde],super1[Item],tab_alimentos[[#This Row],[Item]],super1[Bairro],mercado10)+SUMIFS(supercb[Qtde],supercb[Item],tab_alimentos[[#This Row],[Item]],supercb[Bairro],mercado10)</f>
        <v>0</v>
      </c>
      <c r="V385" s="4">
        <f>SUMIFS(super1[Qtde],super1[Item],tab_alimentos[[#This Row],[Item]],super1[Bairro],mercado11)+SUMIFS(supercb[Qtde],supercb[Item],tab_alimentos[[#This Row],[Item]],supercb[Bairro],mercado11)</f>
        <v>0</v>
      </c>
      <c r="W385" s="4">
        <f>SUMIFS(super1[Qtde],super1[Item],tab_alimentos[[#This Row],[Item]],super1[Bairro],mercado12)+SUMIFS(supercb[Qtde],supercb[Item],tab_alimentos[[#This Row],[Item]],supercb[Bairro],mercado12)</f>
        <v>0</v>
      </c>
      <c r="X385" s="4">
        <f>SUMIFS(super1[Qtde],super1[Item],tab_alimentos[[#This Row],[Item]],super1[Bairro],mercado13)+SUMIFS(supercb[Qtde],supercb[Item],tab_alimentos[[#This Row],[Item]],supercb[Bairro],mercado13)</f>
        <v>0</v>
      </c>
      <c r="Y385" s="4">
        <f>SUMIFS(super1[Qtde],super1[Item],tab_alimentos[[#This Row],[Item]],super1[Bairro],mercado14)+SUMIFS(supercb[Qtde],supercb[Item],tab_alimentos[[#This Row],[Item]],supercb[Bairro],mercado14)</f>
        <v>0</v>
      </c>
      <c r="Z385" s="4">
        <f>SUMIFS(super1[Qtde],super1[Item],tab_alimentos[[#This Row],[Item]],super1[Bairro],mercado15)+SUMIFS(supercb[Qtde],supercb[Item],tab_alimentos[[#This Row],[Item]],supercb[Bairro],mercado15)</f>
        <v>0</v>
      </c>
      <c r="AA385" s="4">
        <f>SUMIFS(super1[Qtde],super1[Item],tab_alimentos[[#This Row],[Item]],super1[Bairro],mercado16)+SUMIFS(supercb[Qtde],supercb[Item],tab_alimentos[[#This Row],[Item]],supercb[Bairro],mercado16)</f>
        <v>0</v>
      </c>
      <c r="AB385" s="4">
        <f>SUMIFS(super1[Qtde],super1[Item],tab_alimentos[[#This Row],[Item]],super1[Bairro],mercado17)+SUMIFS(supercb[Qtde],supercb[Item],tab_alimentos[[#This Row],[Item]],supercb[Bairro],mercado17)</f>
        <v>0</v>
      </c>
      <c r="AC385" s="4">
        <f>SUMIFS(super1[Qtde],super1[Item],tab_alimentos[[#This Row],[Item]],super1[Bairro],mercado18)+SUMIFS(supercb[Qtde],supercb[Item],tab_alimentos[[#This Row],[Item]],supercb[Bairro],mercado18)</f>
        <v>0</v>
      </c>
      <c r="AD385" s="4">
        <f>SUMIFS(super1[Qtde],super1[Item],tab_alimentos[[#This Row],[Item]],super1[Bairro],extras)+SUMIFS(supercb[Qtde],supercb[Item],tab_alimentos[[#This Row],[Item]],supercb[Bairro],extras)</f>
        <v>0</v>
      </c>
      <c r="AE385" s="4">
        <f t="shared" si="97"/>
        <v>0</v>
      </c>
      <c r="AF385" s="4">
        <f t="shared" si="98"/>
        <v>0</v>
      </c>
      <c r="AG385" s="6">
        <f t="shared" si="99"/>
        <v>0</v>
      </c>
    </row>
    <row r="386" spans="9:33" x14ac:dyDescent="0.25">
      <c r="I386" s="19" t="str">
        <f>alimentos[[#This Row],[Item]]</f>
        <v>Pudim (40g)</v>
      </c>
      <c r="J386" s="4">
        <f>IFERROR(alimentos[[#This Row],[kg/embalagem]],0)</f>
        <v>0.04</v>
      </c>
      <c r="K386" s="4">
        <f>IFERROR(alimentos[[#This Row],[Preço]],0)</f>
        <v>4.0999999999999996</v>
      </c>
      <c r="L386" s="4">
        <f>SUMIFS(super1[Qtde],super1[Item],tab_alimentos[[#This Row],[Item]],super1[Bairro],mercado1)+SUMIFS(supercb[Qtde],supercb[Item],tab_alimentos[[#This Row],[Item]],supercb[Bairro],mercado1)</f>
        <v>0</v>
      </c>
      <c r="M386" s="4">
        <f>SUMIFS(super1[Qtde],super1[Item],tab_alimentos[[#This Row],[Item]],super1[Bairro],mercado2)+SUMIFS(supercb[Qtde],supercb[Item],tab_alimentos[[#This Row],[Item]],supercb[Bairro],mercado2)</f>
        <v>0</v>
      </c>
      <c r="N386" s="4">
        <f>SUMIFS(super1[Qtde],super1[Item],tab_alimentos[[#This Row],[Item]],super1[Bairro],mercado3)+SUMIFS(supercb[Qtde],supercb[Item],tab_alimentos[[#This Row],[Item]],supercb[Bairro],mercado3)</f>
        <v>0</v>
      </c>
      <c r="O386" s="4">
        <f>SUMIFS(super1[Qtde],super1[Item],tab_alimentos[[#This Row],[Item]],super1[Bairro],mercado4)+SUMIFS(supercb[Qtde],supercb[Item],tab_alimentos[[#This Row],[Item]],supercb[Bairro],mercado4)</f>
        <v>0</v>
      </c>
      <c r="P386" s="4">
        <f>SUMIFS(super1[Qtde],super1[Item],tab_alimentos[[#This Row],[Item]],super1[Bairro],mercado5)+SUMIFS(supercb[Qtde],supercb[Item],tab_alimentos[[#This Row],[Item]],supercb[Bairro],mercado5)</f>
        <v>0</v>
      </c>
      <c r="Q386" s="4">
        <f>SUMIFS(super1[Qtde],super1[Item],tab_alimentos[[#This Row],[Item]],super1[Bairro],mercado6)+SUMIFS(supercb[Qtde],supercb[Item],tab_alimentos[[#This Row],[Item]],supercb[Bairro],mercado6)</f>
        <v>0</v>
      </c>
      <c r="R386" s="4">
        <f>SUMIFS(super1[Qtde],super1[Item],tab_alimentos[[#This Row],[Item]],super1[Bairro],mercado7)+SUMIFS(supercb[Qtde],supercb[Item],tab_alimentos[[#This Row],[Item]],supercb[Bairro],mercado7)</f>
        <v>0</v>
      </c>
      <c r="S386" s="4">
        <f>SUMIFS(super1[Qtde],super1[Item],tab_alimentos[[#This Row],[Item]],super1[Bairro],mercado8)+SUMIFS(supercb[Qtde],supercb[Item],tab_alimentos[[#This Row],[Item]],supercb[Bairro],mercado8)</f>
        <v>0</v>
      </c>
      <c r="T386" s="4">
        <f>SUMIFS(super1[Qtde],super1[Item],tab_alimentos[[#This Row],[Item]],super1[Bairro],mercado9)+SUMIFS(supercb[Qtde],supercb[Item],tab_alimentos[[#This Row],[Item]],supercb[Bairro],mercado9)</f>
        <v>0</v>
      </c>
      <c r="U386" s="4">
        <f>SUMIFS(super1[Qtde],super1[Item],tab_alimentos[[#This Row],[Item]],super1[Bairro],mercado10)+SUMIFS(supercb[Qtde],supercb[Item],tab_alimentos[[#This Row],[Item]],supercb[Bairro],mercado10)</f>
        <v>0</v>
      </c>
      <c r="V386" s="4">
        <f>SUMIFS(super1[Qtde],super1[Item],tab_alimentos[[#This Row],[Item]],super1[Bairro],mercado11)+SUMIFS(supercb[Qtde],supercb[Item],tab_alimentos[[#This Row],[Item]],supercb[Bairro],mercado11)</f>
        <v>0</v>
      </c>
      <c r="W386" s="4">
        <f>SUMIFS(super1[Qtde],super1[Item],tab_alimentos[[#This Row],[Item]],super1[Bairro],mercado12)+SUMIFS(supercb[Qtde],supercb[Item],tab_alimentos[[#This Row],[Item]],supercb[Bairro],mercado12)</f>
        <v>0</v>
      </c>
      <c r="X386" s="4">
        <f>SUMIFS(super1[Qtde],super1[Item],tab_alimentos[[#This Row],[Item]],super1[Bairro],mercado13)+SUMIFS(supercb[Qtde],supercb[Item],tab_alimentos[[#This Row],[Item]],supercb[Bairro],mercado13)</f>
        <v>0</v>
      </c>
      <c r="Y386" s="4">
        <f>SUMIFS(super1[Qtde],super1[Item],tab_alimentos[[#This Row],[Item]],super1[Bairro],mercado14)+SUMIFS(supercb[Qtde],supercb[Item],tab_alimentos[[#This Row],[Item]],supercb[Bairro],mercado14)</f>
        <v>0</v>
      </c>
      <c r="Z386" s="4">
        <f>SUMIFS(super1[Qtde],super1[Item],tab_alimentos[[#This Row],[Item]],super1[Bairro],mercado15)+SUMIFS(supercb[Qtde],supercb[Item],tab_alimentos[[#This Row],[Item]],supercb[Bairro],mercado15)</f>
        <v>0</v>
      </c>
      <c r="AA386" s="4">
        <f>SUMIFS(super1[Qtde],super1[Item],tab_alimentos[[#This Row],[Item]],super1[Bairro],mercado16)+SUMIFS(supercb[Qtde],supercb[Item],tab_alimentos[[#This Row],[Item]],supercb[Bairro],mercado16)</f>
        <v>0</v>
      </c>
      <c r="AB386" s="4">
        <f>SUMIFS(super1[Qtde],super1[Item],tab_alimentos[[#This Row],[Item]],super1[Bairro],mercado17)+SUMIFS(supercb[Qtde],supercb[Item],tab_alimentos[[#This Row],[Item]],supercb[Bairro],mercado17)</f>
        <v>0</v>
      </c>
      <c r="AC386" s="4">
        <f>SUMIFS(super1[Qtde],super1[Item],tab_alimentos[[#This Row],[Item]],super1[Bairro],mercado18)+SUMIFS(supercb[Qtde],supercb[Item],tab_alimentos[[#This Row],[Item]],supercb[Bairro],mercado18)</f>
        <v>0</v>
      </c>
      <c r="AD386" s="4">
        <f>SUMIFS(super1[Qtde],super1[Item],tab_alimentos[[#This Row],[Item]],super1[Bairro],extras)+SUMIFS(supercb[Qtde],supercb[Item],tab_alimentos[[#This Row],[Item]],supercb[Bairro],extras)</f>
        <v>0</v>
      </c>
      <c r="AE386" s="4">
        <f t="shared" si="97"/>
        <v>0</v>
      </c>
      <c r="AF386" s="4">
        <f t="shared" si="98"/>
        <v>0</v>
      </c>
      <c r="AG386" s="6">
        <f t="shared" si="99"/>
        <v>0</v>
      </c>
    </row>
    <row r="387" spans="9:33" x14ac:dyDescent="0.25">
      <c r="I387" s="19" t="str">
        <f>alimentos[[#This Row],[Item]]</f>
        <v>Pudim (50g)</v>
      </c>
      <c r="J387" s="4">
        <f>IFERROR(alimentos[[#This Row],[kg/embalagem]],0)</f>
        <v>0.05</v>
      </c>
      <c r="K387" s="4">
        <f>IFERROR(alimentos[[#This Row],[Preço]],0)</f>
        <v>2.9</v>
      </c>
      <c r="L387" s="4">
        <f>SUMIFS(super1[Qtde],super1[Item],tab_alimentos[[#This Row],[Item]],super1[Bairro],mercado1)+SUMIFS(supercb[Qtde],supercb[Item],tab_alimentos[[#This Row],[Item]],supercb[Bairro],mercado1)</f>
        <v>0</v>
      </c>
      <c r="M387" s="4">
        <f>SUMIFS(super1[Qtde],super1[Item],tab_alimentos[[#This Row],[Item]],super1[Bairro],mercado2)+SUMIFS(supercb[Qtde],supercb[Item],tab_alimentos[[#This Row],[Item]],supercb[Bairro],mercado2)</f>
        <v>0</v>
      </c>
      <c r="N387" s="4">
        <f>SUMIFS(super1[Qtde],super1[Item],tab_alimentos[[#This Row],[Item]],super1[Bairro],mercado3)+SUMIFS(supercb[Qtde],supercb[Item],tab_alimentos[[#This Row],[Item]],supercb[Bairro],mercado3)</f>
        <v>0</v>
      </c>
      <c r="O387" s="4">
        <f>SUMIFS(super1[Qtde],super1[Item],tab_alimentos[[#This Row],[Item]],super1[Bairro],mercado4)+SUMIFS(supercb[Qtde],supercb[Item],tab_alimentos[[#This Row],[Item]],supercb[Bairro],mercado4)</f>
        <v>0</v>
      </c>
      <c r="P387" s="4">
        <f>SUMIFS(super1[Qtde],super1[Item],tab_alimentos[[#This Row],[Item]],super1[Bairro],mercado5)+SUMIFS(supercb[Qtde],supercb[Item],tab_alimentos[[#This Row],[Item]],supercb[Bairro],mercado5)</f>
        <v>0</v>
      </c>
      <c r="Q387" s="4">
        <f>SUMIFS(super1[Qtde],super1[Item],tab_alimentos[[#This Row],[Item]],super1[Bairro],mercado6)+SUMIFS(supercb[Qtde],supercb[Item],tab_alimentos[[#This Row],[Item]],supercb[Bairro],mercado6)</f>
        <v>0</v>
      </c>
      <c r="R387" s="4">
        <f>SUMIFS(super1[Qtde],super1[Item],tab_alimentos[[#This Row],[Item]],super1[Bairro],mercado7)+SUMIFS(supercb[Qtde],supercb[Item],tab_alimentos[[#This Row],[Item]],supercb[Bairro],mercado7)</f>
        <v>0</v>
      </c>
      <c r="S387" s="4">
        <f>SUMIFS(super1[Qtde],super1[Item],tab_alimentos[[#This Row],[Item]],super1[Bairro],mercado8)+SUMIFS(supercb[Qtde],supercb[Item],tab_alimentos[[#This Row],[Item]],supercb[Bairro],mercado8)</f>
        <v>0</v>
      </c>
      <c r="T387" s="4">
        <f>SUMIFS(super1[Qtde],super1[Item],tab_alimentos[[#This Row],[Item]],super1[Bairro],mercado9)+SUMIFS(supercb[Qtde],supercb[Item],tab_alimentos[[#This Row],[Item]],supercb[Bairro],mercado9)</f>
        <v>0</v>
      </c>
      <c r="U387" s="4">
        <f>SUMIFS(super1[Qtde],super1[Item],tab_alimentos[[#This Row],[Item]],super1[Bairro],mercado10)+SUMIFS(supercb[Qtde],supercb[Item],tab_alimentos[[#This Row],[Item]],supercb[Bairro],mercado10)</f>
        <v>0</v>
      </c>
      <c r="V387" s="4">
        <f>SUMIFS(super1[Qtde],super1[Item],tab_alimentos[[#This Row],[Item]],super1[Bairro],mercado11)+SUMIFS(supercb[Qtde],supercb[Item],tab_alimentos[[#This Row],[Item]],supercb[Bairro],mercado11)</f>
        <v>0</v>
      </c>
      <c r="W387" s="4">
        <f>SUMIFS(super1[Qtde],super1[Item],tab_alimentos[[#This Row],[Item]],super1[Bairro],mercado12)+SUMIFS(supercb[Qtde],supercb[Item],tab_alimentos[[#This Row],[Item]],supercb[Bairro],mercado12)</f>
        <v>0</v>
      </c>
      <c r="X387" s="4">
        <f>SUMIFS(super1[Qtde],super1[Item],tab_alimentos[[#This Row],[Item]],super1[Bairro],mercado13)+SUMIFS(supercb[Qtde],supercb[Item],tab_alimentos[[#This Row],[Item]],supercb[Bairro],mercado13)</f>
        <v>0</v>
      </c>
      <c r="Y387" s="4">
        <f>SUMIFS(super1[Qtde],super1[Item],tab_alimentos[[#This Row],[Item]],super1[Bairro],mercado14)+SUMIFS(supercb[Qtde],supercb[Item],tab_alimentos[[#This Row],[Item]],supercb[Bairro],mercado14)</f>
        <v>0</v>
      </c>
      <c r="Z387" s="4">
        <f>SUMIFS(super1[Qtde],super1[Item],tab_alimentos[[#This Row],[Item]],super1[Bairro],mercado15)+SUMIFS(supercb[Qtde],supercb[Item],tab_alimentos[[#This Row],[Item]],supercb[Bairro],mercado15)</f>
        <v>0</v>
      </c>
      <c r="AA387" s="4">
        <f>SUMIFS(super1[Qtde],super1[Item],tab_alimentos[[#This Row],[Item]],super1[Bairro],mercado16)+SUMIFS(supercb[Qtde],supercb[Item],tab_alimentos[[#This Row],[Item]],supercb[Bairro],mercado16)</f>
        <v>0</v>
      </c>
      <c r="AB387" s="4">
        <f>SUMIFS(super1[Qtde],super1[Item],tab_alimentos[[#This Row],[Item]],super1[Bairro],mercado17)+SUMIFS(supercb[Qtde],supercb[Item],tab_alimentos[[#This Row],[Item]],supercb[Bairro],mercado17)</f>
        <v>0</v>
      </c>
      <c r="AC387" s="4">
        <f>SUMIFS(super1[Qtde],super1[Item],tab_alimentos[[#This Row],[Item]],super1[Bairro],mercado18)+SUMIFS(supercb[Qtde],supercb[Item],tab_alimentos[[#This Row],[Item]],supercb[Bairro],mercado18)</f>
        <v>0</v>
      </c>
      <c r="AD387" s="4">
        <f>SUMIFS(super1[Qtde],super1[Item],tab_alimentos[[#This Row],[Item]],super1[Bairro],extras)+SUMIFS(supercb[Qtde],supercb[Item],tab_alimentos[[#This Row],[Item]],supercb[Bairro],extras)</f>
        <v>0</v>
      </c>
      <c r="AE387" s="4">
        <f t="shared" si="97"/>
        <v>0</v>
      </c>
      <c r="AF387" s="4">
        <f t="shared" si="98"/>
        <v>0</v>
      </c>
      <c r="AG387" s="6">
        <f t="shared" si="99"/>
        <v>0</v>
      </c>
    </row>
    <row r="388" spans="9:33" x14ac:dyDescent="0.25">
      <c r="I388" s="19" t="str">
        <f>alimentos[[#This Row],[Item]]</f>
        <v>Q</v>
      </c>
      <c r="J388" s="4">
        <f>IFERROR(alimentos[[#This Row],[kg/embalagem]],0)</f>
        <v>0</v>
      </c>
      <c r="K388" s="4">
        <f>IFERROR(alimentos[[#This Row],[Preço]],0)</f>
        <v>0</v>
      </c>
      <c r="L388" s="4">
        <f>SUMIFS(super1[Qtde],super1[Item],tab_alimentos[[#This Row],[Item]],super1[Bairro],mercado1)+SUMIFS(supercb[Qtde],supercb[Item],tab_alimentos[[#This Row],[Item]],supercb[Bairro],mercado1)</f>
        <v>0</v>
      </c>
      <c r="M388" s="4">
        <f>SUMIFS(super1[Qtde],super1[Item],tab_alimentos[[#This Row],[Item]],super1[Bairro],mercado2)+SUMIFS(supercb[Qtde],supercb[Item],tab_alimentos[[#This Row],[Item]],supercb[Bairro],mercado2)</f>
        <v>0</v>
      </c>
      <c r="N388" s="4">
        <f>SUMIFS(super1[Qtde],super1[Item],tab_alimentos[[#This Row],[Item]],super1[Bairro],mercado3)+SUMIFS(supercb[Qtde],supercb[Item],tab_alimentos[[#This Row],[Item]],supercb[Bairro],mercado3)</f>
        <v>0</v>
      </c>
      <c r="O388" s="4">
        <f>SUMIFS(super1[Qtde],super1[Item],tab_alimentos[[#This Row],[Item]],super1[Bairro],mercado4)+SUMIFS(supercb[Qtde],supercb[Item],tab_alimentos[[#This Row],[Item]],supercb[Bairro],mercado4)</f>
        <v>0</v>
      </c>
      <c r="P388" s="4">
        <f>SUMIFS(super1[Qtde],super1[Item],tab_alimentos[[#This Row],[Item]],super1[Bairro],mercado5)+SUMIFS(supercb[Qtde],supercb[Item],tab_alimentos[[#This Row],[Item]],supercb[Bairro],mercado5)</f>
        <v>0</v>
      </c>
      <c r="Q388" s="4">
        <f>SUMIFS(super1[Qtde],super1[Item],tab_alimentos[[#This Row],[Item]],super1[Bairro],mercado6)+SUMIFS(supercb[Qtde],supercb[Item],tab_alimentos[[#This Row],[Item]],supercb[Bairro],mercado6)</f>
        <v>0</v>
      </c>
      <c r="R388" s="4">
        <f>SUMIFS(super1[Qtde],super1[Item],tab_alimentos[[#This Row],[Item]],super1[Bairro],mercado7)+SUMIFS(supercb[Qtde],supercb[Item],tab_alimentos[[#This Row],[Item]],supercb[Bairro],mercado7)</f>
        <v>0</v>
      </c>
      <c r="S388" s="4">
        <f>SUMIFS(super1[Qtde],super1[Item],tab_alimentos[[#This Row],[Item]],super1[Bairro],mercado8)+SUMIFS(supercb[Qtde],supercb[Item],tab_alimentos[[#This Row],[Item]],supercb[Bairro],mercado8)</f>
        <v>0</v>
      </c>
      <c r="T388" s="4">
        <f>SUMIFS(super1[Qtde],super1[Item],tab_alimentos[[#This Row],[Item]],super1[Bairro],mercado9)+SUMIFS(supercb[Qtde],supercb[Item],tab_alimentos[[#This Row],[Item]],supercb[Bairro],mercado9)</f>
        <v>0</v>
      </c>
      <c r="U388" s="4">
        <f>SUMIFS(super1[Qtde],super1[Item],tab_alimentos[[#This Row],[Item]],super1[Bairro],mercado10)+SUMIFS(supercb[Qtde],supercb[Item],tab_alimentos[[#This Row],[Item]],supercb[Bairro],mercado10)</f>
        <v>0</v>
      </c>
      <c r="V388" s="4">
        <f>SUMIFS(super1[Qtde],super1[Item],tab_alimentos[[#This Row],[Item]],super1[Bairro],mercado11)+SUMIFS(supercb[Qtde],supercb[Item],tab_alimentos[[#This Row],[Item]],supercb[Bairro],mercado11)</f>
        <v>0</v>
      </c>
      <c r="W388" s="4">
        <f>SUMIFS(super1[Qtde],super1[Item],tab_alimentos[[#This Row],[Item]],super1[Bairro],mercado12)+SUMIFS(supercb[Qtde],supercb[Item],tab_alimentos[[#This Row],[Item]],supercb[Bairro],mercado12)</f>
        <v>0</v>
      </c>
      <c r="X388" s="4">
        <f>SUMIFS(super1[Qtde],super1[Item],tab_alimentos[[#This Row],[Item]],super1[Bairro],mercado13)+SUMIFS(supercb[Qtde],supercb[Item],tab_alimentos[[#This Row],[Item]],supercb[Bairro],mercado13)</f>
        <v>0</v>
      </c>
      <c r="Y388" s="4">
        <f>SUMIFS(super1[Qtde],super1[Item],tab_alimentos[[#This Row],[Item]],super1[Bairro],mercado14)+SUMIFS(supercb[Qtde],supercb[Item],tab_alimentos[[#This Row],[Item]],supercb[Bairro],mercado14)</f>
        <v>0</v>
      </c>
      <c r="Z388" s="4">
        <f>SUMIFS(super1[Qtde],super1[Item],tab_alimentos[[#This Row],[Item]],super1[Bairro],mercado15)+SUMIFS(supercb[Qtde],supercb[Item],tab_alimentos[[#This Row],[Item]],supercb[Bairro],mercado15)</f>
        <v>0</v>
      </c>
      <c r="AA388" s="4">
        <f>SUMIFS(super1[Qtde],super1[Item],tab_alimentos[[#This Row],[Item]],super1[Bairro],mercado16)+SUMIFS(supercb[Qtde],supercb[Item],tab_alimentos[[#This Row],[Item]],supercb[Bairro],mercado16)</f>
        <v>0</v>
      </c>
      <c r="AB388" s="4">
        <f>SUMIFS(super1[Qtde],super1[Item],tab_alimentos[[#This Row],[Item]],super1[Bairro],mercado17)+SUMIFS(supercb[Qtde],supercb[Item],tab_alimentos[[#This Row],[Item]],supercb[Bairro],mercado17)</f>
        <v>0</v>
      </c>
      <c r="AC388" s="4">
        <f>SUMIFS(super1[Qtde],super1[Item],tab_alimentos[[#This Row],[Item]],super1[Bairro],mercado18)+SUMIFS(supercb[Qtde],supercb[Item],tab_alimentos[[#This Row],[Item]],supercb[Bairro],mercado18)</f>
        <v>0</v>
      </c>
      <c r="AD388" s="4">
        <f>SUMIFS(super1[Qtde],super1[Item],tab_alimentos[[#This Row],[Item]],super1[Bairro],extras)+SUMIFS(supercb[Qtde],supercb[Item],tab_alimentos[[#This Row],[Item]],supercb[Bairro],extras)</f>
        <v>0</v>
      </c>
      <c r="AE388" s="4">
        <f t="shared" si="97"/>
        <v>0</v>
      </c>
      <c r="AF388" s="4">
        <f t="shared" si="98"/>
        <v>0</v>
      </c>
      <c r="AG388" s="6">
        <f t="shared" si="99"/>
        <v>0</v>
      </c>
    </row>
    <row r="389" spans="9:33" x14ac:dyDescent="0.25">
      <c r="I389" s="19" t="str">
        <f>alimentos[[#This Row],[Item]]</f>
        <v>Queijo Ralado (50g)</v>
      </c>
      <c r="J389" s="4">
        <f>IFERROR(alimentos[[#This Row],[kg/embalagem]],0)</f>
        <v>0.05</v>
      </c>
      <c r="K389" s="4">
        <f>IFERROR(alimentos[[#This Row],[Preço]],0)</f>
        <v>5.89</v>
      </c>
      <c r="L389" s="4">
        <f>SUMIFS(super1[Qtde],super1[Item],tab_alimentos[[#This Row],[Item]],super1[Bairro],mercado1)+SUMIFS(supercb[Qtde],supercb[Item],tab_alimentos[[#This Row],[Item]],supercb[Bairro],mercado1)</f>
        <v>0</v>
      </c>
      <c r="M389" s="4">
        <f>SUMIFS(super1[Qtde],super1[Item],tab_alimentos[[#This Row],[Item]],super1[Bairro],mercado2)+SUMIFS(supercb[Qtde],supercb[Item],tab_alimentos[[#This Row],[Item]],supercb[Bairro],mercado2)</f>
        <v>0</v>
      </c>
      <c r="N389" s="4">
        <f>SUMIFS(super1[Qtde],super1[Item],tab_alimentos[[#This Row],[Item]],super1[Bairro],mercado3)+SUMIFS(supercb[Qtde],supercb[Item],tab_alimentos[[#This Row],[Item]],supercb[Bairro],mercado3)</f>
        <v>0</v>
      </c>
      <c r="O389" s="4">
        <f>SUMIFS(super1[Qtde],super1[Item],tab_alimentos[[#This Row],[Item]],super1[Bairro],mercado4)+SUMIFS(supercb[Qtde],supercb[Item],tab_alimentos[[#This Row],[Item]],supercb[Bairro],mercado4)</f>
        <v>0</v>
      </c>
      <c r="P389" s="4">
        <f>SUMIFS(super1[Qtde],super1[Item],tab_alimentos[[#This Row],[Item]],super1[Bairro],mercado5)+SUMIFS(supercb[Qtde],supercb[Item],tab_alimentos[[#This Row],[Item]],supercb[Bairro],mercado5)</f>
        <v>0</v>
      </c>
      <c r="Q389" s="4">
        <f>SUMIFS(super1[Qtde],super1[Item],tab_alimentos[[#This Row],[Item]],super1[Bairro],mercado6)+SUMIFS(supercb[Qtde],supercb[Item],tab_alimentos[[#This Row],[Item]],supercb[Bairro],mercado6)</f>
        <v>0</v>
      </c>
      <c r="R389" s="4">
        <f>SUMIFS(super1[Qtde],super1[Item],tab_alimentos[[#This Row],[Item]],super1[Bairro],mercado7)+SUMIFS(supercb[Qtde],supercb[Item],tab_alimentos[[#This Row],[Item]],supercb[Bairro],mercado7)</f>
        <v>0</v>
      </c>
      <c r="S389" s="4">
        <f>SUMIFS(super1[Qtde],super1[Item],tab_alimentos[[#This Row],[Item]],super1[Bairro],mercado8)+SUMIFS(supercb[Qtde],supercb[Item],tab_alimentos[[#This Row],[Item]],supercb[Bairro],mercado8)</f>
        <v>0</v>
      </c>
      <c r="T389" s="4">
        <f>SUMIFS(super1[Qtde],super1[Item],tab_alimentos[[#This Row],[Item]],super1[Bairro],mercado9)+SUMIFS(supercb[Qtde],supercb[Item],tab_alimentos[[#This Row],[Item]],supercb[Bairro],mercado9)</f>
        <v>0</v>
      </c>
      <c r="U389" s="4">
        <f>SUMIFS(super1[Qtde],super1[Item],tab_alimentos[[#This Row],[Item]],super1[Bairro],mercado10)+SUMIFS(supercb[Qtde],supercb[Item],tab_alimentos[[#This Row],[Item]],supercb[Bairro],mercado10)</f>
        <v>0</v>
      </c>
      <c r="V389" s="4">
        <f>SUMIFS(super1[Qtde],super1[Item],tab_alimentos[[#This Row],[Item]],super1[Bairro],mercado11)+SUMIFS(supercb[Qtde],supercb[Item],tab_alimentos[[#This Row],[Item]],supercb[Bairro],mercado11)</f>
        <v>0</v>
      </c>
      <c r="W389" s="4">
        <f>SUMIFS(super1[Qtde],super1[Item],tab_alimentos[[#This Row],[Item]],super1[Bairro],mercado12)+SUMIFS(supercb[Qtde],supercb[Item],tab_alimentos[[#This Row],[Item]],supercb[Bairro],mercado12)</f>
        <v>0</v>
      </c>
      <c r="X389" s="4">
        <f>SUMIFS(super1[Qtde],super1[Item],tab_alimentos[[#This Row],[Item]],super1[Bairro],mercado13)+SUMIFS(supercb[Qtde],supercb[Item],tab_alimentos[[#This Row],[Item]],supercb[Bairro],mercado13)</f>
        <v>0</v>
      </c>
      <c r="Y389" s="4">
        <f>SUMIFS(super1[Qtde],super1[Item],tab_alimentos[[#This Row],[Item]],super1[Bairro],mercado14)+SUMIFS(supercb[Qtde],supercb[Item],tab_alimentos[[#This Row],[Item]],supercb[Bairro],mercado14)</f>
        <v>0</v>
      </c>
      <c r="Z389" s="4">
        <f>SUMIFS(super1[Qtde],super1[Item],tab_alimentos[[#This Row],[Item]],super1[Bairro],mercado15)+SUMIFS(supercb[Qtde],supercb[Item],tab_alimentos[[#This Row],[Item]],supercb[Bairro],mercado15)</f>
        <v>0</v>
      </c>
      <c r="AA389" s="4">
        <f>SUMIFS(super1[Qtde],super1[Item],tab_alimentos[[#This Row],[Item]],super1[Bairro],mercado16)+SUMIFS(supercb[Qtde],supercb[Item],tab_alimentos[[#This Row],[Item]],supercb[Bairro],mercado16)</f>
        <v>0</v>
      </c>
      <c r="AB389" s="4">
        <f>SUMIFS(super1[Qtde],super1[Item],tab_alimentos[[#This Row],[Item]],super1[Bairro],mercado17)+SUMIFS(supercb[Qtde],supercb[Item],tab_alimentos[[#This Row],[Item]],supercb[Bairro],mercado17)</f>
        <v>0</v>
      </c>
      <c r="AC389" s="4">
        <f>SUMIFS(super1[Qtde],super1[Item],tab_alimentos[[#This Row],[Item]],super1[Bairro],mercado18)+SUMIFS(supercb[Qtde],supercb[Item],tab_alimentos[[#This Row],[Item]],supercb[Bairro],mercado18)</f>
        <v>0</v>
      </c>
      <c r="AD389" s="4">
        <f>SUMIFS(super1[Qtde],super1[Item],tab_alimentos[[#This Row],[Item]],super1[Bairro],extras)+SUMIFS(supercb[Qtde],supercb[Item],tab_alimentos[[#This Row],[Item]],supercb[Bairro],extras)</f>
        <v>0</v>
      </c>
      <c r="AE389" s="4">
        <f t="shared" si="97"/>
        <v>0</v>
      </c>
      <c r="AF389" s="4">
        <f t="shared" si="98"/>
        <v>0</v>
      </c>
      <c r="AG389" s="6">
        <f t="shared" si="99"/>
        <v>0</v>
      </c>
    </row>
    <row r="390" spans="9:33" x14ac:dyDescent="0.25">
      <c r="I390" s="19" t="str">
        <f>alimentos[[#This Row],[Item]]</f>
        <v>R</v>
      </c>
      <c r="J390" s="4">
        <f>IFERROR(alimentos[[#This Row],[kg/embalagem]],0)</f>
        <v>0</v>
      </c>
      <c r="K390" s="4">
        <f>IFERROR(alimentos[[#This Row],[Preço]],0)</f>
        <v>0</v>
      </c>
      <c r="L390" s="4">
        <f>SUMIFS(super1[Qtde],super1[Item],tab_alimentos[[#This Row],[Item]],super1[Bairro],mercado1)+SUMIFS(supercb[Qtde],supercb[Item],tab_alimentos[[#This Row],[Item]],supercb[Bairro],mercado1)</f>
        <v>0</v>
      </c>
      <c r="M390" s="4">
        <f>SUMIFS(super1[Qtde],super1[Item],tab_alimentos[[#This Row],[Item]],super1[Bairro],mercado2)+SUMIFS(supercb[Qtde],supercb[Item],tab_alimentos[[#This Row],[Item]],supercb[Bairro],mercado2)</f>
        <v>0</v>
      </c>
      <c r="N390" s="4">
        <f>SUMIFS(super1[Qtde],super1[Item],tab_alimentos[[#This Row],[Item]],super1[Bairro],mercado3)+SUMIFS(supercb[Qtde],supercb[Item],tab_alimentos[[#This Row],[Item]],supercb[Bairro],mercado3)</f>
        <v>0</v>
      </c>
      <c r="O390" s="4">
        <f>SUMIFS(super1[Qtde],super1[Item],tab_alimentos[[#This Row],[Item]],super1[Bairro],mercado4)+SUMIFS(supercb[Qtde],supercb[Item],tab_alimentos[[#This Row],[Item]],supercb[Bairro],mercado4)</f>
        <v>0</v>
      </c>
      <c r="P390" s="4">
        <f>SUMIFS(super1[Qtde],super1[Item],tab_alimentos[[#This Row],[Item]],super1[Bairro],mercado5)+SUMIFS(supercb[Qtde],supercb[Item],tab_alimentos[[#This Row],[Item]],supercb[Bairro],mercado5)</f>
        <v>0</v>
      </c>
      <c r="Q390" s="4">
        <f>SUMIFS(super1[Qtde],super1[Item],tab_alimentos[[#This Row],[Item]],super1[Bairro],mercado6)+SUMIFS(supercb[Qtde],supercb[Item],tab_alimentos[[#This Row],[Item]],supercb[Bairro],mercado6)</f>
        <v>0</v>
      </c>
      <c r="R390" s="4">
        <f>SUMIFS(super1[Qtde],super1[Item],tab_alimentos[[#This Row],[Item]],super1[Bairro],mercado7)+SUMIFS(supercb[Qtde],supercb[Item],tab_alimentos[[#This Row],[Item]],supercb[Bairro],mercado7)</f>
        <v>0</v>
      </c>
      <c r="S390" s="4">
        <f>SUMIFS(super1[Qtde],super1[Item],tab_alimentos[[#This Row],[Item]],super1[Bairro],mercado8)+SUMIFS(supercb[Qtde],supercb[Item],tab_alimentos[[#This Row],[Item]],supercb[Bairro],mercado8)</f>
        <v>0</v>
      </c>
      <c r="T390" s="4">
        <f>SUMIFS(super1[Qtde],super1[Item],tab_alimentos[[#This Row],[Item]],super1[Bairro],mercado9)+SUMIFS(supercb[Qtde],supercb[Item],tab_alimentos[[#This Row],[Item]],supercb[Bairro],mercado9)</f>
        <v>0</v>
      </c>
      <c r="U390" s="4">
        <f>SUMIFS(super1[Qtde],super1[Item],tab_alimentos[[#This Row],[Item]],super1[Bairro],mercado10)+SUMIFS(supercb[Qtde],supercb[Item],tab_alimentos[[#This Row],[Item]],supercb[Bairro],mercado10)</f>
        <v>0</v>
      </c>
      <c r="V390" s="4">
        <f>SUMIFS(super1[Qtde],super1[Item],tab_alimentos[[#This Row],[Item]],super1[Bairro],mercado11)+SUMIFS(supercb[Qtde],supercb[Item],tab_alimentos[[#This Row],[Item]],supercb[Bairro],mercado11)</f>
        <v>0</v>
      </c>
      <c r="W390" s="4">
        <f>SUMIFS(super1[Qtde],super1[Item],tab_alimentos[[#This Row],[Item]],super1[Bairro],mercado12)+SUMIFS(supercb[Qtde],supercb[Item],tab_alimentos[[#This Row],[Item]],supercb[Bairro],mercado12)</f>
        <v>0</v>
      </c>
      <c r="X390" s="4">
        <f>SUMIFS(super1[Qtde],super1[Item],tab_alimentos[[#This Row],[Item]],super1[Bairro],mercado13)+SUMIFS(supercb[Qtde],supercb[Item],tab_alimentos[[#This Row],[Item]],supercb[Bairro],mercado13)</f>
        <v>0</v>
      </c>
      <c r="Y390" s="4">
        <f>SUMIFS(super1[Qtde],super1[Item],tab_alimentos[[#This Row],[Item]],super1[Bairro],mercado14)+SUMIFS(supercb[Qtde],supercb[Item],tab_alimentos[[#This Row],[Item]],supercb[Bairro],mercado14)</f>
        <v>0</v>
      </c>
      <c r="Z390" s="4">
        <f>SUMIFS(super1[Qtde],super1[Item],tab_alimentos[[#This Row],[Item]],super1[Bairro],mercado15)+SUMIFS(supercb[Qtde],supercb[Item],tab_alimentos[[#This Row],[Item]],supercb[Bairro],mercado15)</f>
        <v>0</v>
      </c>
      <c r="AA390" s="4">
        <f>SUMIFS(super1[Qtde],super1[Item],tab_alimentos[[#This Row],[Item]],super1[Bairro],mercado16)+SUMIFS(supercb[Qtde],supercb[Item],tab_alimentos[[#This Row],[Item]],supercb[Bairro],mercado16)</f>
        <v>0</v>
      </c>
      <c r="AB390" s="4">
        <f>SUMIFS(super1[Qtde],super1[Item],tab_alimentos[[#This Row],[Item]],super1[Bairro],mercado17)+SUMIFS(supercb[Qtde],supercb[Item],tab_alimentos[[#This Row],[Item]],supercb[Bairro],mercado17)</f>
        <v>0</v>
      </c>
      <c r="AC390" s="4">
        <f>SUMIFS(super1[Qtde],super1[Item],tab_alimentos[[#This Row],[Item]],super1[Bairro],mercado18)+SUMIFS(supercb[Qtde],supercb[Item],tab_alimentos[[#This Row],[Item]],supercb[Bairro],mercado18)</f>
        <v>0</v>
      </c>
      <c r="AD390" s="4">
        <f>SUMIFS(super1[Qtde],super1[Item],tab_alimentos[[#This Row],[Item]],super1[Bairro],extras)+SUMIFS(supercb[Qtde],supercb[Item],tab_alimentos[[#This Row],[Item]],supercb[Bairro],extras)</f>
        <v>0</v>
      </c>
      <c r="AE390" s="4">
        <f t="shared" si="97"/>
        <v>0</v>
      </c>
      <c r="AF390" s="4">
        <f t="shared" si="98"/>
        <v>0</v>
      </c>
      <c r="AG390" s="6">
        <f t="shared" si="99"/>
        <v>0</v>
      </c>
    </row>
    <row r="391" spans="9:33" x14ac:dyDescent="0.25">
      <c r="I391" s="19" t="str">
        <f>alimentos[[#This Row],[Item]]</f>
        <v>Refrigerante (1,5L)</v>
      </c>
      <c r="J391" s="4">
        <f>IFERROR(alimentos[[#This Row],[kg/embalagem]],0)</f>
        <v>1.5</v>
      </c>
      <c r="K391" s="4">
        <f>IFERROR(alimentos[[#This Row],[Preço]],0)</f>
        <v>5.49</v>
      </c>
      <c r="L391" s="4">
        <f>SUMIFS(super1[Qtde],super1[Item],tab_alimentos[[#This Row],[Item]],super1[Bairro],mercado1)+SUMIFS(supercb[Qtde],supercb[Item],tab_alimentos[[#This Row],[Item]],supercb[Bairro],mercado1)</f>
        <v>0</v>
      </c>
      <c r="M391" s="4">
        <f>SUMIFS(super1[Qtde],super1[Item],tab_alimentos[[#This Row],[Item]],super1[Bairro],mercado2)+SUMIFS(supercb[Qtde],supercb[Item],tab_alimentos[[#This Row],[Item]],supercb[Bairro],mercado2)</f>
        <v>0</v>
      </c>
      <c r="N391" s="4">
        <f>SUMIFS(super1[Qtde],super1[Item],tab_alimentos[[#This Row],[Item]],super1[Bairro],mercado3)+SUMIFS(supercb[Qtde],supercb[Item],tab_alimentos[[#This Row],[Item]],supercb[Bairro],mercado3)</f>
        <v>0</v>
      </c>
      <c r="O391" s="4">
        <f>SUMIFS(super1[Qtde],super1[Item],tab_alimentos[[#This Row],[Item]],super1[Bairro],mercado4)+SUMIFS(supercb[Qtde],supercb[Item],tab_alimentos[[#This Row],[Item]],supercb[Bairro],mercado4)</f>
        <v>0</v>
      </c>
      <c r="P391" s="4">
        <f>SUMIFS(super1[Qtde],super1[Item],tab_alimentos[[#This Row],[Item]],super1[Bairro],mercado5)+SUMIFS(supercb[Qtde],supercb[Item],tab_alimentos[[#This Row],[Item]],supercb[Bairro],mercado5)</f>
        <v>0</v>
      </c>
      <c r="Q391" s="4">
        <f>SUMIFS(super1[Qtde],super1[Item],tab_alimentos[[#This Row],[Item]],super1[Bairro],mercado6)+SUMIFS(supercb[Qtde],supercb[Item],tab_alimentos[[#This Row],[Item]],supercb[Bairro],mercado6)</f>
        <v>0</v>
      </c>
      <c r="R391" s="4">
        <f>SUMIFS(super1[Qtde],super1[Item],tab_alimentos[[#This Row],[Item]],super1[Bairro],mercado7)+SUMIFS(supercb[Qtde],supercb[Item],tab_alimentos[[#This Row],[Item]],supercb[Bairro],mercado7)</f>
        <v>0</v>
      </c>
      <c r="S391" s="4">
        <f>SUMIFS(super1[Qtde],super1[Item],tab_alimentos[[#This Row],[Item]],super1[Bairro],mercado8)+SUMIFS(supercb[Qtde],supercb[Item],tab_alimentos[[#This Row],[Item]],supercb[Bairro],mercado8)</f>
        <v>0</v>
      </c>
      <c r="T391" s="4">
        <f>SUMIFS(super1[Qtde],super1[Item],tab_alimentos[[#This Row],[Item]],super1[Bairro],mercado9)+SUMIFS(supercb[Qtde],supercb[Item],tab_alimentos[[#This Row],[Item]],supercb[Bairro],mercado9)</f>
        <v>0</v>
      </c>
      <c r="U391" s="4">
        <f>SUMIFS(super1[Qtde],super1[Item],tab_alimentos[[#This Row],[Item]],super1[Bairro],mercado10)+SUMIFS(supercb[Qtde],supercb[Item],tab_alimentos[[#This Row],[Item]],supercb[Bairro],mercado10)</f>
        <v>0</v>
      </c>
      <c r="V391" s="4">
        <f>SUMIFS(super1[Qtde],super1[Item],tab_alimentos[[#This Row],[Item]],super1[Bairro],mercado11)+SUMIFS(supercb[Qtde],supercb[Item],tab_alimentos[[#This Row],[Item]],supercb[Bairro],mercado11)</f>
        <v>0</v>
      </c>
      <c r="W391" s="4">
        <f>SUMIFS(super1[Qtde],super1[Item],tab_alimentos[[#This Row],[Item]],super1[Bairro],mercado12)+SUMIFS(supercb[Qtde],supercb[Item],tab_alimentos[[#This Row],[Item]],supercb[Bairro],mercado12)</f>
        <v>0</v>
      </c>
      <c r="X391" s="4">
        <f>SUMIFS(super1[Qtde],super1[Item],tab_alimentos[[#This Row],[Item]],super1[Bairro],mercado13)+SUMIFS(supercb[Qtde],supercb[Item],tab_alimentos[[#This Row],[Item]],supercb[Bairro],mercado13)</f>
        <v>0</v>
      </c>
      <c r="Y391" s="4">
        <f>SUMIFS(super1[Qtde],super1[Item],tab_alimentos[[#This Row],[Item]],super1[Bairro],mercado14)+SUMIFS(supercb[Qtde],supercb[Item],tab_alimentos[[#This Row],[Item]],supercb[Bairro],mercado14)</f>
        <v>0</v>
      </c>
      <c r="Z391" s="4">
        <f>SUMIFS(super1[Qtde],super1[Item],tab_alimentos[[#This Row],[Item]],super1[Bairro],mercado15)+SUMIFS(supercb[Qtde],supercb[Item],tab_alimentos[[#This Row],[Item]],supercb[Bairro],mercado15)</f>
        <v>0</v>
      </c>
      <c r="AA391" s="4">
        <f>SUMIFS(super1[Qtde],super1[Item],tab_alimentos[[#This Row],[Item]],super1[Bairro],mercado16)+SUMIFS(supercb[Qtde],supercb[Item],tab_alimentos[[#This Row],[Item]],supercb[Bairro],mercado16)</f>
        <v>0</v>
      </c>
      <c r="AB391" s="4">
        <f>SUMIFS(super1[Qtde],super1[Item],tab_alimentos[[#This Row],[Item]],super1[Bairro],mercado17)+SUMIFS(supercb[Qtde],supercb[Item],tab_alimentos[[#This Row],[Item]],supercb[Bairro],mercado17)</f>
        <v>0</v>
      </c>
      <c r="AC391" s="4">
        <f>SUMIFS(super1[Qtde],super1[Item],tab_alimentos[[#This Row],[Item]],super1[Bairro],mercado18)+SUMIFS(supercb[Qtde],supercb[Item],tab_alimentos[[#This Row],[Item]],supercb[Bairro],mercado18)</f>
        <v>0</v>
      </c>
      <c r="AD391" s="4">
        <f>SUMIFS(super1[Qtde],super1[Item],tab_alimentos[[#This Row],[Item]],super1[Bairro],extras)+SUMIFS(supercb[Qtde],supercb[Item],tab_alimentos[[#This Row],[Item]],supercb[Bairro],extras)</f>
        <v>0</v>
      </c>
      <c r="AE391" s="4">
        <f t="shared" si="97"/>
        <v>0</v>
      </c>
      <c r="AF391" s="4">
        <f t="shared" si="98"/>
        <v>0</v>
      </c>
      <c r="AG391" s="6">
        <f t="shared" si="99"/>
        <v>0</v>
      </c>
    </row>
    <row r="392" spans="9:33" x14ac:dyDescent="0.25">
      <c r="I392" s="19" t="str">
        <f>alimentos[[#This Row],[Item]]</f>
        <v>Refrigerante (1L)</v>
      </c>
      <c r="J392" s="4">
        <f>IFERROR(alimentos[[#This Row],[kg/embalagem]],0)</f>
        <v>1</v>
      </c>
      <c r="K392" s="4">
        <f>IFERROR(alimentos[[#This Row],[Preço]],0)</f>
        <v>5.88</v>
      </c>
      <c r="L392" s="4">
        <f>SUMIFS(super1[Qtde],super1[Item],tab_alimentos[[#This Row],[Item]],super1[Bairro],mercado1)+SUMIFS(supercb[Qtde],supercb[Item],tab_alimentos[[#This Row],[Item]],supercb[Bairro],mercado1)</f>
        <v>0</v>
      </c>
      <c r="M392" s="4">
        <f>SUMIFS(super1[Qtde],super1[Item],tab_alimentos[[#This Row],[Item]],super1[Bairro],mercado2)+SUMIFS(supercb[Qtde],supercb[Item],tab_alimentos[[#This Row],[Item]],supercb[Bairro],mercado2)</f>
        <v>0</v>
      </c>
      <c r="N392" s="4">
        <f>SUMIFS(super1[Qtde],super1[Item],tab_alimentos[[#This Row],[Item]],super1[Bairro],mercado3)+SUMIFS(supercb[Qtde],supercb[Item],tab_alimentos[[#This Row],[Item]],supercb[Bairro],mercado3)</f>
        <v>0</v>
      </c>
      <c r="O392" s="4">
        <f>SUMIFS(super1[Qtde],super1[Item],tab_alimentos[[#This Row],[Item]],super1[Bairro],mercado4)+SUMIFS(supercb[Qtde],supercb[Item],tab_alimentos[[#This Row],[Item]],supercb[Bairro],mercado4)</f>
        <v>0</v>
      </c>
      <c r="P392" s="4">
        <f>SUMIFS(super1[Qtde],super1[Item],tab_alimentos[[#This Row],[Item]],super1[Bairro],mercado5)+SUMIFS(supercb[Qtde],supercb[Item],tab_alimentos[[#This Row],[Item]],supercb[Bairro],mercado5)</f>
        <v>0</v>
      </c>
      <c r="Q392" s="4">
        <f>SUMIFS(super1[Qtde],super1[Item],tab_alimentos[[#This Row],[Item]],super1[Bairro],mercado6)+SUMIFS(supercb[Qtde],supercb[Item],tab_alimentos[[#This Row],[Item]],supercb[Bairro],mercado6)</f>
        <v>0</v>
      </c>
      <c r="R392" s="4">
        <f>SUMIFS(super1[Qtde],super1[Item],tab_alimentos[[#This Row],[Item]],super1[Bairro],mercado7)+SUMIFS(supercb[Qtde],supercb[Item],tab_alimentos[[#This Row],[Item]],supercb[Bairro],mercado7)</f>
        <v>0</v>
      </c>
      <c r="S392" s="4">
        <f>SUMIFS(super1[Qtde],super1[Item],tab_alimentos[[#This Row],[Item]],super1[Bairro],mercado8)+SUMIFS(supercb[Qtde],supercb[Item],tab_alimentos[[#This Row],[Item]],supercb[Bairro],mercado8)</f>
        <v>0</v>
      </c>
      <c r="T392" s="4">
        <f>SUMIFS(super1[Qtde],super1[Item],tab_alimentos[[#This Row],[Item]],super1[Bairro],mercado9)+SUMIFS(supercb[Qtde],supercb[Item],tab_alimentos[[#This Row],[Item]],supercb[Bairro],mercado9)</f>
        <v>0</v>
      </c>
      <c r="U392" s="4">
        <f>SUMIFS(super1[Qtde],super1[Item],tab_alimentos[[#This Row],[Item]],super1[Bairro],mercado10)+SUMIFS(supercb[Qtde],supercb[Item],tab_alimentos[[#This Row],[Item]],supercb[Bairro],mercado10)</f>
        <v>0</v>
      </c>
      <c r="V392" s="4">
        <f>SUMIFS(super1[Qtde],super1[Item],tab_alimentos[[#This Row],[Item]],super1[Bairro],mercado11)+SUMIFS(supercb[Qtde],supercb[Item],tab_alimentos[[#This Row],[Item]],supercb[Bairro],mercado11)</f>
        <v>0</v>
      </c>
      <c r="W392" s="4">
        <f>SUMIFS(super1[Qtde],super1[Item],tab_alimentos[[#This Row],[Item]],super1[Bairro],mercado12)+SUMIFS(supercb[Qtde],supercb[Item],tab_alimentos[[#This Row],[Item]],supercb[Bairro],mercado12)</f>
        <v>0</v>
      </c>
      <c r="X392" s="4">
        <f>SUMIFS(super1[Qtde],super1[Item],tab_alimentos[[#This Row],[Item]],super1[Bairro],mercado13)+SUMIFS(supercb[Qtde],supercb[Item],tab_alimentos[[#This Row],[Item]],supercb[Bairro],mercado13)</f>
        <v>0</v>
      </c>
      <c r="Y392" s="4">
        <f>SUMIFS(super1[Qtde],super1[Item],tab_alimentos[[#This Row],[Item]],super1[Bairro],mercado14)+SUMIFS(supercb[Qtde],supercb[Item],tab_alimentos[[#This Row],[Item]],supercb[Bairro],mercado14)</f>
        <v>0</v>
      </c>
      <c r="Z392" s="4">
        <f>SUMIFS(super1[Qtde],super1[Item],tab_alimentos[[#This Row],[Item]],super1[Bairro],mercado15)+SUMIFS(supercb[Qtde],supercb[Item],tab_alimentos[[#This Row],[Item]],supercb[Bairro],mercado15)</f>
        <v>0</v>
      </c>
      <c r="AA392" s="4">
        <f>SUMIFS(super1[Qtde],super1[Item],tab_alimentos[[#This Row],[Item]],super1[Bairro],mercado16)+SUMIFS(supercb[Qtde],supercb[Item],tab_alimentos[[#This Row],[Item]],supercb[Bairro],mercado16)</f>
        <v>0</v>
      </c>
      <c r="AB392" s="4">
        <f>SUMIFS(super1[Qtde],super1[Item],tab_alimentos[[#This Row],[Item]],super1[Bairro],mercado17)+SUMIFS(supercb[Qtde],supercb[Item],tab_alimentos[[#This Row],[Item]],supercb[Bairro],mercado17)</f>
        <v>0</v>
      </c>
      <c r="AC392" s="4">
        <f>SUMIFS(super1[Qtde],super1[Item],tab_alimentos[[#This Row],[Item]],super1[Bairro],mercado18)+SUMIFS(supercb[Qtde],supercb[Item],tab_alimentos[[#This Row],[Item]],supercb[Bairro],mercado18)</f>
        <v>0</v>
      </c>
      <c r="AD392" s="4">
        <f>SUMIFS(super1[Qtde],super1[Item],tab_alimentos[[#This Row],[Item]],super1[Bairro],extras)+SUMIFS(supercb[Qtde],supercb[Item],tab_alimentos[[#This Row],[Item]],supercb[Bairro],extras)</f>
        <v>0</v>
      </c>
      <c r="AE392" s="4">
        <f t="shared" si="97"/>
        <v>0</v>
      </c>
      <c r="AF392" s="4">
        <f t="shared" si="98"/>
        <v>0</v>
      </c>
      <c r="AG392" s="6">
        <f t="shared" si="99"/>
        <v>0</v>
      </c>
    </row>
    <row r="393" spans="9:33" x14ac:dyDescent="0.25">
      <c r="I393" s="19" t="str">
        <f>alimentos[[#This Row],[Item]]</f>
        <v>Refrigerante (2,5L)</v>
      </c>
      <c r="J393" s="4">
        <f>IFERROR(alimentos[[#This Row],[kg/embalagem]],0)</f>
        <v>2.5</v>
      </c>
      <c r="K393" s="4">
        <f>IFERROR(alimentos[[#This Row],[Preço]],0)</f>
        <v>6.39</v>
      </c>
      <c r="L393" s="4">
        <f>SUMIFS(super1[Qtde],super1[Item],tab_alimentos[[#This Row],[Item]],super1[Bairro],mercado1)+SUMIFS(supercb[Qtde],supercb[Item],tab_alimentos[[#This Row],[Item]],supercb[Bairro],mercado1)</f>
        <v>0</v>
      </c>
      <c r="M393" s="4">
        <f>SUMIFS(super1[Qtde],super1[Item],tab_alimentos[[#This Row],[Item]],super1[Bairro],mercado2)+SUMIFS(supercb[Qtde],supercb[Item],tab_alimentos[[#This Row],[Item]],supercb[Bairro],mercado2)</f>
        <v>0</v>
      </c>
      <c r="N393" s="4">
        <f>SUMIFS(super1[Qtde],super1[Item],tab_alimentos[[#This Row],[Item]],super1[Bairro],mercado3)+SUMIFS(supercb[Qtde],supercb[Item],tab_alimentos[[#This Row],[Item]],supercb[Bairro],mercado3)</f>
        <v>0</v>
      </c>
      <c r="O393" s="4">
        <f>SUMIFS(super1[Qtde],super1[Item],tab_alimentos[[#This Row],[Item]],super1[Bairro],mercado4)+SUMIFS(supercb[Qtde],supercb[Item],tab_alimentos[[#This Row],[Item]],supercb[Bairro],mercado4)</f>
        <v>0</v>
      </c>
      <c r="P393" s="4">
        <f>SUMIFS(super1[Qtde],super1[Item],tab_alimentos[[#This Row],[Item]],super1[Bairro],mercado5)+SUMIFS(supercb[Qtde],supercb[Item],tab_alimentos[[#This Row],[Item]],supercb[Bairro],mercado5)</f>
        <v>0</v>
      </c>
      <c r="Q393" s="4">
        <f>SUMIFS(super1[Qtde],super1[Item],tab_alimentos[[#This Row],[Item]],super1[Bairro],mercado6)+SUMIFS(supercb[Qtde],supercb[Item],tab_alimentos[[#This Row],[Item]],supercb[Bairro],mercado6)</f>
        <v>0</v>
      </c>
      <c r="R393" s="4">
        <f>SUMIFS(super1[Qtde],super1[Item],tab_alimentos[[#This Row],[Item]],super1[Bairro],mercado7)+SUMIFS(supercb[Qtde],supercb[Item],tab_alimentos[[#This Row],[Item]],supercb[Bairro],mercado7)</f>
        <v>0</v>
      </c>
      <c r="S393" s="4">
        <f>SUMIFS(super1[Qtde],super1[Item],tab_alimentos[[#This Row],[Item]],super1[Bairro],mercado8)+SUMIFS(supercb[Qtde],supercb[Item],tab_alimentos[[#This Row],[Item]],supercb[Bairro],mercado8)</f>
        <v>0</v>
      </c>
      <c r="T393" s="4">
        <f>SUMIFS(super1[Qtde],super1[Item],tab_alimentos[[#This Row],[Item]],super1[Bairro],mercado9)+SUMIFS(supercb[Qtde],supercb[Item],tab_alimentos[[#This Row],[Item]],supercb[Bairro],mercado9)</f>
        <v>0</v>
      </c>
      <c r="U393" s="4">
        <f>SUMIFS(super1[Qtde],super1[Item],tab_alimentos[[#This Row],[Item]],super1[Bairro],mercado10)+SUMIFS(supercb[Qtde],supercb[Item],tab_alimentos[[#This Row],[Item]],supercb[Bairro],mercado10)</f>
        <v>0</v>
      </c>
      <c r="V393" s="4">
        <f>SUMIFS(super1[Qtde],super1[Item],tab_alimentos[[#This Row],[Item]],super1[Bairro],mercado11)+SUMIFS(supercb[Qtde],supercb[Item],tab_alimentos[[#This Row],[Item]],supercb[Bairro],mercado11)</f>
        <v>0</v>
      </c>
      <c r="W393" s="4">
        <f>SUMIFS(super1[Qtde],super1[Item],tab_alimentos[[#This Row],[Item]],super1[Bairro],mercado12)+SUMIFS(supercb[Qtde],supercb[Item],tab_alimentos[[#This Row],[Item]],supercb[Bairro],mercado12)</f>
        <v>0</v>
      </c>
      <c r="X393" s="4">
        <f>SUMIFS(super1[Qtde],super1[Item],tab_alimentos[[#This Row],[Item]],super1[Bairro],mercado13)+SUMIFS(supercb[Qtde],supercb[Item],tab_alimentos[[#This Row],[Item]],supercb[Bairro],mercado13)</f>
        <v>0</v>
      </c>
      <c r="Y393" s="4">
        <f>SUMIFS(super1[Qtde],super1[Item],tab_alimentos[[#This Row],[Item]],super1[Bairro],mercado14)+SUMIFS(supercb[Qtde],supercb[Item],tab_alimentos[[#This Row],[Item]],supercb[Bairro],mercado14)</f>
        <v>0</v>
      </c>
      <c r="Z393" s="4">
        <f>SUMIFS(super1[Qtde],super1[Item],tab_alimentos[[#This Row],[Item]],super1[Bairro],mercado15)+SUMIFS(supercb[Qtde],supercb[Item],tab_alimentos[[#This Row],[Item]],supercb[Bairro],mercado15)</f>
        <v>0</v>
      </c>
      <c r="AA393" s="4">
        <f>SUMIFS(super1[Qtde],super1[Item],tab_alimentos[[#This Row],[Item]],super1[Bairro],mercado16)+SUMIFS(supercb[Qtde],supercb[Item],tab_alimentos[[#This Row],[Item]],supercb[Bairro],mercado16)</f>
        <v>0</v>
      </c>
      <c r="AB393" s="4">
        <f>SUMIFS(super1[Qtde],super1[Item],tab_alimentos[[#This Row],[Item]],super1[Bairro],mercado17)+SUMIFS(supercb[Qtde],supercb[Item],tab_alimentos[[#This Row],[Item]],supercb[Bairro],mercado17)</f>
        <v>0</v>
      </c>
      <c r="AC393" s="4">
        <f>SUMIFS(super1[Qtde],super1[Item],tab_alimentos[[#This Row],[Item]],super1[Bairro],mercado18)+SUMIFS(supercb[Qtde],supercb[Item],tab_alimentos[[#This Row],[Item]],supercb[Bairro],mercado18)</f>
        <v>0</v>
      </c>
      <c r="AD393" s="4">
        <f>SUMIFS(super1[Qtde],super1[Item],tab_alimentos[[#This Row],[Item]],super1[Bairro],extras)+SUMIFS(supercb[Qtde],supercb[Item],tab_alimentos[[#This Row],[Item]],supercb[Bairro],extras)</f>
        <v>0</v>
      </c>
      <c r="AE393" s="4">
        <f t="shared" si="97"/>
        <v>0</v>
      </c>
      <c r="AF393" s="4">
        <f t="shared" si="98"/>
        <v>0</v>
      </c>
      <c r="AG393" s="6">
        <f t="shared" si="99"/>
        <v>0</v>
      </c>
    </row>
    <row r="394" spans="9:33" x14ac:dyDescent="0.25">
      <c r="I394" s="19" t="str">
        <f>alimentos[[#This Row],[Item]]</f>
        <v>Refrigerante (2L)</v>
      </c>
      <c r="J394" s="4">
        <f>IFERROR(alimentos[[#This Row],[kg/embalagem]],0)</f>
        <v>2</v>
      </c>
      <c r="K394" s="4">
        <f>IFERROR(alimentos[[#This Row],[Preço]],0)</f>
        <v>7.29</v>
      </c>
      <c r="L394" s="4">
        <f>SUMIFS(super1[Qtde],super1[Item],tab_alimentos[[#This Row],[Item]],super1[Bairro],mercado1)+SUMIFS(supercb[Qtde],supercb[Item],tab_alimentos[[#This Row],[Item]],supercb[Bairro],mercado1)</f>
        <v>0</v>
      </c>
      <c r="M394" s="4">
        <f>SUMIFS(super1[Qtde],super1[Item],tab_alimentos[[#This Row],[Item]],super1[Bairro],mercado2)+SUMIFS(supercb[Qtde],supercb[Item],tab_alimentos[[#This Row],[Item]],supercb[Bairro],mercado2)</f>
        <v>0</v>
      </c>
      <c r="N394" s="4">
        <f>SUMIFS(super1[Qtde],super1[Item],tab_alimentos[[#This Row],[Item]],super1[Bairro],mercado3)+SUMIFS(supercb[Qtde],supercb[Item],tab_alimentos[[#This Row],[Item]],supercb[Bairro],mercado3)</f>
        <v>0</v>
      </c>
      <c r="O394" s="4">
        <f>SUMIFS(super1[Qtde],super1[Item],tab_alimentos[[#This Row],[Item]],super1[Bairro],mercado4)+SUMIFS(supercb[Qtde],supercb[Item],tab_alimentos[[#This Row],[Item]],supercb[Bairro],mercado4)</f>
        <v>0</v>
      </c>
      <c r="P394" s="4">
        <f>SUMIFS(super1[Qtde],super1[Item],tab_alimentos[[#This Row],[Item]],super1[Bairro],mercado5)+SUMIFS(supercb[Qtde],supercb[Item],tab_alimentos[[#This Row],[Item]],supercb[Bairro],mercado5)</f>
        <v>0</v>
      </c>
      <c r="Q394" s="4">
        <f>SUMIFS(super1[Qtde],super1[Item],tab_alimentos[[#This Row],[Item]],super1[Bairro],mercado6)+SUMIFS(supercb[Qtde],supercb[Item],tab_alimentos[[#This Row],[Item]],supercb[Bairro],mercado6)</f>
        <v>0</v>
      </c>
      <c r="R394" s="4">
        <f>SUMIFS(super1[Qtde],super1[Item],tab_alimentos[[#This Row],[Item]],super1[Bairro],mercado7)+SUMIFS(supercb[Qtde],supercb[Item],tab_alimentos[[#This Row],[Item]],supercb[Bairro],mercado7)</f>
        <v>0</v>
      </c>
      <c r="S394" s="4">
        <f>SUMIFS(super1[Qtde],super1[Item],tab_alimentos[[#This Row],[Item]],super1[Bairro],mercado8)+SUMIFS(supercb[Qtde],supercb[Item],tab_alimentos[[#This Row],[Item]],supercb[Bairro],mercado8)</f>
        <v>0</v>
      </c>
      <c r="T394" s="4">
        <f>SUMIFS(super1[Qtde],super1[Item],tab_alimentos[[#This Row],[Item]],super1[Bairro],mercado9)+SUMIFS(supercb[Qtde],supercb[Item],tab_alimentos[[#This Row],[Item]],supercb[Bairro],mercado9)</f>
        <v>0</v>
      </c>
      <c r="U394" s="4">
        <f>SUMIFS(super1[Qtde],super1[Item],tab_alimentos[[#This Row],[Item]],super1[Bairro],mercado10)+SUMIFS(supercb[Qtde],supercb[Item],tab_alimentos[[#This Row],[Item]],supercb[Bairro],mercado10)</f>
        <v>0</v>
      </c>
      <c r="V394" s="4">
        <f>SUMIFS(super1[Qtde],super1[Item],tab_alimentos[[#This Row],[Item]],super1[Bairro],mercado11)+SUMIFS(supercb[Qtde],supercb[Item],tab_alimentos[[#This Row],[Item]],supercb[Bairro],mercado11)</f>
        <v>0</v>
      </c>
      <c r="W394" s="4">
        <f>SUMIFS(super1[Qtde],super1[Item],tab_alimentos[[#This Row],[Item]],super1[Bairro],mercado12)+SUMIFS(supercb[Qtde],supercb[Item],tab_alimentos[[#This Row],[Item]],supercb[Bairro],mercado12)</f>
        <v>0</v>
      </c>
      <c r="X394" s="4">
        <f>SUMIFS(super1[Qtde],super1[Item],tab_alimentos[[#This Row],[Item]],super1[Bairro],mercado13)+SUMIFS(supercb[Qtde],supercb[Item],tab_alimentos[[#This Row],[Item]],supercb[Bairro],mercado13)</f>
        <v>0</v>
      </c>
      <c r="Y394" s="4">
        <f>SUMIFS(super1[Qtde],super1[Item],tab_alimentos[[#This Row],[Item]],super1[Bairro],mercado14)+SUMIFS(supercb[Qtde],supercb[Item],tab_alimentos[[#This Row],[Item]],supercb[Bairro],mercado14)</f>
        <v>0</v>
      </c>
      <c r="Z394" s="4">
        <f>SUMIFS(super1[Qtde],super1[Item],tab_alimentos[[#This Row],[Item]],super1[Bairro],mercado15)+SUMIFS(supercb[Qtde],supercb[Item],tab_alimentos[[#This Row],[Item]],supercb[Bairro],mercado15)</f>
        <v>0</v>
      </c>
      <c r="AA394" s="4">
        <f>SUMIFS(super1[Qtde],super1[Item],tab_alimentos[[#This Row],[Item]],super1[Bairro],mercado16)+SUMIFS(supercb[Qtde],supercb[Item],tab_alimentos[[#This Row],[Item]],supercb[Bairro],mercado16)</f>
        <v>0</v>
      </c>
      <c r="AB394" s="4">
        <f>SUMIFS(super1[Qtde],super1[Item],tab_alimentos[[#This Row],[Item]],super1[Bairro],mercado17)+SUMIFS(supercb[Qtde],supercb[Item],tab_alimentos[[#This Row],[Item]],supercb[Bairro],mercado17)</f>
        <v>0</v>
      </c>
      <c r="AC394" s="4">
        <f>SUMIFS(super1[Qtde],super1[Item],tab_alimentos[[#This Row],[Item]],super1[Bairro],mercado18)+SUMIFS(supercb[Qtde],supercb[Item],tab_alimentos[[#This Row],[Item]],supercb[Bairro],mercado18)</f>
        <v>0</v>
      </c>
      <c r="AD394" s="4">
        <f>SUMIFS(super1[Qtde],super1[Item],tab_alimentos[[#This Row],[Item]],super1[Bairro],extras)+SUMIFS(supercb[Qtde],supercb[Item],tab_alimentos[[#This Row],[Item]],supercb[Bairro],extras)</f>
        <v>0</v>
      </c>
      <c r="AE394" s="4">
        <f t="shared" si="97"/>
        <v>0</v>
      </c>
      <c r="AF394" s="4">
        <f t="shared" si="98"/>
        <v>0</v>
      </c>
      <c r="AG394" s="6">
        <f t="shared" si="99"/>
        <v>0</v>
      </c>
    </row>
    <row r="395" spans="9:33" x14ac:dyDescent="0.25">
      <c r="I395" s="19" t="str">
        <f>alimentos[[#This Row],[Item]]</f>
        <v>Refrigerante (3L)</v>
      </c>
      <c r="J395" s="4">
        <f>IFERROR(alimentos[[#This Row],[kg/embalagem]],0)</f>
        <v>3</v>
      </c>
      <c r="K395" s="4">
        <f>IFERROR(alimentos[[#This Row],[Preço]],0)</f>
        <v>11.81</v>
      </c>
      <c r="L395" s="4">
        <f>SUMIFS(super1[Qtde],super1[Item],tab_alimentos[[#This Row],[Item]],super1[Bairro],mercado1)+SUMIFS(supercb[Qtde],supercb[Item],tab_alimentos[[#This Row],[Item]],supercb[Bairro],mercado1)</f>
        <v>0</v>
      </c>
      <c r="M395" s="4">
        <f>SUMIFS(super1[Qtde],super1[Item],tab_alimentos[[#This Row],[Item]],super1[Bairro],mercado2)+SUMIFS(supercb[Qtde],supercb[Item],tab_alimentos[[#This Row],[Item]],supercb[Bairro],mercado2)</f>
        <v>0</v>
      </c>
      <c r="N395" s="4">
        <f>SUMIFS(super1[Qtde],super1[Item],tab_alimentos[[#This Row],[Item]],super1[Bairro],mercado3)+SUMIFS(supercb[Qtde],supercb[Item],tab_alimentos[[#This Row],[Item]],supercb[Bairro],mercado3)</f>
        <v>0</v>
      </c>
      <c r="O395" s="4">
        <f>SUMIFS(super1[Qtde],super1[Item],tab_alimentos[[#This Row],[Item]],super1[Bairro],mercado4)+SUMIFS(supercb[Qtde],supercb[Item],tab_alimentos[[#This Row],[Item]],supercb[Bairro],mercado4)</f>
        <v>0</v>
      </c>
      <c r="P395" s="4">
        <f>SUMIFS(super1[Qtde],super1[Item],tab_alimentos[[#This Row],[Item]],super1[Bairro],mercado5)+SUMIFS(supercb[Qtde],supercb[Item],tab_alimentos[[#This Row],[Item]],supercb[Bairro],mercado5)</f>
        <v>0</v>
      </c>
      <c r="Q395" s="4">
        <f>SUMIFS(super1[Qtde],super1[Item],tab_alimentos[[#This Row],[Item]],super1[Bairro],mercado6)+SUMIFS(supercb[Qtde],supercb[Item],tab_alimentos[[#This Row],[Item]],supercb[Bairro],mercado6)</f>
        <v>0</v>
      </c>
      <c r="R395" s="4">
        <f>SUMIFS(super1[Qtde],super1[Item],tab_alimentos[[#This Row],[Item]],super1[Bairro],mercado7)+SUMIFS(supercb[Qtde],supercb[Item],tab_alimentos[[#This Row],[Item]],supercb[Bairro],mercado7)</f>
        <v>0</v>
      </c>
      <c r="S395" s="4">
        <f>SUMIFS(super1[Qtde],super1[Item],tab_alimentos[[#This Row],[Item]],super1[Bairro],mercado8)+SUMIFS(supercb[Qtde],supercb[Item],tab_alimentos[[#This Row],[Item]],supercb[Bairro],mercado8)</f>
        <v>0</v>
      </c>
      <c r="T395" s="4">
        <f>SUMIFS(super1[Qtde],super1[Item],tab_alimentos[[#This Row],[Item]],super1[Bairro],mercado9)+SUMIFS(supercb[Qtde],supercb[Item],tab_alimentos[[#This Row],[Item]],supercb[Bairro],mercado9)</f>
        <v>0</v>
      </c>
      <c r="U395" s="4">
        <f>SUMIFS(super1[Qtde],super1[Item],tab_alimentos[[#This Row],[Item]],super1[Bairro],mercado10)+SUMIFS(supercb[Qtde],supercb[Item],tab_alimentos[[#This Row],[Item]],supercb[Bairro],mercado10)</f>
        <v>0</v>
      </c>
      <c r="V395" s="4">
        <f>SUMIFS(super1[Qtde],super1[Item],tab_alimentos[[#This Row],[Item]],super1[Bairro],mercado11)+SUMIFS(supercb[Qtde],supercb[Item],tab_alimentos[[#This Row],[Item]],supercb[Bairro],mercado11)</f>
        <v>0</v>
      </c>
      <c r="W395" s="4">
        <f>SUMIFS(super1[Qtde],super1[Item],tab_alimentos[[#This Row],[Item]],super1[Bairro],mercado12)+SUMIFS(supercb[Qtde],supercb[Item],tab_alimentos[[#This Row],[Item]],supercb[Bairro],mercado12)</f>
        <v>0</v>
      </c>
      <c r="X395" s="4">
        <f>SUMIFS(super1[Qtde],super1[Item],tab_alimentos[[#This Row],[Item]],super1[Bairro],mercado13)+SUMIFS(supercb[Qtde],supercb[Item],tab_alimentos[[#This Row],[Item]],supercb[Bairro],mercado13)</f>
        <v>0</v>
      </c>
      <c r="Y395" s="4">
        <f>SUMIFS(super1[Qtde],super1[Item],tab_alimentos[[#This Row],[Item]],super1[Bairro],mercado14)+SUMIFS(supercb[Qtde],supercb[Item],tab_alimentos[[#This Row],[Item]],supercb[Bairro],mercado14)</f>
        <v>0</v>
      </c>
      <c r="Z395" s="4">
        <f>SUMIFS(super1[Qtde],super1[Item],tab_alimentos[[#This Row],[Item]],super1[Bairro],mercado15)+SUMIFS(supercb[Qtde],supercb[Item],tab_alimentos[[#This Row],[Item]],supercb[Bairro],mercado15)</f>
        <v>0</v>
      </c>
      <c r="AA395" s="4">
        <f>SUMIFS(super1[Qtde],super1[Item],tab_alimentos[[#This Row],[Item]],super1[Bairro],mercado16)+SUMIFS(supercb[Qtde],supercb[Item],tab_alimentos[[#This Row],[Item]],supercb[Bairro],mercado16)</f>
        <v>0</v>
      </c>
      <c r="AB395" s="4">
        <f>SUMIFS(super1[Qtde],super1[Item],tab_alimentos[[#This Row],[Item]],super1[Bairro],mercado17)+SUMIFS(supercb[Qtde],supercb[Item],tab_alimentos[[#This Row],[Item]],supercb[Bairro],mercado17)</f>
        <v>0</v>
      </c>
      <c r="AC395" s="4">
        <f>SUMIFS(super1[Qtde],super1[Item],tab_alimentos[[#This Row],[Item]],super1[Bairro],mercado18)+SUMIFS(supercb[Qtde],supercb[Item],tab_alimentos[[#This Row],[Item]],supercb[Bairro],mercado18)</f>
        <v>0</v>
      </c>
      <c r="AD395" s="4">
        <f>SUMIFS(super1[Qtde],super1[Item],tab_alimentos[[#This Row],[Item]],super1[Bairro],extras)+SUMIFS(supercb[Qtde],supercb[Item],tab_alimentos[[#This Row],[Item]],supercb[Bairro],extras)</f>
        <v>0</v>
      </c>
      <c r="AE395" s="4">
        <f t="shared" si="97"/>
        <v>0</v>
      </c>
      <c r="AF395" s="4">
        <f t="shared" si="98"/>
        <v>0</v>
      </c>
      <c r="AG395" s="6">
        <f t="shared" si="99"/>
        <v>0</v>
      </c>
    </row>
    <row r="396" spans="9:33" x14ac:dyDescent="0.25">
      <c r="I396" s="19" t="str">
        <f>alimentos[[#This Row],[Item]]</f>
        <v>Refrigerante Lata (350mL)</v>
      </c>
      <c r="J396" s="4">
        <f>IFERROR(alimentos[[#This Row],[kg/embalagem]],0)</f>
        <v>0.35</v>
      </c>
      <c r="K396" s="4">
        <f>IFERROR(alimentos[[#This Row],[Preço]],0)</f>
        <v>2.4700000000000002</v>
      </c>
      <c r="L396" s="4">
        <f>SUMIFS(super1[Qtde],super1[Item],tab_alimentos[[#This Row],[Item]],super1[Bairro],mercado1)+SUMIFS(supercb[Qtde],supercb[Item],tab_alimentos[[#This Row],[Item]],supercb[Bairro],mercado1)</f>
        <v>0</v>
      </c>
      <c r="M396" s="4">
        <f>SUMIFS(super1[Qtde],super1[Item],tab_alimentos[[#This Row],[Item]],super1[Bairro],mercado2)+SUMIFS(supercb[Qtde],supercb[Item],tab_alimentos[[#This Row],[Item]],supercb[Bairro],mercado2)</f>
        <v>0</v>
      </c>
      <c r="N396" s="4">
        <f>SUMIFS(super1[Qtde],super1[Item],tab_alimentos[[#This Row],[Item]],super1[Bairro],mercado3)+SUMIFS(supercb[Qtde],supercb[Item],tab_alimentos[[#This Row],[Item]],supercb[Bairro],mercado3)</f>
        <v>0</v>
      </c>
      <c r="O396" s="4">
        <f>SUMIFS(super1[Qtde],super1[Item],tab_alimentos[[#This Row],[Item]],super1[Bairro],mercado4)+SUMIFS(supercb[Qtde],supercb[Item],tab_alimentos[[#This Row],[Item]],supercb[Bairro],mercado4)</f>
        <v>0</v>
      </c>
      <c r="P396" s="4">
        <f>SUMIFS(super1[Qtde],super1[Item],tab_alimentos[[#This Row],[Item]],super1[Bairro],mercado5)+SUMIFS(supercb[Qtde],supercb[Item],tab_alimentos[[#This Row],[Item]],supercb[Bairro],mercado5)</f>
        <v>0</v>
      </c>
      <c r="Q396" s="4">
        <f>SUMIFS(super1[Qtde],super1[Item],tab_alimentos[[#This Row],[Item]],super1[Bairro],mercado6)+SUMIFS(supercb[Qtde],supercb[Item],tab_alimentos[[#This Row],[Item]],supercb[Bairro],mercado6)</f>
        <v>0</v>
      </c>
      <c r="R396" s="4">
        <f>SUMIFS(super1[Qtde],super1[Item],tab_alimentos[[#This Row],[Item]],super1[Bairro],mercado7)+SUMIFS(supercb[Qtde],supercb[Item],tab_alimentos[[#This Row],[Item]],supercb[Bairro],mercado7)</f>
        <v>0</v>
      </c>
      <c r="S396" s="4">
        <f>SUMIFS(super1[Qtde],super1[Item],tab_alimentos[[#This Row],[Item]],super1[Bairro],mercado8)+SUMIFS(supercb[Qtde],supercb[Item],tab_alimentos[[#This Row],[Item]],supercb[Bairro],mercado8)</f>
        <v>0</v>
      </c>
      <c r="T396" s="4">
        <f>SUMIFS(super1[Qtde],super1[Item],tab_alimentos[[#This Row],[Item]],super1[Bairro],mercado9)+SUMIFS(supercb[Qtde],supercb[Item],tab_alimentos[[#This Row],[Item]],supercb[Bairro],mercado9)</f>
        <v>0</v>
      </c>
      <c r="U396" s="4">
        <f>SUMIFS(super1[Qtde],super1[Item],tab_alimentos[[#This Row],[Item]],super1[Bairro],mercado10)+SUMIFS(supercb[Qtde],supercb[Item],tab_alimentos[[#This Row],[Item]],supercb[Bairro],mercado10)</f>
        <v>0</v>
      </c>
      <c r="V396" s="4">
        <f>SUMIFS(super1[Qtde],super1[Item],tab_alimentos[[#This Row],[Item]],super1[Bairro],mercado11)+SUMIFS(supercb[Qtde],supercb[Item],tab_alimentos[[#This Row],[Item]],supercb[Bairro],mercado11)</f>
        <v>0</v>
      </c>
      <c r="W396" s="4">
        <f>SUMIFS(super1[Qtde],super1[Item],tab_alimentos[[#This Row],[Item]],super1[Bairro],mercado12)+SUMIFS(supercb[Qtde],supercb[Item],tab_alimentos[[#This Row],[Item]],supercb[Bairro],mercado12)</f>
        <v>0</v>
      </c>
      <c r="X396" s="4">
        <f>SUMIFS(super1[Qtde],super1[Item],tab_alimentos[[#This Row],[Item]],super1[Bairro],mercado13)+SUMIFS(supercb[Qtde],supercb[Item],tab_alimentos[[#This Row],[Item]],supercb[Bairro],mercado13)</f>
        <v>0</v>
      </c>
      <c r="Y396" s="4">
        <f>SUMIFS(super1[Qtde],super1[Item],tab_alimentos[[#This Row],[Item]],super1[Bairro],mercado14)+SUMIFS(supercb[Qtde],supercb[Item],tab_alimentos[[#This Row],[Item]],supercb[Bairro],mercado14)</f>
        <v>0</v>
      </c>
      <c r="Z396" s="4">
        <f>SUMIFS(super1[Qtde],super1[Item],tab_alimentos[[#This Row],[Item]],super1[Bairro],mercado15)+SUMIFS(supercb[Qtde],supercb[Item],tab_alimentos[[#This Row],[Item]],supercb[Bairro],mercado15)</f>
        <v>0</v>
      </c>
      <c r="AA396" s="4">
        <f>SUMIFS(super1[Qtde],super1[Item],tab_alimentos[[#This Row],[Item]],super1[Bairro],mercado16)+SUMIFS(supercb[Qtde],supercb[Item],tab_alimentos[[#This Row],[Item]],supercb[Bairro],mercado16)</f>
        <v>0</v>
      </c>
      <c r="AB396" s="4">
        <f>SUMIFS(super1[Qtde],super1[Item],tab_alimentos[[#This Row],[Item]],super1[Bairro],mercado17)+SUMIFS(supercb[Qtde],supercb[Item],tab_alimentos[[#This Row],[Item]],supercb[Bairro],mercado17)</f>
        <v>0</v>
      </c>
      <c r="AC396" s="4">
        <f>SUMIFS(super1[Qtde],super1[Item],tab_alimentos[[#This Row],[Item]],super1[Bairro],mercado18)+SUMIFS(supercb[Qtde],supercb[Item],tab_alimentos[[#This Row],[Item]],supercb[Bairro],mercado18)</f>
        <v>0</v>
      </c>
      <c r="AD396" s="4">
        <f>SUMIFS(super1[Qtde],super1[Item],tab_alimentos[[#This Row],[Item]],super1[Bairro],extras)+SUMIFS(supercb[Qtde],supercb[Item],tab_alimentos[[#This Row],[Item]],supercb[Bairro],extras)</f>
        <v>0</v>
      </c>
      <c r="AE396" s="4">
        <f t="shared" si="97"/>
        <v>0</v>
      </c>
      <c r="AF396" s="4">
        <f t="shared" si="98"/>
        <v>0</v>
      </c>
      <c r="AG396" s="6">
        <f t="shared" si="99"/>
        <v>0</v>
      </c>
    </row>
    <row r="397" spans="9:33" x14ac:dyDescent="0.25">
      <c r="I397" s="19" t="str">
        <f>alimentos[[#This Row],[Item]]</f>
        <v>S</v>
      </c>
      <c r="J397" s="4">
        <f>IFERROR(alimentos[[#This Row],[kg/embalagem]],0)</f>
        <v>0</v>
      </c>
      <c r="K397" s="4">
        <f>IFERROR(alimentos[[#This Row],[Preço]],0)</f>
        <v>0</v>
      </c>
      <c r="L397" s="4">
        <f>SUMIFS(super1[Qtde],super1[Item],tab_alimentos[[#This Row],[Item]],super1[Bairro],mercado1)+SUMIFS(supercb[Qtde],supercb[Item],tab_alimentos[[#This Row],[Item]],supercb[Bairro],mercado1)</f>
        <v>0</v>
      </c>
      <c r="M397" s="4">
        <f>SUMIFS(super1[Qtde],super1[Item],tab_alimentos[[#This Row],[Item]],super1[Bairro],mercado2)+SUMIFS(supercb[Qtde],supercb[Item],tab_alimentos[[#This Row],[Item]],supercb[Bairro],mercado2)</f>
        <v>0</v>
      </c>
      <c r="N397" s="4">
        <f>SUMIFS(super1[Qtde],super1[Item],tab_alimentos[[#This Row],[Item]],super1[Bairro],mercado3)+SUMIFS(supercb[Qtde],supercb[Item],tab_alimentos[[#This Row],[Item]],supercb[Bairro],mercado3)</f>
        <v>0</v>
      </c>
      <c r="O397" s="4">
        <f>SUMIFS(super1[Qtde],super1[Item],tab_alimentos[[#This Row],[Item]],super1[Bairro],mercado4)+SUMIFS(supercb[Qtde],supercb[Item],tab_alimentos[[#This Row],[Item]],supercb[Bairro],mercado4)</f>
        <v>0</v>
      </c>
      <c r="P397" s="4">
        <f>SUMIFS(super1[Qtde],super1[Item],tab_alimentos[[#This Row],[Item]],super1[Bairro],mercado5)+SUMIFS(supercb[Qtde],supercb[Item],tab_alimentos[[#This Row],[Item]],supercb[Bairro],mercado5)</f>
        <v>0</v>
      </c>
      <c r="Q397" s="4">
        <f>SUMIFS(super1[Qtde],super1[Item],tab_alimentos[[#This Row],[Item]],super1[Bairro],mercado6)+SUMIFS(supercb[Qtde],supercb[Item],tab_alimentos[[#This Row],[Item]],supercb[Bairro],mercado6)</f>
        <v>0</v>
      </c>
      <c r="R397" s="4">
        <f>SUMIFS(super1[Qtde],super1[Item],tab_alimentos[[#This Row],[Item]],super1[Bairro],mercado7)+SUMIFS(supercb[Qtde],supercb[Item],tab_alimentos[[#This Row],[Item]],supercb[Bairro],mercado7)</f>
        <v>0</v>
      </c>
      <c r="S397" s="4">
        <f>SUMIFS(super1[Qtde],super1[Item],tab_alimentos[[#This Row],[Item]],super1[Bairro],mercado8)+SUMIFS(supercb[Qtde],supercb[Item],tab_alimentos[[#This Row],[Item]],supercb[Bairro],mercado8)</f>
        <v>0</v>
      </c>
      <c r="T397" s="4">
        <f>SUMIFS(super1[Qtde],super1[Item],tab_alimentos[[#This Row],[Item]],super1[Bairro],mercado9)+SUMIFS(supercb[Qtde],supercb[Item],tab_alimentos[[#This Row],[Item]],supercb[Bairro],mercado9)</f>
        <v>0</v>
      </c>
      <c r="U397" s="4">
        <f>SUMIFS(super1[Qtde],super1[Item],tab_alimentos[[#This Row],[Item]],super1[Bairro],mercado10)+SUMIFS(supercb[Qtde],supercb[Item],tab_alimentos[[#This Row],[Item]],supercb[Bairro],mercado10)</f>
        <v>0</v>
      </c>
      <c r="V397" s="4">
        <f>SUMIFS(super1[Qtde],super1[Item],tab_alimentos[[#This Row],[Item]],super1[Bairro],mercado11)+SUMIFS(supercb[Qtde],supercb[Item],tab_alimentos[[#This Row],[Item]],supercb[Bairro],mercado11)</f>
        <v>0</v>
      </c>
      <c r="W397" s="4">
        <f>SUMIFS(super1[Qtde],super1[Item],tab_alimentos[[#This Row],[Item]],super1[Bairro],mercado12)+SUMIFS(supercb[Qtde],supercb[Item],tab_alimentos[[#This Row],[Item]],supercb[Bairro],mercado12)</f>
        <v>0</v>
      </c>
      <c r="X397" s="4">
        <f>SUMIFS(super1[Qtde],super1[Item],tab_alimentos[[#This Row],[Item]],super1[Bairro],mercado13)+SUMIFS(supercb[Qtde],supercb[Item],tab_alimentos[[#This Row],[Item]],supercb[Bairro],mercado13)</f>
        <v>0</v>
      </c>
      <c r="Y397" s="4">
        <f>SUMIFS(super1[Qtde],super1[Item],tab_alimentos[[#This Row],[Item]],super1[Bairro],mercado14)+SUMIFS(supercb[Qtde],supercb[Item],tab_alimentos[[#This Row],[Item]],supercb[Bairro],mercado14)</f>
        <v>0</v>
      </c>
      <c r="Z397" s="4">
        <f>SUMIFS(super1[Qtde],super1[Item],tab_alimentos[[#This Row],[Item]],super1[Bairro],mercado15)+SUMIFS(supercb[Qtde],supercb[Item],tab_alimentos[[#This Row],[Item]],supercb[Bairro],mercado15)</f>
        <v>0</v>
      </c>
      <c r="AA397" s="4">
        <f>SUMIFS(super1[Qtde],super1[Item],tab_alimentos[[#This Row],[Item]],super1[Bairro],mercado16)+SUMIFS(supercb[Qtde],supercb[Item],tab_alimentos[[#This Row],[Item]],supercb[Bairro],mercado16)</f>
        <v>0</v>
      </c>
      <c r="AB397" s="4">
        <f>SUMIFS(super1[Qtde],super1[Item],tab_alimentos[[#This Row],[Item]],super1[Bairro],mercado17)+SUMIFS(supercb[Qtde],supercb[Item],tab_alimentos[[#This Row],[Item]],supercb[Bairro],mercado17)</f>
        <v>0</v>
      </c>
      <c r="AC397" s="4">
        <f>SUMIFS(super1[Qtde],super1[Item],tab_alimentos[[#This Row],[Item]],super1[Bairro],mercado18)+SUMIFS(supercb[Qtde],supercb[Item],tab_alimentos[[#This Row],[Item]],supercb[Bairro],mercado18)</f>
        <v>0</v>
      </c>
      <c r="AD397" s="4">
        <f>SUMIFS(super1[Qtde],super1[Item],tab_alimentos[[#This Row],[Item]],super1[Bairro],extras)+SUMIFS(supercb[Qtde],supercb[Item],tab_alimentos[[#This Row],[Item]],supercb[Bairro],extras)</f>
        <v>0</v>
      </c>
      <c r="AE397" s="4">
        <f t="shared" si="97"/>
        <v>0</v>
      </c>
      <c r="AF397" s="4">
        <f t="shared" si="98"/>
        <v>0</v>
      </c>
      <c r="AG397" s="6">
        <f t="shared" si="99"/>
        <v>0</v>
      </c>
    </row>
    <row r="398" spans="9:33" x14ac:dyDescent="0.25">
      <c r="I398" s="19" t="str">
        <f>alimentos[[#This Row],[Item]]</f>
        <v>Sagu (150g)</v>
      </c>
      <c r="J398" s="4">
        <f>IFERROR(alimentos[[#This Row],[kg/embalagem]],0)</f>
        <v>0.15</v>
      </c>
      <c r="K398" s="4">
        <f>IFERROR(alimentos[[#This Row],[Preço]],0)</f>
        <v>9.4</v>
      </c>
      <c r="L398" s="4">
        <f>SUMIFS(super1[Qtde],super1[Item],tab_alimentos[[#This Row],[Item]],super1[Bairro],mercado1)+SUMIFS(supercb[Qtde],supercb[Item],tab_alimentos[[#This Row],[Item]],supercb[Bairro],mercado1)</f>
        <v>0</v>
      </c>
      <c r="M398" s="4">
        <f>SUMIFS(super1[Qtde],super1[Item],tab_alimentos[[#This Row],[Item]],super1[Bairro],mercado2)+SUMIFS(supercb[Qtde],supercb[Item],tab_alimentos[[#This Row],[Item]],supercb[Bairro],mercado2)</f>
        <v>0</v>
      </c>
      <c r="N398" s="4">
        <f>SUMIFS(super1[Qtde],super1[Item],tab_alimentos[[#This Row],[Item]],super1[Bairro],mercado3)+SUMIFS(supercb[Qtde],supercb[Item],tab_alimentos[[#This Row],[Item]],supercb[Bairro],mercado3)</f>
        <v>0</v>
      </c>
      <c r="O398" s="4">
        <f>SUMIFS(super1[Qtde],super1[Item],tab_alimentos[[#This Row],[Item]],super1[Bairro],mercado4)+SUMIFS(supercb[Qtde],supercb[Item],tab_alimentos[[#This Row],[Item]],supercb[Bairro],mercado4)</f>
        <v>0</v>
      </c>
      <c r="P398" s="4">
        <f>SUMIFS(super1[Qtde],super1[Item],tab_alimentos[[#This Row],[Item]],super1[Bairro],mercado5)+SUMIFS(supercb[Qtde],supercb[Item],tab_alimentos[[#This Row],[Item]],supercb[Bairro],mercado5)</f>
        <v>0</v>
      </c>
      <c r="Q398" s="4">
        <f>SUMIFS(super1[Qtde],super1[Item],tab_alimentos[[#This Row],[Item]],super1[Bairro],mercado6)+SUMIFS(supercb[Qtde],supercb[Item],tab_alimentos[[#This Row],[Item]],supercb[Bairro],mercado6)</f>
        <v>0</v>
      </c>
      <c r="R398" s="4">
        <f>SUMIFS(super1[Qtde],super1[Item],tab_alimentos[[#This Row],[Item]],super1[Bairro],mercado7)+SUMIFS(supercb[Qtde],supercb[Item],tab_alimentos[[#This Row],[Item]],supercb[Bairro],mercado7)</f>
        <v>0</v>
      </c>
      <c r="S398" s="4">
        <f>SUMIFS(super1[Qtde],super1[Item],tab_alimentos[[#This Row],[Item]],super1[Bairro],mercado8)+SUMIFS(supercb[Qtde],supercb[Item],tab_alimentos[[#This Row],[Item]],supercb[Bairro],mercado8)</f>
        <v>0</v>
      </c>
      <c r="T398" s="4">
        <f>SUMIFS(super1[Qtde],super1[Item],tab_alimentos[[#This Row],[Item]],super1[Bairro],mercado9)+SUMIFS(supercb[Qtde],supercb[Item],tab_alimentos[[#This Row],[Item]],supercb[Bairro],mercado9)</f>
        <v>0</v>
      </c>
      <c r="U398" s="4">
        <f>SUMIFS(super1[Qtde],super1[Item],tab_alimentos[[#This Row],[Item]],super1[Bairro],mercado10)+SUMIFS(supercb[Qtde],supercb[Item],tab_alimentos[[#This Row],[Item]],supercb[Bairro],mercado10)</f>
        <v>0</v>
      </c>
      <c r="V398" s="4">
        <f>SUMIFS(super1[Qtde],super1[Item],tab_alimentos[[#This Row],[Item]],super1[Bairro],mercado11)+SUMIFS(supercb[Qtde],supercb[Item],tab_alimentos[[#This Row],[Item]],supercb[Bairro],mercado11)</f>
        <v>0</v>
      </c>
      <c r="W398" s="4">
        <f>SUMIFS(super1[Qtde],super1[Item],tab_alimentos[[#This Row],[Item]],super1[Bairro],mercado12)+SUMIFS(supercb[Qtde],supercb[Item],tab_alimentos[[#This Row],[Item]],supercb[Bairro],mercado12)</f>
        <v>0</v>
      </c>
      <c r="X398" s="4">
        <f>SUMIFS(super1[Qtde],super1[Item],tab_alimentos[[#This Row],[Item]],super1[Bairro],mercado13)+SUMIFS(supercb[Qtde],supercb[Item],tab_alimentos[[#This Row],[Item]],supercb[Bairro],mercado13)</f>
        <v>0</v>
      </c>
      <c r="Y398" s="4">
        <f>SUMIFS(super1[Qtde],super1[Item],tab_alimentos[[#This Row],[Item]],super1[Bairro],mercado14)+SUMIFS(supercb[Qtde],supercb[Item],tab_alimentos[[#This Row],[Item]],supercb[Bairro],mercado14)</f>
        <v>0</v>
      </c>
      <c r="Z398" s="4">
        <f>SUMIFS(super1[Qtde],super1[Item],tab_alimentos[[#This Row],[Item]],super1[Bairro],mercado15)+SUMIFS(supercb[Qtde],supercb[Item],tab_alimentos[[#This Row],[Item]],supercb[Bairro],mercado15)</f>
        <v>0</v>
      </c>
      <c r="AA398" s="4">
        <f>SUMIFS(super1[Qtde],super1[Item],tab_alimentos[[#This Row],[Item]],super1[Bairro],mercado16)+SUMIFS(supercb[Qtde],supercb[Item],tab_alimentos[[#This Row],[Item]],supercb[Bairro],mercado16)</f>
        <v>0</v>
      </c>
      <c r="AB398" s="4">
        <f>SUMIFS(super1[Qtde],super1[Item],tab_alimentos[[#This Row],[Item]],super1[Bairro],mercado17)+SUMIFS(supercb[Qtde],supercb[Item],tab_alimentos[[#This Row],[Item]],supercb[Bairro],mercado17)</f>
        <v>0</v>
      </c>
      <c r="AC398" s="4">
        <f>SUMIFS(super1[Qtde],super1[Item],tab_alimentos[[#This Row],[Item]],super1[Bairro],mercado18)+SUMIFS(supercb[Qtde],supercb[Item],tab_alimentos[[#This Row],[Item]],supercb[Bairro],mercado18)</f>
        <v>0</v>
      </c>
      <c r="AD398" s="4">
        <f>SUMIFS(super1[Qtde],super1[Item],tab_alimentos[[#This Row],[Item]],super1[Bairro],extras)+SUMIFS(supercb[Qtde],supercb[Item],tab_alimentos[[#This Row],[Item]],supercb[Bairro],extras)</f>
        <v>0</v>
      </c>
      <c r="AE398" s="4">
        <f t="shared" si="97"/>
        <v>0</v>
      </c>
      <c r="AF398" s="4">
        <f t="shared" si="98"/>
        <v>0</v>
      </c>
      <c r="AG398" s="6">
        <f t="shared" si="99"/>
        <v>0</v>
      </c>
    </row>
    <row r="399" spans="9:33" x14ac:dyDescent="0.25">
      <c r="I399" s="19" t="str">
        <f>alimentos[[#This Row],[Item]]</f>
        <v>Sagu (250g)</v>
      </c>
      <c r="J399" s="4">
        <f>IFERROR(alimentos[[#This Row],[kg/embalagem]],0)</f>
        <v>0.25</v>
      </c>
      <c r="K399" s="4">
        <f>IFERROR(alimentos[[#This Row],[Preço]],0)</f>
        <v>10.59</v>
      </c>
      <c r="L399" s="4">
        <f>SUMIFS(super1[Qtde],super1[Item],tab_alimentos[[#This Row],[Item]],super1[Bairro],mercado1)+SUMIFS(supercb[Qtde],supercb[Item],tab_alimentos[[#This Row],[Item]],supercb[Bairro],mercado1)</f>
        <v>0</v>
      </c>
      <c r="M399" s="4">
        <f>SUMIFS(super1[Qtde],super1[Item],tab_alimentos[[#This Row],[Item]],super1[Bairro],mercado2)+SUMIFS(supercb[Qtde],supercb[Item],tab_alimentos[[#This Row],[Item]],supercb[Bairro],mercado2)</f>
        <v>0</v>
      </c>
      <c r="N399" s="4">
        <f>SUMIFS(super1[Qtde],super1[Item],tab_alimentos[[#This Row],[Item]],super1[Bairro],mercado3)+SUMIFS(supercb[Qtde],supercb[Item],tab_alimentos[[#This Row],[Item]],supercb[Bairro],mercado3)</f>
        <v>0</v>
      </c>
      <c r="O399" s="4">
        <f>SUMIFS(super1[Qtde],super1[Item],tab_alimentos[[#This Row],[Item]],super1[Bairro],mercado4)+SUMIFS(supercb[Qtde],supercb[Item],tab_alimentos[[#This Row],[Item]],supercb[Bairro],mercado4)</f>
        <v>0</v>
      </c>
      <c r="P399" s="4">
        <f>SUMIFS(super1[Qtde],super1[Item],tab_alimentos[[#This Row],[Item]],super1[Bairro],mercado5)+SUMIFS(supercb[Qtde],supercb[Item],tab_alimentos[[#This Row],[Item]],supercb[Bairro],mercado5)</f>
        <v>0</v>
      </c>
      <c r="Q399" s="4">
        <f>SUMIFS(super1[Qtde],super1[Item],tab_alimentos[[#This Row],[Item]],super1[Bairro],mercado6)+SUMIFS(supercb[Qtde],supercb[Item],tab_alimentos[[#This Row],[Item]],supercb[Bairro],mercado6)</f>
        <v>0</v>
      </c>
      <c r="R399" s="4">
        <f>SUMIFS(super1[Qtde],super1[Item],tab_alimentos[[#This Row],[Item]],super1[Bairro],mercado7)+SUMIFS(supercb[Qtde],supercb[Item],tab_alimentos[[#This Row],[Item]],supercb[Bairro],mercado7)</f>
        <v>0</v>
      </c>
      <c r="S399" s="4">
        <f>SUMIFS(super1[Qtde],super1[Item],tab_alimentos[[#This Row],[Item]],super1[Bairro],mercado8)+SUMIFS(supercb[Qtde],supercb[Item],tab_alimentos[[#This Row],[Item]],supercb[Bairro],mercado8)</f>
        <v>0</v>
      </c>
      <c r="T399" s="4">
        <f>SUMIFS(super1[Qtde],super1[Item],tab_alimentos[[#This Row],[Item]],super1[Bairro],mercado9)+SUMIFS(supercb[Qtde],supercb[Item],tab_alimentos[[#This Row],[Item]],supercb[Bairro],mercado9)</f>
        <v>0</v>
      </c>
      <c r="U399" s="4">
        <f>SUMIFS(super1[Qtde],super1[Item],tab_alimentos[[#This Row],[Item]],super1[Bairro],mercado10)+SUMIFS(supercb[Qtde],supercb[Item],tab_alimentos[[#This Row],[Item]],supercb[Bairro],mercado10)</f>
        <v>0</v>
      </c>
      <c r="V399" s="4">
        <f>SUMIFS(super1[Qtde],super1[Item],tab_alimentos[[#This Row],[Item]],super1[Bairro],mercado11)+SUMIFS(supercb[Qtde],supercb[Item],tab_alimentos[[#This Row],[Item]],supercb[Bairro],mercado11)</f>
        <v>0</v>
      </c>
      <c r="W399" s="4">
        <f>SUMIFS(super1[Qtde],super1[Item],tab_alimentos[[#This Row],[Item]],super1[Bairro],mercado12)+SUMIFS(supercb[Qtde],supercb[Item],tab_alimentos[[#This Row],[Item]],supercb[Bairro],mercado12)</f>
        <v>0</v>
      </c>
      <c r="X399" s="4">
        <f>SUMIFS(super1[Qtde],super1[Item],tab_alimentos[[#This Row],[Item]],super1[Bairro],mercado13)+SUMIFS(supercb[Qtde],supercb[Item],tab_alimentos[[#This Row],[Item]],supercb[Bairro],mercado13)</f>
        <v>0</v>
      </c>
      <c r="Y399" s="4">
        <f>SUMIFS(super1[Qtde],super1[Item],tab_alimentos[[#This Row],[Item]],super1[Bairro],mercado14)+SUMIFS(supercb[Qtde],supercb[Item],tab_alimentos[[#This Row],[Item]],supercb[Bairro],mercado14)</f>
        <v>0</v>
      </c>
      <c r="Z399" s="4">
        <f>SUMIFS(super1[Qtde],super1[Item],tab_alimentos[[#This Row],[Item]],super1[Bairro],mercado15)+SUMIFS(supercb[Qtde],supercb[Item],tab_alimentos[[#This Row],[Item]],supercb[Bairro],mercado15)</f>
        <v>0</v>
      </c>
      <c r="AA399" s="4">
        <f>SUMIFS(super1[Qtde],super1[Item],tab_alimentos[[#This Row],[Item]],super1[Bairro],mercado16)+SUMIFS(supercb[Qtde],supercb[Item],tab_alimentos[[#This Row],[Item]],supercb[Bairro],mercado16)</f>
        <v>0</v>
      </c>
      <c r="AB399" s="4">
        <f>SUMIFS(super1[Qtde],super1[Item],tab_alimentos[[#This Row],[Item]],super1[Bairro],mercado17)+SUMIFS(supercb[Qtde],supercb[Item],tab_alimentos[[#This Row],[Item]],supercb[Bairro],mercado17)</f>
        <v>0</v>
      </c>
      <c r="AC399" s="4">
        <f>SUMIFS(super1[Qtde],super1[Item],tab_alimentos[[#This Row],[Item]],super1[Bairro],mercado18)+SUMIFS(supercb[Qtde],supercb[Item],tab_alimentos[[#This Row],[Item]],supercb[Bairro],mercado18)</f>
        <v>0</v>
      </c>
      <c r="AD399" s="4">
        <f>SUMIFS(super1[Qtde],super1[Item],tab_alimentos[[#This Row],[Item]],super1[Bairro],extras)+SUMIFS(supercb[Qtde],supercb[Item],tab_alimentos[[#This Row],[Item]],supercb[Bairro],extras)</f>
        <v>0</v>
      </c>
      <c r="AE399" s="4">
        <f t="shared" si="97"/>
        <v>0</v>
      </c>
      <c r="AF399" s="4">
        <f t="shared" si="98"/>
        <v>0</v>
      </c>
      <c r="AG399" s="6">
        <f t="shared" si="99"/>
        <v>0</v>
      </c>
    </row>
    <row r="400" spans="9:33" x14ac:dyDescent="0.25">
      <c r="I400" s="19" t="str">
        <f>alimentos[[#This Row],[Item]]</f>
        <v>Sagu (500g)</v>
      </c>
      <c r="J400" s="4">
        <f>IFERROR(alimentos[[#This Row],[kg/embalagem]],0)</f>
        <v>0.5</v>
      </c>
      <c r="K400" s="4">
        <f>IFERROR(alimentos[[#This Row],[Preço]],0)</f>
        <v>11.9</v>
      </c>
      <c r="L400" s="4">
        <f>SUMIFS(super1[Qtde],super1[Item],tab_alimentos[[#This Row],[Item]],super1[Bairro],mercado1)+SUMIFS(supercb[Qtde],supercb[Item],tab_alimentos[[#This Row],[Item]],supercb[Bairro],mercado1)</f>
        <v>0</v>
      </c>
      <c r="M400" s="4">
        <f>SUMIFS(super1[Qtde],super1[Item],tab_alimentos[[#This Row],[Item]],super1[Bairro],mercado2)+SUMIFS(supercb[Qtde],supercb[Item],tab_alimentos[[#This Row],[Item]],supercb[Bairro],mercado2)</f>
        <v>0</v>
      </c>
      <c r="N400" s="4">
        <f>SUMIFS(super1[Qtde],super1[Item],tab_alimentos[[#This Row],[Item]],super1[Bairro],mercado3)+SUMIFS(supercb[Qtde],supercb[Item],tab_alimentos[[#This Row],[Item]],supercb[Bairro],mercado3)</f>
        <v>0</v>
      </c>
      <c r="O400" s="4">
        <f>SUMIFS(super1[Qtde],super1[Item],tab_alimentos[[#This Row],[Item]],super1[Bairro],mercado4)+SUMIFS(supercb[Qtde],supercb[Item],tab_alimentos[[#This Row],[Item]],supercb[Bairro],mercado4)</f>
        <v>0</v>
      </c>
      <c r="P400" s="4">
        <f>SUMIFS(super1[Qtde],super1[Item],tab_alimentos[[#This Row],[Item]],super1[Bairro],mercado5)+SUMIFS(supercb[Qtde],supercb[Item],tab_alimentos[[#This Row],[Item]],supercb[Bairro],mercado5)</f>
        <v>0</v>
      </c>
      <c r="Q400" s="4">
        <f>SUMIFS(super1[Qtde],super1[Item],tab_alimentos[[#This Row],[Item]],super1[Bairro],mercado6)+SUMIFS(supercb[Qtde],supercb[Item],tab_alimentos[[#This Row],[Item]],supercb[Bairro],mercado6)</f>
        <v>0</v>
      </c>
      <c r="R400" s="4">
        <f>SUMIFS(super1[Qtde],super1[Item],tab_alimentos[[#This Row],[Item]],super1[Bairro],mercado7)+SUMIFS(supercb[Qtde],supercb[Item],tab_alimentos[[#This Row],[Item]],supercb[Bairro],mercado7)</f>
        <v>0</v>
      </c>
      <c r="S400" s="4">
        <f>SUMIFS(super1[Qtde],super1[Item],tab_alimentos[[#This Row],[Item]],super1[Bairro],mercado8)+SUMIFS(supercb[Qtde],supercb[Item],tab_alimentos[[#This Row],[Item]],supercb[Bairro],mercado8)</f>
        <v>0</v>
      </c>
      <c r="T400" s="4">
        <f>SUMIFS(super1[Qtde],super1[Item],tab_alimentos[[#This Row],[Item]],super1[Bairro],mercado9)+SUMIFS(supercb[Qtde],supercb[Item],tab_alimentos[[#This Row],[Item]],supercb[Bairro],mercado9)</f>
        <v>0</v>
      </c>
      <c r="U400" s="4">
        <f>SUMIFS(super1[Qtde],super1[Item],tab_alimentos[[#This Row],[Item]],super1[Bairro],mercado10)+SUMIFS(supercb[Qtde],supercb[Item],tab_alimentos[[#This Row],[Item]],supercb[Bairro],mercado10)</f>
        <v>0</v>
      </c>
      <c r="V400" s="4">
        <f>SUMIFS(super1[Qtde],super1[Item],tab_alimentos[[#This Row],[Item]],super1[Bairro],mercado11)+SUMIFS(supercb[Qtde],supercb[Item],tab_alimentos[[#This Row],[Item]],supercb[Bairro],mercado11)</f>
        <v>0</v>
      </c>
      <c r="W400" s="4">
        <f>SUMIFS(super1[Qtde],super1[Item],tab_alimentos[[#This Row],[Item]],super1[Bairro],mercado12)+SUMIFS(supercb[Qtde],supercb[Item],tab_alimentos[[#This Row],[Item]],supercb[Bairro],mercado12)</f>
        <v>0</v>
      </c>
      <c r="X400" s="4">
        <f>SUMIFS(super1[Qtde],super1[Item],tab_alimentos[[#This Row],[Item]],super1[Bairro],mercado13)+SUMIFS(supercb[Qtde],supercb[Item],tab_alimentos[[#This Row],[Item]],supercb[Bairro],mercado13)</f>
        <v>0</v>
      </c>
      <c r="Y400" s="4">
        <f>SUMIFS(super1[Qtde],super1[Item],tab_alimentos[[#This Row],[Item]],super1[Bairro],mercado14)+SUMIFS(supercb[Qtde],supercb[Item],tab_alimentos[[#This Row],[Item]],supercb[Bairro],mercado14)</f>
        <v>0</v>
      </c>
      <c r="Z400" s="4">
        <f>SUMIFS(super1[Qtde],super1[Item],tab_alimentos[[#This Row],[Item]],super1[Bairro],mercado15)+SUMIFS(supercb[Qtde],supercb[Item],tab_alimentos[[#This Row],[Item]],supercb[Bairro],mercado15)</f>
        <v>0</v>
      </c>
      <c r="AA400" s="4">
        <f>SUMIFS(super1[Qtde],super1[Item],tab_alimentos[[#This Row],[Item]],super1[Bairro],mercado16)+SUMIFS(supercb[Qtde],supercb[Item],tab_alimentos[[#This Row],[Item]],supercb[Bairro],mercado16)</f>
        <v>0</v>
      </c>
      <c r="AB400" s="4">
        <f>SUMIFS(super1[Qtde],super1[Item],tab_alimentos[[#This Row],[Item]],super1[Bairro],mercado17)+SUMIFS(supercb[Qtde],supercb[Item],tab_alimentos[[#This Row],[Item]],supercb[Bairro],mercado17)</f>
        <v>0</v>
      </c>
      <c r="AC400" s="4">
        <f>SUMIFS(super1[Qtde],super1[Item],tab_alimentos[[#This Row],[Item]],super1[Bairro],mercado18)+SUMIFS(supercb[Qtde],supercb[Item],tab_alimentos[[#This Row],[Item]],supercb[Bairro],mercado18)</f>
        <v>0</v>
      </c>
      <c r="AD400" s="4">
        <f>SUMIFS(super1[Qtde],super1[Item],tab_alimentos[[#This Row],[Item]],super1[Bairro],extras)+SUMIFS(supercb[Qtde],supercb[Item],tab_alimentos[[#This Row],[Item]],supercb[Bairro],extras)</f>
        <v>0</v>
      </c>
      <c r="AE400" s="4">
        <f t="shared" si="97"/>
        <v>0</v>
      </c>
      <c r="AF400" s="4">
        <f t="shared" si="98"/>
        <v>0</v>
      </c>
      <c r="AG400" s="6">
        <f t="shared" si="99"/>
        <v>0</v>
      </c>
    </row>
    <row r="401" spans="9:33" x14ac:dyDescent="0.25">
      <c r="I401" s="19" t="str">
        <f>alimentos[[#This Row],[Item]]</f>
        <v>Sal (1kg)</v>
      </c>
      <c r="J401" s="4">
        <f>IFERROR(alimentos[[#This Row],[kg/embalagem]],0)</f>
        <v>1</v>
      </c>
      <c r="K401" s="4">
        <f>IFERROR(alimentos[[#This Row],[Preço]],0)</f>
        <v>3.49</v>
      </c>
      <c r="L401" s="4">
        <f>SUMIFS(super1[Qtde],super1[Item],tab_alimentos[[#This Row],[Item]],super1[Bairro],mercado1)+SUMIFS(supercb[Qtde],supercb[Item],tab_alimentos[[#This Row],[Item]],supercb[Bairro],mercado1)</f>
        <v>0</v>
      </c>
      <c r="M401" s="4">
        <f>SUMIFS(super1[Qtde],super1[Item],tab_alimentos[[#This Row],[Item]],super1[Bairro],mercado2)+SUMIFS(supercb[Qtde],supercb[Item],tab_alimentos[[#This Row],[Item]],supercb[Bairro],mercado2)</f>
        <v>0</v>
      </c>
      <c r="N401" s="4">
        <f>SUMIFS(super1[Qtde],super1[Item],tab_alimentos[[#This Row],[Item]],super1[Bairro],mercado3)+SUMIFS(supercb[Qtde],supercb[Item],tab_alimentos[[#This Row],[Item]],supercb[Bairro],mercado3)</f>
        <v>0</v>
      </c>
      <c r="O401" s="4">
        <f>SUMIFS(super1[Qtde],super1[Item],tab_alimentos[[#This Row],[Item]],super1[Bairro],mercado4)+SUMIFS(supercb[Qtde],supercb[Item],tab_alimentos[[#This Row],[Item]],supercb[Bairro],mercado4)</f>
        <v>0</v>
      </c>
      <c r="P401" s="4">
        <f>SUMIFS(super1[Qtde],super1[Item],tab_alimentos[[#This Row],[Item]],super1[Bairro],mercado5)+SUMIFS(supercb[Qtde],supercb[Item],tab_alimentos[[#This Row],[Item]],supercb[Bairro],mercado5)</f>
        <v>0</v>
      </c>
      <c r="Q401" s="4">
        <f>SUMIFS(super1[Qtde],super1[Item],tab_alimentos[[#This Row],[Item]],super1[Bairro],mercado6)+SUMIFS(supercb[Qtde],supercb[Item],tab_alimentos[[#This Row],[Item]],supercb[Bairro],mercado6)</f>
        <v>0</v>
      </c>
      <c r="R401" s="4">
        <f>SUMIFS(super1[Qtde],super1[Item],tab_alimentos[[#This Row],[Item]],super1[Bairro],mercado7)+SUMIFS(supercb[Qtde],supercb[Item],tab_alimentos[[#This Row],[Item]],supercb[Bairro],mercado7)</f>
        <v>0</v>
      </c>
      <c r="S401" s="4">
        <f>SUMIFS(super1[Qtde],super1[Item],tab_alimentos[[#This Row],[Item]],super1[Bairro],mercado8)+SUMIFS(supercb[Qtde],supercb[Item],tab_alimentos[[#This Row],[Item]],supercb[Bairro],mercado8)</f>
        <v>0</v>
      </c>
      <c r="T401" s="4">
        <f>SUMIFS(super1[Qtde],super1[Item],tab_alimentos[[#This Row],[Item]],super1[Bairro],mercado9)+SUMIFS(supercb[Qtde],supercb[Item],tab_alimentos[[#This Row],[Item]],supercb[Bairro],mercado9)</f>
        <v>0</v>
      </c>
      <c r="U401" s="4">
        <f>SUMIFS(super1[Qtde],super1[Item],tab_alimentos[[#This Row],[Item]],super1[Bairro],mercado10)+SUMIFS(supercb[Qtde],supercb[Item],tab_alimentos[[#This Row],[Item]],supercb[Bairro],mercado10)</f>
        <v>0</v>
      </c>
      <c r="V401" s="4">
        <f>SUMIFS(super1[Qtde],super1[Item],tab_alimentos[[#This Row],[Item]],super1[Bairro],mercado11)+SUMIFS(supercb[Qtde],supercb[Item],tab_alimentos[[#This Row],[Item]],supercb[Bairro],mercado11)</f>
        <v>0</v>
      </c>
      <c r="W401" s="4">
        <f>SUMIFS(super1[Qtde],super1[Item],tab_alimentos[[#This Row],[Item]],super1[Bairro],mercado12)+SUMIFS(supercb[Qtde],supercb[Item],tab_alimentos[[#This Row],[Item]],supercb[Bairro],mercado12)</f>
        <v>0</v>
      </c>
      <c r="X401" s="4">
        <f>SUMIFS(super1[Qtde],super1[Item],tab_alimentos[[#This Row],[Item]],super1[Bairro],mercado13)+SUMIFS(supercb[Qtde],supercb[Item],tab_alimentos[[#This Row],[Item]],supercb[Bairro],mercado13)</f>
        <v>0</v>
      </c>
      <c r="Y401" s="4">
        <f>SUMIFS(super1[Qtde],super1[Item],tab_alimentos[[#This Row],[Item]],super1[Bairro],mercado14)+SUMIFS(supercb[Qtde],supercb[Item],tab_alimentos[[#This Row],[Item]],supercb[Bairro],mercado14)</f>
        <v>0</v>
      </c>
      <c r="Z401" s="4">
        <f>SUMIFS(super1[Qtde],super1[Item],tab_alimentos[[#This Row],[Item]],super1[Bairro],mercado15)+SUMIFS(supercb[Qtde],supercb[Item],tab_alimentos[[#This Row],[Item]],supercb[Bairro],mercado15)</f>
        <v>0</v>
      </c>
      <c r="AA401" s="4">
        <f>SUMIFS(super1[Qtde],super1[Item],tab_alimentos[[#This Row],[Item]],super1[Bairro],mercado16)+SUMIFS(supercb[Qtde],supercb[Item],tab_alimentos[[#This Row],[Item]],supercb[Bairro],mercado16)</f>
        <v>0</v>
      </c>
      <c r="AB401" s="4">
        <f>SUMIFS(super1[Qtde],super1[Item],tab_alimentos[[#This Row],[Item]],super1[Bairro],mercado17)+SUMIFS(supercb[Qtde],supercb[Item],tab_alimentos[[#This Row],[Item]],supercb[Bairro],mercado17)</f>
        <v>0</v>
      </c>
      <c r="AC401" s="4">
        <f>SUMIFS(super1[Qtde],super1[Item],tab_alimentos[[#This Row],[Item]],super1[Bairro],mercado18)+SUMIFS(supercb[Qtde],supercb[Item],tab_alimentos[[#This Row],[Item]],supercb[Bairro],mercado18)</f>
        <v>0</v>
      </c>
      <c r="AD401" s="4">
        <f>SUMIFS(super1[Qtde],super1[Item],tab_alimentos[[#This Row],[Item]],super1[Bairro],extras)+SUMIFS(supercb[Qtde],supercb[Item],tab_alimentos[[#This Row],[Item]],supercb[Bairro],extras)</f>
        <v>0</v>
      </c>
      <c r="AE401" s="4">
        <f t="shared" si="97"/>
        <v>0</v>
      </c>
      <c r="AF401" s="4">
        <f t="shared" si="98"/>
        <v>0</v>
      </c>
      <c r="AG401" s="6">
        <f t="shared" si="99"/>
        <v>0</v>
      </c>
    </row>
    <row r="402" spans="9:33" x14ac:dyDescent="0.25">
      <c r="I402" s="19" t="str">
        <f>alimentos[[#This Row],[Item]]</f>
        <v>Sal (500g)</v>
      </c>
      <c r="J402" s="4">
        <f>IFERROR(alimentos[[#This Row],[kg/embalagem]],0)</f>
        <v>0.5</v>
      </c>
      <c r="K402" s="4">
        <f>IFERROR(alimentos[[#This Row],[Preço]],0)</f>
        <v>5.3</v>
      </c>
      <c r="L402" s="4">
        <f>SUMIFS(super1[Qtde],super1[Item],tab_alimentos[[#This Row],[Item]],super1[Bairro],mercado1)+SUMIFS(supercb[Qtde],supercb[Item],tab_alimentos[[#This Row],[Item]],supercb[Bairro],mercado1)</f>
        <v>0</v>
      </c>
      <c r="M402" s="4">
        <f>SUMIFS(super1[Qtde],super1[Item],tab_alimentos[[#This Row],[Item]],super1[Bairro],mercado2)+SUMIFS(supercb[Qtde],supercb[Item],tab_alimentos[[#This Row],[Item]],supercb[Bairro],mercado2)</f>
        <v>0</v>
      </c>
      <c r="N402" s="4">
        <f>SUMIFS(super1[Qtde],super1[Item],tab_alimentos[[#This Row],[Item]],super1[Bairro],mercado3)+SUMIFS(supercb[Qtde],supercb[Item],tab_alimentos[[#This Row],[Item]],supercb[Bairro],mercado3)</f>
        <v>0</v>
      </c>
      <c r="O402" s="4">
        <f>SUMIFS(super1[Qtde],super1[Item],tab_alimentos[[#This Row],[Item]],super1[Bairro],mercado4)+SUMIFS(supercb[Qtde],supercb[Item],tab_alimentos[[#This Row],[Item]],supercb[Bairro],mercado4)</f>
        <v>0</v>
      </c>
      <c r="P402" s="4">
        <f>SUMIFS(super1[Qtde],super1[Item],tab_alimentos[[#This Row],[Item]],super1[Bairro],mercado5)+SUMIFS(supercb[Qtde],supercb[Item],tab_alimentos[[#This Row],[Item]],supercb[Bairro],mercado5)</f>
        <v>0</v>
      </c>
      <c r="Q402" s="4">
        <f>SUMIFS(super1[Qtde],super1[Item],tab_alimentos[[#This Row],[Item]],super1[Bairro],mercado6)+SUMIFS(supercb[Qtde],supercb[Item],tab_alimentos[[#This Row],[Item]],supercb[Bairro],mercado6)</f>
        <v>0</v>
      </c>
      <c r="R402" s="4">
        <f>SUMIFS(super1[Qtde],super1[Item],tab_alimentos[[#This Row],[Item]],super1[Bairro],mercado7)+SUMIFS(supercb[Qtde],supercb[Item],tab_alimentos[[#This Row],[Item]],supercb[Bairro],mercado7)</f>
        <v>0</v>
      </c>
      <c r="S402" s="4">
        <f>SUMIFS(super1[Qtde],super1[Item],tab_alimentos[[#This Row],[Item]],super1[Bairro],mercado8)+SUMIFS(supercb[Qtde],supercb[Item],tab_alimentos[[#This Row],[Item]],supercb[Bairro],mercado8)</f>
        <v>0</v>
      </c>
      <c r="T402" s="4">
        <f>SUMIFS(super1[Qtde],super1[Item],tab_alimentos[[#This Row],[Item]],super1[Bairro],mercado9)+SUMIFS(supercb[Qtde],supercb[Item],tab_alimentos[[#This Row],[Item]],supercb[Bairro],mercado9)</f>
        <v>0</v>
      </c>
      <c r="U402" s="4">
        <f>SUMIFS(super1[Qtde],super1[Item],tab_alimentos[[#This Row],[Item]],super1[Bairro],mercado10)+SUMIFS(supercb[Qtde],supercb[Item],tab_alimentos[[#This Row],[Item]],supercb[Bairro],mercado10)</f>
        <v>0</v>
      </c>
      <c r="V402" s="4">
        <f>SUMIFS(super1[Qtde],super1[Item],tab_alimentos[[#This Row],[Item]],super1[Bairro],mercado11)+SUMIFS(supercb[Qtde],supercb[Item],tab_alimentos[[#This Row],[Item]],supercb[Bairro],mercado11)</f>
        <v>0</v>
      </c>
      <c r="W402" s="4">
        <f>SUMIFS(super1[Qtde],super1[Item],tab_alimentos[[#This Row],[Item]],super1[Bairro],mercado12)+SUMIFS(supercb[Qtde],supercb[Item],tab_alimentos[[#This Row],[Item]],supercb[Bairro],mercado12)</f>
        <v>0</v>
      </c>
      <c r="X402" s="4">
        <f>SUMIFS(super1[Qtde],super1[Item],tab_alimentos[[#This Row],[Item]],super1[Bairro],mercado13)+SUMIFS(supercb[Qtde],supercb[Item],tab_alimentos[[#This Row],[Item]],supercb[Bairro],mercado13)</f>
        <v>0</v>
      </c>
      <c r="Y402" s="4">
        <f>SUMIFS(super1[Qtde],super1[Item],tab_alimentos[[#This Row],[Item]],super1[Bairro],mercado14)+SUMIFS(supercb[Qtde],supercb[Item],tab_alimentos[[#This Row],[Item]],supercb[Bairro],mercado14)</f>
        <v>0</v>
      </c>
      <c r="Z402" s="4">
        <f>SUMIFS(super1[Qtde],super1[Item],tab_alimentos[[#This Row],[Item]],super1[Bairro],mercado15)+SUMIFS(supercb[Qtde],supercb[Item],tab_alimentos[[#This Row],[Item]],supercb[Bairro],mercado15)</f>
        <v>0</v>
      </c>
      <c r="AA402" s="4">
        <f>SUMIFS(super1[Qtde],super1[Item],tab_alimentos[[#This Row],[Item]],super1[Bairro],mercado16)+SUMIFS(supercb[Qtde],supercb[Item],tab_alimentos[[#This Row],[Item]],supercb[Bairro],mercado16)</f>
        <v>0</v>
      </c>
      <c r="AB402" s="4">
        <f>SUMIFS(super1[Qtde],super1[Item],tab_alimentos[[#This Row],[Item]],super1[Bairro],mercado17)+SUMIFS(supercb[Qtde],supercb[Item],tab_alimentos[[#This Row],[Item]],supercb[Bairro],mercado17)</f>
        <v>0</v>
      </c>
      <c r="AC402" s="4">
        <f>SUMIFS(super1[Qtde],super1[Item],tab_alimentos[[#This Row],[Item]],super1[Bairro],mercado18)+SUMIFS(supercb[Qtde],supercb[Item],tab_alimentos[[#This Row],[Item]],supercb[Bairro],mercado18)</f>
        <v>0</v>
      </c>
      <c r="AD402" s="4">
        <f>SUMIFS(super1[Qtde],super1[Item],tab_alimentos[[#This Row],[Item]],super1[Bairro],extras)+SUMIFS(supercb[Qtde],supercb[Item],tab_alimentos[[#This Row],[Item]],supercb[Bairro],extras)</f>
        <v>0</v>
      </c>
      <c r="AE402" s="4">
        <f t="shared" si="97"/>
        <v>0</v>
      </c>
      <c r="AF402" s="4">
        <f t="shared" si="98"/>
        <v>0</v>
      </c>
      <c r="AG402" s="6">
        <f t="shared" si="99"/>
        <v>0</v>
      </c>
    </row>
    <row r="403" spans="9:33" x14ac:dyDescent="0.25">
      <c r="I403" s="19" t="str">
        <f>alimentos[[#This Row],[Item]]</f>
        <v>Sal Grosso (1kg)</v>
      </c>
      <c r="J403" s="4">
        <f>IFERROR(alimentos[[#This Row],[kg/embalagem]],0)</f>
        <v>1</v>
      </c>
      <c r="K403" s="4">
        <f>IFERROR(alimentos[[#This Row],[Preço]],0)</f>
        <v>2.89</v>
      </c>
      <c r="L403" s="4">
        <f>SUMIFS(super1[Qtde],super1[Item],tab_alimentos[[#This Row],[Item]],super1[Bairro],mercado1)+SUMIFS(supercb[Qtde],supercb[Item],tab_alimentos[[#This Row],[Item]],supercb[Bairro],mercado1)</f>
        <v>0</v>
      </c>
      <c r="M403" s="4">
        <f>SUMIFS(super1[Qtde],super1[Item],tab_alimentos[[#This Row],[Item]],super1[Bairro],mercado2)+SUMIFS(supercb[Qtde],supercb[Item],tab_alimentos[[#This Row],[Item]],supercb[Bairro],mercado2)</f>
        <v>0</v>
      </c>
      <c r="N403" s="4">
        <f>SUMIFS(super1[Qtde],super1[Item],tab_alimentos[[#This Row],[Item]],super1[Bairro],mercado3)+SUMIFS(supercb[Qtde],supercb[Item],tab_alimentos[[#This Row],[Item]],supercb[Bairro],mercado3)</f>
        <v>0</v>
      </c>
      <c r="O403" s="4">
        <f>SUMIFS(super1[Qtde],super1[Item],tab_alimentos[[#This Row],[Item]],super1[Bairro],mercado4)+SUMIFS(supercb[Qtde],supercb[Item],tab_alimentos[[#This Row],[Item]],supercb[Bairro],mercado4)</f>
        <v>0</v>
      </c>
      <c r="P403" s="4">
        <f>SUMIFS(super1[Qtde],super1[Item],tab_alimentos[[#This Row],[Item]],super1[Bairro],mercado5)+SUMIFS(supercb[Qtde],supercb[Item],tab_alimentos[[#This Row],[Item]],supercb[Bairro],mercado5)</f>
        <v>0</v>
      </c>
      <c r="Q403" s="4">
        <f>SUMIFS(super1[Qtde],super1[Item],tab_alimentos[[#This Row],[Item]],super1[Bairro],mercado6)+SUMIFS(supercb[Qtde],supercb[Item],tab_alimentos[[#This Row],[Item]],supercb[Bairro],mercado6)</f>
        <v>0</v>
      </c>
      <c r="R403" s="4">
        <f>SUMIFS(super1[Qtde],super1[Item],tab_alimentos[[#This Row],[Item]],super1[Bairro],mercado7)+SUMIFS(supercb[Qtde],supercb[Item],tab_alimentos[[#This Row],[Item]],supercb[Bairro],mercado7)</f>
        <v>0</v>
      </c>
      <c r="S403" s="4">
        <f>SUMIFS(super1[Qtde],super1[Item],tab_alimentos[[#This Row],[Item]],super1[Bairro],mercado8)+SUMIFS(supercb[Qtde],supercb[Item],tab_alimentos[[#This Row],[Item]],supercb[Bairro],mercado8)</f>
        <v>0</v>
      </c>
      <c r="T403" s="4">
        <f>SUMIFS(super1[Qtde],super1[Item],tab_alimentos[[#This Row],[Item]],super1[Bairro],mercado9)+SUMIFS(supercb[Qtde],supercb[Item],tab_alimentos[[#This Row],[Item]],supercb[Bairro],mercado9)</f>
        <v>0</v>
      </c>
      <c r="U403" s="4">
        <f>SUMIFS(super1[Qtde],super1[Item],tab_alimentos[[#This Row],[Item]],super1[Bairro],mercado10)+SUMIFS(supercb[Qtde],supercb[Item],tab_alimentos[[#This Row],[Item]],supercb[Bairro],mercado10)</f>
        <v>0</v>
      </c>
      <c r="V403" s="4">
        <f>SUMIFS(super1[Qtde],super1[Item],tab_alimentos[[#This Row],[Item]],super1[Bairro],mercado11)+SUMIFS(supercb[Qtde],supercb[Item],tab_alimentos[[#This Row],[Item]],supercb[Bairro],mercado11)</f>
        <v>0</v>
      </c>
      <c r="W403" s="4">
        <f>SUMIFS(super1[Qtde],super1[Item],tab_alimentos[[#This Row],[Item]],super1[Bairro],mercado12)+SUMIFS(supercb[Qtde],supercb[Item],tab_alimentos[[#This Row],[Item]],supercb[Bairro],mercado12)</f>
        <v>0</v>
      </c>
      <c r="X403" s="4">
        <f>SUMIFS(super1[Qtde],super1[Item],tab_alimentos[[#This Row],[Item]],super1[Bairro],mercado13)+SUMIFS(supercb[Qtde],supercb[Item],tab_alimentos[[#This Row],[Item]],supercb[Bairro],mercado13)</f>
        <v>0</v>
      </c>
      <c r="Y403" s="4">
        <f>SUMIFS(super1[Qtde],super1[Item],tab_alimentos[[#This Row],[Item]],super1[Bairro],mercado14)+SUMIFS(supercb[Qtde],supercb[Item],tab_alimentos[[#This Row],[Item]],supercb[Bairro],mercado14)</f>
        <v>0</v>
      </c>
      <c r="Z403" s="4">
        <f>SUMIFS(super1[Qtde],super1[Item],tab_alimentos[[#This Row],[Item]],super1[Bairro],mercado15)+SUMIFS(supercb[Qtde],supercb[Item],tab_alimentos[[#This Row],[Item]],supercb[Bairro],mercado15)</f>
        <v>0</v>
      </c>
      <c r="AA403" s="4">
        <f>SUMIFS(super1[Qtde],super1[Item],tab_alimentos[[#This Row],[Item]],super1[Bairro],mercado16)+SUMIFS(supercb[Qtde],supercb[Item],tab_alimentos[[#This Row],[Item]],supercb[Bairro],mercado16)</f>
        <v>0</v>
      </c>
      <c r="AB403" s="4">
        <f>SUMIFS(super1[Qtde],super1[Item],tab_alimentos[[#This Row],[Item]],super1[Bairro],mercado17)+SUMIFS(supercb[Qtde],supercb[Item],tab_alimentos[[#This Row],[Item]],supercb[Bairro],mercado17)</f>
        <v>0</v>
      </c>
      <c r="AC403" s="4">
        <f>SUMIFS(super1[Qtde],super1[Item],tab_alimentos[[#This Row],[Item]],super1[Bairro],mercado18)+SUMIFS(supercb[Qtde],supercb[Item],tab_alimentos[[#This Row],[Item]],supercb[Bairro],mercado18)</f>
        <v>0</v>
      </c>
      <c r="AD403" s="4">
        <f>SUMIFS(super1[Qtde],super1[Item],tab_alimentos[[#This Row],[Item]],super1[Bairro],extras)+SUMIFS(supercb[Qtde],supercb[Item],tab_alimentos[[#This Row],[Item]],supercb[Bairro],extras)</f>
        <v>0</v>
      </c>
      <c r="AE403" s="4">
        <f t="shared" si="97"/>
        <v>0</v>
      </c>
      <c r="AF403" s="4">
        <f t="shared" si="98"/>
        <v>0</v>
      </c>
      <c r="AG403" s="6">
        <f t="shared" si="99"/>
        <v>0</v>
      </c>
    </row>
    <row r="404" spans="9:33" x14ac:dyDescent="0.25">
      <c r="I404" s="19" t="str">
        <f>alimentos[[#This Row],[Item]]</f>
        <v>Salgadinho (50g)</v>
      </c>
      <c r="J404" s="4">
        <f>IFERROR(alimentos[[#This Row],[kg/embalagem]],0)</f>
        <v>0.05</v>
      </c>
      <c r="K404" s="4">
        <f>IFERROR(alimentos[[#This Row],[Preço]],0)</f>
        <v>1.69</v>
      </c>
      <c r="L404" s="4">
        <f>SUMIFS(super1[Qtde],super1[Item],tab_alimentos[[#This Row],[Item]],super1[Bairro],mercado1)+SUMIFS(supercb[Qtde],supercb[Item],tab_alimentos[[#This Row],[Item]],supercb[Bairro],mercado1)</f>
        <v>0</v>
      </c>
      <c r="M404" s="4">
        <f>SUMIFS(super1[Qtde],super1[Item],tab_alimentos[[#This Row],[Item]],super1[Bairro],mercado2)+SUMIFS(supercb[Qtde],supercb[Item],tab_alimentos[[#This Row],[Item]],supercb[Bairro],mercado2)</f>
        <v>0</v>
      </c>
      <c r="N404" s="4">
        <f>SUMIFS(super1[Qtde],super1[Item],tab_alimentos[[#This Row],[Item]],super1[Bairro],mercado3)+SUMIFS(supercb[Qtde],supercb[Item],tab_alimentos[[#This Row],[Item]],supercb[Bairro],mercado3)</f>
        <v>0</v>
      </c>
      <c r="O404" s="4">
        <f>SUMIFS(super1[Qtde],super1[Item],tab_alimentos[[#This Row],[Item]],super1[Bairro],mercado4)+SUMIFS(supercb[Qtde],supercb[Item],tab_alimentos[[#This Row],[Item]],supercb[Bairro],mercado4)</f>
        <v>0</v>
      </c>
      <c r="P404" s="4">
        <f>SUMIFS(super1[Qtde],super1[Item],tab_alimentos[[#This Row],[Item]],super1[Bairro],mercado5)+SUMIFS(supercb[Qtde],supercb[Item],tab_alimentos[[#This Row],[Item]],supercb[Bairro],mercado5)</f>
        <v>0</v>
      </c>
      <c r="Q404" s="4">
        <f>SUMIFS(super1[Qtde],super1[Item],tab_alimentos[[#This Row],[Item]],super1[Bairro],mercado6)+SUMIFS(supercb[Qtde],supercb[Item],tab_alimentos[[#This Row],[Item]],supercb[Bairro],mercado6)</f>
        <v>0</v>
      </c>
      <c r="R404" s="4">
        <f>SUMIFS(super1[Qtde],super1[Item],tab_alimentos[[#This Row],[Item]],super1[Bairro],mercado7)+SUMIFS(supercb[Qtde],supercb[Item],tab_alimentos[[#This Row],[Item]],supercb[Bairro],mercado7)</f>
        <v>0</v>
      </c>
      <c r="S404" s="4">
        <f>SUMIFS(super1[Qtde],super1[Item],tab_alimentos[[#This Row],[Item]],super1[Bairro],mercado8)+SUMIFS(supercb[Qtde],supercb[Item],tab_alimentos[[#This Row],[Item]],supercb[Bairro],mercado8)</f>
        <v>0</v>
      </c>
      <c r="T404" s="4">
        <f>SUMIFS(super1[Qtde],super1[Item],tab_alimentos[[#This Row],[Item]],super1[Bairro],mercado9)+SUMIFS(supercb[Qtde],supercb[Item],tab_alimentos[[#This Row],[Item]],supercb[Bairro],mercado9)</f>
        <v>0</v>
      </c>
      <c r="U404" s="4">
        <f>SUMIFS(super1[Qtde],super1[Item],tab_alimentos[[#This Row],[Item]],super1[Bairro],mercado10)+SUMIFS(supercb[Qtde],supercb[Item],tab_alimentos[[#This Row],[Item]],supercb[Bairro],mercado10)</f>
        <v>0</v>
      </c>
      <c r="V404" s="4">
        <f>SUMIFS(super1[Qtde],super1[Item],tab_alimentos[[#This Row],[Item]],super1[Bairro],mercado11)+SUMIFS(supercb[Qtde],supercb[Item],tab_alimentos[[#This Row],[Item]],supercb[Bairro],mercado11)</f>
        <v>0</v>
      </c>
      <c r="W404" s="4">
        <f>SUMIFS(super1[Qtde],super1[Item],tab_alimentos[[#This Row],[Item]],super1[Bairro],mercado12)+SUMIFS(supercb[Qtde],supercb[Item],tab_alimentos[[#This Row],[Item]],supercb[Bairro],mercado12)</f>
        <v>0</v>
      </c>
      <c r="X404" s="4">
        <f>SUMIFS(super1[Qtde],super1[Item],tab_alimentos[[#This Row],[Item]],super1[Bairro],mercado13)+SUMIFS(supercb[Qtde],supercb[Item],tab_alimentos[[#This Row],[Item]],supercb[Bairro],mercado13)</f>
        <v>0</v>
      </c>
      <c r="Y404" s="4">
        <f>SUMIFS(super1[Qtde],super1[Item],tab_alimentos[[#This Row],[Item]],super1[Bairro],mercado14)+SUMIFS(supercb[Qtde],supercb[Item],tab_alimentos[[#This Row],[Item]],supercb[Bairro],mercado14)</f>
        <v>0</v>
      </c>
      <c r="Z404" s="4">
        <f>SUMIFS(super1[Qtde],super1[Item],tab_alimentos[[#This Row],[Item]],super1[Bairro],mercado15)+SUMIFS(supercb[Qtde],supercb[Item],tab_alimentos[[#This Row],[Item]],supercb[Bairro],mercado15)</f>
        <v>0</v>
      </c>
      <c r="AA404" s="4">
        <f>SUMIFS(super1[Qtde],super1[Item],tab_alimentos[[#This Row],[Item]],super1[Bairro],mercado16)+SUMIFS(supercb[Qtde],supercb[Item],tab_alimentos[[#This Row],[Item]],supercb[Bairro],mercado16)</f>
        <v>0</v>
      </c>
      <c r="AB404" s="4">
        <f>SUMIFS(super1[Qtde],super1[Item],tab_alimentos[[#This Row],[Item]],super1[Bairro],mercado17)+SUMIFS(supercb[Qtde],supercb[Item],tab_alimentos[[#This Row],[Item]],supercb[Bairro],mercado17)</f>
        <v>0</v>
      </c>
      <c r="AC404" s="4">
        <f>SUMIFS(super1[Qtde],super1[Item],tab_alimentos[[#This Row],[Item]],super1[Bairro],mercado18)+SUMIFS(supercb[Qtde],supercb[Item],tab_alimentos[[#This Row],[Item]],supercb[Bairro],mercado18)</f>
        <v>0</v>
      </c>
      <c r="AD404" s="4">
        <f>SUMIFS(super1[Qtde],super1[Item],tab_alimentos[[#This Row],[Item]],super1[Bairro],extras)+SUMIFS(supercb[Qtde],supercb[Item],tab_alimentos[[#This Row],[Item]],supercb[Bairro],extras)</f>
        <v>0</v>
      </c>
      <c r="AE404" s="4">
        <f t="shared" si="97"/>
        <v>0</v>
      </c>
      <c r="AF404" s="4">
        <f t="shared" si="98"/>
        <v>0</v>
      </c>
      <c r="AG404" s="6">
        <f t="shared" si="99"/>
        <v>0</v>
      </c>
    </row>
    <row r="405" spans="9:33" x14ac:dyDescent="0.25">
      <c r="I405" s="19" t="str">
        <f>alimentos[[#This Row],[Item]]</f>
        <v>Salsicha (300g)</v>
      </c>
      <c r="J405" s="4">
        <f>IFERROR(alimentos[[#This Row],[kg/embalagem]],0)</f>
        <v>0.3</v>
      </c>
      <c r="K405" s="4">
        <f>IFERROR(alimentos[[#This Row],[Preço]],0)</f>
        <v>8.9</v>
      </c>
      <c r="L405" s="4">
        <f>SUMIFS(super1[Qtde],super1[Item],tab_alimentos[[#This Row],[Item]],super1[Bairro],mercado1)+SUMIFS(supercb[Qtde],supercb[Item],tab_alimentos[[#This Row],[Item]],supercb[Bairro],mercado1)</f>
        <v>0</v>
      </c>
      <c r="M405" s="4">
        <f>SUMIFS(super1[Qtde],super1[Item],tab_alimentos[[#This Row],[Item]],super1[Bairro],mercado2)+SUMIFS(supercb[Qtde],supercb[Item],tab_alimentos[[#This Row],[Item]],supercb[Bairro],mercado2)</f>
        <v>0</v>
      </c>
      <c r="N405" s="4">
        <f>SUMIFS(super1[Qtde],super1[Item],tab_alimentos[[#This Row],[Item]],super1[Bairro],mercado3)+SUMIFS(supercb[Qtde],supercb[Item],tab_alimentos[[#This Row],[Item]],supercb[Bairro],mercado3)</f>
        <v>0</v>
      </c>
      <c r="O405" s="4">
        <f>SUMIFS(super1[Qtde],super1[Item],tab_alimentos[[#This Row],[Item]],super1[Bairro],mercado4)+SUMIFS(supercb[Qtde],supercb[Item],tab_alimentos[[#This Row],[Item]],supercb[Bairro],mercado4)</f>
        <v>0</v>
      </c>
      <c r="P405" s="4">
        <f>SUMIFS(super1[Qtde],super1[Item],tab_alimentos[[#This Row],[Item]],super1[Bairro],mercado5)+SUMIFS(supercb[Qtde],supercb[Item],tab_alimentos[[#This Row],[Item]],supercb[Bairro],mercado5)</f>
        <v>0</v>
      </c>
      <c r="Q405" s="4">
        <f>SUMIFS(super1[Qtde],super1[Item],tab_alimentos[[#This Row],[Item]],super1[Bairro],mercado6)+SUMIFS(supercb[Qtde],supercb[Item],tab_alimentos[[#This Row],[Item]],supercb[Bairro],mercado6)</f>
        <v>0</v>
      </c>
      <c r="R405" s="4">
        <f>SUMIFS(super1[Qtde],super1[Item],tab_alimentos[[#This Row],[Item]],super1[Bairro],mercado7)+SUMIFS(supercb[Qtde],supercb[Item],tab_alimentos[[#This Row],[Item]],supercb[Bairro],mercado7)</f>
        <v>0</v>
      </c>
      <c r="S405" s="4">
        <f>SUMIFS(super1[Qtde],super1[Item],tab_alimentos[[#This Row],[Item]],super1[Bairro],mercado8)+SUMIFS(supercb[Qtde],supercb[Item],tab_alimentos[[#This Row],[Item]],supercb[Bairro],mercado8)</f>
        <v>0</v>
      </c>
      <c r="T405" s="4">
        <f>SUMIFS(super1[Qtde],super1[Item],tab_alimentos[[#This Row],[Item]],super1[Bairro],mercado9)+SUMIFS(supercb[Qtde],supercb[Item],tab_alimentos[[#This Row],[Item]],supercb[Bairro],mercado9)</f>
        <v>0</v>
      </c>
      <c r="U405" s="4">
        <f>SUMIFS(super1[Qtde],super1[Item],tab_alimentos[[#This Row],[Item]],super1[Bairro],mercado10)+SUMIFS(supercb[Qtde],supercb[Item],tab_alimentos[[#This Row],[Item]],supercb[Bairro],mercado10)</f>
        <v>0</v>
      </c>
      <c r="V405" s="4">
        <f>SUMIFS(super1[Qtde],super1[Item],tab_alimentos[[#This Row],[Item]],super1[Bairro],mercado11)+SUMIFS(supercb[Qtde],supercb[Item],tab_alimentos[[#This Row],[Item]],supercb[Bairro],mercado11)</f>
        <v>0</v>
      </c>
      <c r="W405" s="4">
        <f>SUMIFS(super1[Qtde],super1[Item],tab_alimentos[[#This Row],[Item]],super1[Bairro],mercado12)+SUMIFS(supercb[Qtde],supercb[Item],tab_alimentos[[#This Row],[Item]],supercb[Bairro],mercado12)</f>
        <v>0</v>
      </c>
      <c r="X405" s="4">
        <f>SUMIFS(super1[Qtde],super1[Item],tab_alimentos[[#This Row],[Item]],super1[Bairro],mercado13)+SUMIFS(supercb[Qtde],supercb[Item],tab_alimentos[[#This Row],[Item]],supercb[Bairro],mercado13)</f>
        <v>0</v>
      </c>
      <c r="Y405" s="4">
        <f>SUMIFS(super1[Qtde],super1[Item],tab_alimentos[[#This Row],[Item]],super1[Bairro],mercado14)+SUMIFS(supercb[Qtde],supercb[Item],tab_alimentos[[#This Row],[Item]],supercb[Bairro],mercado14)</f>
        <v>0</v>
      </c>
      <c r="Z405" s="4">
        <f>SUMIFS(super1[Qtde],super1[Item],tab_alimentos[[#This Row],[Item]],super1[Bairro],mercado15)+SUMIFS(supercb[Qtde],supercb[Item],tab_alimentos[[#This Row],[Item]],supercb[Bairro],mercado15)</f>
        <v>0</v>
      </c>
      <c r="AA405" s="4">
        <f>SUMIFS(super1[Qtde],super1[Item],tab_alimentos[[#This Row],[Item]],super1[Bairro],mercado16)+SUMIFS(supercb[Qtde],supercb[Item],tab_alimentos[[#This Row],[Item]],supercb[Bairro],mercado16)</f>
        <v>0</v>
      </c>
      <c r="AB405" s="4">
        <f>SUMIFS(super1[Qtde],super1[Item],tab_alimentos[[#This Row],[Item]],super1[Bairro],mercado17)+SUMIFS(supercb[Qtde],supercb[Item],tab_alimentos[[#This Row],[Item]],supercb[Bairro],mercado17)</f>
        <v>0</v>
      </c>
      <c r="AC405" s="4">
        <f>SUMIFS(super1[Qtde],super1[Item],tab_alimentos[[#This Row],[Item]],super1[Bairro],mercado18)+SUMIFS(supercb[Qtde],supercb[Item],tab_alimentos[[#This Row],[Item]],supercb[Bairro],mercado18)</f>
        <v>0</v>
      </c>
      <c r="AD405" s="4">
        <f>SUMIFS(super1[Qtde],super1[Item],tab_alimentos[[#This Row],[Item]],super1[Bairro],extras)+SUMIFS(supercb[Qtde],supercb[Item],tab_alimentos[[#This Row],[Item]],supercb[Bairro],extras)</f>
        <v>0</v>
      </c>
      <c r="AE405" s="4">
        <f t="shared" si="97"/>
        <v>0</v>
      </c>
      <c r="AF405" s="4">
        <f t="shared" si="98"/>
        <v>0</v>
      </c>
      <c r="AG405" s="6">
        <f t="shared" si="99"/>
        <v>0</v>
      </c>
    </row>
    <row r="406" spans="9:33" x14ac:dyDescent="0.25">
      <c r="I406" s="19" t="str">
        <f>alimentos[[#This Row],[Item]]</f>
        <v>Salsicha Lata (200g)</v>
      </c>
      <c r="J406" s="4">
        <f>IFERROR(alimentos[[#This Row],[kg/embalagem]],0)</f>
        <v>0.2</v>
      </c>
      <c r="K406" s="4">
        <f>IFERROR(alimentos[[#This Row],[Preço]],0)</f>
        <v>4.3899999999999997</v>
      </c>
      <c r="L406" s="4">
        <f>SUMIFS(super1[Qtde],super1[Item],tab_alimentos[[#This Row],[Item]],super1[Bairro],mercado1)+SUMIFS(supercb[Qtde],supercb[Item],tab_alimentos[[#This Row],[Item]],supercb[Bairro],mercado1)</f>
        <v>0</v>
      </c>
      <c r="M406" s="4">
        <f>SUMIFS(super1[Qtde],super1[Item],tab_alimentos[[#This Row],[Item]],super1[Bairro],mercado2)+SUMIFS(supercb[Qtde],supercb[Item],tab_alimentos[[#This Row],[Item]],supercb[Bairro],mercado2)</f>
        <v>0</v>
      </c>
      <c r="N406" s="4">
        <f>SUMIFS(super1[Qtde],super1[Item],tab_alimentos[[#This Row],[Item]],super1[Bairro],mercado3)+SUMIFS(supercb[Qtde],supercb[Item],tab_alimentos[[#This Row],[Item]],supercb[Bairro],mercado3)</f>
        <v>0</v>
      </c>
      <c r="O406" s="4">
        <f>SUMIFS(super1[Qtde],super1[Item],tab_alimentos[[#This Row],[Item]],super1[Bairro],mercado4)+SUMIFS(supercb[Qtde],supercb[Item],tab_alimentos[[#This Row],[Item]],supercb[Bairro],mercado4)</f>
        <v>0</v>
      </c>
      <c r="P406" s="4">
        <f>SUMIFS(super1[Qtde],super1[Item],tab_alimentos[[#This Row],[Item]],super1[Bairro],mercado5)+SUMIFS(supercb[Qtde],supercb[Item],tab_alimentos[[#This Row],[Item]],supercb[Bairro],mercado5)</f>
        <v>0</v>
      </c>
      <c r="Q406" s="4">
        <f>SUMIFS(super1[Qtde],super1[Item],tab_alimentos[[#This Row],[Item]],super1[Bairro],mercado6)+SUMIFS(supercb[Qtde],supercb[Item],tab_alimentos[[#This Row],[Item]],supercb[Bairro],mercado6)</f>
        <v>0</v>
      </c>
      <c r="R406" s="4">
        <f>SUMIFS(super1[Qtde],super1[Item],tab_alimentos[[#This Row],[Item]],super1[Bairro],mercado7)+SUMIFS(supercb[Qtde],supercb[Item],tab_alimentos[[#This Row],[Item]],supercb[Bairro],mercado7)</f>
        <v>0</v>
      </c>
      <c r="S406" s="4">
        <f>SUMIFS(super1[Qtde],super1[Item],tab_alimentos[[#This Row],[Item]],super1[Bairro],mercado8)+SUMIFS(supercb[Qtde],supercb[Item],tab_alimentos[[#This Row],[Item]],supercb[Bairro],mercado8)</f>
        <v>0</v>
      </c>
      <c r="T406" s="4">
        <f>SUMIFS(super1[Qtde],super1[Item],tab_alimentos[[#This Row],[Item]],super1[Bairro],mercado9)+SUMIFS(supercb[Qtde],supercb[Item],tab_alimentos[[#This Row],[Item]],supercb[Bairro],mercado9)</f>
        <v>0</v>
      </c>
      <c r="U406" s="4">
        <f>SUMIFS(super1[Qtde],super1[Item],tab_alimentos[[#This Row],[Item]],super1[Bairro],mercado10)+SUMIFS(supercb[Qtde],supercb[Item],tab_alimentos[[#This Row],[Item]],supercb[Bairro],mercado10)</f>
        <v>0</v>
      </c>
      <c r="V406" s="4">
        <f>SUMIFS(super1[Qtde],super1[Item],tab_alimentos[[#This Row],[Item]],super1[Bairro],mercado11)+SUMIFS(supercb[Qtde],supercb[Item],tab_alimentos[[#This Row],[Item]],supercb[Bairro],mercado11)</f>
        <v>0</v>
      </c>
      <c r="W406" s="4">
        <f>SUMIFS(super1[Qtde],super1[Item],tab_alimentos[[#This Row],[Item]],super1[Bairro],mercado12)+SUMIFS(supercb[Qtde],supercb[Item],tab_alimentos[[#This Row],[Item]],supercb[Bairro],mercado12)</f>
        <v>0</v>
      </c>
      <c r="X406" s="4">
        <f>SUMIFS(super1[Qtde],super1[Item],tab_alimentos[[#This Row],[Item]],super1[Bairro],mercado13)+SUMIFS(supercb[Qtde],supercb[Item],tab_alimentos[[#This Row],[Item]],supercb[Bairro],mercado13)</f>
        <v>0</v>
      </c>
      <c r="Y406" s="4">
        <f>SUMIFS(super1[Qtde],super1[Item],tab_alimentos[[#This Row],[Item]],super1[Bairro],mercado14)+SUMIFS(supercb[Qtde],supercb[Item],tab_alimentos[[#This Row],[Item]],supercb[Bairro],mercado14)</f>
        <v>0</v>
      </c>
      <c r="Z406" s="4">
        <f>SUMIFS(super1[Qtde],super1[Item],tab_alimentos[[#This Row],[Item]],super1[Bairro],mercado15)+SUMIFS(supercb[Qtde],supercb[Item],tab_alimentos[[#This Row],[Item]],supercb[Bairro],mercado15)</f>
        <v>0</v>
      </c>
      <c r="AA406" s="4">
        <f>SUMIFS(super1[Qtde],super1[Item],tab_alimentos[[#This Row],[Item]],super1[Bairro],mercado16)+SUMIFS(supercb[Qtde],supercb[Item],tab_alimentos[[#This Row],[Item]],supercb[Bairro],mercado16)</f>
        <v>0</v>
      </c>
      <c r="AB406" s="4">
        <f>SUMIFS(super1[Qtde],super1[Item],tab_alimentos[[#This Row],[Item]],super1[Bairro],mercado17)+SUMIFS(supercb[Qtde],supercb[Item],tab_alimentos[[#This Row],[Item]],supercb[Bairro],mercado17)</f>
        <v>0</v>
      </c>
      <c r="AC406" s="4">
        <f>SUMIFS(super1[Qtde],super1[Item],tab_alimentos[[#This Row],[Item]],super1[Bairro],mercado18)+SUMIFS(supercb[Qtde],supercb[Item],tab_alimentos[[#This Row],[Item]],supercb[Bairro],mercado18)</f>
        <v>0</v>
      </c>
      <c r="AD406" s="4">
        <f>SUMIFS(super1[Qtde],super1[Item],tab_alimentos[[#This Row],[Item]],super1[Bairro],extras)+SUMIFS(supercb[Qtde],supercb[Item],tab_alimentos[[#This Row],[Item]],supercb[Bairro],extras)</f>
        <v>0</v>
      </c>
      <c r="AE406" s="4">
        <f t="shared" si="97"/>
        <v>0</v>
      </c>
      <c r="AF406" s="4">
        <f t="shared" si="98"/>
        <v>0</v>
      </c>
      <c r="AG406" s="6">
        <f t="shared" si="99"/>
        <v>0</v>
      </c>
    </row>
    <row r="407" spans="9:33" x14ac:dyDescent="0.25">
      <c r="I407" s="19" t="str">
        <f>alimentos[[#This Row],[Item]]</f>
        <v>Salsicha Tipo Viena (200g)</v>
      </c>
      <c r="J407" s="4">
        <f>IFERROR(alimentos[[#This Row],[kg/embalagem]],0)</f>
        <v>0.2</v>
      </c>
      <c r="K407" s="4">
        <f>IFERROR(alimentos[[#This Row],[Preço]],0)</f>
        <v>19.29</v>
      </c>
      <c r="L407" s="4">
        <f>SUMIFS(super1[Qtde],super1[Item],tab_alimentos[[#This Row],[Item]],super1[Bairro],mercado1)+SUMIFS(supercb[Qtde],supercb[Item],tab_alimentos[[#This Row],[Item]],supercb[Bairro],mercado1)</f>
        <v>0</v>
      </c>
      <c r="M407" s="4">
        <f>SUMIFS(super1[Qtde],super1[Item],tab_alimentos[[#This Row],[Item]],super1[Bairro],mercado2)+SUMIFS(supercb[Qtde],supercb[Item],tab_alimentos[[#This Row],[Item]],supercb[Bairro],mercado2)</f>
        <v>0</v>
      </c>
      <c r="N407" s="4">
        <f>SUMIFS(super1[Qtde],super1[Item],tab_alimentos[[#This Row],[Item]],super1[Bairro],mercado3)+SUMIFS(supercb[Qtde],supercb[Item],tab_alimentos[[#This Row],[Item]],supercb[Bairro],mercado3)</f>
        <v>0</v>
      </c>
      <c r="O407" s="4">
        <f>SUMIFS(super1[Qtde],super1[Item],tab_alimentos[[#This Row],[Item]],super1[Bairro],mercado4)+SUMIFS(supercb[Qtde],supercb[Item],tab_alimentos[[#This Row],[Item]],supercb[Bairro],mercado4)</f>
        <v>0</v>
      </c>
      <c r="P407" s="4">
        <f>SUMIFS(super1[Qtde],super1[Item],tab_alimentos[[#This Row],[Item]],super1[Bairro],mercado5)+SUMIFS(supercb[Qtde],supercb[Item],tab_alimentos[[#This Row],[Item]],supercb[Bairro],mercado5)</f>
        <v>0</v>
      </c>
      <c r="Q407" s="4">
        <f>SUMIFS(super1[Qtde],super1[Item],tab_alimentos[[#This Row],[Item]],super1[Bairro],mercado6)+SUMIFS(supercb[Qtde],supercb[Item],tab_alimentos[[#This Row],[Item]],supercb[Bairro],mercado6)</f>
        <v>0</v>
      </c>
      <c r="R407" s="4">
        <f>SUMIFS(super1[Qtde],super1[Item],tab_alimentos[[#This Row],[Item]],super1[Bairro],mercado7)+SUMIFS(supercb[Qtde],supercb[Item],tab_alimentos[[#This Row],[Item]],supercb[Bairro],mercado7)</f>
        <v>0</v>
      </c>
      <c r="S407" s="4">
        <f>SUMIFS(super1[Qtde],super1[Item],tab_alimentos[[#This Row],[Item]],super1[Bairro],mercado8)+SUMIFS(supercb[Qtde],supercb[Item],tab_alimentos[[#This Row],[Item]],supercb[Bairro],mercado8)</f>
        <v>0</v>
      </c>
      <c r="T407" s="4">
        <f>SUMIFS(super1[Qtde],super1[Item],tab_alimentos[[#This Row],[Item]],super1[Bairro],mercado9)+SUMIFS(supercb[Qtde],supercb[Item],tab_alimentos[[#This Row],[Item]],supercb[Bairro],mercado9)</f>
        <v>0</v>
      </c>
      <c r="U407" s="4">
        <f>SUMIFS(super1[Qtde],super1[Item],tab_alimentos[[#This Row],[Item]],super1[Bairro],mercado10)+SUMIFS(supercb[Qtde],supercb[Item],tab_alimentos[[#This Row],[Item]],supercb[Bairro],mercado10)</f>
        <v>0</v>
      </c>
      <c r="V407" s="4">
        <f>SUMIFS(super1[Qtde],super1[Item],tab_alimentos[[#This Row],[Item]],super1[Bairro],mercado11)+SUMIFS(supercb[Qtde],supercb[Item],tab_alimentos[[#This Row],[Item]],supercb[Bairro],mercado11)</f>
        <v>0</v>
      </c>
      <c r="W407" s="4">
        <f>SUMIFS(super1[Qtde],super1[Item],tab_alimentos[[#This Row],[Item]],super1[Bairro],mercado12)+SUMIFS(supercb[Qtde],supercb[Item],tab_alimentos[[#This Row],[Item]],supercb[Bairro],mercado12)</f>
        <v>0</v>
      </c>
      <c r="X407" s="4">
        <f>SUMIFS(super1[Qtde],super1[Item],tab_alimentos[[#This Row],[Item]],super1[Bairro],mercado13)+SUMIFS(supercb[Qtde],supercb[Item],tab_alimentos[[#This Row],[Item]],supercb[Bairro],mercado13)</f>
        <v>0</v>
      </c>
      <c r="Y407" s="4">
        <f>SUMIFS(super1[Qtde],super1[Item],tab_alimentos[[#This Row],[Item]],super1[Bairro],mercado14)+SUMIFS(supercb[Qtde],supercb[Item],tab_alimentos[[#This Row],[Item]],supercb[Bairro],mercado14)</f>
        <v>0</v>
      </c>
      <c r="Z407" s="4">
        <f>SUMIFS(super1[Qtde],super1[Item],tab_alimentos[[#This Row],[Item]],super1[Bairro],mercado15)+SUMIFS(supercb[Qtde],supercb[Item],tab_alimentos[[#This Row],[Item]],supercb[Bairro],mercado15)</f>
        <v>0</v>
      </c>
      <c r="AA407" s="4">
        <f>SUMIFS(super1[Qtde],super1[Item],tab_alimentos[[#This Row],[Item]],super1[Bairro],mercado16)+SUMIFS(supercb[Qtde],supercb[Item],tab_alimentos[[#This Row],[Item]],supercb[Bairro],mercado16)</f>
        <v>0</v>
      </c>
      <c r="AB407" s="4">
        <f>SUMIFS(super1[Qtde],super1[Item],tab_alimentos[[#This Row],[Item]],super1[Bairro],mercado17)+SUMIFS(supercb[Qtde],supercb[Item],tab_alimentos[[#This Row],[Item]],supercb[Bairro],mercado17)</f>
        <v>0</v>
      </c>
      <c r="AC407" s="4">
        <f>SUMIFS(super1[Qtde],super1[Item],tab_alimentos[[#This Row],[Item]],super1[Bairro],mercado18)+SUMIFS(supercb[Qtde],supercb[Item],tab_alimentos[[#This Row],[Item]],supercb[Bairro],mercado18)</f>
        <v>0</v>
      </c>
      <c r="AD407" s="4">
        <f>SUMIFS(super1[Qtde],super1[Item],tab_alimentos[[#This Row],[Item]],super1[Bairro],extras)+SUMIFS(supercb[Qtde],supercb[Item],tab_alimentos[[#This Row],[Item]],supercb[Bairro],extras)</f>
        <v>0</v>
      </c>
      <c r="AE407" s="4">
        <f t="shared" si="97"/>
        <v>0</v>
      </c>
      <c r="AF407" s="4">
        <f t="shared" si="98"/>
        <v>0</v>
      </c>
      <c r="AG407" s="6">
        <f t="shared" si="99"/>
        <v>0</v>
      </c>
    </row>
    <row r="408" spans="9:33" x14ac:dyDescent="0.25">
      <c r="I408" s="19" t="str">
        <f>alimentos[[#This Row],[Item]]</f>
        <v>Sardinha (125g)</v>
      </c>
      <c r="J408" s="4">
        <f>IFERROR(alimentos[[#This Row],[kg/embalagem]],0)</f>
        <v>0.125</v>
      </c>
      <c r="K408" s="4">
        <f>IFERROR(alimentos[[#This Row],[Preço]],0)</f>
        <v>6.4</v>
      </c>
      <c r="L408" s="4">
        <f>SUMIFS(super1[Qtde],super1[Item],tab_alimentos[[#This Row],[Item]],super1[Bairro],mercado1)+SUMIFS(supercb[Qtde],supercb[Item],tab_alimentos[[#This Row],[Item]],supercb[Bairro],mercado1)</f>
        <v>0</v>
      </c>
      <c r="M408" s="4">
        <f>SUMIFS(super1[Qtde],super1[Item],tab_alimentos[[#This Row],[Item]],super1[Bairro],mercado2)+SUMIFS(supercb[Qtde],supercb[Item],tab_alimentos[[#This Row],[Item]],supercb[Bairro],mercado2)</f>
        <v>0</v>
      </c>
      <c r="N408" s="4">
        <f>SUMIFS(super1[Qtde],super1[Item],tab_alimentos[[#This Row],[Item]],super1[Bairro],mercado3)+SUMIFS(supercb[Qtde],supercb[Item],tab_alimentos[[#This Row],[Item]],supercb[Bairro],mercado3)</f>
        <v>0</v>
      </c>
      <c r="O408" s="4">
        <f>SUMIFS(super1[Qtde],super1[Item],tab_alimentos[[#This Row],[Item]],super1[Bairro],mercado4)+SUMIFS(supercb[Qtde],supercb[Item],tab_alimentos[[#This Row],[Item]],supercb[Bairro],mercado4)</f>
        <v>0</v>
      </c>
      <c r="P408" s="4">
        <f>SUMIFS(super1[Qtde],super1[Item],tab_alimentos[[#This Row],[Item]],super1[Bairro],mercado5)+SUMIFS(supercb[Qtde],supercb[Item],tab_alimentos[[#This Row],[Item]],supercb[Bairro],mercado5)</f>
        <v>0</v>
      </c>
      <c r="Q408" s="4">
        <f>SUMIFS(super1[Qtde],super1[Item],tab_alimentos[[#This Row],[Item]],super1[Bairro],mercado6)+SUMIFS(supercb[Qtde],supercb[Item],tab_alimentos[[#This Row],[Item]],supercb[Bairro],mercado6)</f>
        <v>0</v>
      </c>
      <c r="R408" s="4">
        <f>SUMIFS(super1[Qtde],super1[Item],tab_alimentos[[#This Row],[Item]],super1[Bairro],mercado7)+SUMIFS(supercb[Qtde],supercb[Item],tab_alimentos[[#This Row],[Item]],supercb[Bairro],mercado7)</f>
        <v>0</v>
      </c>
      <c r="S408" s="4">
        <f>SUMIFS(super1[Qtde],super1[Item],tab_alimentos[[#This Row],[Item]],super1[Bairro],mercado8)+SUMIFS(supercb[Qtde],supercb[Item],tab_alimentos[[#This Row],[Item]],supercb[Bairro],mercado8)</f>
        <v>0</v>
      </c>
      <c r="T408" s="4">
        <f>SUMIFS(super1[Qtde],super1[Item],tab_alimentos[[#This Row],[Item]],super1[Bairro],mercado9)+SUMIFS(supercb[Qtde],supercb[Item],tab_alimentos[[#This Row],[Item]],supercb[Bairro],mercado9)</f>
        <v>0</v>
      </c>
      <c r="U408" s="4">
        <f>SUMIFS(super1[Qtde],super1[Item],tab_alimentos[[#This Row],[Item]],super1[Bairro],mercado10)+SUMIFS(supercb[Qtde],supercb[Item],tab_alimentos[[#This Row],[Item]],supercb[Bairro],mercado10)</f>
        <v>0</v>
      </c>
      <c r="V408" s="4">
        <f>SUMIFS(super1[Qtde],super1[Item],tab_alimentos[[#This Row],[Item]],super1[Bairro],mercado11)+SUMIFS(supercb[Qtde],supercb[Item],tab_alimentos[[#This Row],[Item]],supercb[Bairro],mercado11)</f>
        <v>0</v>
      </c>
      <c r="W408" s="4">
        <f>SUMIFS(super1[Qtde],super1[Item],tab_alimentos[[#This Row],[Item]],super1[Bairro],mercado12)+SUMIFS(supercb[Qtde],supercb[Item],tab_alimentos[[#This Row],[Item]],supercb[Bairro],mercado12)</f>
        <v>0</v>
      </c>
      <c r="X408" s="4">
        <f>SUMIFS(super1[Qtde],super1[Item],tab_alimentos[[#This Row],[Item]],super1[Bairro],mercado13)+SUMIFS(supercb[Qtde],supercb[Item],tab_alimentos[[#This Row],[Item]],supercb[Bairro],mercado13)</f>
        <v>0</v>
      </c>
      <c r="Y408" s="4">
        <f>SUMIFS(super1[Qtde],super1[Item],tab_alimentos[[#This Row],[Item]],super1[Bairro],mercado14)+SUMIFS(supercb[Qtde],supercb[Item],tab_alimentos[[#This Row],[Item]],supercb[Bairro],mercado14)</f>
        <v>0</v>
      </c>
      <c r="Z408" s="4">
        <f>SUMIFS(super1[Qtde],super1[Item],tab_alimentos[[#This Row],[Item]],super1[Bairro],mercado15)+SUMIFS(supercb[Qtde],supercb[Item],tab_alimentos[[#This Row],[Item]],supercb[Bairro],mercado15)</f>
        <v>0</v>
      </c>
      <c r="AA408" s="4">
        <f>SUMIFS(super1[Qtde],super1[Item],tab_alimentos[[#This Row],[Item]],super1[Bairro],mercado16)+SUMIFS(supercb[Qtde],supercb[Item],tab_alimentos[[#This Row],[Item]],supercb[Bairro],mercado16)</f>
        <v>0</v>
      </c>
      <c r="AB408" s="4">
        <f>SUMIFS(super1[Qtde],super1[Item],tab_alimentos[[#This Row],[Item]],super1[Bairro],mercado17)+SUMIFS(supercb[Qtde],supercb[Item],tab_alimentos[[#This Row],[Item]],supercb[Bairro],mercado17)</f>
        <v>0</v>
      </c>
      <c r="AC408" s="4">
        <f>SUMIFS(super1[Qtde],super1[Item],tab_alimentos[[#This Row],[Item]],super1[Bairro],mercado18)+SUMIFS(supercb[Qtde],supercb[Item],tab_alimentos[[#This Row],[Item]],supercb[Bairro],mercado18)</f>
        <v>0</v>
      </c>
      <c r="AD408" s="4">
        <f>SUMIFS(super1[Qtde],super1[Item],tab_alimentos[[#This Row],[Item]],super1[Bairro],extras)+SUMIFS(supercb[Qtde],supercb[Item],tab_alimentos[[#This Row],[Item]],supercb[Bairro],extras)</f>
        <v>0</v>
      </c>
      <c r="AE408" s="4">
        <f t="shared" si="97"/>
        <v>0</v>
      </c>
      <c r="AF408" s="4">
        <f t="shared" si="98"/>
        <v>0</v>
      </c>
      <c r="AG408" s="6">
        <f t="shared" si="99"/>
        <v>0</v>
      </c>
    </row>
    <row r="409" spans="9:33" x14ac:dyDescent="0.25">
      <c r="I409" s="19" t="str">
        <f>alimentos[[#This Row],[Item]]</f>
        <v>Sardinha (165g)</v>
      </c>
      <c r="J409" s="4">
        <f>IFERROR(alimentos[[#This Row],[kg/embalagem]],0)</f>
        <v>0.16500000000000001</v>
      </c>
      <c r="K409" s="4">
        <f>IFERROR(alimentos[[#This Row],[Preço]],0)</f>
        <v>7.79</v>
      </c>
      <c r="L409" s="4">
        <f>SUMIFS(super1[Qtde],super1[Item],tab_alimentos[[#This Row],[Item]],super1[Bairro],mercado1)+SUMIFS(supercb[Qtde],supercb[Item],tab_alimentos[[#This Row],[Item]],supercb[Bairro],mercado1)</f>
        <v>0</v>
      </c>
      <c r="M409" s="4">
        <f>SUMIFS(super1[Qtde],super1[Item],tab_alimentos[[#This Row],[Item]],super1[Bairro],mercado2)+SUMIFS(supercb[Qtde],supercb[Item],tab_alimentos[[#This Row],[Item]],supercb[Bairro],mercado2)</f>
        <v>0</v>
      </c>
      <c r="N409" s="4">
        <f>SUMIFS(super1[Qtde],super1[Item],tab_alimentos[[#This Row],[Item]],super1[Bairro],mercado3)+SUMIFS(supercb[Qtde],supercb[Item],tab_alimentos[[#This Row],[Item]],supercb[Bairro],mercado3)</f>
        <v>0</v>
      </c>
      <c r="O409" s="4">
        <f>SUMIFS(super1[Qtde],super1[Item],tab_alimentos[[#This Row],[Item]],super1[Bairro],mercado4)+SUMIFS(supercb[Qtde],supercb[Item],tab_alimentos[[#This Row],[Item]],supercb[Bairro],mercado4)</f>
        <v>0</v>
      </c>
      <c r="P409" s="4">
        <f>SUMIFS(super1[Qtde],super1[Item],tab_alimentos[[#This Row],[Item]],super1[Bairro],mercado5)+SUMIFS(supercb[Qtde],supercb[Item],tab_alimentos[[#This Row],[Item]],supercb[Bairro],mercado5)</f>
        <v>0</v>
      </c>
      <c r="Q409" s="4">
        <f>SUMIFS(super1[Qtde],super1[Item],tab_alimentos[[#This Row],[Item]],super1[Bairro],mercado6)+SUMIFS(supercb[Qtde],supercb[Item],tab_alimentos[[#This Row],[Item]],supercb[Bairro],mercado6)</f>
        <v>0</v>
      </c>
      <c r="R409" s="4">
        <f>SUMIFS(super1[Qtde],super1[Item],tab_alimentos[[#This Row],[Item]],super1[Bairro],mercado7)+SUMIFS(supercb[Qtde],supercb[Item],tab_alimentos[[#This Row],[Item]],supercb[Bairro],mercado7)</f>
        <v>0</v>
      </c>
      <c r="S409" s="4">
        <f>SUMIFS(super1[Qtde],super1[Item],tab_alimentos[[#This Row],[Item]],super1[Bairro],mercado8)+SUMIFS(supercb[Qtde],supercb[Item],tab_alimentos[[#This Row],[Item]],supercb[Bairro],mercado8)</f>
        <v>0</v>
      </c>
      <c r="T409" s="4">
        <f>SUMIFS(super1[Qtde],super1[Item],tab_alimentos[[#This Row],[Item]],super1[Bairro],mercado9)+SUMIFS(supercb[Qtde],supercb[Item],tab_alimentos[[#This Row],[Item]],supercb[Bairro],mercado9)</f>
        <v>0</v>
      </c>
      <c r="U409" s="4">
        <f>SUMIFS(super1[Qtde],super1[Item],tab_alimentos[[#This Row],[Item]],super1[Bairro],mercado10)+SUMIFS(supercb[Qtde],supercb[Item],tab_alimentos[[#This Row],[Item]],supercb[Bairro],mercado10)</f>
        <v>0</v>
      </c>
      <c r="V409" s="4">
        <f>SUMIFS(super1[Qtde],super1[Item],tab_alimentos[[#This Row],[Item]],super1[Bairro],mercado11)+SUMIFS(supercb[Qtde],supercb[Item],tab_alimentos[[#This Row],[Item]],supercb[Bairro],mercado11)</f>
        <v>0</v>
      </c>
      <c r="W409" s="4">
        <f>SUMIFS(super1[Qtde],super1[Item],tab_alimentos[[#This Row],[Item]],super1[Bairro],mercado12)+SUMIFS(supercb[Qtde],supercb[Item],tab_alimentos[[#This Row],[Item]],supercb[Bairro],mercado12)</f>
        <v>0</v>
      </c>
      <c r="X409" s="4">
        <f>SUMIFS(super1[Qtde],super1[Item],tab_alimentos[[#This Row],[Item]],super1[Bairro],mercado13)+SUMIFS(supercb[Qtde],supercb[Item],tab_alimentos[[#This Row],[Item]],supercb[Bairro],mercado13)</f>
        <v>0</v>
      </c>
      <c r="Y409" s="4">
        <f>SUMIFS(super1[Qtde],super1[Item],tab_alimentos[[#This Row],[Item]],super1[Bairro],mercado14)+SUMIFS(supercb[Qtde],supercb[Item],tab_alimentos[[#This Row],[Item]],supercb[Bairro],mercado14)</f>
        <v>0</v>
      </c>
      <c r="Z409" s="4">
        <f>SUMIFS(super1[Qtde],super1[Item],tab_alimentos[[#This Row],[Item]],super1[Bairro],mercado15)+SUMIFS(supercb[Qtde],supercb[Item],tab_alimentos[[#This Row],[Item]],supercb[Bairro],mercado15)</f>
        <v>0</v>
      </c>
      <c r="AA409" s="4">
        <f>SUMIFS(super1[Qtde],super1[Item],tab_alimentos[[#This Row],[Item]],super1[Bairro],mercado16)+SUMIFS(supercb[Qtde],supercb[Item],tab_alimentos[[#This Row],[Item]],supercb[Bairro],mercado16)</f>
        <v>0</v>
      </c>
      <c r="AB409" s="4">
        <f>SUMIFS(super1[Qtde],super1[Item],tab_alimentos[[#This Row],[Item]],super1[Bairro],mercado17)+SUMIFS(supercb[Qtde],supercb[Item],tab_alimentos[[#This Row],[Item]],supercb[Bairro],mercado17)</f>
        <v>0</v>
      </c>
      <c r="AC409" s="4">
        <f>SUMIFS(super1[Qtde],super1[Item],tab_alimentos[[#This Row],[Item]],super1[Bairro],mercado18)+SUMIFS(supercb[Qtde],supercb[Item],tab_alimentos[[#This Row],[Item]],supercb[Bairro],mercado18)</f>
        <v>0</v>
      </c>
      <c r="AD409" s="4">
        <f>SUMIFS(super1[Qtde],super1[Item],tab_alimentos[[#This Row],[Item]],super1[Bairro],extras)+SUMIFS(supercb[Qtde],supercb[Item],tab_alimentos[[#This Row],[Item]],supercb[Bairro],extras)</f>
        <v>0</v>
      </c>
      <c r="AE409" s="4">
        <f t="shared" si="97"/>
        <v>0</v>
      </c>
      <c r="AF409" s="4">
        <f t="shared" si="98"/>
        <v>0</v>
      </c>
      <c r="AG409" s="6">
        <f t="shared" si="99"/>
        <v>0</v>
      </c>
    </row>
    <row r="410" spans="9:33" x14ac:dyDescent="0.25">
      <c r="I410" s="19" t="str">
        <f>alimentos[[#This Row],[Item]]</f>
        <v>Sardinha (250g)</v>
      </c>
      <c r="J410" s="4">
        <f>IFERROR(alimentos[[#This Row],[kg/embalagem]],0)</f>
        <v>0.25</v>
      </c>
      <c r="K410" s="4">
        <f>IFERROR(alimentos[[#This Row],[Preço]],0)</f>
        <v>11.9</v>
      </c>
      <c r="L410" s="4">
        <f>SUMIFS(super1[Qtde],super1[Item],tab_alimentos[[#This Row],[Item]],super1[Bairro],mercado1)+SUMIFS(supercb[Qtde],supercb[Item],tab_alimentos[[#This Row],[Item]],supercb[Bairro],mercado1)</f>
        <v>0</v>
      </c>
      <c r="M410" s="4">
        <f>SUMIFS(super1[Qtde],super1[Item],tab_alimentos[[#This Row],[Item]],super1[Bairro],mercado2)+SUMIFS(supercb[Qtde],supercb[Item],tab_alimentos[[#This Row],[Item]],supercb[Bairro],mercado2)</f>
        <v>0</v>
      </c>
      <c r="N410" s="4">
        <f>SUMIFS(super1[Qtde],super1[Item],tab_alimentos[[#This Row],[Item]],super1[Bairro],mercado3)+SUMIFS(supercb[Qtde],supercb[Item],tab_alimentos[[#This Row],[Item]],supercb[Bairro],mercado3)</f>
        <v>0</v>
      </c>
      <c r="O410" s="4">
        <f>SUMIFS(super1[Qtde],super1[Item],tab_alimentos[[#This Row],[Item]],super1[Bairro],mercado4)+SUMIFS(supercb[Qtde],supercb[Item],tab_alimentos[[#This Row],[Item]],supercb[Bairro],mercado4)</f>
        <v>0</v>
      </c>
      <c r="P410" s="4">
        <f>SUMIFS(super1[Qtde],super1[Item],tab_alimentos[[#This Row],[Item]],super1[Bairro],mercado5)+SUMIFS(supercb[Qtde],supercb[Item],tab_alimentos[[#This Row],[Item]],supercb[Bairro],mercado5)</f>
        <v>0</v>
      </c>
      <c r="Q410" s="4">
        <f>SUMIFS(super1[Qtde],super1[Item],tab_alimentos[[#This Row],[Item]],super1[Bairro],mercado6)+SUMIFS(supercb[Qtde],supercb[Item],tab_alimentos[[#This Row],[Item]],supercb[Bairro],mercado6)</f>
        <v>0</v>
      </c>
      <c r="R410" s="4">
        <f>SUMIFS(super1[Qtde],super1[Item],tab_alimentos[[#This Row],[Item]],super1[Bairro],mercado7)+SUMIFS(supercb[Qtde],supercb[Item],tab_alimentos[[#This Row],[Item]],supercb[Bairro],mercado7)</f>
        <v>0</v>
      </c>
      <c r="S410" s="4">
        <f>SUMIFS(super1[Qtde],super1[Item],tab_alimentos[[#This Row],[Item]],super1[Bairro],mercado8)+SUMIFS(supercb[Qtde],supercb[Item],tab_alimentos[[#This Row],[Item]],supercb[Bairro],mercado8)</f>
        <v>0</v>
      </c>
      <c r="T410" s="4">
        <f>SUMIFS(super1[Qtde],super1[Item],tab_alimentos[[#This Row],[Item]],super1[Bairro],mercado9)+SUMIFS(supercb[Qtde],supercb[Item],tab_alimentos[[#This Row],[Item]],supercb[Bairro],mercado9)</f>
        <v>0</v>
      </c>
      <c r="U410" s="4">
        <f>SUMIFS(super1[Qtde],super1[Item],tab_alimentos[[#This Row],[Item]],super1[Bairro],mercado10)+SUMIFS(supercb[Qtde],supercb[Item],tab_alimentos[[#This Row],[Item]],supercb[Bairro],mercado10)</f>
        <v>0</v>
      </c>
      <c r="V410" s="4">
        <f>SUMIFS(super1[Qtde],super1[Item],tab_alimentos[[#This Row],[Item]],super1[Bairro],mercado11)+SUMIFS(supercb[Qtde],supercb[Item],tab_alimentos[[#This Row],[Item]],supercb[Bairro],mercado11)</f>
        <v>0</v>
      </c>
      <c r="W410" s="4">
        <f>SUMIFS(super1[Qtde],super1[Item],tab_alimentos[[#This Row],[Item]],super1[Bairro],mercado12)+SUMIFS(supercb[Qtde],supercb[Item],tab_alimentos[[#This Row],[Item]],supercb[Bairro],mercado12)</f>
        <v>0</v>
      </c>
      <c r="X410" s="4">
        <f>SUMIFS(super1[Qtde],super1[Item],tab_alimentos[[#This Row],[Item]],super1[Bairro],mercado13)+SUMIFS(supercb[Qtde],supercb[Item],tab_alimentos[[#This Row],[Item]],supercb[Bairro],mercado13)</f>
        <v>0</v>
      </c>
      <c r="Y410" s="4">
        <f>SUMIFS(super1[Qtde],super1[Item],tab_alimentos[[#This Row],[Item]],super1[Bairro],mercado14)+SUMIFS(supercb[Qtde],supercb[Item],tab_alimentos[[#This Row],[Item]],supercb[Bairro],mercado14)</f>
        <v>0</v>
      </c>
      <c r="Z410" s="4">
        <f>SUMIFS(super1[Qtde],super1[Item],tab_alimentos[[#This Row],[Item]],super1[Bairro],mercado15)+SUMIFS(supercb[Qtde],supercb[Item],tab_alimentos[[#This Row],[Item]],supercb[Bairro],mercado15)</f>
        <v>0</v>
      </c>
      <c r="AA410" s="4">
        <f>SUMIFS(super1[Qtde],super1[Item],tab_alimentos[[#This Row],[Item]],super1[Bairro],mercado16)+SUMIFS(supercb[Qtde],supercb[Item],tab_alimentos[[#This Row],[Item]],supercb[Bairro],mercado16)</f>
        <v>0</v>
      </c>
      <c r="AB410" s="4">
        <f>SUMIFS(super1[Qtde],super1[Item],tab_alimentos[[#This Row],[Item]],super1[Bairro],mercado17)+SUMIFS(supercb[Qtde],supercb[Item],tab_alimentos[[#This Row],[Item]],supercb[Bairro],mercado17)</f>
        <v>0</v>
      </c>
      <c r="AC410" s="4">
        <f>SUMIFS(super1[Qtde],super1[Item],tab_alimentos[[#This Row],[Item]],super1[Bairro],mercado18)+SUMIFS(supercb[Qtde],supercb[Item],tab_alimentos[[#This Row],[Item]],supercb[Bairro],mercado18)</f>
        <v>0</v>
      </c>
      <c r="AD410" s="4">
        <f>SUMIFS(super1[Qtde],super1[Item],tab_alimentos[[#This Row],[Item]],super1[Bairro],extras)+SUMIFS(supercb[Qtde],supercb[Item],tab_alimentos[[#This Row],[Item]],supercb[Bairro],extras)</f>
        <v>0</v>
      </c>
      <c r="AE410" s="4">
        <f t="shared" si="97"/>
        <v>0</v>
      </c>
      <c r="AF410" s="4">
        <f t="shared" si="98"/>
        <v>0</v>
      </c>
      <c r="AG410" s="6">
        <f t="shared" si="99"/>
        <v>0</v>
      </c>
    </row>
    <row r="411" spans="9:33" x14ac:dyDescent="0.25">
      <c r="I411" s="19" t="str">
        <f>alimentos[[#This Row],[Item]]</f>
        <v>Sardinha (80g)</v>
      </c>
      <c r="J411" s="4">
        <f>IFERROR(alimentos[[#This Row],[kg/embalagem]],0)</f>
        <v>0.08</v>
      </c>
      <c r="K411" s="4">
        <f>IFERROR(alimentos[[#This Row],[Preço]],0)</f>
        <v>4.1900000000000004</v>
      </c>
      <c r="L411" s="4">
        <f>SUMIFS(super1[Qtde],super1[Item],tab_alimentos[[#This Row],[Item]],super1[Bairro],mercado1)+SUMIFS(supercb[Qtde],supercb[Item],tab_alimentos[[#This Row],[Item]],supercb[Bairro],mercado1)</f>
        <v>0</v>
      </c>
      <c r="M411" s="4">
        <f>SUMIFS(super1[Qtde],super1[Item],tab_alimentos[[#This Row],[Item]],super1[Bairro],mercado2)+SUMIFS(supercb[Qtde],supercb[Item],tab_alimentos[[#This Row],[Item]],supercb[Bairro],mercado2)</f>
        <v>0</v>
      </c>
      <c r="N411" s="4">
        <f>SUMIFS(super1[Qtde],super1[Item],tab_alimentos[[#This Row],[Item]],super1[Bairro],mercado3)+SUMIFS(supercb[Qtde],supercb[Item],tab_alimentos[[#This Row],[Item]],supercb[Bairro],mercado3)</f>
        <v>0</v>
      </c>
      <c r="O411" s="4">
        <f>SUMIFS(super1[Qtde],super1[Item],tab_alimentos[[#This Row],[Item]],super1[Bairro],mercado4)+SUMIFS(supercb[Qtde],supercb[Item],tab_alimentos[[#This Row],[Item]],supercb[Bairro],mercado4)</f>
        <v>0</v>
      </c>
      <c r="P411" s="4">
        <f>SUMIFS(super1[Qtde],super1[Item],tab_alimentos[[#This Row],[Item]],super1[Bairro],mercado5)+SUMIFS(supercb[Qtde],supercb[Item],tab_alimentos[[#This Row],[Item]],supercb[Bairro],mercado5)</f>
        <v>0</v>
      </c>
      <c r="Q411" s="4">
        <f>SUMIFS(super1[Qtde],super1[Item],tab_alimentos[[#This Row],[Item]],super1[Bairro],mercado6)+SUMIFS(supercb[Qtde],supercb[Item],tab_alimentos[[#This Row],[Item]],supercb[Bairro],mercado6)</f>
        <v>0</v>
      </c>
      <c r="R411" s="4">
        <f>SUMIFS(super1[Qtde],super1[Item],tab_alimentos[[#This Row],[Item]],super1[Bairro],mercado7)+SUMIFS(supercb[Qtde],supercb[Item],tab_alimentos[[#This Row],[Item]],supercb[Bairro],mercado7)</f>
        <v>0</v>
      </c>
      <c r="S411" s="4">
        <f>SUMIFS(super1[Qtde],super1[Item],tab_alimentos[[#This Row],[Item]],super1[Bairro],mercado8)+SUMIFS(supercb[Qtde],supercb[Item],tab_alimentos[[#This Row],[Item]],supercb[Bairro],mercado8)</f>
        <v>0</v>
      </c>
      <c r="T411" s="4">
        <f>SUMIFS(super1[Qtde],super1[Item],tab_alimentos[[#This Row],[Item]],super1[Bairro],mercado9)+SUMIFS(supercb[Qtde],supercb[Item],tab_alimentos[[#This Row],[Item]],supercb[Bairro],mercado9)</f>
        <v>0</v>
      </c>
      <c r="U411" s="4">
        <f>SUMIFS(super1[Qtde],super1[Item],tab_alimentos[[#This Row],[Item]],super1[Bairro],mercado10)+SUMIFS(supercb[Qtde],supercb[Item],tab_alimentos[[#This Row],[Item]],supercb[Bairro],mercado10)</f>
        <v>0</v>
      </c>
      <c r="V411" s="4">
        <f>SUMIFS(super1[Qtde],super1[Item],tab_alimentos[[#This Row],[Item]],super1[Bairro],mercado11)+SUMIFS(supercb[Qtde],supercb[Item],tab_alimentos[[#This Row],[Item]],supercb[Bairro],mercado11)</f>
        <v>0</v>
      </c>
      <c r="W411" s="4">
        <f>SUMIFS(super1[Qtde],super1[Item],tab_alimentos[[#This Row],[Item]],super1[Bairro],mercado12)+SUMIFS(supercb[Qtde],supercb[Item],tab_alimentos[[#This Row],[Item]],supercb[Bairro],mercado12)</f>
        <v>0</v>
      </c>
      <c r="X411" s="4">
        <f>SUMIFS(super1[Qtde],super1[Item],tab_alimentos[[#This Row],[Item]],super1[Bairro],mercado13)+SUMIFS(supercb[Qtde],supercb[Item],tab_alimentos[[#This Row],[Item]],supercb[Bairro],mercado13)</f>
        <v>0</v>
      </c>
      <c r="Y411" s="4">
        <f>SUMIFS(super1[Qtde],super1[Item],tab_alimentos[[#This Row],[Item]],super1[Bairro],mercado14)+SUMIFS(supercb[Qtde],supercb[Item],tab_alimentos[[#This Row],[Item]],supercb[Bairro],mercado14)</f>
        <v>0</v>
      </c>
      <c r="Z411" s="4">
        <f>SUMIFS(super1[Qtde],super1[Item],tab_alimentos[[#This Row],[Item]],super1[Bairro],mercado15)+SUMIFS(supercb[Qtde],supercb[Item],tab_alimentos[[#This Row],[Item]],supercb[Bairro],mercado15)</f>
        <v>0</v>
      </c>
      <c r="AA411" s="4">
        <f>SUMIFS(super1[Qtde],super1[Item],tab_alimentos[[#This Row],[Item]],super1[Bairro],mercado16)+SUMIFS(supercb[Qtde],supercb[Item],tab_alimentos[[#This Row],[Item]],supercb[Bairro],mercado16)</f>
        <v>0</v>
      </c>
      <c r="AB411" s="4">
        <f>SUMIFS(super1[Qtde],super1[Item],tab_alimentos[[#This Row],[Item]],super1[Bairro],mercado17)+SUMIFS(supercb[Qtde],supercb[Item],tab_alimentos[[#This Row],[Item]],supercb[Bairro],mercado17)</f>
        <v>0</v>
      </c>
      <c r="AC411" s="4">
        <f>SUMIFS(super1[Qtde],super1[Item],tab_alimentos[[#This Row],[Item]],super1[Bairro],mercado18)+SUMIFS(supercb[Qtde],supercb[Item],tab_alimentos[[#This Row],[Item]],supercb[Bairro],mercado18)</f>
        <v>0</v>
      </c>
      <c r="AD411" s="4">
        <f>SUMIFS(super1[Qtde],super1[Item],tab_alimentos[[#This Row],[Item]],super1[Bairro],extras)+SUMIFS(supercb[Qtde],supercb[Item],tab_alimentos[[#This Row],[Item]],supercb[Bairro],extras)</f>
        <v>0</v>
      </c>
      <c r="AE411" s="4">
        <f t="shared" si="97"/>
        <v>0</v>
      </c>
      <c r="AF411" s="4">
        <f t="shared" si="98"/>
        <v>0</v>
      </c>
      <c r="AG411" s="6">
        <f t="shared" si="99"/>
        <v>0</v>
      </c>
    </row>
    <row r="412" spans="9:33" x14ac:dyDescent="0.25">
      <c r="I412" s="19" t="str">
        <f>alimentos[[#This Row],[Item]]</f>
        <v>Sazon (37,5g)</v>
      </c>
      <c r="J412" s="4">
        <f>IFERROR(alimentos[[#This Row],[kg/embalagem]],0)</f>
        <v>3.6999999999999998E-2</v>
      </c>
      <c r="K412" s="4">
        <f>IFERROR(alimentos[[#This Row],[Preço]],0)</f>
        <v>2.39</v>
      </c>
      <c r="L412" s="4">
        <f>SUMIFS(super1[Qtde],super1[Item],tab_alimentos[[#This Row],[Item]],super1[Bairro],mercado1)+SUMIFS(supercb[Qtde],supercb[Item],tab_alimentos[[#This Row],[Item]],supercb[Bairro],mercado1)</f>
        <v>0</v>
      </c>
      <c r="M412" s="4">
        <f>SUMIFS(super1[Qtde],super1[Item],tab_alimentos[[#This Row],[Item]],super1[Bairro],mercado2)+SUMIFS(supercb[Qtde],supercb[Item],tab_alimentos[[#This Row],[Item]],supercb[Bairro],mercado2)</f>
        <v>0</v>
      </c>
      <c r="N412" s="4">
        <f>SUMIFS(super1[Qtde],super1[Item],tab_alimentos[[#This Row],[Item]],super1[Bairro],mercado3)+SUMIFS(supercb[Qtde],supercb[Item],tab_alimentos[[#This Row],[Item]],supercb[Bairro],mercado3)</f>
        <v>0</v>
      </c>
      <c r="O412" s="4">
        <f>SUMIFS(super1[Qtde],super1[Item],tab_alimentos[[#This Row],[Item]],super1[Bairro],mercado4)+SUMIFS(supercb[Qtde],supercb[Item],tab_alimentos[[#This Row],[Item]],supercb[Bairro],mercado4)</f>
        <v>0</v>
      </c>
      <c r="P412" s="4">
        <f>SUMIFS(super1[Qtde],super1[Item],tab_alimentos[[#This Row],[Item]],super1[Bairro],mercado5)+SUMIFS(supercb[Qtde],supercb[Item],tab_alimentos[[#This Row],[Item]],supercb[Bairro],mercado5)</f>
        <v>0</v>
      </c>
      <c r="Q412" s="4">
        <f>SUMIFS(super1[Qtde],super1[Item],tab_alimentos[[#This Row],[Item]],super1[Bairro],mercado6)+SUMIFS(supercb[Qtde],supercb[Item],tab_alimentos[[#This Row],[Item]],supercb[Bairro],mercado6)</f>
        <v>0</v>
      </c>
      <c r="R412" s="4">
        <f>SUMIFS(super1[Qtde],super1[Item],tab_alimentos[[#This Row],[Item]],super1[Bairro],mercado7)+SUMIFS(supercb[Qtde],supercb[Item],tab_alimentos[[#This Row],[Item]],supercb[Bairro],mercado7)</f>
        <v>0</v>
      </c>
      <c r="S412" s="4">
        <f>SUMIFS(super1[Qtde],super1[Item],tab_alimentos[[#This Row],[Item]],super1[Bairro],mercado8)+SUMIFS(supercb[Qtde],supercb[Item],tab_alimentos[[#This Row],[Item]],supercb[Bairro],mercado8)</f>
        <v>0</v>
      </c>
      <c r="T412" s="4">
        <f>SUMIFS(super1[Qtde],super1[Item],tab_alimentos[[#This Row],[Item]],super1[Bairro],mercado9)+SUMIFS(supercb[Qtde],supercb[Item],tab_alimentos[[#This Row],[Item]],supercb[Bairro],mercado9)</f>
        <v>0</v>
      </c>
      <c r="U412" s="4">
        <f>SUMIFS(super1[Qtde],super1[Item],tab_alimentos[[#This Row],[Item]],super1[Bairro],mercado10)+SUMIFS(supercb[Qtde],supercb[Item],tab_alimentos[[#This Row],[Item]],supercb[Bairro],mercado10)</f>
        <v>0</v>
      </c>
      <c r="V412" s="4">
        <f>SUMIFS(super1[Qtde],super1[Item],tab_alimentos[[#This Row],[Item]],super1[Bairro],mercado11)+SUMIFS(supercb[Qtde],supercb[Item],tab_alimentos[[#This Row],[Item]],supercb[Bairro],mercado11)</f>
        <v>0</v>
      </c>
      <c r="W412" s="4">
        <f>SUMIFS(super1[Qtde],super1[Item],tab_alimentos[[#This Row],[Item]],super1[Bairro],mercado12)+SUMIFS(supercb[Qtde],supercb[Item],tab_alimentos[[#This Row],[Item]],supercb[Bairro],mercado12)</f>
        <v>0</v>
      </c>
      <c r="X412" s="4">
        <f>SUMIFS(super1[Qtde],super1[Item],tab_alimentos[[#This Row],[Item]],super1[Bairro],mercado13)+SUMIFS(supercb[Qtde],supercb[Item],tab_alimentos[[#This Row],[Item]],supercb[Bairro],mercado13)</f>
        <v>0</v>
      </c>
      <c r="Y412" s="4">
        <f>SUMIFS(super1[Qtde],super1[Item],tab_alimentos[[#This Row],[Item]],super1[Bairro],mercado14)+SUMIFS(supercb[Qtde],supercb[Item],tab_alimentos[[#This Row],[Item]],supercb[Bairro],mercado14)</f>
        <v>0</v>
      </c>
      <c r="Z412" s="4">
        <f>SUMIFS(super1[Qtde],super1[Item],tab_alimentos[[#This Row],[Item]],super1[Bairro],mercado15)+SUMIFS(supercb[Qtde],supercb[Item],tab_alimentos[[#This Row],[Item]],supercb[Bairro],mercado15)</f>
        <v>0</v>
      </c>
      <c r="AA412" s="4">
        <f>SUMIFS(super1[Qtde],super1[Item],tab_alimentos[[#This Row],[Item]],super1[Bairro],mercado16)+SUMIFS(supercb[Qtde],supercb[Item],tab_alimentos[[#This Row],[Item]],supercb[Bairro],mercado16)</f>
        <v>0</v>
      </c>
      <c r="AB412" s="4">
        <f>SUMIFS(super1[Qtde],super1[Item],tab_alimentos[[#This Row],[Item]],super1[Bairro],mercado17)+SUMIFS(supercb[Qtde],supercb[Item],tab_alimentos[[#This Row],[Item]],supercb[Bairro],mercado17)</f>
        <v>0</v>
      </c>
      <c r="AC412" s="4">
        <f>SUMIFS(super1[Qtde],super1[Item],tab_alimentos[[#This Row],[Item]],super1[Bairro],mercado18)+SUMIFS(supercb[Qtde],supercb[Item],tab_alimentos[[#This Row],[Item]],supercb[Bairro],mercado18)</f>
        <v>0</v>
      </c>
      <c r="AD412" s="4">
        <f>SUMIFS(super1[Qtde],super1[Item],tab_alimentos[[#This Row],[Item]],super1[Bairro],extras)+SUMIFS(supercb[Qtde],supercb[Item],tab_alimentos[[#This Row],[Item]],supercb[Bairro],extras)</f>
        <v>0</v>
      </c>
      <c r="AE412" s="4">
        <f t="shared" si="97"/>
        <v>0</v>
      </c>
      <c r="AF412" s="4">
        <f t="shared" si="98"/>
        <v>0</v>
      </c>
      <c r="AG412" s="6">
        <f t="shared" si="99"/>
        <v>0</v>
      </c>
    </row>
    <row r="413" spans="9:33" x14ac:dyDescent="0.25">
      <c r="I413" s="19" t="str">
        <f>alimentos[[#This Row],[Item]]</f>
        <v>Sazon (60g)</v>
      </c>
      <c r="J413" s="4">
        <f>IFERROR(alimentos[[#This Row],[kg/embalagem]],0)</f>
        <v>0.06</v>
      </c>
      <c r="K413" s="4">
        <f>IFERROR(alimentos[[#This Row],[Preço]],0)</f>
        <v>5.98</v>
      </c>
      <c r="L413" s="4">
        <f>SUMIFS(super1[Qtde],super1[Item],tab_alimentos[[#This Row],[Item]],super1[Bairro],mercado1)+SUMIFS(supercb[Qtde],supercb[Item],tab_alimentos[[#This Row],[Item]],supercb[Bairro],mercado1)</f>
        <v>0</v>
      </c>
      <c r="M413" s="4">
        <f>SUMIFS(super1[Qtde],super1[Item],tab_alimentos[[#This Row],[Item]],super1[Bairro],mercado2)+SUMIFS(supercb[Qtde],supercb[Item],tab_alimentos[[#This Row],[Item]],supercb[Bairro],mercado2)</f>
        <v>0</v>
      </c>
      <c r="N413" s="4">
        <f>SUMIFS(super1[Qtde],super1[Item],tab_alimentos[[#This Row],[Item]],super1[Bairro],mercado3)+SUMIFS(supercb[Qtde],supercb[Item],tab_alimentos[[#This Row],[Item]],supercb[Bairro],mercado3)</f>
        <v>0</v>
      </c>
      <c r="O413" s="4">
        <f>SUMIFS(super1[Qtde],super1[Item],tab_alimentos[[#This Row],[Item]],super1[Bairro],mercado4)+SUMIFS(supercb[Qtde],supercb[Item],tab_alimentos[[#This Row],[Item]],supercb[Bairro],mercado4)</f>
        <v>0</v>
      </c>
      <c r="P413" s="4">
        <f>SUMIFS(super1[Qtde],super1[Item],tab_alimentos[[#This Row],[Item]],super1[Bairro],mercado5)+SUMIFS(supercb[Qtde],supercb[Item],tab_alimentos[[#This Row],[Item]],supercb[Bairro],mercado5)</f>
        <v>0</v>
      </c>
      <c r="Q413" s="4">
        <f>SUMIFS(super1[Qtde],super1[Item],tab_alimentos[[#This Row],[Item]],super1[Bairro],mercado6)+SUMIFS(supercb[Qtde],supercb[Item],tab_alimentos[[#This Row],[Item]],supercb[Bairro],mercado6)</f>
        <v>0</v>
      </c>
      <c r="R413" s="4">
        <f>SUMIFS(super1[Qtde],super1[Item],tab_alimentos[[#This Row],[Item]],super1[Bairro],mercado7)+SUMIFS(supercb[Qtde],supercb[Item],tab_alimentos[[#This Row],[Item]],supercb[Bairro],mercado7)</f>
        <v>0</v>
      </c>
      <c r="S413" s="4">
        <f>SUMIFS(super1[Qtde],super1[Item],tab_alimentos[[#This Row],[Item]],super1[Bairro],mercado8)+SUMIFS(supercb[Qtde],supercb[Item],tab_alimentos[[#This Row],[Item]],supercb[Bairro],mercado8)</f>
        <v>0</v>
      </c>
      <c r="T413" s="4">
        <f>SUMIFS(super1[Qtde],super1[Item],tab_alimentos[[#This Row],[Item]],super1[Bairro],mercado9)+SUMIFS(supercb[Qtde],supercb[Item],tab_alimentos[[#This Row],[Item]],supercb[Bairro],mercado9)</f>
        <v>0</v>
      </c>
      <c r="U413" s="4">
        <f>SUMIFS(super1[Qtde],super1[Item],tab_alimentos[[#This Row],[Item]],super1[Bairro],mercado10)+SUMIFS(supercb[Qtde],supercb[Item],tab_alimentos[[#This Row],[Item]],supercb[Bairro],mercado10)</f>
        <v>0</v>
      </c>
      <c r="V413" s="4">
        <f>SUMIFS(super1[Qtde],super1[Item],tab_alimentos[[#This Row],[Item]],super1[Bairro],mercado11)+SUMIFS(supercb[Qtde],supercb[Item],tab_alimentos[[#This Row],[Item]],supercb[Bairro],mercado11)</f>
        <v>0</v>
      </c>
      <c r="W413" s="4">
        <f>SUMIFS(super1[Qtde],super1[Item],tab_alimentos[[#This Row],[Item]],super1[Bairro],mercado12)+SUMIFS(supercb[Qtde],supercb[Item],tab_alimentos[[#This Row],[Item]],supercb[Bairro],mercado12)</f>
        <v>0</v>
      </c>
      <c r="X413" s="4">
        <f>SUMIFS(super1[Qtde],super1[Item],tab_alimentos[[#This Row],[Item]],super1[Bairro],mercado13)+SUMIFS(supercb[Qtde],supercb[Item],tab_alimentos[[#This Row],[Item]],supercb[Bairro],mercado13)</f>
        <v>0</v>
      </c>
      <c r="Y413" s="4">
        <f>SUMIFS(super1[Qtde],super1[Item],tab_alimentos[[#This Row],[Item]],super1[Bairro],mercado14)+SUMIFS(supercb[Qtde],supercb[Item],tab_alimentos[[#This Row],[Item]],supercb[Bairro],mercado14)</f>
        <v>0</v>
      </c>
      <c r="Z413" s="4">
        <f>SUMIFS(super1[Qtde],super1[Item],tab_alimentos[[#This Row],[Item]],super1[Bairro],mercado15)+SUMIFS(supercb[Qtde],supercb[Item],tab_alimentos[[#This Row],[Item]],supercb[Bairro],mercado15)</f>
        <v>0</v>
      </c>
      <c r="AA413" s="4">
        <f>SUMIFS(super1[Qtde],super1[Item],tab_alimentos[[#This Row],[Item]],super1[Bairro],mercado16)+SUMIFS(supercb[Qtde],supercb[Item],tab_alimentos[[#This Row],[Item]],supercb[Bairro],mercado16)</f>
        <v>0</v>
      </c>
      <c r="AB413" s="4">
        <f>SUMIFS(super1[Qtde],super1[Item],tab_alimentos[[#This Row],[Item]],super1[Bairro],mercado17)+SUMIFS(supercb[Qtde],supercb[Item],tab_alimentos[[#This Row],[Item]],supercb[Bairro],mercado17)</f>
        <v>0</v>
      </c>
      <c r="AC413" s="4">
        <f>SUMIFS(super1[Qtde],super1[Item],tab_alimentos[[#This Row],[Item]],super1[Bairro],mercado18)+SUMIFS(supercb[Qtde],supercb[Item],tab_alimentos[[#This Row],[Item]],supercb[Bairro],mercado18)</f>
        <v>0</v>
      </c>
      <c r="AD413" s="4">
        <f>SUMIFS(super1[Qtde],super1[Item],tab_alimentos[[#This Row],[Item]],super1[Bairro],extras)+SUMIFS(supercb[Qtde],supercb[Item],tab_alimentos[[#This Row],[Item]],supercb[Bairro],extras)</f>
        <v>0</v>
      </c>
      <c r="AE413" s="4">
        <f t="shared" si="97"/>
        <v>0</v>
      </c>
      <c r="AF413" s="4">
        <f t="shared" si="98"/>
        <v>0</v>
      </c>
      <c r="AG413" s="6">
        <f t="shared" si="99"/>
        <v>0</v>
      </c>
    </row>
    <row r="414" spans="9:33" x14ac:dyDescent="0.25">
      <c r="I414" s="19" t="str">
        <f>alimentos[[#This Row],[Item]]</f>
        <v>Seleta de Legumes (200g)</v>
      </c>
      <c r="J414" s="4">
        <f>IFERROR(alimentos[[#This Row],[kg/embalagem]],0)</f>
        <v>0.2</v>
      </c>
      <c r="K414" s="4">
        <f>IFERROR(alimentos[[#This Row],[Preço]],0)</f>
        <v>6.39</v>
      </c>
      <c r="L414" s="4">
        <f>SUMIFS(super1[Qtde],super1[Item],tab_alimentos[[#This Row],[Item]],super1[Bairro],mercado1)+SUMIFS(supercb[Qtde],supercb[Item],tab_alimentos[[#This Row],[Item]],supercb[Bairro],mercado1)</f>
        <v>0</v>
      </c>
      <c r="M414" s="4">
        <f>SUMIFS(super1[Qtde],super1[Item],tab_alimentos[[#This Row],[Item]],super1[Bairro],mercado2)+SUMIFS(supercb[Qtde],supercb[Item],tab_alimentos[[#This Row],[Item]],supercb[Bairro],mercado2)</f>
        <v>0</v>
      </c>
      <c r="N414" s="4">
        <f>SUMIFS(super1[Qtde],super1[Item],tab_alimentos[[#This Row],[Item]],super1[Bairro],mercado3)+SUMIFS(supercb[Qtde],supercb[Item],tab_alimentos[[#This Row],[Item]],supercb[Bairro],mercado3)</f>
        <v>0</v>
      </c>
      <c r="O414" s="4">
        <f>SUMIFS(super1[Qtde],super1[Item],tab_alimentos[[#This Row],[Item]],super1[Bairro],mercado4)+SUMIFS(supercb[Qtde],supercb[Item],tab_alimentos[[#This Row],[Item]],supercb[Bairro],mercado4)</f>
        <v>0</v>
      </c>
      <c r="P414" s="4">
        <f>SUMIFS(super1[Qtde],super1[Item],tab_alimentos[[#This Row],[Item]],super1[Bairro],mercado5)+SUMIFS(supercb[Qtde],supercb[Item],tab_alimentos[[#This Row],[Item]],supercb[Bairro],mercado5)</f>
        <v>0</v>
      </c>
      <c r="Q414" s="4">
        <f>SUMIFS(super1[Qtde],super1[Item],tab_alimentos[[#This Row],[Item]],super1[Bairro],mercado6)+SUMIFS(supercb[Qtde],supercb[Item],tab_alimentos[[#This Row],[Item]],supercb[Bairro],mercado6)</f>
        <v>0</v>
      </c>
      <c r="R414" s="4">
        <f>SUMIFS(super1[Qtde],super1[Item],tab_alimentos[[#This Row],[Item]],super1[Bairro],mercado7)+SUMIFS(supercb[Qtde],supercb[Item],tab_alimentos[[#This Row],[Item]],supercb[Bairro],mercado7)</f>
        <v>0</v>
      </c>
      <c r="S414" s="4">
        <f>SUMIFS(super1[Qtde],super1[Item],tab_alimentos[[#This Row],[Item]],super1[Bairro],mercado8)+SUMIFS(supercb[Qtde],supercb[Item],tab_alimentos[[#This Row],[Item]],supercb[Bairro],mercado8)</f>
        <v>0</v>
      </c>
      <c r="T414" s="4">
        <f>SUMIFS(super1[Qtde],super1[Item],tab_alimentos[[#This Row],[Item]],super1[Bairro],mercado9)+SUMIFS(supercb[Qtde],supercb[Item],tab_alimentos[[#This Row],[Item]],supercb[Bairro],mercado9)</f>
        <v>0</v>
      </c>
      <c r="U414" s="4">
        <f>SUMIFS(super1[Qtde],super1[Item],tab_alimentos[[#This Row],[Item]],super1[Bairro],mercado10)+SUMIFS(supercb[Qtde],supercb[Item],tab_alimentos[[#This Row],[Item]],supercb[Bairro],mercado10)</f>
        <v>0</v>
      </c>
      <c r="V414" s="4">
        <f>SUMIFS(super1[Qtde],super1[Item],tab_alimentos[[#This Row],[Item]],super1[Bairro],mercado11)+SUMIFS(supercb[Qtde],supercb[Item],tab_alimentos[[#This Row],[Item]],supercb[Bairro],mercado11)</f>
        <v>0</v>
      </c>
      <c r="W414" s="4">
        <f>SUMIFS(super1[Qtde],super1[Item],tab_alimentos[[#This Row],[Item]],super1[Bairro],mercado12)+SUMIFS(supercb[Qtde],supercb[Item],tab_alimentos[[#This Row],[Item]],supercb[Bairro],mercado12)</f>
        <v>0</v>
      </c>
      <c r="X414" s="4">
        <f>SUMIFS(super1[Qtde],super1[Item],tab_alimentos[[#This Row],[Item]],super1[Bairro],mercado13)+SUMIFS(supercb[Qtde],supercb[Item],tab_alimentos[[#This Row],[Item]],supercb[Bairro],mercado13)</f>
        <v>0</v>
      </c>
      <c r="Y414" s="4">
        <f>SUMIFS(super1[Qtde],super1[Item],tab_alimentos[[#This Row],[Item]],super1[Bairro],mercado14)+SUMIFS(supercb[Qtde],supercb[Item],tab_alimentos[[#This Row],[Item]],supercb[Bairro],mercado14)</f>
        <v>0</v>
      </c>
      <c r="Z414" s="4">
        <f>SUMIFS(super1[Qtde],super1[Item],tab_alimentos[[#This Row],[Item]],super1[Bairro],mercado15)+SUMIFS(supercb[Qtde],supercb[Item],tab_alimentos[[#This Row],[Item]],supercb[Bairro],mercado15)</f>
        <v>0</v>
      </c>
      <c r="AA414" s="4">
        <f>SUMIFS(super1[Qtde],super1[Item],tab_alimentos[[#This Row],[Item]],super1[Bairro],mercado16)+SUMIFS(supercb[Qtde],supercb[Item],tab_alimentos[[#This Row],[Item]],supercb[Bairro],mercado16)</f>
        <v>0</v>
      </c>
      <c r="AB414" s="4">
        <f>SUMIFS(super1[Qtde],super1[Item],tab_alimentos[[#This Row],[Item]],super1[Bairro],mercado17)+SUMIFS(supercb[Qtde],supercb[Item],tab_alimentos[[#This Row],[Item]],supercb[Bairro],mercado17)</f>
        <v>0</v>
      </c>
      <c r="AC414" s="4">
        <f>SUMIFS(super1[Qtde],super1[Item],tab_alimentos[[#This Row],[Item]],super1[Bairro],mercado18)+SUMIFS(supercb[Qtde],supercb[Item],tab_alimentos[[#This Row],[Item]],supercb[Bairro],mercado18)</f>
        <v>0</v>
      </c>
      <c r="AD414" s="4">
        <f>SUMIFS(super1[Qtde],super1[Item],tab_alimentos[[#This Row],[Item]],super1[Bairro],extras)+SUMIFS(supercb[Qtde],supercb[Item],tab_alimentos[[#This Row],[Item]],supercb[Bairro],extras)</f>
        <v>0</v>
      </c>
      <c r="AE414" s="4">
        <f t="shared" si="97"/>
        <v>0</v>
      </c>
      <c r="AF414" s="4">
        <f t="shared" si="98"/>
        <v>0</v>
      </c>
      <c r="AG414" s="6">
        <f t="shared" si="99"/>
        <v>0</v>
      </c>
    </row>
    <row r="415" spans="9:33" x14ac:dyDescent="0.25">
      <c r="I415" s="19" t="str">
        <f>alimentos[[#This Row],[Item]]</f>
        <v>Seleta de Legumes (280g)</v>
      </c>
      <c r="J415" s="4">
        <f>IFERROR(alimentos[[#This Row],[kg/embalagem]],0)</f>
        <v>0.28000000000000003</v>
      </c>
      <c r="K415" s="4">
        <f>IFERROR(alimentos[[#This Row],[Preço]],0)</f>
        <v>6.85</v>
      </c>
      <c r="L415" s="4">
        <f>SUMIFS(super1[Qtde],super1[Item],tab_alimentos[[#This Row],[Item]],super1[Bairro],mercado1)+SUMIFS(supercb[Qtde],supercb[Item],tab_alimentos[[#This Row],[Item]],supercb[Bairro],mercado1)</f>
        <v>0</v>
      </c>
      <c r="M415" s="4">
        <f>SUMIFS(super1[Qtde],super1[Item],tab_alimentos[[#This Row],[Item]],super1[Bairro],mercado2)+SUMIFS(supercb[Qtde],supercb[Item],tab_alimentos[[#This Row],[Item]],supercb[Bairro],mercado2)</f>
        <v>0</v>
      </c>
      <c r="N415" s="4">
        <f>SUMIFS(super1[Qtde],super1[Item],tab_alimentos[[#This Row],[Item]],super1[Bairro],mercado3)+SUMIFS(supercb[Qtde],supercb[Item],tab_alimentos[[#This Row],[Item]],supercb[Bairro],mercado3)</f>
        <v>0</v>
      </c>
      <c r="O415" s="4">
        <f>SUMIFS(super1[Qtde],super1[Item],tab_alimentos[[#This Row],[Item]],super1[Bairro],mercado4)+SUMIFS(supercb[Qtde],supercb[Item],tab_alimentos[[#This Row],[Item]],supercb[Bairro],mercado4)</f>
        <v>0</v>
      </c>
      <c r="P415" s="4">
        <f>SUMIFS(super1[Qtde],super1[Item],tab_alimentos[[#This Row],[Item]],super1[Bairro],mercado5)+SUMIFS(supercb[Qtde],supercb[Item],tab_alimentos[[#This Row],[Item]],supercb[Bairro],mercado5)</f>
        <v>0</v>
      </c>
      <c r="Q415" s="4">
        <f>SUMIFS(super1[Qtde],super1[Item],tab_alimentos[[#This Row],[Item]],super1[Bairro],mercado6)+SUMIFS(supercb[Qtde],supercb[Item],tab_alimentos[[#This Row],[Item]],supercb[Bairro],mercado6)</f>
        <v>0</v>
      </c>
      <c r="R415" s="4">
        <f>SUMIFS(super1[Qtde],super1[Item],tab_alimentos[[#This Row],[Item]],super1[Bairro],mercado7)+SUMIFS(supercb[Qtde],supercb[Item],tab_alimentos[[#This Row],[Item]],supercb[Bairro],mercado7)</f>
        <v>0</v>
      </c>
      <c r="S415" s="4">
        <f>SUMIFS(super1[Qtde],super1[Item],tab_alimentos[[#This Row],[Item]],super1[Bairro],mercado8)+SUMIFS(supercb[Qtde],supercb[Item],tab_alimentos[[#This Row],[Item]],supercb[Bairro],mercado8)</f>
        <v>0</v>
      </c>
      <c r="T415" s="4">
        <f>SUMIFS(super1[Qtde],super1[Item],tab_alimentos[[#This Row],[Item]],super1[Bairro],mercado9)+SUMIFS(supercb[Qtde],supercb[Item],tab_alimentos[[#This Row],[Item]],supercb[Bairro],mercado9)</f>
        <v>0</v>
      </c>
      <c r="U415" s="4">
        <f>SUMIFS(super1[Qtde],super1[Item],tab_alimentos[[#This Row],[Item]],super1[Bairro],mercado10)+SUMIFS(supercb[Qtde],supercb[Item],tab_alimentos[[#This Row],[Item]],supercb[Bairro],mercado10)</f>
        <v>0</v>
      </c>
      <c r="V415" s="4">
        <f>SUMIFS(super1[Qtde],super1[Item],tab_alimentos[[#This Row],[Item]],super1[Bairro],mercado11)+SUMIFS(supercb[Qtde],supercb[Item],tab_alimentos[[#This Row],[Item]],supercb[Bairro],mercado11)</f>
        <v>0</v>
      </c>
      <c r="W415" s="4">
        <f>SUMIFS(super1[Qtde],super1[Item],tab_alimentos[[#This Row],[Item]],super1[Bairro],mercado12)+SUMIFS(supercb[Qtde],supercb[Item],tab_alimentos[[#This Row],[Item]],supercb[Bairro],mercado12)</f>
        <v>0</v>
      </c>
      <c r="X415" s="4">
        <f>SUMIFS(super1[Qtde],super1[Item],tab_alimentos[[#This Row],[Item]],super1[Bairro],mercado13)+SUMIFS(supercb[Qtde],supercb[Item],tab_alimentos[[#This Row],[Item]],supercb[Bairro],mercado13)</f>
        <v>0</v>
      </c>
      <c r="Y415" s="4">
        <f>SUMIFS(super1[Qtde],super1[Item],tab_alimentos[[#This Row],[Item]],super1[Bairro],mercado14)+SUMIFS(supercb[Qtde],supercb[Item],tab_alimentos[[#This Row],[Item]],supercb[Bairro],mercado14)</f>
        <v>0</v>
      </c>
      <c r="Z415" s="4">
        <f>SUMIFS(super1[Qtde],super1[Item],tab_alimentos[[#This Row],[Item]],super1[Bairro],mercado15)+SUMIFS(supercb[Qtde],supercb[Item],tab_alimentos[[#This Row],[Item]],supercb[Bairro],mercado15)</f>
        <v>0</v>
      </c>
      <c r="AA415" s="4">
        <f>SUMIFS(super1[Qtde],super1[Item],tab_alimentos[[#This Row],[Item]],super1[Bairro],mercado16)+SUMIFS(supercb[Qtde],supercb[Item],tab_alimentos[[#This Row],[Item]],supercb[Bairro],mercado16)</f>
        <v>0</v>
      </c>
      <c r="AB415" s="4">
        <f>SUMIFS(super1[Qtde],super1[Item],tab_alimentos[[#This Row],[Item]],super1[Bairro],mercado17)+SUMIFS(supercb[Qtde],supercb[Item],tab_alimentos[[#This Row],[Item]],supercb[Bairro],mercado17)</f>
        <v>0</v>
      </c>
      <c r="AC415" s="4">
        <f>SUMIFS(super1[Qtde],super1[Item],tab_alimentos[[#This Row],[Item]],super1[Bairro],mercado18)+SUMIFS(supercb[Qtde],supercb[Item],tab_alimentos[[#This Row],[Item]],supercb[Bairro],mercado18)</f>
        <v>0</v>
      </c>
      <c r="AD415" s="4">
        <f>SUMIFS(super1[Qtde],super1[Item],tab_alimentos[[#This Row],[Item]],super1[Bairro],extras)+SUMIFS(supercb[Qtde],supercb[Item],tab_alimentos[[#This Row],[Item]],supercb[Bairro],extras)</f>
        <v>0</v>
      </c>
      <c r="AE415" s="4">
        <f t="shared" si="97"/>
        <v>0</v>
      </c>
      <c r="AF415" s="4">
        <f t="shared" si="98"/>
        <v>0</v>
      </c>
      <c r="AG415" s="6">
        <f t="shared" si="99"/>
        <v>0</v>
      </c>
    </row>
    <row r="416" spans="9:33" x14ac:dyDescent="0.25">
      <c r="I416" s="19" t="str">
        <f>alimentos[[#This Row],[Item]]</f>
        <v>Seleta de Legumes (300g)</v>
      </c>
      <c r="J416" s="4">
        <f>IFERROR(alimentos[[#This Row],[kg/embalagem]],0)</f>
        <v>0.3</v>
      </c>
      <c r="K416" s="4">
        <f>IFERROR(alimentos[[#This Row],[Preço]],0)</f>
        <v>5.79</v>
      </c>
      <c r="L416" s="4">
        <f>SUMIFS(super1[Qtde],super1[Item],tab_alimentos[[#This Row],[Item]],super1[Bairro],mercado1)+SUMIFS(supercb[Qtde],supercb[Item],tab_alimentos[[#This Row],[Item]],supercb[Bairro],mercado1)</f>
        <v>0</v>
      </c>
      <c r="M416" s="4">
        <f>SUMIFS(super1[Qtde],super1[Item],tab_alimentos[[#This Row],[Item]],super1[Bairro],mercado2)+SUMIFS(supercb[Qtde],supercb[Item],tab_alimentos[[#This Row],[Item]],supercb[Bairro],mercado2)</f>
        <v>0</v>
      </c>
      <c r="N416" s="4">
        <f>SUMIFS(super1[Qtde],super1[Item],tab_alimentos[[#This Row],[Item]],super1[Bairro],mercado3)+SUMIFS(supercb[Qtde],supercb[Item],tab_alimentos[[#This Row],[Item]],supercb[Bairro],mercado3)</f>
        <v>0</v>
      </c>
      <c r="O416" s="4">
        <f>SUMIFS(super1[Qtde],super1[Item],tab_alimentos[[#This Row],[Item]],super1[Bairro],mercado4)+SUMIFS(supercb[Qtde],supercb[Item],tab_alimentos[[#This Row],[Item]],supercb[Bairro],mercado4)</f>
        <v>0</v>
      </c>
      <c r="P416" s="4">
        <f>SUMIFS(super1[Qtde],super1[Item],tab_alimentos[[#This Row],[Item]],super1[Bairro],mercado5)+SUMIFS(supercb[Qtde],supercb[Item],tab_alimentos[[#This Row],[Item]],supercb[Bairro],mercado5)</f>
        <v>0</v>
      </c>
      <c r="Q416" s="4">
        <f>SUMIFS(super1[Qtde],super1[Item],tab_alimentos[[#This Row],[Item]],super1[Bairro],mercado6)+SUMIFS(supercb[Qtde],supercb[Item],tab_alimentos[[#This Row],[Item]],supercb[Bairro],mercado6)</f>
        <v>0</v>
      </c>
      <c r="R416" s="4">
        <f>SUMIFS(super1[Qtde],super1[Item],tab_alimentos[[#This Row],[Item]],super1[Bairro],mercado7)+SUMIFS(supercb[Qtde],supercb[Item],tab_alimentos[[#This Row],[Item]],supercb[Bairro],mercado7)</f>
        <v>0</v>
      </c>
      <c r="S416" s="4">
        <f>SUMIFS(super1[Qtde],super1[Item],tab_alimentos[[#This Row],[Item]],super1[Bairro],mercado8)+SUMIFS(supercb[Qtde],supercb[Item],tab_alimentos[[#This Row],[Item]],supercb[Bairro],mercado8)</f>
        <v>0</v>
      </c>
      <c r="T416" s="4">
        <f>SUMIFS(super1[Qtde],super1[Item],tab_alimentos[[#This Row],[Item]],super1[Bairro],mercado9)+SUMIFS(supercb[Qtde],supercb[Item],tab_alimentos[[#This Row],[Item]],supercb[Bairro],mercado9)</f>
        <v>0</v>
      </c>
      <c r="U416" s="4">
        <f>SUMIFS(super1[Qtde],super1[Item],tab_alimentos[[#This Row],[Item]],super1[Bairro],mercado10)+SUMIFS(supercb[Qtde],supercb[Item],tab_alimentos[[#This Row],[Item]],supercb[Bairro],mercado10)</f>
        <v>0</v>
      </c>
      <c r="V416" s="4">
        <f>SUMIFS(super1[Qtde],super1[Item],tab_alimentos[[#This Row],[Item]],super1[Bairro],mercado11)+SUMIFS(supercb[Qtde],supercb[Item],tab_alimentos[[#This Row],[Item]],supercb[Bairro],mercado11)</f>
        <v>0</v>
      </c>
      <c r="W416" s="4">
        <f>SUMIFS(super1[Qtde],super1[Item],tab_alimentos[[#This Row],[Item]],super1[Bairro],mercado12)+SUMIFS(supercb[Qtde],supercb[Item],tab_alimentos[[#This Row],[Item]],supercb[Bairro],mercado12)</f>
        <v>0</v>
      </c>
      <c r="X416" s="4">
        <f>SUMIFS(super1[Qtde],super1[Item],tab_alimentos[[#This Row],[Item]],super1[Bairro],mercado13)+SUMIFS(supercb[Qtde],supercb[Item],tab_alimentos[[#This Row],[Item]],supercb[Bairro],mercado13)</f>
        <v>0</v>
      </c>
      <c r="Y416" s="4">
        <f>SUMIFS(super1[Qtde],super1[Item],tab_alimentos[[#This Row],[Item]],super1[Bairro],mercado14)+SUMIFS(supercb[Qtde],supercb[Item],tab_alimentos[[#This Row],[Item]],supercb[Bairro],mercado14)</f>
        <v>0</v>
      </c>
      <c r="Z416" s="4">
        <f>SUMIFS(super1[Qtde],super1[Item],tab_alimentos[[#This Row],[Item]],super1[Bairro],mercado15)+SUMIFS(supercb[Qtde],supercb[Item],tab_alimentos[[#This Row],[Item]],supercb[Bairro],mercado15)</f>
        <v>0</v>
      </c>
      <c r="AA416" s="4">
        <f>SUMIFS(super1[Qtde],super1[Item],tab_alimentos[[#This Row],[Item]],super1[Bairro],mercado16)+SUMIFS(supercb[Qtde],supercb[Item],tab_alimentos[[#This Row],[Item]],supercb[Bairro],mercado16)</f>
        <v>0</v>
      </c>
      <c r="AB416" s="4">
        <f>SUMIFS(super1[Qtde],super1[Item],tab_alimentos[[#This Row],[Item]],super1[Bairro],mercado17)+SUMIFS(supercb[Qtde],supercb[Item],tab_alimentos[[#This Row],[Item]],supercb[Bairro],mercado17)</f>
        <v>0</v>
      </c>
      <c r="AC416" s="4">
        <f>SUMIFS(super1[Qtde],super1[Item],tab_alimentos[[#This Row],[Item]],super1[Bairro],mercado18)+SUMIFS(supercb[Qtde],supercb[Item],tab_alimentos[[#This Row],[Item]],supercb[Bairro],mercado18)</f>
        <v>0</v>
      </c>
      <c r="AD416" s="4">
        <f>SUMIFS(super1[Qtde],super1[Item],tab_alimentos[[#This Row],[Item]],super1[Bairro],extras)+SUMIFS(supercb[Qtde],supercb[Item],tab_alimentos[[#This Row],[Item]],supercb[Bairro],extras)</f>
        <v>0</v>
      </c>
      <c r="AE416" s="4">
        <f t="shared" si="97"/>
        <v>0</v>
      </c>
      <c r="AF416" s="4">
        <f t="shared" si="98"/>
        <v>0</v>
      </c>
      <c r="AG416" s="6">
        <f t="shared" si="99"/>
        <v>0</v>
      </c>
    </row>
    <row r="417" spans="9:33" x14ac:dyDescent="0.25">
      <c r="I417" s="19" t="str">
        <f>alimentos[[#This Row],[Item]]</f>
        <v>Soja Pronta (500g)</v>
      </c>
      <c r="J417" s="4">
        <f>IFERROR(alimentos[[#This Row],[kg/embalagem]],0)</f>
        <v>0.5</v>
      </c>
      <c r="K417" s="4">
        <f>IFERROR(alimentos[[#This Row],[Preço]],0)</f>
        <v>5.29</v>
      </c>
      <c r="L417" s="4">
        <f>SUMIFS(super1[Qtde],super1[Item],tab_alimentos[[#This Row],[Item]],super1[Bairro],mercado1)+SUMIFS(supercb[Qtde],supercb[Item],tab_alimentos[[#This Row],[Item]],supercb[Bairro],mercado1)</f>
        <v>0</v>
      </c>
      <c r="M417" s="4">
        <f>SUMIFS(super1[Qtde],super1[Item],tab_alimentos[[#This Row],[Item]],super1[Bairro],mercado2)+SUMIFS(supercb[Qtde],supercb[Item],tab_alimentos[[#This Row],[Item]],supercb[Bairro],mercado2)</f>
        <v>0</v>
      </c>
      <c r="N417" s="4">
        <f>SUMIFS(super1[Qtde],super1[Item],tab_alimentos[[#This Row],[Item]],super1[Bairro],mercado3)+SUMIFS(supercb[Qtde],supercb[Item],tab_alimentos[[#This Row],[Item]],supercb[Bairro],mercado3)</f>
        <v>0</v>
      </c>
      <c r="O417" s="4">
        <f>SUMIFS(super1[Qtde],super1[Item],tab_alimentos[[#This Row],[Item]],super1[Bairro],mercado4)+SUMIFS(supercb[Qtde],supercb[Item],tab_alimentos[[#This Row],[Item]],supercb[Bairro],mercado4)</f>
        <v>0</v>
      </c>
      <c r="P417" s="4">
        <f>SUMIFS(super1[Qtde],super1[Item],tab_alimentos[[#This Row],[Item]],super1[Bairro],mercado5)+SUMIFS(supercb[Qtde],supercb[Item],tab_alimentos[[#This Row],[Item]],supercb[Bairro],mercado5)</f>
        <v>0</v>
      </c>
      <c r="Q417" s="4">
        <f>SUMIFS(super1[Qtde],super1[Item],tab_alimentos[[#This Row],[Item]],super1[Bairro],mercado6)+SUMIFS(supercb[Qtde],supercb[Item],tab_alimentos[[#This Row],[Item]],supercb[Bairro],mercado6)</f>
        <v>0</v>
      </c>
      <c r="R417" s="4">
        <f>SUMIFS(super1[Qtde],super1[Item],tab_alimentos[[#This Row],[Item]],super1[Bairro],mercado7)+SUMIFS(supercb[Qtde],supercb[Item],tab_alimentos[[#This Row],[Item]],supercb[Bairro],mercado7)</f>
        <v>0</v>
      </c>
      <c r="S417" s="4">
        <f>SUMIFS(super1[Qtde],super1[Item],tab_alimentos[[#This Row],[Item]],super1[Bairro],mercado8)+SUMIFS(supercb[Qtde],supercb[Item],tab_alimentos[[#This Row],[Item]],supercb[Bairro],mercado8)</f>
        <v>0</v>
      </c>
      <c r="T417" s="4">
        <f>SUMIFS(super1[Qtde],super1[Item],tab_alimentos[[#This Row],[Item]],super1[Bairro],mercado9)+SUMIFS(supercb[Qtde],supercb[Item],tab_alimentos[[#This Row],[Item]],supercb[Bairro],mercado9)</f>
        <v>0</v>
      </c>
      <c r="U417" s="4">
        <f>SUMIFS(super1[Qtde],super1[Item],tab_alimentos[[#This Row],[Item]],super1[Bairro],mercado10)+SUMIFS(supercb[Qtde],supercb[Item],tab_alimentos[[#This Row],[Item]],supercb[Bairro],mercado10)</f>
        <v>0</v>
      </c>
      <c r="V417" s="4">
        <f>SUMIFS(super1[Qtde],super1[Item],tab_alimentos[[#This Row],[Item]],super1[Bairro],mercado11)+SUMIFS(supercb[Qtde],supercb[Item],tab_alimentos[[#This Row],[Item]],supercb[Bairro],mercado11)</f>
        <v>0</v>
      </c>
      <c r="W417" s="4">
        <f>SUMIFS(super1[Qtde],super1[Item],tab_alimentos[[#This Row],[Item]],super1[Bairro],mercado12)+SUMIFS(supercb[Qtde],supercb[Item],tab_alimentos[[#This Row],[Item]],supercb[Bairro],mercado12)</f>
        <v>0</v>
      </c>
      <c r="X417" s="4">
        <f>SUMIFS(super1[Qtde],super1[Item],tab_alimentos[[#This Row],[Item]],super1[Bairro],mercado13)+SUMIFS(supercb[Qtde],supercb[Item],tab_alimentos[[#This Row],[Item]],supercb[Bairro],mercado13)</f>
        <v>0</v>
      </c>
      <c r="Y417" s="4">
        <f>SUMIFS(super1[Qtde],super1[Item],tab_alimentos[[#This Row],[Item]],super1[Bairro],mercado14)+SUMIFS(supercb[Qtde],supercb[Item],tab_alimentos[[#This Row],[Item]],supercb[Bairro],mercado14)</f>
        <v>0</v>
      </c>
      <c r="Z417" s="4">
        <f>SUMIFS(super1[Qtde],super1[Item],tab_alimentos[[#This Row],[Item]],super1[Bairro],mercado15)+SUMIFS(supercb[Qtde],supercb[Item],tab_alimentos[[#This Row],[Item]],supercb[Bairro],mercado15)</f>
        <v>0</v>
      </c>
      <c r="AA417" s="4">
        <f>SUMIFS(super1[Qtde],super1[Item],tab_alimentos[[#This Row],[Item]],super1[Bairro],mercado16)+SUMIFS(supercb[Qtde],supercb[Item],tab_alimentos[[#This Row],[Item]],supercb[Bairro],mercado16)</f>
        <v>0</v>
      </c>
      <c r="AB417" s="4">
        <f>SUMIFS(super1[Qtde],super1[Item],tab_alimentos[[#This Row],[Item]],super1[Bairro],mercado17)+SUMIFS(supercb[Qtde],supercb[Item],tab_alimentos[[#This Row],[Item]],supercb[Bairro],mercado17)</f>
        <v>0</v>
      </c>
      <c r="AC417" s="4">
        <f>SUMIFS(super1[Qtde],super1[Item],tab_alimentos[[#This Row],[Item]],super1[Bairro],mercado18)+SUMIFS(supercb[Qtde],supercb[Item],tab_alimentos[[#This Row],[Item]],supercb[Bairro],mercado18)</f>
        <v>0</v>
      </c>
      <c r="AD417" s="4">
        <f>SUMIFS(super1[Qtde],super1[Item],tab_alimentos[[#This Row],[Item]],super1[Bairro],extras)+SUMIFS(supercb[Qtde],supercb[Item],tab_alimentos[[#This Row],[Item]],supercb[Bairro],extras)</f>
        <v>0</v>
      </c>
      <c r="AE417" s="4">
        <f t="shared" si="97"/>
        <v>0</v>
      </c>
      <c r="AF417" s="4">
        <f t="shared" si="98"/>
        <v>0</v>
      </c>
      <c r="AG417" s="6">
        <f t="shared" si="99"/>
        <v>0</v>
      </c>
    </row>
    <row r="418" spans="9:33" x14ac:dyDescent="0.25">
      <c r="I418" s="19" t="str">
        <f>alimentos[[#This Row],[Item]]</f>
        <v>Sopa (196g)</v>
      </c>
      <c r="J418" s="4">
        <f>IFERROR(alimentos[[#This Row],[kg/embalagem]],0)</f>
        <v>0.19600000000000001</v>
      </c>
      <c r="K418" s="4">
        <f>IFERROR(alimentos[[#This Row],[Preço]],0)</f>
        <v>10.29</v>
      </c>
      <c r="L418" s="4">
        <f>SUMIFS(super1[Qtde],super1[Item],tab_alimentos[[#This Row],[Item]],super1[Bairro],mercado1)+SUMIFS(supercb[Qtde],supercb[Item],tab_alimentos[[#This Row],[Item]],supercb[Bairro],mercado1)</f>
        <v>0</v>
      </c>
      <c r="M418" s="4">
        <f>SUMIFS(super1[Qtde],super1[Item],tab_alimentos[[#This Row],[Item]],super1[Bairro],mercado2)+SUMIFS(supercb[Qtde],supercb[Item],tab_alimentos[[#This Row],[Item]],supercb[Bairro],mercado2)</f>
        <v>0</v>
      </c>
      <c r="N418" s="4">
        <f>SUMIFS(super1[Qtde],super1[Item],tab_alimentos[[#This Row],[Item]],super1[Bairro],mercado3)+SUMIFS(supercb[Qtde],supercb[Item],tab_alimentos[[#This Row],[Item]],supercb[Bairro],mercado3)</f>
        <v>0</v>
      </c>
      <c r="O418" s="4">
        <f>SUMIFS(super1[Qtde],super1[Item],tab_alimentos[[#This Row],[Item]],super1[Bairro],mercado4)+SUMIFS(supercb[Qtde],supercb[Item],tab_alimentos[[#This Row],[Item]],supercb[Bairro],mercado4)</f>
        <v>0</v>
      </c>
      <c r="P418" s="4">
        <f>SUMIFS(super1[Qtde],super1[Item],tab_alimentos[[#This Row],[Item]],super1[Bairro],mercado5)+SUMIFS(supercb[Qtde],supercb[Item],tab_alimentos[[#This Row],[Item]],supercb[Bairro],mercado5)</f>
        <v>0</v>
      </c>
      <c r="Q418" s="4">
        <f>SUMIFS(super1[Qtde],super1[Item],tab_alimentos[[#This Row],[Item]],super1[Bairro],mercado6)+SUMIFS(supercb[Qtde],supercb[Item],tab_alimentos[[#This Row],[Item]],supercb[Bairro],mercado6)</f>
        <v>0</v>
      </c>
      <c r="R418" s="4">
        <f>SUMIFS(super1[Qtde],super1[Item],tab_alimentos[[#This Row],[Item]],super1[Bairro],mercado7)+SUMIFS(supercb[Qtde],supercb[Item],tab_alimentos[[#This Row],[Item]],supercb[Bairro],mercado7)</f>
        <v>0</v>
      </c>
      <c r="S418" s="4">
        <f>SUMIFS(super1[Qtde],super1[Item],tab_alimentos[[#This Row],[Item]],super1[Bairro],mercado8)+SUMIFS(supercb[Qtde],supercb[Item],tab_alimentos[[#This Row],[Item]],supercb[Bairro],mercado8)</f>
        <v>0</v>
      </c>
      <c r="T418" s="4">
        <f>SUMIFS(super1[Qtde],super1[Item],tab_alimentos[[#This Row],[Item]],super1[Bairro],mercado9)+SUMIFS(supercb[Qtde],supercb[Item],tab_alimentos[[#This Row],[Item]],supercb[Bairro],mercado9)</f>
        <v>0</v>
      </c>
      <c r="U418" s="4">
        <f>SUMIFS(super1[Qtde],super1[Item],tab_alimentos[[#This Row],[Item]],super1[Bairro],mercado10)+SUMIFS(supercb[Qtde],supercb[Item],tab_alimentos[[#This Row],[Item]],supercb[Bairro],mercado10)</f>
        <v>0</v>
      </c>
      <c r="V418" s="4">
        <f>SUMIFS(super1[Qtde],super1[Item],tab_alimentos[[#This Row],[Item]],super1[Bairro],mercado11)+SUMIFS(supercb[Qtde],supercb[Item],tab_alimentos[[#This Row],[Item]],supercb[Bairro],mercado11)</f>
        <v>0</v>
      </c>
      <c r="W418" s="4">
        <f>SUMIFS(super1[Qtde],super1[Item],tab_alimentos[[#This Row],[Item]],super1[Bairro],mercado12)+SUMIFS(supercb[Qtde],supercb[Item],tab_alimentos[[#This Row],[Item]],supercb[Bairro],mercado12)</f>
        <v>0</v>
      </c>
      <c r="X418" s="4">
        <f>SUMIFS(super1[Qtde],super1[Item],tab_alimentos[[#This Row],[Item]],super1[Bairro],mercado13)+SUMIFS(supercb[Qtde],supercb[Item],tab_alimentos[[#This Row],[Item]],supercb[Bairro],mercado13)</f>
        <v>0</v>
      </c>
      <c r="Y418" s="4">
        <f>SUMIFS(super1[Qtde],super1[Item],tab_alimentos[[#This Row],[Item]],super1[Bairro],mercado14)+SUMIFS(supercb[Qtde],supercb[Item],tab_alimentos[[#This Row],[Item]],supercb[Bairro],mercado14)</f>
        <v>0</v>
      </c>
      <c r="Z418" s="4">
        <f>SUMIFS(super1[Qtde],super1[Item],tab_alimentos[[#This Row],[Item]],super1[Bairro],mercado15)+SUMIFS(supercb[Qtde],supercb[Item],tab_alimentos[[#This Row],[Item]],supercb[Bairro],mercado15)</f>
        <v>0</v>
      </c>
      <c r="AA418" s="4">
        <f>SUMIFS(super1[Qtde],super1[Item],tab_alimentos[[#This Row],[Item]],super1[Bairro],mercado16)+SUMIFS(supercb[Qtde],supercb[Item],tab_alimentos[[#This Row],[Item]],supercb[Bairro],mercado16)</f>
        <v>0</v>
      </c>
      <c r="AB418" s="4">
        <f>SUMIFS(super1[Qtde],super1[Item],tab_alimentos[[#This Row],[Item]],super1[Bairro],mercado17)+SUMIFS(supercb[Qtde],supercb[Item],tab_alimentos[[#This Row],[Item]],supercb[Bairro],mercado17)</f>
        <v>0</v>
      </c>
      <c r="AC418" s="4">
        <f>SUMIFS(super1[Qtde],super1[Item],tab_alimentos[[#This Row],[Item]],super1[Bairro],mercado18)+SUMIFS(supercb[Qtde],supercb[Item],tab_alimentos[[#This Row],[Item]],supercb[Bairro],mercado18)</f>
        <v>0</v>
      </c>
      <c r="AD418" s="4">
        <f>SUMIFS(super1[Qtde],super1[Item],tab_alimentos[[#This Row],[Item]],super1[Bairro],extras)+SUMIFS(supercb[Qtde],supercb[Item],tab_alimentos[[#This Row],[Item]],supercb[Bairro],extras)</f>
        <v>0</v>
      </c>
      <c r="AE418" s="4">
        <f t="shared" si="97"/>
        <v>0</v>
      </c>
      <c r="AF418" s="4">
        <f t="shared" si="98"/>
        <v>0</v>
      </c>
      <c r="AG418" s="6">
        <f t="shared" si="99"/>
        <v>0</v>
      </c>
    </row>
    <row r="419" spans="9:33" x14ac:dyDescent="0.25">
      <c r="I419" s="19" t="str">
        <f>alimentos[[#This Row],[Item]]</f>
        <v>Sopa de Cebola (38g)</v>
      </c>
      <c r="J419" s="4">
        <f>IFERROR(alimentos[[#This Row],[kg/embalagem]],0)</f>
        <v>3.7999999999999999E-2</v>
      </c>
      <c r="K419" s="4">
        <f>IFERROR(alimentos[[#This Row],[Preço]],0)</f>
        <v>8.99</v>
      </c>
      <c r="L419" s="4">
        <f>SUMIFS(super1[Qtde],super1[Item],tab_alimentos[[#This Row],[Item]],super1[Bairro],mercado1)+SUMIFS(supercb[Qtde],supercb[Item],tab_alimentos[[#This Row],[Item]],supercb[Bairro],mercado1)</f>
        <v>0</v>
      </c>
      <c r="M419" s="4">
        <f>SUMIFS(super1[Qtde],super1[Item],tab_alimentos[[#This Row],[Item]],super1[Bairro],mercado2)+SUMIFS(supercb[Qtde],supercb[Item],tab_alimentos[[#This Row],[Item]],supercb[Bairro],mercado2)</f>
        <v>0</v>
      </c>
      <c r="N419" s="4">
        <f>SUMIFS(super1[Qtde],super1[Item],tab_alimentos[[#This Row],[Item]],super1[Bairro],mercado3)+SUMIFS(supercb[Qtde],supercb[Item],tab_alimentos[[#This Row],[Item]],supercb[Bairro],mercado3)</f>
        <v>0</v>
      </c>
      <c r="O419" s="4">
        <f>SUMIFS(super1[Qtde],super1[Item],tab_alimentos[[#This Row],[Item]],super1[Bairro],mercado4)+SUMIFS(supercb[Qtde],supercb[Item],tab_alimentos[[#This Row],[Item]],supercb[Bairro],mercado4)</f>
        <v>0</v>
      </c>
      <c r="P419" s="4">
        <f>SUMIFS(super1[Qtde],super1[Item],tab_alimentos[[#This Row],[Item]],super1[Bairro],mercado5)+SUMIFS(supercb[Qtde],supercb[Item],tab_alimentos[[#This Row],[Item]],supercb[Bairro],mercado5)</f>
        <v>0</v>
      </c>
      <c r="Q419" s="4">
        <f>SUMIFS(super1[Qtde],super1[Item],tab_alimentos[[#This Row],[Item]],super1[Bairro],mercado6)+SUMIFS(supercb[Qtde],supercb[Item],tab_alimentos[[#This Row],[Item]],supercb[Bairro],mercado6)</f>
        <v>0</v>
      </c>
      <c r="R419" s="4">
        <f>SUMIFS(super1[Qtde],super1[Item],tab_alimentos[[#This Row],[Item]],super1[Bairro],mercado7)+SUMIFS(supercb[Qtde],supercb[Item],tab_alimentos[[#This Row],[Item]],supercb[Bairro],mercado7)</f>
        <v>0</v>
      </c>
      <c r="S419" s="4">
        <f>SUMIFS(super1[Qtde],super1[Item],tab_alimentos[[#This Row],[Item]],super1[Bairro],mercado8)+SUMIFS(supercb[Qtde],supercb[Item],tab_alimentos[[#This Row],[Item]],supercb[Bairro],mercado8)</f>
        <v>0</v>
      </c>
      <c r="T419" s="4">
        <f>SUMIFS(super1[Qtde],super1[Item],tab_alimentos[[#This Row],[Item]],super1[Bairro],mercado9)+SUMIFS(supercb[Qtde],supercb[Item],tab_alimentos[[#This Row],[Item]],supercb[Bairro],mercado9)</f>
        <v>0</v>
      </c>
      <c r="U419" s="4">
        <f>SUMIFS(super1[Qtde],super1[Item],tab_alimentos[[#This Row],[Item]],super1[Bairro],mercado10)+SUMIFS(supercb[Qtde],supercb[Item],tab_alimentos[[#This Row],[Item]],supercb[Bairro],mercado10)</f>
        <v>0</v>
      </c>
      <c r="V419" s="4">
        <f>SUMIFS(super1[Qtde],super1[Item],tab_alimentos[[#This Row],[Item]],super1[Bairro],mercado11)+SUMIFS(supercb[Qtde],supercb[Item],tab_alimentos[[#This Row],[Item]],supercb[Bairro],mercado11)</f>
        <v>0</v>
      </c>
      <c r="W419" s="4">
        <f>SUMIFS(super1[Qtde],super1[Item],tab_alimentos[[#This Row],[Item]],super1[Bairro],mercado12)+SUMIFS(supercb[Qtde],supercb[Item],tab_alimentos[[#This Row],[Item]],supercb[Bairro],mercado12)</f>
        <v>0</v>
      </c>
      <c r="X419" s="4">
        <f>SUMIFS(super1[Qtde],super1[Item],tab_alimentos[[#This Row],[Item]],super1[Bairro],mercado13)+SUMIFS(supercb[Qtde],supercb[Item],tab_alimentos[[#This Row],[Item]],supercb[Bairro],mercado13)</f>
        <v>0</v>
      </c>
      <c r="Y419" s="4">
        <f>SUMIFS(super1[Qtde],super1[Item],tab_alimentos[[#This Row],[Item]],super1[Bairro],mercado14)+SUMIFS(supercb[Qtde],supercb[Item],tab_alimentos[[#This Row],[Item]],supercb[Bairro],mercado14)</f>
        <v>0</v>
      </c>
      <c r="Z419" s="4">
        <f>SUMIFS(super1[Qtde],super1[Item],tab_alimentos[[#This Row],[Item]],super1[Bairro],mercado15)+SUMIFS(supercb[Qtde],supercb[Item],tab_alimentos[[#This Row],[Item]],supercb[Bairro],mercado15)</f>
        <v>0</v>
      </c>
      <c r="AA419" s="4">
        <f>SUMIFS(super1[Qtde],super1[Item],tab_alimentos[[#This Row],[Item]],super1[Bairro],mercado16)+SUMIFS(supercb[Qtde],supercb[Item],tab_alimentos[[#This Row],[Item]],supercb[Bairro],mercado16)</f>
        <v>0</v>
      </c>
      <c r="AB419" s="4">
        <f>SUMIFS(super1[Qtde],super1[Item],tab_alimentos[[#This Row],[Item]],super1[Bairro],mercado17)+SUMIFS(supercb[Qtde],supercb[Item],tab_alimentos[[#This Row],[Item]],supercb[Bairro],mercado17)</f>
        <v>0</v>
      </c>
      <c r="AC419" s="4">
        <f>SUMIFS(super1[Qtde],super1[Item],tab_alimentos[[#This Row],[Item]],super1[Bairro],mercado18)+SUMIFS(supercb[Qtde],supercb[Item],tab_alimentos[[#This Row],[Item]],supercb[Bairro],mercado18)</f>
        <v>0</v>
      </c>
      <c r="AD419" s="4">
        <f>SUMIFS(super1[Qtde],super1[Item],tab_alimentos[[#This Row],[Item]],super1[Bairro],extras)+SUMIFS(supercb[Qtde],supercb[Item],tab_alimentos[[#This Row],[Item]],supercb[Bairro],extras)</f>
        <v>0</v>
      </c>
      <c r="AE419" s="4">
        <f t="shared" si="97"/>
        <v>0</v>
      </c>
      <c r="AF419" s="4">
        <f t="shared" si="98"/>
        <v>0</v>
      </c>
      <c r="AG419" s="6">
        <f t="shared" si="99"/>
        <v>0</v>
      </c>
    </row>
    <row r="420" spans="9:33" x14ac:dyDescent="0.25">
      <c r="I420" s="19" t="str">
        <f>alimentos[[#This Row],[Item]]</f>
        <v>Sopa Pronta (200g)</v>
      </c>
      <c r="J420" s="4">
        <f>IFERROR(alimentos[[#This Row],[kg/embalagem]],0)</f>
        <v>0.2</v>
      </c>
      <c r="K420" s="4">
        <f>IFERROR(alimentos[[#This Row],[Preço]],0)</f>
        <v>7.48</v>
      </c>
      <c r="L420" s="4">
        <f>SUMIFS(super1[Qtde],super1[Item],tab_alimentos[[#This Row],[Item]],super1[Bairro],mercado1)+SUMIFS(supercb[Qtde],supercb[Item],tab_alimentos[[#This Row],[Item]],supercb[Bairro],mercado1)</f>
        <v>0</v>
      </c>
      <c r="M420" s="4">
        <f>SUMIFS(super1[Qtde],super1[Item],tab_alimentos[[#This Row],[Item]],super1[Bairro],mercado2)+SUMIFS(supercb[Qtde],supercb[Item],tab_alimentos[[#This Row],[Item]],supercb[Bairro],mercado2)</f>
        <v>0</v>
      </c>
      <c r="N420" s="4">
        <f>SUMIFS(super1[Qtde],super1[Item],tab_alimentos[[#This Row],[Item]],super1[Bairro],mercado3)+SUMIFS(supercb[Qtde],supercb[Item],tab_alimentos[[#This Row],[Item]],supercb[Bairro],mercado3)</f>
        <v>0</v>
      </c>
      <c r="O420" s="4">
        <f>SUMIFS(super1[Qtde],super1[Item],tab_alimentos[[#This Row],[Item]],super1[Bairro],mercado4)+SUMIFS(supercb[Qtde],supercb[Item],tab_alimentos[[#This Row],[Item]],supercb[Bairro],mercado4)</f>
        <v>0</v>
      </c>
      <c r="P420" s="4">
        <f>SUMIFS(super1[Qtde],super1[Item],tab_alimentos[[#This Row],[Item]],super1[Bairro],mercado5)+SUMIFS(supercb[Qtde],supercb[Item],tab_alimentos[[#This Row],[Item]],supercb[Bairro],mercado5)</f>
        <v>0</v>
      </c>
      <c r="Q420" s="4">
        <f>SUMIFS(super1[Qtde],super1[Item],tab_alimentos[[#This Row],[Item]],super1[Bairro],mercado6)+SUMIFS(supercb[Qtde],supercb[Item],tab_alimentos[[#This Row],[Item]],supercb[Bairro],mercado6)</f>
        <v>0</v>
      </c>
      <c r="R420" s="4">
        <f>SUMIFS(super1[Qtde],super1[Item],tab_alimentos[[#This Row],[Item]],super1[Bairro],mercado7)+SUMIFS(supercb[Qtde],supercb[Item],tab_alimentos[[#This Row],[Item]],supercb[Bairro],mercado7)</f>
        <v>0</v>
      </c>
      <c r="S420" s="4">
        <f>SUMIFS(super1[Qtde],super1[Item],tab_alimentos[[#This Row],[Item]],super1[Bairro],mercado8)+SUMIFS(supercb[Qtde],supercb[Item],tab_alimentos[[#This Row],[Item]],supercb[Bairro],mercado8)</f>
        <v>0</v>
      </c>
      <c r="T420" s="4">
        <f>SUMIFS(super1[Qtde],super1[Item],tab_alimentos[[#This Row],[Item]],super1[Bairro],mercado9)+SUMIFS(supercb[Qtde],supercb[Item],tab_alimentos[[#This Row],[Item]],supercb[Bairro],mercado9)</f>
        <v>0</v>
      </c>
      <c r="U420" s="4">
        <f>SUMIFS(super1[Qtde],super1[Item],tab_alimentos[[#This Row],[Item]],super1[Bairro],mercado10)+SUMIFS(supercb[Qtde],supercb[Item],tab_alimentos[[#This Row],[Item]],supercb[Bairro],mercado10)</f>
        <v>0</v>
      </c>
      <c r="V420" s="4">
        <f>SUMIFS(super1[Qtde],super1[Item],tab_alimentos[[#This Row],[Item]],super1[Bairro],mercado11)+SUMIFS(supercb[Qtde],supercb[Item],tab_alimentos[[#This Row],[Item]],supercb[Bairro],mercado11)</f>
        <v>0</v>
      </c>
      <c r="W420" s="4">
        <f>SUMIFS(super1[Qtde],super1[Item],tab_alimentos[[#This Row],[Item]],super1[Bairro],mercado12)+SUMIFS(supercb[Qtde],supercb[Item],tab_alimentos[[#This Row],[Item]],supercb[Bairro],mercado12)</f>
        <v>0</v>
      </c>
      <c r="X420" s="4">
        <f>SUMIFS(super1[Qtde],super1[Item],tab_alimentos[[#This Row],[Item]],super1[Bairro],mercado13)+SUMIFS(supercb[Qtde],supercb[Item],tab_alimentos[[#This Row],[Item]],supercb[Bairro],mercado13)</f>
        <v>0</v>
      </c>
      <c r="Y420" s="4">
        <f>SUMIFS(super1[Qtde],super1[Item],tab_alimentos[[#This Row],[Item]],super1[Bairro],mercado14)+SUMIFS(supercb[Qtde],supercb[Item],tab_alimentos[[#This Row],[Item]],supercb[Bairro],mercado14)</f>
        <v>0</v>
      </c>
      <c r="Z420" s="4">
        <f>SUMIFS(super1[Qtde],super1[Item],tab_alimentos[[#This Row],[Item]],super1[Bairro],mercado15)+SUMIFS(supercb[Qtde],supercb[Item],tab_alimentos[[#This Row],[Item]],supercb[Bairro],mercado15)</f>
        <v>0</v>
      </c>
      <c r="AA420" s="4">
        <f>SUMIFS(super1[Qtde],super1[Item],tab_alimentos[[#This Row],[Item]],super1[Bairro],mercado16)+SUMIFS(supercb[Qtde],supercb[Item],tab_alimentos[[#This Row],[Item]],supercb[Bairro],mercado16)</f>
        <v>0</v>
      </c>
      <c r="AB420" s="4">
        <f>SUMIFS(super1[Qtde],super1[Item],tab_alimentos[[#This Row],[Item]],super1[Bairro],mercado17)+SUMIFS(supercb[Qtde],supercb[Item],tab_alimentos[[#This Row],[Item]],supercb[Bairro],mercado17)</f>
        <v>0</v>
      </c>
      <c r="AC420" s="4">
        <f>SUMIFS(super1[Qtde],super1[Item],tab_alimentos[[#This Row],[Item]],super1[Bairro],mercado18)+SUMIFS(supercb[Qtde],supercb[Item],tab_alimentos[[#This Row],[Item]],supercb[Bairro],mercado18)</f>
        <v>0</v>
      </c>
      <c r="AD420" s="4">
        <f>SUMIFS(super1[Qtde],super1[Item],tab_alimentos[[#This Row],[Item]],super1[Bairro],extras)+SUMIFS(supercb[Qtde],supercb[Item],tab_alimentos[[#This Row],[Item]],supercb[Bairro],extras)</f>
        <v>0</v>
      </c>
      <c r="AE420" s="4">
        <f t="shared" si="97"/>
        <v>0</v>
      </c>
      <c r="AF420" s="4">
        <f t="shared" si="98"/>
        <v>0</v>
      </c>
      <c r="AG420" s="6">
        <f t="shared" si="99"/>
        <v>0</v>
      </c>
    </row>
    <row r="421" spans="9:33" x14ac:dyDescent="0.25">
      <c r="I421" s="19" t="str">
        <f>alimentos[[#This Row],[Item]]</f>
        <v>Sopa Pronta (500g)</v>
      </c>
      <c r="J421" s="4">
        <f>IFERROR(alimentos[[#This Row],[kg/embalagem]],0)</f>
        <v>0.5</v>
      </c>
      <c r="K421" s="4">
        <f>IFERROR(alimentos[[#This Row],[Preço]],0)</f>
        <v>11.9</v>
      </c>
      <c r="L421" s="4">
        <f>SUMIFS(super1[Qtde],super1[Item],tab_alimentos[[#This Row],[Item]],super1[Bairro],mercado1)+SUMIFS(supercb[Qtde],supercb[Item],tab_alimentos[[#This Row],[Item]],supercb[Bairro],mercado1)</f>
        <v>0</v>
      </c>
      <c r="M421" s="4">
        <f>SUMIFS(super1[Qtde],super1[Item],tab_alimentos[[#This Row],[Item]],super1[Bairro],mercado2)+SUMIFS(supercb[Qtde],supercb[Item],tab_alimentos[[#This Row],[Item]],supercb[Bairro],mercado2)</f>
        <v>0</v>
      </c>
      <c r="N421" s="4">
        <f>SUMIFS(super1[Qtde],super1[Item],tab_alimentos[[#This Row],[Item]],super1[Bairro],mercado3)+SUMIFS(supercb[Qtde],supercb[Item],tab_alimentos[[#This Row],[Item]],supercb[Bairro],mercado3)</f>
        <v>0</v>
      </c>
      <c r="O421" s="4">
        <f>SUMIFS(super1[Qtde],super1[Item],tab_alimentos[[#This Row],[Item]],super1[Bairro],mercado4)+SUMIFS(supercb[Qtde],supercb[Item],tab_alimentos[[#This Row],[Item]],supercb[Bairro],mercado4)</f>
        <v>0</v>
      </c>
      <c r="P421" s="4">
        <f>SUMIFS(super1[Qtde],super1[Item],tab_alimentos[[#This Row],[Item]],super1[Bairro],mercado5)+SUMIFS(supercb[Qtde],supercb[Item],tab_alimentos[[#This Row],[Item]],supercb[Bairro],mercado5)</f>
        <v>0</v>
      </c>
      <c r="Q421" s="4">
        <f>SUMIFS(super1[Qtde],super1[Item],tab_alimentos[[#This Row],[Item]],super1[Bairro],mercado6)+SUMIFS(supercb[Qtde],supercb[Item],tab_alimentos[[#This Row],[Item]],supercb[Bairro],mercado6)</f>
        <v>0</v>
      </c>
      <c r="R421" s="4">
        <f>SUMIFS(super1[Qtde],super1[Item],tab_alimentos[[#This Row],[Item]],super1[Bairro],mercado7)+SUMIFS(supercb[Qtde],supercb[Item],tab_alimentos[[#This Row],[Item]],supercb[Bairro],mercado7)</f>
        <v>0</v>
      </c>
      <c r="S421" s="4">
        <f>SUMIFS(super1[Qtde],super1[Item],tab_alimentos[[#This Row],[Item]],super1[Bairro],mercado8)+SUMIFS(supercb[Qtde],supercb[Item],tab_alimentos[[#This Row],[Item]],supercb[Bairro],mercado8)</f>
        <v>0</v>
      </c>
      <c r="T421" s="4">
        <f>SUMIFS(super1[Qtde],super1[Item],tab_alimentos[[#This Row],[Item]],super1[Bairro],mercado9)+SUMIFS(supercb[Qtde],supercb[Item],tab_alimentos[[#This Row],[Item]],supercb[Bairro],mercado9)</f>
        <v>0</v>
      </c>
      <c r="U421" s="4">
        <f>SUMIFS(super1[Qtde],super1[Item],tab_alimentos[[#This Row],[Item]],super1[Bairro],mercado10)+SUMIFS(supercb[Qtde],supercb[Item],tab_alimentos[[#This Row],[Item]],supercb[Bairro],mercado10)</f>
        <v>0</v>
      </c>
      <c r="V421" s="4">
        <f>SUMIFS(super1[Qtde],super1[Item],tab_alimentos[[#This Row],[Item]],super1[Bairro],mercado11)+SUMIFS(supercb[Qtde],supercb[Item],tab_alimentos[[#This Row],[Item]],supercb[Bairro],mercado11)</f>
        <v>0</v>
      </c>
      <c r="W421" s="4">
        <f>SUMIFS(super1[Qtde],super1[Item],tab_alimentos[[#This Row],[Item]],super1[Bairro],mercado12)+SUMIFS(supercb[Qtde],supercb[Item],tab_alimentos[[#This Row],[Item]],supercb[Bairro],mercado12)</f>
        <v>0</v>
      </c>
      <c r="X421" s="4">
        <f>SUMIFS(super1[Qtde],super1[Item],tab_alimentos[[#This Row],[Item]],super1[Bairro],mercado13)+SUMIFS(supercb[Qtde],supercb[Item],tab_alimentos[[#This Row],[Item]],supercb[Bairro],mercado13)</f>
        <v>0</v>
      </c>
      <c r="Y421" s="4">
        <f>SUMIFS(super1[Qtde],super1[Item],tab_alimentos[[#This Row],[Item]],super1[Bairro],mercado14)+SUMIFS(supercb[Qtde],supercb[Item],tab_alimentos[[#This Row],[Item]],supercb[Bairro],mercado14)</f>
        <v>0</v>
      </c>
      <c r="Z421" s="4">
        <f>SUMIFS(super1[Qtde],super1[Item],tab_alimentos[[#This Row],[Item]],super1[Bairro],mercado15)+SUMIFS(supercb[Qtde],supercb[Item],tab_alimentos[[#This Row],[Item]],supercb[Bairro],mercado15)</f>
        <v>0</v>
      </c>
      <c r="AA421" s="4">
        <f>SUMIFS(super1[Qtde],super1[Item],tab_alimentos[[#This Row],[Item]],super1[Bairro],mercado16)+SUMIFS(supercb[Qtde],supercb[Item],tab_alimentos[[#This Row],[Item]],supercb[Bairro],mercado16)</f>
        <v>0</v>
      </c>
      <c r="AB421" s="4">
        <f>SUMIFS(super1[Qtde],super1[Item],tab_alimentos[[#This Row],[Item]],super1[Bairro],mercado17)+SUMIFS(supercb[Qtde],supercb[Item],tab_alimentos[[#This Row],[Item]],supercb[Bairro],mercado17)</f>
        <v>0</v>
      </c>
      <c r="AC421" s="4">
        <f>SUMIFS(super1[Qtde],super1[Item],tab_alimentos[[#This Row],[Item]],super1[Bairro],mercado18)+SUMIFS(supercb[Qtde],supercb[Item],tab_alimentos[[#This Row],[Item]],supercb[Bairro],mercado18)</f>
        <v>0</v>
      </c>
      <c r="AD421" s="4">
        <f>SUMIFS(super1[Qtde],super1[Item],tab_alimentos[[#This Row],[Item]],super1[Bairro],extras)+SUMIFS(supercb[Qtde],supercb[Item],tab_alimentos[[#This Row],[Item]],supercb[Bairro],extras)</f>
        <v>0</v>
      </c>
      <c r="AE421" s="4">
        <f t="shared" si="97"/>
        <v>0</v>
      </c>
      <c r="AF421" s="4">
        <f t="shared" si="98"/>
        <v>0</v>
      </c>
      <c r="AG421" s="6">
        <f t="shared" si="99"/>
        <v>0</v>
      </c>
    </row>
    <row r="422" spans="9:33" x14ac:dyDescent="0.25">
      <c r="I422" s="19" t="str">
        <f>alimentos[[#This Row],[Item]]</f>
        <v>Sopa Sachê (17g)</v>
      </c>
      <c r="J422" s="4">
        <f>IFERROR(alimentos[[#This Row],[kg/embalagem]],0)</f>
        <v>1.7000000000000001E-2</v>
      </c>
      <c r="K422" s="4">
        <f>IFERROR(alimentos[[#This Row],[Preço]],0)</f>
        <v>4.7</v>
      </c>
      <c r="L422" s="4">
        <f>SUMIFS(super1[Qtde],super1[Item],tab_alimentos[[#This Row],[Item]],super1[Bairro],mercado1)+SUMIFS(supercb[Qtde],supercb[Item],tab_alimentos[[#This Row],[Item]],supercb[Bairro],mercado1)</f>
        <v>0</v>
      </c>
      <c r="M422" s="4">
        <f>SUMIFS(super1[Qtde],super1[Item],tab_alimentos[[#This Row],[Item]],super1[Bairro],mercado2)+SUMIFS(supercb[Qtde],supercb[Item],tab_alimentos[[#This Row],[Item]],supercb[Bairro],mercado2)</f>
        <v>0</v>
      </c>
      <c r="N422" s="4">
        <f>SUMIFS(super1[Qtde],super1[Item],tab_alimentos[[#This Row],[Item]],super1[Bairro],mercado3)+SUMIFS(supercb[Qtde],supercb[Item],tab_alimentos[[#This Row],[Item]],supercb[Bairro],mercado3)</f>
        <v>0</v>
      </c>
      <c r="O422" s="4">
        <f>SUMIFS(super1[Qtde],super1[Item],tab_alimentos[[#This Row],[Item]],super1[Bairro],mercado4)+SUMIFS(supercb[Qtde],supercb[Item],tab_alimentos[[#This Row],[Item]],supercb[Bairro],mercado4)</f>
        <v>0</v>
      </c>
      <c r="P422" s="4">
        <f>SUMIFS(super1[Qtde],super1[Item],tab_alimentos[[#This Row],[Item]],super1[Bairro],mercado5)+SUMIFS(supercb[Qtde],supercb[Item],tab_alimentos[[#This Row],[Item]],supercb[Bairro],mercado5)</f>
        <v>0</v>
      </c>
      <c r="Q422" s="4">
        <f>SUMIFS(super1[Qtde],super1[Item],tab_alimentos[[#This Row],[Item]],super1[Bairro],mercado6)+SUMIFS(supercb[Qtde],supercb[Item],tab_alimentos[[#This Row],[Item]],supercb[Bairro],mercado6)</f>
        <v>0</v>
      </c>
      <c r="R422" s="4">
        <f>SUMIFS(super1[Qtde],super1[Item],tab_alimentos[[#This Row],[Item]],super1[Bairro],mercado7)+SUMIFS(supercb[Qtde],supercb[Item],tab_alimentos[[#This Row],[Item]],supercb[Bairro],mercado7)</f>
        <v>0</v>
      </c>
      <c r="S422" s="4">
        <f>SUMIFS(super1[Qtde],super1[Item],tab_alimentos[[#This Row],[Item]],super1[Bairro],mercado8)+SUMIFS(supercb[Qtde],supercb[Item],tab_alimentos[[#This Row],[Item]],supercb[Bairro],mercado8)</f>
        <v>0</v>
      </c>
      <c r="T422" s="4">
        <f>SUMIFS(super1[Qtde],super1[Item],tab_alimentos[[#This Row],[Item]],super1[Bairro],mercado9)+SUMIFS(supercb[Qtde],supercb[Item],tab_alimentos[[#This Row],[Item]],supercb[Bairro],mercado9)</f>
        <v>0</v>
      </c>
      <c r="U422" s="4">
        <f>SUMIFS(super1[Qtde],super1[Item],tab_alimentos[[#This Row],[Item]],super1[Bairro],mercado10)+SUMIFS(supercb[Qtde],supercb[Item],tab_alimentos[[#This Row],[Item]],supercb[Bairro],mercado10)</f>
        <v>0</v>
      </c>
      <c r="V422" s="4">
        <f>SUMIFS(super1[Qtde],super1[Item],tab_alimentos[[#This Row],[Item]],super1[Bairro],mercado11)+SUMIFS(supercb[Qtde],supercb[Item],tab_alimentos[[#This Row],[Item]],supercb[Bairro],mercado11)</f>
        <v>0</v>
      </c>
      <c r="W422" s="4">
        <f>SUMIFS(super1[Qtde],super1[Item],tab_alimentos[[#This Row],[Item]],super1[Bairro],mercado12)+SUMIFS(supercb[Qtde],supercb[Item],tab_alimentos[[#This Row],[Item]],supercb[Bairro],mercado12)</f>
        <v>0</v>
      </c>
      <c r="X422" s="4">
        <f>SUMIFS(super1[Qtde],super1[Item],tab_alimentos[[#This Row],[Item]],super1[Bairro],mercado13)+SUMIFS(supercb[Qtde],supercb[Item],tab_alimentos[[#This Row],[Item]],supercb[Bairro],mercado13)</f>
        <v>0</v>
      </c>
      <c r="Y422" s="4">
        <f>SUMIFS(super1[Qtde],super1[Item],tab_alimentos[[#This Row],[Item]],super1[Bairro],mercado14)+SUMIFS(supercb[Qtde],supercb[Item],tab_alimentos[[#This Row],[Item]],supercb[Bairro],mercado14)</f>
        <v>0</v>
      </c>
      <c r="Z422" s="4">
        <f>SUMIFS(super1[Qtde],super1[Item],tab_alimentos[[#This Row],[Item]],super1[Bairro],mercado15)+SUMIFS(supercb[Qtde],supercb[Item],tab_alimentos[[#This Row],[Item]],supercb[Bairro],mercado15)</f>
        <v>0</v>
      </c>
      <c r="AA422" s="4">
        <f>SUMIFS(super1[Qtde],super1[Item],tab_alimentos[[#This Row],[Item]],super1[Bairro],mercado16)+SUMIFS(supercb[Qtde],supercb[Item],tab_alimentos[[#This Row],[Item]],supercb[Bairro],mercado16)</f>
        <v>0</v>
      </c>
      <c r="AB422" s="4">
        <f>SUMIFS(super1[Qtde],super1[Item],tab_alimentos[[#This Row],[Item]],super1[Bairro],mercado17)+SUMIFS(supercb[Qtde],supercb[Item],tab_alimentos[[#This Row],[Item]],supercb[Bairro],mercado17)</f>
        <v>0</v>
      </c>
      <c r="AC422" s="4">
        <f>SUMIFS(super1[Qtde],super1[Item],tab_alimentos[[#This Row],[Item]],super1[Bairro],mercado18)+SUMIFS(supercb[Qtde],supercb[Item],tab_alimentos[[#This Row],[Item]],supercb[Bairro],mercado18)</f>
        <v>0</v>
      </c>
      <c r="AD422" s="4">
        <f>SUMIFS(super1[Qtde],super1[Item],tab_alimentos[[#This Row],[Item]],super1[Bairro],extras)+SUMIFS(supercb[Qtde],supercb[Item],tab_alimentos[[#This Row],[Item]],supercb[Bairro],extras)</f>
        <v>0</v>
      </c>
      <c r="AE422" s="4">
        <f t="shared" si="97"/>
        <v>0</v>
      </c>
      <c r="AF422" s="4">
        <f t="shared" si="98"/>
        <v>0</v>
      </c>
      <c r="AG422" s="6">
        <f t="shared" si="99"/>
        <v>0</v>
      </c>
    </row>
    <row r="423" spans="9:33" x14ac:dyDescent="0.25">
      <c r="I423" s="19" t="str">
        <f>alimentos[[#This Row],[Item]]</f>
        <v>Sopão (160g)</v>
      </c>
      <c r="J423" s="4">
        <f>IFERROR(alimentos[[#This Row],[kg/embalagem]],0)</f>
        <v>0.16</v>
      </c>
      <c r="K423" s="4">
        <f>IFERROR(alimentos[[#This Row],[Preço]],0)</f>
        <v>8.39</v>
      </c>
      <c r="L423" s="4">
        <f>SUMIFS(super1[Qtde],super1[Item],tab_alimentos[[#This Row],[Item]],super1[Bairro],mercado1)+SUMIFS(supercb[Qtde],supercb[Item],tab_alimentos[[#This Row],[Item]],supercb[Bairro],mercado1)</f>
        <v>0</v>
      </c>
      <c r="M423" s="4">
        <f>SUMIFS(super1[Qtde],super1[Item],tab_alimentos[[#This Row],[Item]],super1[Bairro],mercado2)+SUMIFS(supercb[Qtde],supercb[Item],tab_alimentos[[#This Row],[Item]],supercb[Bairro],mercado2)</f>
        <v>0</v>
      </c>
      <c r="N423" s="4">
        <f>SUMIFS(super1[Qtde],super1[Item],tab_alimentos[[#This Row],[Item]],super1[Bairro],mercado3)+SUMIFS(supercb[Qtde],supercb[Item],tab_alimentos[[#This Row],[Item]],supercb[Bairro],mercado3)</f>
        <v>0</v>
      </c>
      <c r="O423" s="4">
        <f>SUMIFS(super1[Qtde],super1[Item],tab_alimentos[[#This Row],[Item]],super1[Bairro],mercado4)+SUMIFS(supercb[Qtde],supercb[Item],tab_alimentos[[#This Row],[Item]],supercb[Bairro],mercado4)</f>
        <v>0</v>
      </c>
      <c r="P423" s="4">
        <f>SUMIFS(super1[Qtde],super1[Item],tab_alimentos[[#This Row],[Item]],super1[Bairro],mercado5)+SUMIFS(supercb[Qtde],supercb[Item],tab_alimentos[[#This Row],[Item]],supercb[Bairro],mercado5)</f>
        <v>0</v>
      </c>
      <c r="Q423" s="4">
        <f>SUMIFS(super1[Qtde],super1[Item],tab_alimentos[[#This Row],[Item]],super1[Bairro],mercado6)+SUMIFS(supercb[Qtde],supercb[Item],tab_alimentos[[#This Row],[Item]],supercb[Bairro],mercado6)</f>
        <v>0</v>
      </c>
      <c r="R423" s="4">
        <f>SUMIFS(super1[Qtde],super1[Item],tab_alimentos[[#This Row],[Item]],super1[Bairro],mercado7)+SUMIFS(supercb[Qtde],supercb[Item],tab_alimentos[[#This Row],[Item]],supercb[Bairro],mercado7)</f>
        <v>0</v>
      </c>
      <c r="S423" s="4">
        <f>SUMIFS(super1[Qtde],super1[Item],tab_alimentos[[#This Row],[Item]],super1[Bairro],mercado8)+SUMIFS(supercb[Qtde],supercb[Item],tab_alimentos[[#This Row],[Item]],supercb[Bairro],mercado8)</f>
        <v>0</v>
      </c>
      <c r="T423" s="4">
        <f>SUMIFS(super1[Qtde],super1[Item],tab_alimentos[[#This Row],[Item]],super1[Bairro],mercado9)+SUMIFS(supercb[Qtde],supercb[Item],tab_alimentos[[#This Row],[Item]],supercb[Bairro],mercado9)</f>
        <v>0</v>
      </c>
      <c r="U423" s="4">
        <f>SUMIFS(super1[Qtde],super1[Item],tab_alimentos[[#This Row],[Item]],super1[Bairro],mercado10)+SUMIFS(supercb[Qtde],supercb[Item],tab_alimentos[[#This Row],[Item]],supercb[Bairro],mercado10)</f>
        <v>0</v>
      </c>
      <c r="V423" s="4">
        <f>SUMIFS(super1[Qtde],super1[Item],tab_alimentos[[#This Row],[Item]],super1[Bairro],mercado11)+SUMIFS(supercb[Qtde],supercb[Item],tab_alimentos[[#This Row],[Item]],supercb[Bairro],mercado11)</f>
        <v>0</v>
      </c>
      <c r="W423" s="4">
        <f>SUMIFS(super1[Qtde],super1[Item],tab_alimentos[[#This Row],[Item]],super1[Bairro],mercado12)+SUMIFS(supercb[Qtde],supercb[Item],tab_alimentos[[#This Row],[Item]],supercb[Bairro],mercado12)</f>
        <v>0</v>
      </c>
      <c r="X423" s="4">
        <f>SUMIFS(super1[Qtde],super1[Item],tab_alimentos[[#This Row],[Item]],super1[Bairro],mercado13)+SUMIFS(supercb[Qtde],supercb[Item],tab_alimentos[[#This Row],[Item]],supercb[Bairro],mercado13)</f>
        <v>0</v>
      </c>
      <c r="Y423" s="4">
        <f>SUMIFS(super1[Qtde],super1[Item],tab_alimentos[[#This Row],[Item]],super1[Bairro],mercado14)+SUMIFS(supercb[Qtde],supercb[Item],tab_alimentos[[#This Row],[Item]],supercb[Bairro],mercado14)</f>
        <v>0</v>
      </c>
      <c r="Z423" s="4">
        <f>SUMIFS(super1[Qtde],super1[Item],tab_alimentos[[#This Row],[Item]],super1[Bairro],mercado15)+SUMIFS(supercb[Qtde],supercb[Item],tab_alimentos[[#This Row],[Item]],supercb[Bairro],mercado15)</f>
        <v>0</v>
      </c>
      <c r="AA423" s="4">
        <f>SUMIFS(super1[Qtde],super1[Item],tab_alimentos[[#This Row],[Item]],super1[Bairro],mercado16)+SUMIFS(supercb[Qtde],supercb[Item],tab_alimentos[[#This Row],[Item]],supercb[Bairro],mercado16)</f>
        <v>0</v>
      </c>
      <c r="AB423" s="4">
        <f>SUMIFS(super1[Qtde],super1[Item],tab_alimentos[[#This Row],[Item]],super1[Bairro],mercado17)+SUMIFS(supercb[Qtde],supercb[Item],tab_alimentos[[#This Row],[Item]],supercb[Bairro],mercado17)</f>
        <v>0</v>
      </c>
      <c r="AC423" s="4">
        <f>SUMIFS(super1[Qtde],super1[Item],tab_alimentos[[#This Row],[Item]],super1[Bairro],mercado18)+SUMIFS(supercb[Qtde],supercb[Item],tab_alimentos[[#This Row],[Item]],supercb[Bairro],mercado18)</f>
        <v>0</v>
      </c>
      <c r="AD423" s="4">
        <f>SUMIFS(super1[Qtde],super1[Item],tab_alimentos[[#This Row],[Item]],super1[Bairro],extras)+SUMIFS(supercb[Qtde],supercb[Item],tab_alimentos[[#This Row],[Item]],supercb[Bairro],extras)</f>
        <v>0</v>
      </c>
      <c r="AE423" s="4">
        <f t="shared" si="97"/>
        <v>0</v>
      </c>
      <c r="AF423" s="4">
        <f t="shared" si="98"/>
        <v>0</v>
      </c>
      <c r="AG423" s="6">
        <f t="shared" si="99"/>
        <v>0</v>
      </c>
    </row>
    <row r="424" spans="9:33" x14ac:dyDescent="0.25">
      <c r="I424" s="19" t="str">
        <f>alimentos[[#This Row],[Item]]</f>
        <v>Sopão (200g)</v>
      </c>
      <c r="J424" s="4">
        <f>IFERROR(alimentos[[#This Row],[kg/embalagem]],0)</f>
        <v>0.2</v>
      </c>
      <c r="K424" s="4">
        <f>IFERROR(alimentos[[#This Row],[Preço]],0)</f>
        <v>10.99</v>
      </c>
      <c r="L424" s="4">
        <f>SUMIFS(super1[Qtde],super1[Item],tab_alimentos[[#This Row],[Item]],super1[Bairro],mercado1)+SUMIFS(supercb[Qtde],supercb[Item],tab_alimentos[[#This Row],[Item]],supercb[Bairro],mercado1)</f>
        <v>0</v>
      </c>
      <c r="M424" s="4">
        <f>SUMIFS(super1[Qtde],super1[Item],tab_alimentos[[#This Row],[Item]],super1[Bairro],mercado2)+SUMIFS(supercb[Qtde],supercb[Item],tab_alimentos[[#This Row],[Item]],supercb[Bairro],mercado2)</f>
        <v>0</v>
      </c>
      <c r="N424" s="4">
        <f>SUMIFS(super1[Qtde],super1[Item],tab_alimentos[[#This Row],[Item]],super1[Bairro],mercado3)+SUMIFS(supercb[Qtde],supercb[Item],tab_alimentos[[#This Row],[Item]],supercb[Bairro],mercado3)</f>
        <v>0</v>
      </c>
      <c r="O424" s="4">
        <f>SUMIFS(super1[Qtde],super1[Item],tab_alimentos[[#This Row],[Item]],super1[Bairro],mercado4)+SUMIFS(supercb[Qtde],supercb[Item],tab_alimentos[[#This Row],[Item]],supercb[Bairro],mercado4)</f>
        <v>0</v>
      </c>
      <c r="P424" s="4">
        <f>SUMIFS(super1[Qtde],super1[Item],tab_alimentos[[#This Row],[Item]],super1[Bairro],mercado5)+SUMIFS(supercb[Qtde],supercb[Item],tab_alimentos[[#This Row],[Item]],supercb[Bairro],mercado5)</f>
        <v>0</v>
      </c>
      <c r="Q424" s="4">
        <f>SUMIFS(super1[Qtde],super1[Item],tab_alimentos[[#This Row],[Item]],super1[Bairro],mercado6)+SUMIFS(supercb[Qtde],supercb[Item],tab_alimentos[[#This Row],[Item]],supercb[Bairro],mercado6)</f>
        <v>0</v>
      </c>
      <c r="R424" s="4">
        <f>SUMIFS(super1[Qtde],super1[Item],tab_alimentos[[#This Row],[Item]],super1[Bairro],mercado7)+SUMIFS(supercb[Qtde],supercb[Item],tab_alimentos[[#This Row],[Item]],supercb[Bairro],mercado7)</f>
        <v>0</v>
      </c>
      <c r="S424" s="4">
        <f>SUMIFS(super1[Qtde],super1[Item],tab_alimentos[[#This Row],[Item]],super1[Bairro],mercado8)+SUMIFS(supercb[Qtde],supercb[Item],tab_alimentos[[#This Row],[Item]],supercb[Bairro],mercado8)</f>
        <v>0</v>
      </c>
      <c r="T424" s="4">
        <f>SUMIFS(super1[Qtde],super1[Item],tab_alimentos[[#This Row],[Item]],super1[Bairro],mercado9)+SUMIFS(supercb[Qtde],supercb[Item],tab_alimentos[[#This Row],[Item]],supercb[Bairro],mercado9)</f>
        <v>0</v>
      </c>
      <c r="U424" s="4">
        <f>SUMIFS(super1[Qtde],super1[Item],tab_alimentos[[#This Row],[Item]],super1[Bairro],mercado10)+SUMIFS(supercb[Qtde],supercb[Item],tab_alimentos[[#This Row],[Item]],supercb[Bairro],mercado10)</f>
        <v>0</v>
      </c>
      <c r="V424" s="4">
        <f>SUMIFS(super1[Qtde],super1[Item],tab_alimentos[[#This Row],[Item]],super1[Bairro],mercado11)+SUMIFS(supercb[Qtde],supercb[Item],tab_alimentos[[#This Row],[Item]],supercb[Bairro],mercado11)</f>
        <v>0</v>
      </c>
      <c r="W424" s="4">
        <f>SUMIFS(super1[Qtde],super1[Item],tab_alimentos[[#This Row],[Item]],super1[Bairro],mercado12)+SUMIFS(supercb[Qtde],supercb[Item],tab_alimentos[[#This Row],[Item]],supercb[Bairro],mercado12)</f>
        <v>0</v>
      </c>
      <c r="X424" s="4">
        <f>SUMIFS(super1[Qtde],super1[Item],tab_alimentos[[#This Row],[Item]],super1[Bairro],mercado13)+SUMIFS(supercb[Qtde],supercb[Item],tab_alimentos[[#This Row],[Item]],supercb[Bairro],mercado13)</f>
        <v>0</v>
      </c>
      <c r="Y424" s="4">
        <f>SUMIFS(super1[Qtde],super1[Item],tab_alimentos[[#This Row],[Item]],super1[Bairro],mercado14)+SUMIFS(supercb[Qtde],supercb[Item],tab_alimentos[[#This Row],[Item]],supercb[Bairro],mercado14)</f>
        <v>0</v>
      </c>
      <c r="Z424" s="4">
        <f>SUMIFS(super1[Qtde],super1[Item],tab_alimentos[[#This Row],[Item]],super1[Bairro],mercado15)+SUMIFS(supercb[Qtde],supercb[Item],tab_alimentos[[#This Row],[Item]],supercb[Bairro],mercado15)</f>
        <v>0</v>
      </c>
      <c r="AA424" s="4">
        <f>SUMIFS(super1[Qtde],super1[Item],tab_alimentos[[#This Row],[Item]],super1[Bairro],mercado16)+SUMIFS(supercb[Qtde],supercb[Item],tab_alimentos[[#This Row],[Item]],supercb[Bairro],mercado16)</f>
        <v>0</v>
      </c>
      <c r="AB424" s="4">
        <f>SUMIFS(super1[Qtde],super1[Item],tab_alimentos[[#This Row],[Item]],super1[Bairro],mercado17)+SUMIFS(supercb[Qtde],supercb[Item],tab_alimentos[[#This Row],[Item]],supercb[Bairro],mercado17)</f>
        <v>0</v>
      </c>
      <c r="AC424" s="4">
        <f>SUMIFS(super1[Qtde],super1[Item],tab_alimentos[[#This Row],[Item]],super1[Bairro],mercado18)+SUMIFS(supercb[Qtde],supercb[Item],tab_alimentos[[#This Row],[Item]],supercb[Bairro],mercado18)</f>
        <v>0</v>
      </c>
      <c r="AD424" s="4">
        <f>SUMIFS(super1[Qtde],super1[Item],tab_alimentos[[#This Row],[Item]],super1[Bairro],extras)+SUMIFS(supercb[Qtde],supercb[Item],tab_alimentos[[#This Row],[Item]],supercb[Bairro],extras)</f>
        <v>0</v>
      </c>
      <c r="AE424" s="4">
        <f t="shared" si="97"/>
        <v>0</v>
      </c>
      <c r="AF424" s="4">
        <f t="shared" si="98"/>
        <v>0</v>
      </c>
      <c r="AG424" s="6">
        <f t="shared" si="99"/>
        <v>0</v>
      </c>
    </row>
    <row r="425" spans="9:33" x14ac:dyDescent="0.25">
      <c r="I425" s="19" t="str">
        <f>alimentos[[#This Row],[Item]]</f>
        <v>Suco (1,5L)</v>
      </c>
      <c r="J425" s="4">
        <f>IFERROR(alimentos[[#This Row],[kg/embalagem]],0)</f>
        <v>1.5</v>
      </c>
      <c r="K425" s="4">
        <f>IFERROR(alimentos[[#This Row],[Preço]],0)</f>
        <v>4.8499999999999996</v>
      </c>
      <c r="L425" s="4">
        <f>SUMIFS(super1[Qtde],super1[Item],tab_alimentos[[#This Row],[Item]],super1[Bairro],mercado1)+SUMIFS(supercb[Qtde],supercb[Item],tab_alimentos[[#This Row],[Item]],supercb[Bairro],mercado1)</f>
        <v>0</v>
      </c>
      <c r="M425" s="4">
        <f>SUMIFS(super1[Qtde],super1[Item],tab_alimentos[[#This Row],[Item]],super1[Bairro],mercado2)+SUMIFS(supercb[Qtde],supercb[Item],tab_alimentos[[#This Row],[Item]],supercb[Bairro],mercado2)</f>
        <v>0</v>
      </c>
      <c r="N425" s="4">
        <f>SUMIFS(super1[Qtde],super1[Item],tab_alimentos[[#This Row],[Item]],super1[Bairro],mercado3)+SUMIFS(supercb[Qtde],supercb[Item],tab_alimentos[[#This Row],[Item]],supercb[Bairro],mercado3)</f>
        <v>0</v>
      </c>
      <c r="O425" s="4">
        <f>SUMIFS(super1[Qtde],super1[Item],tab_alimentos[[#This Row],[Item]],super1[Bairro],mercado4)+SUMIFS(supercb[Qtde],supercb[Item],tab_alimentos[[#This Row],[Item]],supercb[Bairro],mercado4)</f>
        <v>0</v>
      </c>
      <c r="P425" s="4">
        <f>SUMIFS(super1[Qtde],super1[Item],tab_alimentos[[#This Row],[Item]],super1[Bairro],mercado5)+SUMIFS(supercb[Qtde],supercb[Item],tab_alimentos[[#This Row],[Item]],supercb[Bairro],mercado5)</f>
        <v>0</v>
      </c>
      <c r="Q425" s="4">
        <f>SUMIFS(super1[Qtde],super1[Item],tab_alimentos[[#This Row],[Item]],super1[Bairro],mercado6)+SUMIFS(supercb[Qtde],supercb[Item],tab_alimentos[[#This Row],[Item]],supercb[Bairro],mercado6)</f>
        <v>0</v>
      </c>
      <c r="R425" s="4">
        <f>SUMIFS(super1[Qtde],super1[Item],tab_alimentos[[#This Row],[Item]],super1[Bairro],mercado7)+SUMIFS(supercb[Qtde],supercb[Item],tab_alimentos[[#This Row],[Item]],supercb[Bairro],mercado7)</f>
        <v>0</v>
      </c>
      <c r="S425" s="4">
        <f>SUMIFS(super1[Qtde],super1[Item],tab_alimentos[[#This Row],[Item]],super1[Bairro],mercado8)+SUMIFS(supercb[Qtde],supercb[Item],tab_alimentos[[#This Row],[Item]],supercb[Bairro],mercado8)</f>
        <v>0</v>
      </c>
      <c r="T425" s="4">
        <f>SUMIFS(super1[Qtde],super1[Item],tab_alimentos[[#This Row],[Item]],super1[Bairro],mercado9)+SUMIFS(supercb[Qtde],supercb[Item],tab_alimentos[[#This Row],[Item]],supercb[Bairro],mercado9)</f>
        <v>0</v>
      </c>
      <c r="U425" s="4">
        <f>SUMIFS(super1[Qtde],super1[Item],tab_alimentos[[#This Row],[Item]],super1[Bairro],mercado10)+SUMIFS(supercb[Qtde],supercb[Item],tab_alimentos[[#This Row],[Item]],supercb[Bairro],mercado10)</f>
        <v>0</v>
      </c>
      <c r="V425" s="4">
        <f>SUMIFS(super1[Qtde],super1[Item],tab_alimentos[[#This Row],[Item]],super1[Bairro],mercado11)+SUMIFS(supercb[Qtde],supercb[Item],tab_alimentos[[#This Row],[Item]],supercb[Bairro],mercado11)</f>
        <v>0</v>
      </c>
      <c r="W425" s="4">
        <f>SUMIFS(super1[Qtde],super1[Item],tab_alimentos[[#This Row],[Item]],super1[Bairro],mercado12)+SUMIFS(supercb[Qtde],supercb[Item],tab_alimentos[[#This Row],[Item]],supercb[Bairro],mercado12)</f>
        <v>0</v>
      </c>
      <c r="X425" s="4">
        <f>SUMIFS(super1[Qtde],super1[Item],tab_alimentos[[#This Row],[Item]],super1[Bairro],mercado13)+SUMIFS(supercb[Qtde],supercb[Item],tab_alimentos[[#This Row],[Item]],supercb[Bairro],mercado13)</f>
        <v>0</v>
      </c>
      <c r="Y425" s="4">
        <f>SUMIFS(super1[Qtde],super1[Item],tab_alimentos[[#This Row],[Item]],super1[Bairro],mercado14)+SUMIFS(supercb[Qtde],supercb[Item],tab_alimentos[[#This Row],[Item]],supercb[Bairro],mercado14)</f>
        <v>0</v>
      </c>
      <c r="Z425" s="4">
        <f>SUMIFS(super1[Qtde],super1[Item],tab_alimentos[[#This Row],[Item]],super1[Bairro],mercado15)+SUMIFS(supercb[Qtde],supercb[Item],tab_alimentos[[#This Row],[Item]],supercb[Bairro],mercado15)</f>
        <v>0</v>
      </c>
      <c r="AA425" s="4">
        <f>SUMIFS(super1[Qtde],super1[Item],tab_alimentos[[#This Row],[Item]],super1[Bairro],mercado16)+SUMIFS(supercb[Qtde],supercb[Item],tab_alimentos[[#This Row],[Item]],supercb[Bairro],mercado16)</f>
        <v>0</v>
      </c>
      <c r="AB425" s="4">
        <f>SUMIFS(super1[Qtde],super1[Item],tab_alimentos[[#This Row],[Item]],super1[Bairro],mercado17)+SUMIFS(supercb[Qtde],supercb[Item],tab_alimentos[[#This Row],[Item]],supercb[Bairro],mercado17)</f>
        <v>0</v>
      </c>
      <c r="AC425" s="4">
        <f>SUMIFS(super1[Qtde],super1[Item],tab_alimentos[[#This Row],[Item]],super1[Bairro],mercado18)+SUMIFS(supercb[Qtde],supercb[Item],tab_alimentos[[#This Row],[Item]],supercb[Bairro],mercado18)</f>
        <v>0</v>
      </c>
      <c r="AD425" s="4">
        <f>SUMIFS(super1[Qtde],super1[Item],tab_alimentos[[#This Row],[Item]],super1[Bairro],extras)+SUMIFS(supercb[Qtde],supercb[Item],tab_alimentos[[#This Row],[Item]],supercb[Bairro],extras)</f>
        <v>0</v>
      </c>
      <c r="AE425" s="4">
        <f t="shared" si="97"/>
        <v>0</v>
      </c>
      <c r="AF425" s="4">
        <f t="shared" si="98"/>
        <v>0</v>
      </c>
      <c r="AG425" s="6">
        <f t="shared" si="99"/>
        <v>0</v>
      </c>
    </row>
    <row r="426" spans="9:33" x14ac:dyDescent="0.25">
      <c r="I426" s="19" t="str">
        <f>alimentos[[#This Row],[Item]]</f>
        <v>Suco (1L)</v>
      </c>
      <c r="J426" s="4">
        <f>IFERROR(alimentos[[#This Row],[kg/embalagem]],0)</f>
        <v>1</v>
      </c>
      <c r="K426" s="4">
        <f>IFERROR(alimentos[[#This Row],[Preço]],0)</f>
        <v>4.4800000000000004</v>
      </c>
      <c r="L426" s="4">
        <f>SUMIFS(super1[Qtde],super1[Item],tab_alimentos[[#This Row],[Item]],super1[Bairro],mercado1)+SUMIFS(supercb[Qtde],supercb[Item],tab_alimentos[[#This Row],[Item]],supercb[Bairro],mercado1)</f>
        <v>0</v>
      </c>
      <c r="M426" s="4">
        <f>SUMIFS(super1[Qtde],super1[Item],tab_alimentos[[#This Row],[Item]],super1[Bairro],mercado2)+SUMIFS(supercb[Qtde],supercb[Item],tab_alimentos[[#This Row],[Item]],supercb[Bairro],mercado2)</f>
        <v>0</v>
      </c>
      <c r="N426" s="4">
        <f>SUMIFS(super1[Qtde],super1[Item],tab_alimentos[[#This Row],[Item]],super1[Bairro],mercado3)+SUMIFS(supercb[Qtde],supercb[Item],tab_alimentos[[#This Row],[Item]],supercb[Bairro],mercado3)</f>
        <v>0</v>
      </c>
      <c r="O426" s="4">
        <f>SUMIFS(super1[Qtde],super1[Item],tab_alimentos[[#This Row],[Item]],super1[Bairro],mercado4)+SUMIFS(supercb[Qtde],supercb[Item],tab_alimentos[[#This Row],[Item]],supercb[Bairro],mercado4)</f>
        <v>0</v>
      </c>
      <c r="P426" s="4">
        <f>SUMIFS(super1[Qtde],super1[Item],tab_alimentos[[#This Row],[Item]],super1[Bairro],mercado5)+SUMIFS(supercb[Qtde],supercb[Item],tab_alimentos[[#This Row],[Item]],supercb[Bairro],mercado5)</f>
        <v>0</v>
      </c>
      <c r="Q426" s="4">
        <f>SUMIFS(super1[Qtde],super1[Item],tab_alimentos[[#This Row],[Item]],super1[Bairro],mercado6)+SUMIFS(supercb[Qtde],supercb[Item],tab_alimentos[[#This Row],[Item]],supercb[Bairro],mercado6)</f>
        <v>0</v>
      </c>
      <c r="R426" s="4">
        <f>SUMIFS(super1[Qtde],super1[Item],tab_alimentos[[#This Row],[Item]],super1[Bairro],mercado7)+SUMIFS(supercb[Qtde],supercb[Item],tab_alimentos[[#This Row],[Item]],supercb[Bairro],mercado7)</f>
        <v>0</v>
      </c>
      <c r="S426" s="4">
        <f>SUMIFS(super1[Qtde],super1[Item],tab_alimentos[[#This Row],[Item]],super1[Bairro],mercado8)+SUMIFS(supercb[Qtde],supercb[Item],tab_alimentos[[#This Row],[Item]],supercb[Bairro],mercado8)</f>
        <v>0</v>
      </c>
      <c r="T426" s="4">
        <f>SUMIFS(super1[Qtde],super1[Item],tab_alimentos[[#This Row],[Item]],super1[Bairro],mercado9)+SUMIFS(supercb[Qtde],supercb[Item],tab_alimentos[[#This Row],[Item]],supercb[Bairro],mercado9)</f>
        <v>0</v>
      </c>
      <c r="U426" s="4">
        <f>SUMIFS(super1[Qtde],super1[Item],tab_alimentos[[#This Row],[Item]],super1[Bairro],mercado10)+SUMIFS(supercb[Qtde],supercb[Item],tab_alimentos[[#This Row],[Item]],supercb[Bairro],mercado10)</f>
        <v>0</v>
      </c>
      <c r="V426" s="4">
        <f>SUMIFS(super1[Qtde],super1[Item],tab_alimentos[[#This Row],[Item]],super1[Bairro],mercado11)+SUMIFS(supercb[Qtde],supercb[Item],tab_alimentos[[#This Row],[Item]],supercb[Bairro],mercado11)</f>
        <v>0</v>
      </c>
      <c r="W426" s="4">
        <f>SUMIFS(super1[Qtde],super1[Item],tab_alimentos[[#This Row],[Item]],super1[Bairro],mercado12)+SUMIFS(supercb[Qtde],supercb[Item],tab_alimentos[[#This Row],[Item]],supercb[Bairro],mercado12)</f>
        <v>0</v>
      </c>
      <c r="X426" s="4">
        <f>SUMIFS(super1[Qtde],super1[Item],tab_alimentos[[#This Row],[Item]],super1[Bairro],mercado13)+SUMIFS(supercb[Qtde],supercb[Item],tab_alimentos[[#This Row],[Item]],supercb[Bairro],mercado13)</f>
        <v>0</v>
      </c>
      <c r="Y426" s="4">
        <f>SUMIFS(super1[Qtde],super1[Item],tab_alimentos[[#This Row],[Item]],super1[Bairro],mercado14)+SUMIFS(supercb[Qtde],supercb[Item],tab_alimentos[[#This Row],[Item]],supercb[Bairro],mercado14)</f>
        <v>0</v>
      </c>
      <c r="Z426" s="4">
        <f>SUMIFS(super1[Qtde],super1[Item],tab_alimentos[[#This Row],[Item]],super1[Bairro],mercado15)+SUMIFS(supercb[Qtde],supercb[Item],tab_alimentos[[#This Row],[Item]],supercb[Bairro],mercado15)</f>
        <v>0</v>
      </c>
      <c r="AA426" s="4">
        <f>SUMIFS(super1[Qtde],super1[Item],tab_alimentos[[#This Row],[Item]],super1[Bairro],mercado16)+SUMIFS(supercb[Qtde],supercb[Item],tab_alimentos[[#This Row],[Item]],supercb[Bairro],mercado16)</f>
        <v>0</v>
      </c>
      <c r="AB426" s="4">
        <f>SUMIFS(super1[Qtde],super1[Item],tab_alimentos[[#This Row],[Item]],super1[Bairro],mercado17)+SUMIFS(supercb[Qtde],supercb[Item],tab_alimentos[[#This Row],[Item]],supercb[Bairro],mercado17)</f>
        <v>0</v>
      </c>
      <c r="AC426" s="4">
        <f>SUMIFS(super1[Qtde],super1[Item],tab_alimentos[[#This Row],[Item]],super1[Bairro],mercado18)+SUMIFS(supercb[Qtde],supercb[Item],tab_alimentos[[#This Row],[Item]],supercb[Bairro],mercado18)</f>
        <v>0</v>
      </c>
      <c r="AD426" s="4">
        <f>SUMIFS(super1[Qtde],super1[Item],tab_alimentos[[#This Row],[Item]],super1[Bairro],extras)+SUMIFS(supercb[Qtde],supercb[Item],tab_alimentos[[#This Row],[Item]],supercb[Bairro],extras)</f>
        <v>0</v>
      </c>
      <c r="AE426" s="4">
        <f t="shared" si="97"/>
        <v>0</v>
      </c>
      <c r="AF426" s="4">
        <f t="shared" si="98"/>
        <v>0</v>
      </c>
      <c r="AG426" s="6">
        <f t="shared" si="99"/>
        <v>0</v>
      </c>
    </row>
    <row r="427" spans="9:33" x14ac:dyDescent="0.25">
      <c r="I427" s="19" t="str">
        <f>alimentos[[#This Row],[Item]]</f>
        <v>Suco (390mL)</v>
      </c>
      <c r="J427" s="4">
        <f>IFERROR(alimentos[[#This Row],[kg/embalagem]],0)</f>
        <v>0.39</v>
      </c>
      <c r="K427" s="4">
        <f>IFERROR(alimentos[[#This Row],[Preço]],0)</f>
        <v>2.6</v>
      </c>
      <c r="L427" s="4">
        <f>SUMIFS(super1[Qtde],super1[Item],tab_alimentos[[#This Row],[Item]],super1[Bairro],mercado1)+SUMIFS(supercb[Qtde],supercb[Item],tab_alimentos[[#This Row],[Item]],supercb[Bairro],mercado1)</f>
        <v>0</v>
      </c>
      <c r="M427" s="4">
        <f>SUMIFS(super1[Qtde],super1[Item],tab_alimentos[[#This Row],[Item]],super1[Bairro],mercado2)+SUMIFS(supercb[Qtde],supercb[Item],tab_alimentos[[#This Row],[Item]],supercb[Bairro],mercado2)</f>
        <v>0</v>
      </c>
      <c r="N427" s="4">
        <f>SUMIFS(super1[Qtde],super1[Item],tab_alimentos[[#This Row],[Item]],super1[Bairro],mercado3)+SUMIFS(supercb[Qtde],supercb[Item],tab_alimentos[[#This Row],[Item]],supercb[Bairro],mercado3)</f>
        <v>0</v>
      </c>
      <c r="O427" s="4">
        <f>SUMIFS(super1[Qtde],super1[Item],tab_alimentos[[#This Row],[Item]],super1[Bairro],mercado4)+SUMIFS(supercb[Qtde],supercb[Item],tab_alimentos[[#This Row],[Item]],supercb[Bairro],mercado4)</f>
        <v>0</v>
      </c>
      <c r="P427" s="4">
        <f>SUMIFS(super1[Qtde],super1[Item],tab_alimentos[[#This Row],[Item]],super1[Bairro],mercado5)+SUMIFS(supercb[Qtde],supercb[Item],tab_alimentos[[#This Row],[Item]],supercb[Bairro],mercado5)</f>
        <v>0</v>
      </c>
      <c r="Q427" s="4">
        <f>SUMIFS(super1[Qtde],super1[Item],tab_alimentos[[#This Row],[Item]],super1[Bairro],mercado6)+SUMIFS(supercb[Qtde],supercb[Item],tab_alimentos[[#This Row],[Item]],supercb[Bairro],mercado6)</f>
        <v>0</v>
      </c>
      <c r="R427" s="4">
        <f>SUMIFS(super1[Qtde],super1[Item],tab_alimentos[[#This Row],[Item]],super1[Bairro],mercado7)+SUMIFS(supercb[Qtde],supercb[Item],tab_alimentos[[#This Row],[Item]],supercb[Bairro],mercado7)</f>
        <v>0</v>
      </c>
      <c r="S427" s="4">
        <f>SUMIFS(super1[Qtde],super1[Item],tab_alimentos[[#This Row],[Item]],super1[Bairro],mercado8)+SUMIFS(supercb[Qtde],supercb[Item],tab_alimentos[[#This Row],[Item]],supercb[Bairro],mercado8)</f>
        <v>0</v>
      </c>
      <c r="T427" s="4">
        <f>SUMIFS(super1[Qtde],super1[Item],tab_alimentos[[#This Row],[Item]],super1[Bairro],mercado9)+SUMIFS(supercb[Qtde],supercb[Item],tab_alimentos[[#This Row],[Item]],supercb[Bairro],mercado9)</f>
        <v>0</v>
      </c>
      <c r="U427" s="4">
        <f>SUMIFS(super1[Qtde],super1[Item],tab_alimentos[[#This Row],[Item]],super1[Bairro],mercado10)+SUMIFS(supercb[Qtde],supercb[Item],tab_alimentos[[#This Row],[Item]],supercb[Bairro],mercado10)</f>
        <v>0</v>
      </c>
      <c r="V427" s="4">
        <f>SUMIFS(super1[Qtde],super1[Item],tab_alimentos[[#This Row],[Item]],super1[Bairro],mercado11)+SUMIFS(supercb[Qtde],supercb[Item],tab_alimentos[[#This Row],[Item]],supercb[Bairro],mercado11)</f>
        <v>0</v>
      </c>
      <c r="W427" s="4">
        <f>SUMIFS(super1[Qtde],super1[Item],tab_alimentos[[#This Row],[Item]],super1[Bairro],mercado12)+SUMIFS(supercb[Qtde],supercb[Item],tab_alimentos[[#This Row],[Item]],supercb[Bairro],mercado12)</f>
        <v>0</v>
      </c>
      <c r="X427" s="4">
        <f>SUMIFS(super1[Qtde],super1[Item],tab_alimentos[[#This Row],[Item]],super1[Bairro],mercado13)+SUMIFS(supercb[Qtde],supercb[Item],tab_alimentos[[#This Row],[Item]],supercb[Bairro],mercado13)</f>
        <v>0</v>
      </c>
      <c r="Y427" s="4">
        <f>SUMIFS(super1[Qtde],super1[Item],tab_alimentos[[#This Row],[Item]],super1[Bairro],mercado14)+SUMIFS(supercb[Qtde],supercb[Item],tab_alimentos[[#This Row],[Item]],supercb[Bairro],mercado14)</f>
        <v>0</v>
      </c>
      <c r="Z427" s="4">
        <f>SUMIFS(super1[Qtde],super1[Item],tab_alimentos[[#This Row],[Item]],super1[Bairro],mercado15)+SUMIFS(supercb[Qtde],supercb[Item],tab_alimentos[[#This Row],[Item]],supercb[Bairro],mercado15)</f>
        <v>0</v>
      </c>
      <c r="AA427" s="4">
        <f>SUMIFS(super1[Qtde],super1[Item],tab_alimentos[[#This Row],[Item]],super1[Bairro],mercado16)+SUMIFS(supercb[Qtde],supercb[Item],tab_alimentos[[#This Row],[Item]],supercb[Bairro],mercado16)</f>
        <v>0</v>
      </c>
      <c r="AB427" s="4">
        <f>SUMIFS(super1[Qtde],super1[Item],tab_alimentos[[#This Row],[Item]],super1[Bairro],mercado17)+SUMIFS(supercb[Qtde],supercb[Item],tab_alimentos[[#This Row],[Item]],supercb[Bairro],mercado17)</f>
        <v>0</v>
      </c>
      <c r="AC427" s="4">
        <f>SUMIFS(super1[Qtde],super1[Item],tab_alimentos[[#This Row],[Item]],super1[Bairro],mercado18)+SUMIFS(supercb[Qtde],supercb[Item],tab_alimentos[[#This Row],[Item]],supercb[Bairro],mercado18)</f>
        <v>0</v>
      </c>
      <c r="AD427" s="4">
        <f>SUMIFS(super1[Qtde],super1[Item],tab_alimentos[[#This Row],[Item]],super1[Bairro],extras)+SUMIFS(supercb[Qtde],supercb[Item],tab_alimentos[[#This Row],[Item]],supercb[Bairro],extras)</f>
        <v>0</v>
      </c>
      <c r="AE427" s="4">
        <f t="shared" si="97"/>
        <v>0</v>
      </c>
      <c r="AF427" s="4">
        <f t="shared" si="98"/>
        <v>0</v>
      </c>
      <c r="AG427" s="6">
        <f t="shared" si="99"/>
        <v>0</v>
      </c>
    </row>
    <row r="428" spans="9:33" x14ac:dyDescent="0.25">
      <c r="I428" s="19" t="str">
        <f>alimentos[[#This Row],[Item]]</f>
        <v>Suco (900 mL)</v>
      </c>
      <c r="J428" s="4">
        <f>IFERROR(alimentos[[#This Row],[kg/embalagem]],0)</f>
        <v>0.9</v>
      </c>
      <c r="K428" s="4">
        <f>IFERROR(alimentos[[#This Row],[Preço]],0)</f>
        <v>9.99</v>
      </c>
      <c r="L428" s="4">
        <f>SUMIFS(super1[Qtde],super1[Item],tab_alimentos[[#This Row],[Item]],super1[Bairro],mercado1)+SUMIFS(supercb[Qtde],supercb[Item],tab_alimentos[[#This Row],[Item]],supercb[Bairro],mercado1)</f>
        <v>0</v>
      </c>
      <c r="M428" s="4">
        <f>SUMIFS(super1[Qtde],super1[Item],tab_alimentos[[#This Row],[Item]],super1[Bairro],mercado2)+SUMIFS(supercb[Qtde],supercb[Item],tab_alimentos[[#This Row],[Item]],supercb[Bairro],mercado2)</f>
        <v>0</v>
      </c>
      <c r="N428" s="4">
        <f>SUMIFS(super1[Qtde],super1[Item],tab_alimentos[[#This Row],[Item]],super1[Bairro],mercado3)+SUMIFS(supercb[Qtde],supercb[Item],tab_alimentos[[#This Row],[Item]],supercb[Bairro],mercado3)</f>
        <v>0</v>
      </c>
      <c r="O428" s="4">
        <f>SUMIFS(super1[Qtde],super1[Item],tab_alimentos[[#This Row],[Item]],super1[Bairro],mercado4)+SUMIFS(supercb[Qtde],supercb[Item],tab_alimentos[[#This Row],[Item]],supercb[Bairro],mercado4)</f>
        <v>0</v>
      </c>
      <c r="P428" s="4">
        <f>SUMIFS(super1[Qtde],super1[Item],tab_alimentos[[#This Row],[Item]],super1[Bairro],mercado5)+SUMIFS(supercb[Qtde],supercb[Item],tab_alimentos[[#This Row],[Item]],supercb[Bairro],mercado5)</f>
        <v>0</v>
      </c>
      <c r="Q428" s="4">
        <f>SUMIFS(super1[Qtde],super1[Item],tab_alimentos[[#This Row],[Item]],super1[Bairro],mercado6)+SUMIFS(supercb[Qtde],supercb[Item],tab_alimentos[[#This Row],[Item]],supercb[Bairro],mercado6)</f>
        <v>0</v>
      </c>
      <c r="R428" s="4">
        <f>SUMIFS(super1[Qtde],super1[Item],tab_alimentos[[#This Row],[Item]],super1[Bairro],mercado7)+SUMIFS(supercb[Qtde],supercb[Item],tab_alimentos[[#This Row],[Item]],supercb[Bairro],mercado7)</f>
        <v>0</v>
      </c>
      <c r="S428" s="4">
        <f>SUMIFS(super1[Qtde],super1[Item],tab_alimentos[[#This Row],[Item]],super1[Bairro],mercado8)+SUMIFS(supercb[Qtde],supercb[Item],tab_alimentos[[#This Row],[Item]],supercb[Bairro],mercado8)</f>
        <v>0</v>
      </c>
      <c r="T428" s="4">
        <f>SUMIFS(super1[Qtde],super1[Item],tab_alimentos[[#This Row],[Item]],super1[Bairro],mercado9)+SUMIFS(supercb[Qtde],supercb[Item],tab_alimentos[[#This Row],[Item]],supercb[Bairro],mercado9)</f>
        <v>0</v>
      </c>
      <c r="U428" s="4">
        <f>SUMIFS(super1[Qtde],super1[Item],tab_alimentos[[#This Row],[Item]],super1[Bairro],mercado10)+SUMIFS(supercb[Qtde],supercb[Item],tab_alimentos[[#This Row],[Item]],supercb[Bairro],mercado10)</f>
        <v>0</v>
      </c>
      <c r="V428" s="4">
        <f>SUMIFS(super1[Qtde],super1[Item],tab_alimentos[[#This Row],[Item]],super1[Bairro],mercado11)+SUMIFS(supercb[Qtde],supercb[Item],tab_alimentos[[#This Row],[Item]],supercb[Bairro],mercado11)</f>
        <v>0</v>
      </c>
      <c r="W428" s="4">
        <f>SUMIFS(super1[Qtde],super1[Item],tab_alimentos[[#This Row],[Item]],super1[Bairro],mercado12)+SUMIFS(supercb[Qtde],supercb[Item],tab_alimentos[[#This Row],[Item]],supercb[Bairro],mercado12)</f>
        <v>0</v>
      </c>
      <c r="X428" s="4">
        <f>SUMIFS(super1[Qtde],super1[Item],tab_alimentos[[#This Row],[Item]],super1[Bairro],mercado13)+SUMIFS(supercb[Qtde],supercb[Item],tab_alimentos[[#This Row],[Item]],supercb[Bairro],mercado13)</f>
        <v>0</v>
      </c>
      <c r="Y428" s="4">
        <f>SUMIFS(super1[Qtde],super1[Item],tab_alimentos[[#This Row],[Item]],super1[Bairro],mercado14)+SUMIFS(supercb[Qtde],supercb[Item],tab_alimentos[[#This Row],[Item]],supercb[Bairro],mercado14)</f>
        <v>0</v>
      </c>
      <c r="Z428" s="4">
        <f>SUMIFS(super1[Qtde],super1[Item],tab_alimentos[[#This Row],[Item]],super1[Bairro],mercado15)+SUMIFS(supercb[Qtde],supercb[Item],tab_alimentos[[#This Row],[Item]],supercb[Bairro],mercado15)</f>
        <v>0</v>
      </c>
      <c r="AA428" s="4">
        <f>SUMIFS(super1[Qtde],super1[Item],tab_alimentos[[#This Row],[Item]],super1[Bairro],mercado16)+SUMIFS(supercb[Qtde],supercb[Item],tab_alimentos[[#This Row],[Item]],supercb[Bairro],mercado16)</f>
        <v>0</v>
      </c>
      <c r="AB428" s="4">
        <f>SUMIFS(super1[Qtde],super1[Item],tab_alimentos[[#This Row],[Item]],super1[Bairro],mercado17)+SUMIFS(supercb[Qtde],supercb[Item],tab_alimentos[[#This Row],[Item]],supercb[Bairro],mercado17)</f>
        <v>0</v>
      </c>
      <c r="AC428" s="4">
        <f>SUMIFS(super1[Qtde],super1[Item],tab_alimentos[[#This Row],[Item]],super1[Bairro],mercado18)+SUMIFS(supercb[Qtde],supercb[Item],tab_alimentos[[#This Row],[Item]],supercb[Bairro],mercado18)</f>
        <v>0</v>
      </c>
      <c r="AD428" s="4">
        <f>SUMIFS(super1[Qtde],super1[Item],tab_alimentos[[#This Row],[Item]],super1[Bairro],extras)+SUMIFS(supercb[Qtde],supercb[Item],tab_alimentos[[#This Row],[Item]],supercb[Bairro],extras)</f>
        <v>0</v>
      </c>
      <c r="AE428" s="4">
        <f t="shared" si="97"/>
        <v>0</v>
      </c>
      <c r="AF428" s="4">
        <f t="shared" si="98"/>
        <v>0</v>
      </c>
      <c r="AG428" s="6">
        <f t="shared" si="99"/>
        <v>0</v>
      </c>
    </row>
    <row r="429" spans="9:33" x14ac:dyDescent="0.25">
      <c r="I429" s="19" t="str">
        <f>alimentos[[#This Row],[Item]]</f>
        <v>Suco Concentrado (1L)</v>
      </c>
      <c r="J429" s="4">
        <f>IFERROR(alimentos[[#This Row],[kg/embalagem]],0)</f>
        <v>1</v>
      </c>
      <c r="K429" s="4">
        <f>IFERROR(alimentos[[#This Row],[Preço]],0)</f>
        <v>6.59</v>
      </c>
      <c r="L429" s="4">
        <f>SUMIFS(super1[Qtde],super1[Item],tab_alimentos[[#This Row],[Item]],super1[Bairro],mercado1)+SUMIFS(supercb[Qtde],supercb[Item],tab_alimentos[[#This Row],[Item]],supercb[Bairro],mercado1)</f>
        <v>0</v>
      </c>
      <c r="M429" s="4">
        <f>SUMIFS(super1[Qtde],super1[Item],tab_alimentos[[#This Row],[Item]],super1[Bairro],mercado2)+SUMIFS(supercb[Qtde],supercb[Item],tab_alimentos[[#This Row],[Item]],supercb[Bairro],mercado2)</f>
        <v>0</v>
      </c>
      <c r="N429" s="4">
        <f>SUMIFS(super1[Qtde],super1[Item],tab_alimentos[[#This Row],[Item]],super1[Bairro],mercado3)+SUMIFS(supercb[Qtde],supercb[Item],tab_alimentos[[#This Row],[Item]],supercb[Bairro],mercado3)</f>
        <v>0</v>
      </c>
      <c r="O429" s="4">
        <f>SUMIFS(super1[Qtde],super1[Item],tab_alimentos[[#This Row],[Item]],super1[Bairro],mercado4)+SUMIFS(supercb[Qtde],supercb[Item],tab_alimentos[[#This Row],[Item]],supercb[Bairro],mercado4)</f>
        <v>0</v>
      </c>
      <c r="P429" s="4">
        <f>SUMIFS(super1[Qtde],super1[Item],tab_alimentos[[#This Row],[Item]],super1[Bairro],mercado5)+SUMIFS(supercb[Qtde],supercb[Item],tab_alimentos[[#This Row],[Item]],supercb[Bairro],mercado5)</f>
        <v>0</v>
      </c>
      <c r="Q429" s="4">
        <f>SUMIFS(super1[Qtde],super1[Item],tab_alimentos[[#This Row],[Item]],super1[Bairro],mercado6)+SUMIFS(supercb[Qtde],supercb[Item],tab_alimentos[[#This Row],[Item]],supercb[Bairro],mercado6)</f>
        <v>0</v>
      </c>
      <c r="R429" s="4">
        <f>SUMIFS(super1[Qtde],super1[Item],tab_alimentos[[#This Row],[Item]],super1[Bairro],mercado7)+SUMIFS(supercb[Qtde],supercb[Item],tab_alimentos[[#This Row],[Item]],supercb[Bairro],mercado7)</f>
        <v>0</v>
      </c>
      <c r="S429" s="4">
        <f>SUMIFS(super1[Qtde],super1[Item],tab_alimentos[[#This Row],[Item]],super1[Bairro],mercado8)+SUMIFS(supercb[Qtde],supercb[Item],tab_alimentos[[#This Row],[Item]],supercb[Bairro],mercado8)</f>
        <v>0</v>
      </c>
      <c r="T429" s="4">
        <f>SUMIFS(super1[Qtde],super1[Item],tab_alimentos[[#This Row],[Item]],super1[Bairro],mercado9)+SUMIFS(supercb[Qtde],supercb[Item],tab_alimentos[[#This Row],[Item]],supercb[Bairro],mercado9)</f>
        <v>0</v>
      </c>
      <c r="U429" s="4">
        <f>SUMIFS(super1[Qtde],super1[Item],tab_alimentos[[#This Row],[Item]],super1[Bairro],mercado10)+SUMIFS(supercb[Qtde],supercb[Item],tab_alimentos[[#This Row],[Item]],supercb[Bairro],mercado10)</f>
        <v>0</v>
      </c>
      <c r="V429" s="4">
        <f>SUMIFS(super1[Qtde],super1[Item],tab_alimentos[[#This Row],[Item]],super1[Bairro],mercado11)+SUMIFS(supercb[Qtde],supercb[Item],tab_alimentos[[#This Row],[Item]],supercb[Bairro],mercado11)</f>
        <v>0</v>
      </c>
      <c r="W429" s="4">
        <f>SUMIFS(super1[Qtde],super1[Item],tab_alimentos[[#This Row],[Item]],super1[Bairro],mercado12)+SUMIFS(supercb[Qtde],supercb[Item],tab_alimentos[[#This Row],[Item]],supercb[Bairro],mercado12)</f>
        <v>0</v>
      </c>
      <c r="X429" s="4">
        <f>SUMIFS(super1[Qtde],super1[Item],tab_alimentos[[#This Row],[Item]],super1[Bairro],mercado13)+SUMIFS(supercb[Qtde],supercb[Item],tab_alimentos[[#This Row],[Item]],supercb[Bairro],mercado13)</f>
        <v>0</v>
      </c>
      <c r="Y429" s="4">
        <f>SUMIFS(super1[Qtde],super1[Item],tab_alimentos[[#This Row],[Item]],super1[Bairro],mercado14)+SUMIFS(supercb[Qtde],supercb[Item],tab_alimentos[[#This Row],[Item]],supercb[Bairro],mercado14)</f>
        <v>0</v>
      </c>
      <c r="Z429" s="4">
        <f>SUMIFS(super1[Qtde],super1[Item],tab_alimentos[[#This Row],[Item]],super1[Bairro],mercado15)+SUMIFS(supercb[Qtde],supercb[Item],tab_alimentos[[#This Row],[Item]],supercb[Bairro],mercado15)</f>
        <v>0</v>
      </c>
      <c r="AA429" s="4">
        <f>SUMIFS(super1[Qtde],super1[Item],tab_alimentos[[#This Row],[Item]],super1[Bairro],mercado16)+SUMIFS(supercb[Qtde],supercb[Item],tab_alimentos[[#This Row],[Item]],supercb[Bairro],mercado16)</f>
        <v>0</v>
      </c>
      <c r="AB429" s="4">
        <f>SUMIFS(super1[Qtde],super1[Item],tab_alimentos[[#This Row],[Item]],super1[Bairro],mercado17)+SUMIFS(supercb[Qtde],supercb[Item],tab_alimentos[[#This Row],[Item]],supercb[Bairro],mercado17)</f>
        <v>0</v>
      </c>
      <c r="AC429" s="4">
        <f>SUMIFS(super1[Qtde],super1[Item],tab_alimentos[[#This Row],[Item]],super1[Bairro],mercado18)+SUMIFS(supercb[Qtde],supercb[Item],tab_alimentos[[#This Row],[Item]],supercb[Bairro],mercado18)</f>
        <v>0</v>
      </c>
      <c r="AD429" s="4">
        <f>SUMIFS(super1[Qtde],super1[Item],tab_alimentos[[#This Row],[Item]],super1[Bairro],extras)+SUMIFS(supercb[Qtde],supercb[Item],tab_alimentos[[#This Row],[Item]],supercb[Bairro],extras)</f>
        <v>0</v>
      </c>
      <c r="AE429" s="4">
        <f t="shared" si="97"/>
        <v>0</v>
      </c>
      <c r="AF429" s="4">
        <f t="shared" si="98"/>
        <v>0</v>
      </c>
      <c r="AG429" s="6">
        <f t="shared" si="99"/>
        <v>0</v>
      </c>
    </row>
    <row r="430" spans="9:33" x14ac:dyDescent="0.25">
      <c r="I430" s="19" t="str">
        <f>alimentos[[#This Row],[Item]]</f>
        <v>Suco Concentrado (500mL)</v>
      </c>
      <c r="J430" s="4">
        <f>IFERROR(alimentos[[#This Row],[kg/embalagem]],0)</f>
        <v>0.5</v>
      </c>
      <c r="K430" s="4">
        <f>IFERROR(alimentos[[#This Row],[Preço]],0)</f>
        <v>3.53</v>
      </c>
      <c r="L430" s="4">
        <f>SUMIFS(super1[Qtde],super1[Item],tab_alimentos[[#This Row],[Item]],super1[Bairro],mercado1)+SUMIFS(supercb[Qtde],supercb[Item],tab_alimentos[[#This Row],[Item]],supercb[Bairro],mercado1)</f>
        <v>0</v>
      </c>
      <c r="M430" s="4">
        <f>SUMIFS(super1[Qtde],super1[Item],tab_alimentos[[#This Row],[Item]],super1[Bairro],mercado2)+SUMIFS(supercb[Qtde],supercb[Item],tab_alimentos[[#This Row],[Item]],supercb[Bairro],mercado2)</f>
        <v>0</v>
      </c>
      <c r="N430" s="4">
        <f>SUMIFS(super1[Qtde],super1[Item],tab_alimentos[[#This Row],[Item]],super1[Bairro],mercado3)+SUMIFS(supercb[Qtde],supercb[Item],tab_alimentos[[#This Row],[Item]],supercb[Bairro],mercado3)</f>
        <v>0</v>
      </c>
      <c r="O430" s="4">
        <f>SUMIFS(super1[Qtde],super1[Item],tab_alimentos[[#This Row],[Item]],super1[Bairro],mercado4)+SUMIFS(supercb[Qtde],supercb[Item],tab_alimentos[[#This Row],[Item]],supercb[Bairro],mercado4)</f>
        <v>0</v>
      </c>
      <c r="P430" s="4">
        <f>SUMIFS(super1[Qtde],super1[Item],tab_alimentos[[#This Row],[Item]],super1[Bairro],mercado5)+SUMIFS(supercb[Qtde],supercb[Item],tab_alimentos[[#This Row],[Item]],supercb[Bairro],mercado5)</f>
        <v>0</v>
      </c>
      <c r="Q430" s="4">
        <f>SUMIFS(super1[Qtde],super1[Item],tab_alimentos[[#This Row],[Item]],super1[Bairro],mercado6)+SUMIFS(supercb[Qtde],supercb[Item],tab_alimentos[[#This Row],[Item]],supercb[Bairro],mercado6)</f>
        <v>0</v>
      </c>
      <c r="R430" s="4">
        <f>SUMIFS(super1[Qtde],super1[Item],tab_alimentos[[#This Row],[Item]],super1[Bairro],mercado7)+SUMIFS(supercb[Qtde],supercb[Item],tab_alimentos[[#This Row],[Item]],supercb[Bairro],mercado7)</f>
        <v>0</v>
      </c>
      <c r="S430" s="4">
        <f>SUMIFS(super1[Qtde],super1[Item],tab_alimentos[[#This Row],[Item]],super1[Bairro],mercado8)+SUMIFS(supercb[Qtde],supercb[Item],tab_alimentos[[#This Row],[Item]],supercb[Bairro],mercado8)</f>
        <v>0</v>
      </c>
      <c r="T430" s="4">
        <f>SUMIFS(super1[Qtde],super1[Item],tab_alimentos[[#This Row],[Item]],super1[Bairro],mercado9)+SUMIFS(supercb[Qtde],supercb[Item],tab_alimentos[[#This Row],[Item]],supercb[Bairro],mercado9)</f>
        <v>0</v>
      </c>
      <c r="U430" s="4">
        <f>SUMIFS(super1[Qtde],super1[Item],tab_alimentos[[#This Row],[Item]],super1[Bairro],mercado10)+SUMIFS(supercb[Qtde],supercb[Item],tab_alimentos[[#This Row],[Item]],supercb[Bairro],mercado10)</f>
        <v>0</v>
      </c>
      <c r="V430" s="4">
        <f>SUMIFS(super1[Qtde],super1[Item],tab_alimentos[[#This Row],[Item]],super1[Bairro],mercado11)+SUMIFS(supercb[Qtde],supercb[Item],tab_alimentos[[#This Row],[Item]],supercb[Bairro],mercado11)</f>
        <v>0</v>
      </c>
      <c r="W430" s="4">
        <f>SUMIFS(super1[Qtde],super1[Item],tab_alimentos[[#This Row],[Item]],super1[Bairro],mercado12)+SUMIFS(supercb[Qtde],supercb[Item],tab_alimentos[[#This Row],[Item]],supercb[Bairro],mercado12)</f>
        <v>0</v>
      </c>
      <c r="X430" s="4">
        <f>SUMIFS(super1[Qtde],super1[Item],tab_alimentos[[#This Row],[Item]],super1[Bairro],mercado13)+SUMIFS(supercb[Qtde],supercb[Item],tab_alimentos[[#This Row],[Item]],supercb[Bairro],mercado13)</f>
        <v>0</v>
      </c>
      <c r="Y430" s="4">
        <f>SUMIFS(super1[Qtde],super1[Item],tab_alimentos[[#This Row],[Item]],super1[Bairro],mercado14)+SUMIFS(supercb[Qtde],supercb[Item],tab_alimentos[[#This Row],[Item]],supercb[Bairro],mercado14)</f>
        <v>0</v>
      </c>
      <c r="Z430" s="4">
        <f>SUMIFS(super1[Qtde],super1[Item],tab_alimentos[[#This Row],[Item]],super1[Bairro],mercado15)+SUMIFS(supercb[Qtde],supercb[Item],tab_alimentos[[#This Row],[Item]],supercb[Bairro],mercado15)</f>
        <v>0</v>
      </c>
      <c r="AA430" s="4">
        <f>SUMIFS(super1[Qtde],super1[Item],tab_alimentos[[#This Row],[Item]],super1[Bairro],mercado16)+SUMIFS(supercb[Qtde],supercb[Item],tab_alimentos[[#This Row],[Item]],supercb[Bairro],mercado16)</f>
        <v>0</v>
      </c>
      <c r="AB430" s="4">
        <f>SUMIFS(super1[Qtde],super1[Item],tab_alimentos[[#This Row],[Item]],super1[Bairro],mercado17)+SUMIFS(supercb[Qtde],supercb[Item],tab_alimentos[[#This Row],[Item]],supercb[Bairro],mercado17)</f>
        <v>0</v>
      </c>
      <c r="AC430" s="4">
        <f>SUMIFS(super1[Qtde],super1[Item],tab_alimentos[[#This Row],[Item]],super1[Bairro],mercado18)+SUMIFS(supercb[Qtde],supercb[Item],tab_alimentos[[#This Row],[Item]],supercb[Bairro],mercado18)</f>
        <v>0</v>
      </c>
      <c r="AD430" s="4">
        <f>SUMIFS(super1[Qtde],super1[Item],tab_alimentos[[#This Row],[Item]],super1[Bairro],extras)+SUMIFS(supercb[Qtde],supercb[Item],tab_alimentos[[#This Row],[Item]],supercb[Bairro],extras)</f>
        <v>0</v>
      </c>
      <c r="AE430" s="4">
        <f t="shared" si="97"/>
        <v>0</v>
      </c>
      <c r="AF430" s="4">
        <f t="shared" si="98"/>
        <v>0</v>
      </c>
      <c r="AG430" s="6">
        <f t="shared" si="99"/>
        <v>0</v>
      </c>
    </row>
    <row r="431" spans="9:33" x14ac:dyDescent="0.25">
      <c r="I431" s="19" t="str">
        <f>alimentos[[#This Row],[Item]]</f>
        <v>Suco Sachê (10g)</v>
      </c>
      <c r="J431" s="4">
        <f>IFERROR(alimentos[[#This Row],[kg/embalagem]],0)</f>
        <v>0.01</v>
      </c>
      <c r="K431" s="4">
        <f>IFERROR(alimentos[[#This Row],[Preço]],0)</f>
        <v>0.75</v>
      </c>
      <c r="L431" s="4">
        <f>SUMIFS(super1[Qtde],super1[Item],tab_alimentos[[#This Row],[Item]],super1[Bairro],mercado1)+SUMIFS(supercb[Qtde],supercb[Item],tab_alimentos[[#This Row],[Item]],supercb[Bairro],mercado1)</f>
        <v>0</v>
      </c>
      <c r="M431" s="4">
        <f>SUMIFS(super1[Qtde],super1[Item],tab_alimentos[[#This Row],[Item]],super1[Bairro],mercado2)+SUMIFS(supercb[Qtde],supercb[Item],tab_alimentos[[#This Row],[Item]],supercb[Bairro],mercado2)</f>
        <v>0</v>
      </c>
      <c r="N431" s="4">
        <f>SUMIFS(super1[Qtde],super1[Item],tab_alimentos[[#This Row],[Item]],super1[Bairro],mercado3)+SUMIFS(supercb[Qtde],supercb[Item],tab_alimentos[[#This Row],[Item]],supercb[Bairro],mercado3)</f>
        <v>0</v>
      </c>
      <c r="O431" s="4">
        <f>SUMIFS(super1[Qtde],super1[Item],tab_alimentos[[#This Row],[Item]],super1[Bairro],mercado4)+SUMIFS(supercb[Qtde],supercb[Item],tab_alimentos[[#This Row],[Item]],supercb[Bairro],mercado4)</f>
        <v>0</v>
      </c>
      <c r="P431" s="4">
        <f>SUMIFS(super1[Qtde],super1[Item],tab_alimentos[[#This Row],[Item]],super1[Bairro],mercado5)+SUMIFS(supercb[Qtde],supercb[Item],tab_alimentos[[#This Row],[Item]],supercb[Bairro],mercado5)</f>
        <v>0</v>
      </c>
      <c r="Q431" s="4">
        <f>SUMIFS(super1[Qtde],super1[Item],tab_alimentos[[#This Row],[Item]],super1[Bairro],mercado6)+SUMIFS(supercb[Qtde],supercb[Item],tab_alimentos[[#This Row],[Item]],supercb[Bairro],mercado6)</f>
        <v>0</v>
      </c>
      <c r="R431" s="4">
        <f>SUMIFS(super1[Qtde],super1[Item],tab_alimentos[[#This Row],[Item]],super1[Bairro],mercado7)+SUMIFS(supercb[Qtde],supercb[Item],tab_alimentos[[#This Row],[Item]],supercb[Bairro],mercado7)</f>
        <v>0</v>
      </c>
      <c r="S431" s="4">
        <f>SUMIFS(super1[Qtde],super1[Item],tab_alimentos[[#This Row],[Item]],super1[Bairro],mercado8)+SUMIFS(supercb[Qtde],supercb[Item],tab_alimentos[[#This Row],[Item]],supercb[Bairro],mercado8)</f>
        <v>0</v>
      </c>
      <c r="T431" s="4">
        <f>SUMIFS(super1[Qtde],super1[Item],tab_alimentos[[#This Row],[Item]],super1[Bairro],mercado9)+SUMIFS(supercb[Qtde],supercb[Item],tab_alimentos[[#This Row],[Item]],supercb[Bairro],mercado9)</f>
        <v>0</v>
      </c>
      <c r="U431" s="4">
        <f>SUMIFS(super1[Qtde],super1[Item],tab_alimentos[[#This Row],[Item]],super1[Bairro],mercado10)+SUMIFS(supercb[Qtde],supercb[Item],tab_alimentos[[#This Row],[Item]],supercb[Bairro],mercado10)</f>
        <v>0</v>
      </c>
      <c r="V431" s="4">
        <f>SUMIFS(super1[Qtde],super1[Item],tab_alimentos[[#This Row],[Item]],super1[Bairro],mercado11)+SUMIFS(supercb[Qtde],supercb[Item],tab_alimentos[[#This Row],[Item]],supercb[Bairro],mercado11)</f>
        <v>0</v>
      </c>
      <c r="W431" s="4">
        <f>SUMIFS(super1[Qtde],super1[Item],tab_alimentos[[#This Row],[Item]],super1[Bairro],mercado12)+SUMIFS(supercb[Qtde],supercb[Item],tab_alimentos[[#This Row],[Item]],supercb[Bairro],mercado12)</f>
        <v>0</v>
      </c>
      <c r="X431" s="4">
        <f>SUMIFS(super1[Qtde],super1[Item],tab_alimentos[[#This Row],[Item]],super1[Bairro],mercado13)+SUMIFS(supercb[Qtde],supercb[Item],tab_alimentos[[#This Row],[Item]],supercb[Bairro],mercado13)</f>
        <v>0</v>
      </c>
      <c r="Y431" s="4">
        <f>SUMIFS(super1[Qtde],super1[Item],tab_alimentos[[#This Row],[Item]],super1[Bairro],mercado14)+SUMIFS(supercb[Qtde],supercb[Item],tab_alimentos[[#This Row],[Item]],supercb[Bairro],mercado14)</f>
        <v>0</v>
      </c>
      <c r="Z431" s="4">
        <f>SUMIFS(super1[Qtde],super1[Item],tab_alimentos[[#This Row],[Item]],super1[Bairro],mercado15)+SUMIFS(supercb[Qtde],supercb[Item],tab_alimentos[[#This Row],[Item]],supercb[Bairro],mercado15)</f>
        <v>0</v>
      </c>
      <c r="AA431" s="4">
        <f>SUMIFS(super1[Qtde],super1[Item],tab_alimentos[[#This Row],[Item]],super1[Bairro],mercado16)+SUMIFS(supercb[Qtde],supercb[Item],tab_alimentos[[#This Row],[Item]],supercb[Bairro],mercado16)</f>
        <v>0</v>
      </c>
      <c r="AB431" s="4">
        <f>SUMIFS(super1[Qtde],super1[Item],tab_alimentos[[#This Row],[Item]],super1[Bairro],mercado17)+SUMIFS(supercb[Qtde],supercb[Item],tab_alimentos[[#This Row],[Item]],supercb[Bairro],mercado17)</f>
        <v>0</v>
      </c>
      <c r="AC431" s="4">
        <f>SUMIFS(super1[Qtde],super1[Item],tab_alimentos[[#This Row],[Item]],super1[Bairro],mercado18)+SUMIFS(supercb[Qtde],supercb[Item],tab_alimentos[[#This Row],[Item]],supercb[Bairro],mercado18)</f>
        <v>0</v>
      </c>
      <c r="AD431" s="4">
        <f>SUMIFS(super1[Qtde],super1[Item],tab_alimentos[[#This Row],[Item]],super1[Bairro],extras)+SUMIFS(supercb[Qtde],supercb[Item],tab_alimentos[[#This Row],[Item]],supercb[Bairro],extras)</f>
        <v>0</v>
      </c>
      <c r="AE431" s="4">
        <f t="shared" si="97"/>
        <v>0</v>
      </c>
      <c r="AF431" s="4">
        <f t="shared" si="98"/>
        <v>0</v>
      </c>
      <c r="AG431" s="6">
        <f t="shared" si="99"/>
        <v>0</v>
      </c>
    </row>
    <row r="432" spans="9:33" x14ac:dyDescent="0.25">
      <c r="I432" s="19" t="str">
        <f>alimentos[[#This Row],[Item]]</f>
        <v>Suco Sachê (25g)</v>
      </c>
      <c r="J432" s="4">
        <f>IFERROR(alimentos[[#This Row],[kg/embalagem]],0)</f>
        <v>2.5000000000000001E-2</v>
      </c>
      <c r="K432" s="4">
        <f>IFERROR(alimentos[[#This Row],[Preço]],0)</f>
        <v>1.0900000000000001</v>
      </c>
      <c r="L432" s="4">
        <f>SUMIFS(super1[Qtde],super1[Item],tab_alimentos[[#This Row],[Item]],super1[Bairro],mercado1)+SUMIFS(supercb[Qtde],supercb[Item],tab_alimentos[[#This Row],[Item]],supercb[Bairro],mercado1)</f>
        <v>0</v>
      </c>
      <c r="M432" s="4">
        <f>SUMIFS(super1[Qtde],super1[Item],tab_alimentos[[#This Row],[Item]],super1[Bairro],mercado2)+SUMIFS(supercb[Qtde],supercb[Item],tab_alimentos[[#This Row],[Item]],supercb[Bairro],mercado2)</f>
        <v>0</v>
      </c>
      <c r="N432" s="4">
        <f>SUMIFS(super1[Qtde],super1[Item],tab_alimentos[[#This Row],[Item]],super1[Bairro],mercado3)+SUMIFS(supercb[Qtde],supercb[Item],tab_alimentos[[#This Row],[Item]],supercb[Bairro],mercado3)</f>
        <v>0</v>
      </c>
      <c r="O432" s="4">
        <f>SUMIFS(super1[Qtde],super1[Item],tab_alimentos[[#This Row],[Item]],super1[Bairro],mercado4)+SUMIFS(supercb[Qtde],supercb[Item],tab_alimentos[[#This Row],[Item]],supercb[Bairro],mercado4)</f>
        <v>0</v>
      </c>
      <c r="P432" s="4">
        <f>SUMIFS(super1[Qtde],super1[Item],tab_alimentos[[#This Row],[Item]],super1[Bairro],mercado5)+SUMIFS(supercb[Qtde],supercb[Item],tab_alimentos[[#This Row],[Item]],supercb[Bairro],mercado5)</f>
        <v>0</v>
      </c>
      <c r="Q432" s="4">
        <f>SUMIFS(super1[Qtde],super1[Item],tab_alimentos[[#This Row],[Item]],super1[Bairro],mercado6)+SUMIFS(supercb[Qtde],supercb[Item],tab_alimentos[[#This Row],[Item]],supercb[Bairro],mercado6)</f>
        <v>0</v>
      </c>
      <c r="R432" s="4">
        <f>SUMIFS(super1[Qtde],super1[Item],tab_alimentos[[#This Row],[Item]],super1[Bairro],mercado7)+SUMIFS(supercb[Qtde],supercb[Item],tab_alimentos[[#This Row],[Item]],supercb[Bairro],mercado7)</f>
        <v>0</v>
      </c>
      <c r="S432" s="4">
        <f>SUMIFS(super1[Qtde],super1[Item],tab_alimentos[[#This Row],[Item]],super1[Bairro],mercado8)+SUMIFS(supercb[Qtde],supercb[Item],tab_alimentos[[#This Row],[Item]],supercb[Bairro],mercado8)</f>
        <v>0</v>
      </c>
      <c r="T432" s="4">
        <f>SUMIFS(super1[Qtde],super1[Item],tab_alimentos[[#This Row],[Item]],super1[Bairro],mercado9)+SUMIFS(supercb[Qtde],supercb[Item],tab_alimentos[[#This Row],[Item]],supercb[Bairro],mercado9)</f>
        <v>0</v>
      </c>
      <c r="U432" s="4">
        <f>SUMIFS(super1[Qtde],super1[Item],tab_alimentos[[#This Row],[Item]],super1[Bairro],mercado10)+SUMIFS(supercb[Qtde],supercb[Item],tab_alimentos[[#This Row],[Item]],supercb[Bairro],mercado10)</f>
        <v>0</v>
      </c>
      <c r="V432" s="4">
        <f>SUMIFS(super1[Qtde],super1[Item],tab_alimentos[[#This Row],[Item]],super1[Bairro],mercado11)+SUMIFS(supercb[Qtde],supercb[Item],tab_alimentos[[#This Row],[Item]],supercb[Bairro],mercado11)</f>
        <v>0</v>
      </c>
      <c r="W432" s="4">
        <f>SUMIFS(super1[Qtde],super1[Item],tab_alimentos[[#This Row],[Item]],super1[Bairro],mercado12)+SUMIFS(supercb[Qtde],supercb[Item],tab_alimentos[[#This Row],[Item]],supercb[Bairro],mercado12)</f>
        <v>0</v>
      </c>
      <c r="X432" s="4">
        <f>SUMIFS(super1[Qtde],super1[Item],tab_alimentos[[#This Row],[Item]],super1[Bairro],mercado13)+SUMIFS(supercb[Qtde],supercb[Item],tab_alimentos[[#This Row],[Item]],supercb[Bairro],mercado13)</f>
        <v>0</v>
      </c>
      <c r="Y432" s="4">
        <f>SUMIFS(super1[Qtde],super1[Item],tab_alimentos[[#This Row],[Item]],super1[Bairro],mercado14)+SUMIFS(supercb[Qtde],supercb[Item],tab_alimentos[[#This Row],[Item]],supercb[Bairro],mercado14)</f>
        <v>0</v>
      </c>
      <c r="Z432" s="4">
        <f>SUMIFS(super1[Qtde],super1[Item],tab_alimentos[[#This Row],[Item]],super1[Bairro],mercado15)+SUMIFS(supercb[Qtde],supercb[Item],tab_alimentos[[#This Row],[Item]],supercb[Bairro],mercado15)</f>
        <v>0</v>
      </c>
      <c r="AA432" s="4">
        <f>SUMIFS(super1[Qtde],super1[Item],tab_alimentos[[#This Row],[Item]],super1[Bairro],mercado16)+SUMIFS(supercb[Qtde],supercb[Item],tab_alimentos[[#This Row],[Item]],supercb[Bairro],mercado16)</f>
        <v>0</v>
      </c>
      <c r="AB432" s="4">
        <f>SUMIFS(super1[Qtde],super1[Item],tab_alimentos[[#This Row],[Item]],super1[Bairro],mercado17)+SUMIFS(supercb[Qtde],supercb[Item],tab_alimentos[[#This Row],[Item]],supercb[Bairro],mercado17)</f>
        <v>0</v>
      </c>
      <c r="AC432" s="4">
        <f>SUMIFS(super1[Qtde],super1[Item],tab_alimentos[[#This Row],[Item]],super1[Bairro],mercado18)+SUMIFS(supercb[Qtde],supercb[Item],tab_alimentos[[#This Row],[Item]],supercb[Bairro],mercado18)</f>
        <v>0</v>
      </c>
      <c r="AD432" s="4">
        <f>SUMIFS(super1[Qtde],super1[Item],tab_alimentos[[#This Row],[Item]],super1[Bairro],extras)+SUMIFS(supercb[Qtde],supercb[Item],tab_alimentos[[#This Row],[Item]],supercb[Bairro],extras)</f>
        <v>0</v>
      </c>
      <c r="AE432" s="4">
        <f t="shared" si="97"/>
        <v>0</v>
      </c>
      <c r="AF432" s="4">
        <f t="shared" si="98"/>
        <v>0</v>
      </c>
      <c r="AG432" s="6">
        <f t="shared" si="99"/>
        <v>0</v>
      </c>
    </row>
    <row r="433" spans="9:33" x14ac:dyDescent="0.25">
      <c r="I433" s="19" t="str">
        <f>alimentos[[#This Row],[Item]]</f>
        <v>Suspiro (70g)</v>
      </c>
      <c r="J433" s="4">
        <f>IFERROR(alimentos[[#This Row],[kg/embalagem]],0)</f>
        <v>7.0000000000000007E-2</v>
      </c>
      <c r="K433" s="4">
        <f>IFERROR(alimentos[[#This Row],[Preço]],0)</f>
        <v>1.99</v>
      </c>
      <c r="L433" s="4">
        <f>SUMIFS(super1[Qtde],super1[Item],tab_alimentos[[#This Row],[Item]],super1[Bairro],mercado1)+SUMIFS(supercb[Qtde],supercb[Item],tab_alimentos[[#This Row],[Item]],supercb[Bairro],mercado1)</f>
        <v>0</v>
      </c>
      <c r="M433" s="4">
        <f>SUMIFS(super1[Qtde],super1[Item],tab_alimentos[[#This Row],[Item]],super1[Bairro],mercado2)+SUMIFS(supercb[Qtde],supercb[Item],tab_alimentos[[#This Row],[Item]],supercb[Bairro],mercado2)</f>
        <v>0</v>
      </c>
      <c r="N433" s="4">
        <f>SUMIFS(super1[Qtde],super1[Item],tab_alimentos[[#This Row],[Item]],super1[Bairro],mercado3)+SUMIFS(supercb[Qtde],supercb[Item],tab_alimentos[[#This Row],[Item]],supercb[Bairro],mercado3)</f>
        <v>0</v>
      </c>
      <c r="O433" s="4">
        <f>SUMIFS(super1[Qtde],super1[Item],tab_alimentos[[#This Row],[Item]],super1[Bairro],mercado4)+SUMIFS(supercb[Qtde],supercb[Item],tab_alimentos[[#This Row],[Item]],supercb[Bairro],mercado4)</f>
        <v>0</v>
      </c>
      <c r="P433" s="4">
        <f>SUMIFS(super1[Qtde],super1[Item],tab_alimentos[[#This Row],[Item]],super1[Bairro],mercado5)+SUMIFS(supercb[Qtde],supercb[Item],tab_alimentos[[#This Row],[Item]],supercb[Bairro],mercado5)</f>
        <v>0</v>
      </c>
      <c r="Q433" s="4">
        <f>SUMIFS(super1[Qtde],super1[Item],tab_alimentos[[#This Row],[Item]],super1[Bairro],mercado6)+SUMIFS(supercb[Qtde],supercb[Item],tab_alimentos[[#This Row],[Item]],supercb[Bairro],mercado6)</f>
        <v>0</v>
      </c>
      <c r="R433" s="4">
        <f>SUMIFS(super1[Qtde],super1[Item],tab_alimentos[[#This Row],[Item]],super1[Bairro],mercado7)+SUMIFS(supercb[Qtde],supercb[Item],tab_alimentos[[#This Row],[Item]],supercb[Bairro],mercado7)</f>
        <v>0</v>
      </c>
      <c r="S433" s="4">
        <f>SUMIFS(super1[Qtde],super1[Item],tab_alimentos[[#This Row],[Item]],super1[Bairro],mercado8)+SUMIFS(supercb[Qtde],supercb[Item],tab_alimentos[[#This Row],[Item]],supercb[Bairro],mercado8)</f>
        <v>0</v>
      </c>
      <c r="T433" s="4">
        <f>SUMIFS(super1[Qtde],super1[Item],tab_alimentos[[#This Row],[Item]],super1[Bairro],mercado9)+SUMIFS(supercb[Qtde],supercb[Item],tab_alimentos[[#This Row],[Item]],supercb[Bairro],mercado9)</f>
        <v>0</v>
      </c>
      <c r="U433" s="4">
        <f>SUMIFS(super1[Qtde],super1[Item],tab_alimentos[[#This Row],[Item]],super1[Bairro],mercado10)+SUMIFS(supercb[Qtde],supercb[Item],tab_alimentos[[#This Row],[Item]],supercb[Bairro],mercado10)</f>
        <v>0</v>
      </c>
      <c r="V433" s="4">
        <f>SUMIFS(super1[Qtde],super1[Item],tab_alimentos[[#This Row],[Item]],super1[Bairro],mercado11)+SUMIFS(supercb[Qtde],supercb[Item],tab_alimentos[[#This Row],[Item]],supercb[Bairro],mercado11)</f>
        <v>0</v>
      </c>
      <c r="W433" s="4">
        <f>SUMIFS(super1[Qtde],super1[Item],tab_alimentos[[#This Row],[Item]],super1[Bairro],mercado12)+SUMIFS(supercb[Qtde],supercb[Item],tab_alimentos[[#This Row],[Item]],supercb[Bairro],mercado12)</f>
        <v>0</v>
      </c>
      <c r="X433" s="4">
        <f>SUMIFS(super1[Qtde],super1[Item],tab_alimentos[[#This Row],[Item]],super1[Bairro],mercado13)+SUMIFS(supercb[Qtde],supercb[Item],tab_alimentos[[#This Row],[Item]],supercb[Bairro],mercado13)</f>
        <v>0</v>
      </c>
      <c r="Y433" s="4">
        <f>SUMIFS(super1[Qtde],super1[Item],tab_alimentos[[#This Row],[Item]],super1[Bairro],mercado14)+SUMIFS(supercb[Qtde],supercb[Item],tab_alimentos[[#This Row],[Item]],supercb[Bairro],mercado14)</f>
        <v>0</v>
      </c>
      <c r="Z433" s="4">
        <f>SUMIFS(super1[Qtde],super1[Item],tab_alimentos[[#This Row],[Item]],super1[Bairro],mercado15)+SUMIFS(supercb[Qtde],supercb[Item],tab_alimentos[[#This Row],[Item]],supercb[Bairro],mercado15)</f>
        <v>0</v>
      </c>
      <c r="AA433" s="4">
        <f>SUMIFS(super1[Qtde],super1[Item],tab_alimentos[[#This Row],[Item]],super1[Bairro],mercado16)+SUMIFS(supercb[Qtde],supercb[Item],tab_alimentos[[#This Row],[Item]],supercb[Bairro],mercado16)</f>
        <v>0</v>
      </c>
      <c r="AB433" s="4">
        <f>SUMIFS(super1[Qtde],super1[Item],tab_alimentos[[#This Row],[Item]],super1[Bairro],mercado17)+SUMIFS(supercb[Qtde],supercb[Item],tab_alimentos[[#This Row],[Item]],supercb[Bairro],mercado17)</f>
        <v>0</v>
      </c>
      <c r="AC433" s="4">
        <f>SUMIFS(super1[Qtde],super1[Item],tab_alimentos[[#This Row],[Item]],super1[Bairro],mercado18)+SUMIFS(supercb[Qtde],supercb[Item],tab_alimentos[[#This Row],[Item]],supercb[Bairro],mercado18)</f>
        <v>0</v>
      </c>
      <c r="AD433" s="4">
        <f>SUMIFS(super1[Qtde],super1[Item],tab_alimentos[[#This Row],[Item]],super1[Bairro],extras)+SUMIFS(supercb[Qtde],supercb[Item],tab_alimentos[[#This Row],[Item]],supercb[Bairro],extras)</f>
        <v>0</v>
      </c>
      <c r="AE433" s="4">
        <f t="shared" si="97"/>
        <v>0</v>
      </c>
      <c r="AF433" s="4">
        <f t="shared" si="98"/>
        <v>0</v>
      </c>
      <c r="AG433" s="6">
        <f t="shared" si="99"/>
        <v>0</v>
      </c>
    </row>
    <row r="434" spans="9:33" x14ac:dyDescent="0.25">
      <c r="I434" s="19" t="str">
        <f>alimentos[[#This Row],[Item]]</f>
        <v>T</v>
      </c>
      <c r="J434" s="4">
        <f>IFERROR(alimentos[[#This Row],[kg/embalagem]],0)</f>
        <v>0</v>
      </c>
      <c r="K434" s="4">
        <f>IFERROR(alimentos[[#This Row],[Preço]],0)</f>
        <v>0</v>
      </c>
      <c r="L434" s="4">
        <f>SUMIFS(super1[Qtde],super1[Item],tab_alimentos[[#This Row],[Item]],super1[Bairro],mercado1)+SUMIFS(supercb[Qtde],supercb[Item],tab_alimentos[[#This Row],[Item]],supercb[Bairro],mercado1)</f>
        <v>0</v>
      </c>
      <c r="M434" s="4">
        <f>SUMIFS(super1[Qtde],super1[Item],tab_alimentos[[#This Row],[Item]],super1[Bairro],mercado2)+SUMIFS(supercb[Qtde],supercb[Item],tab_alimentos[[#This Row],[Item]],supercb[Bairro],mercado2)</f>
        <v>0</v>
      </c>
      <c r="N434" s="4">
        <f>SUMIFS(super1[Qtde],super1[Item],tab_alimentos[[#This Row],[Item]],super1[Bairro],mercado3)+SUMIFS(supercb[Qtde],supercb[Item],tab_alimentos[[#This Row],[Item]],supercb[Bairro],mercado3)</f>
        <v>0</v>
      </c>
      <c r="O434" s="4">
        <f>SUMIFS(super1[Qtde],super1[Item],tab_alimentos[[#This Row],[Item]],super1[Bairro],mercado4)+SUMIFS(supercb[Qtde],supercb[Item],tab_alimentos[[#This Row],[Item]],supercb[Bairro],mercado4)</f>
        <v>0</v>
      </c>
      <c r="P434" s="4">
        <f>SUMIFS(super1[Qtde],super1[Item],tab_alimentos[[#This Row],[Item]],super1[Bairro],mercado5)+SUMIFS(supercb[Qtde],supercb[Item],tab_alimentos[[#This Row],[Item]],supercb[Bairro],mercado5)</f>
        <v>0</v>
      </c>
      <c r="Q434" s="4">
        <f>SUMIFS(super1[Qtde],super1[Item],tab_alimentos[[#This Row],[Item]],super1[Bairro],mercado6)+SUMIFS(supercb[Qtde],supercb[Item],tab_alimentos[[#This Row],[Item]],supercb[Bairro],mercado6)</f>
        <v>0</v>
      </c>
      <c r="R434" s="4">
        <f>SUMIFS(super1[Qtde],super1[Item],tab_alimentos[[#This Row],[Item]],super1[Bairro],mercado7)+SUMIFS(supercb[Qtde],supercb[Item],tab_alimentos[[#This Row],[Item]],supercb[Bairro],mercado7)</f>
        <v>0</v>
      </c>
      <c r="S434" s="4">
        <f>SUMIFS(super1[Qtde],super1[Item],tab_alimentos[[#This Row],[Item]],super1[Bairro],mercado8)+SUMIFS(supercb[Qtde],supercb[Item],tab_alimentos[[#This Row],[Item]],supercb[Bairro],mercado8)</f>
        <v>0</v>
      </c>
      <c r="T434" s="4">
        <f>SUMIFS(super1[Qtde],super1[Item],tab_alimentos[[#This Row],[Item]],super1[Bairro],mercado9)+SUMIFS(supercb[Qtde],supercb[Item],tab_alimentos[[#This Row],[Item]],supercb[Bairro],mercado9)</f>
        <v>0</v>
      </c>
      <c r="U434" s="4">
        <f>SUMIFS(super1[Qtde],super1[Item],tab_alimentos[[#This Row],[Item]],super1[Bairro],mercado10)+SUMIFS(supercb[Qtde],supercb[Item],tab_alimentos[[#This Row],[Item]],supercb[Bairro],mercado10)</f>
        <v>0</v>
      </c>
      <c r="V434" s="4">
        <f>SUMIFS(super1[Qtde],super1[Item],tab_alimentos[[#This Row],[Item]],super1[Bairro],mercado11)+SUMIFS(supercb[Qtde],supercb[Item],tab_alimentos[[#This Row],[Item]],supercb[Bairro],mercado11)</f>
        <v>0</v>
      </c>
      <c r="W434" s="4">
        <f>SUMIFS(super1[Qtde],super1[Item],tab_alimentos[[#This Row],[Item]],super1[Bairro],mercado12)+SUMIFS(supercb[Qtde],supercb[Item],tab_alimentos[[#This Row],[Item]],supercb[Bairro],mercado12)</f>
        <v>0</v>
      </c>
      <c r="X434" s="4">
        <f>SUMIFS(super1[Qtde],super1[Item],tab_alimentos[[#This Row],[Item]],super1[Bairro],mercado13)+SUMIFS(supercb[Qtde],supercb[Item],tab_alimentos[[#This Row],[Item]],supercb[Bairro],mercado13)</f>
        <v>0</v>
      </c>
      <c r="Y434" s="4">
        <f>SUMIFS(super1[Qtde],super1[Item],tab_alimentos[[#This Row],[Item]],super1[Bairro],mercado14)+SUMIFS(supercb[Qtde],supercb[Item],tab_alimentos[[#This Row],[Item]],supercb[Bairro],mercado14)</f>
        <v>0</v>
      </c>
      <c r="Z434" s="4">
        <f>SUMIFS(super1[Qtde],super1[Item],tab_alimentos[[#This Row],[Item]],super1[Bairro],mercado15)+SUMIFS(supercb[Qtde],supercb[Item],tab_alimentos[[#This Row],[Item]],supercb[Bairro],mercado15)</f>
        <v>0</v>
      </c>
      <c r="AA434" s="4">
        <f>SUMIFS(super1[Qtde],super1[Item],tab_alimentos[[#This Row],[Item]],super1[Bairro],mercado16)+SUMIFS(supercb[Qtde],supercb[Item],tab_alimentos[[#This Row],[Item]],supercb[Bairro],mercado16)</f>
        <v>0</v>
      </c>
      <c r="AB434" s="4">
        <f>SUMIFS(super1[Qtde],super1[Item],tab_alimentos[[#This Row],[Item]],super1[Bairro],mercado17)+SUMIFS(supercb[Qtde],supercb[Item],tab_alimentos[[#This Row],[Item]],supercb[Bairro],mercado17)</f>
        <v>0</v>
      </c>
      <c r="AC434" s="4">
        <f>SUMIFS(super1[Qtde],super1[Item],tab_alimentos[[#This Row],[Item]],super1[Bairro],mercado18)+SUMIFS(supercb[Qtde],supercb[Item],tab_alimentos[[#This Row],[Item]],supercb[Bairro],mercado18)</f>
        <v>0</v>
      </c>
      <c r="AD434" s="4">
        <f>SUMIFS(super1[Qtde],super1[Item],tab_alimentos[[#This Row],[Item]],super1[Bairro],extras)+SUMIFS(supercb[Qtde],supercb[Item],tab_alimentos[[#This Row],[Item]],supercb[Bairro],extras)</f>
        <v>0</v>
      </c>
      <c r="AE434" s="4">
        <f t="shared" si="97"/>
        <v>0</v>
      </c>
      <c r="AF434" s="4">
        <f t="shared" si="98"/>
        <v>0</v>
      </c>
      <c r="AG434" s="6">
        <f t="shared" si="99"/>
        <v>0</v>
      </c>
    </row>
    <row r="435" spans="9:33" x14ac:dyDescent="0.25">
      <c r="I435" s="19" t="str">
        <f>alimentos[[#This Row],[Item]]</f>
        <v>Tapioca (1kg)</v>
      </c>
      <c r="J435" s="4">
        <f>IFERROR(alimentos[[#This Row],[kg/embalagem]],0)</f>
        <v>1</v>
      </c>
      <c r="K435" s="4">
        <f>IFERROR(alimentos[[#This Row],[Preço]],0)</f>
        <v>9.99</v>
      </c>
      <c r="L435" s="4">
        <f>SUMIFS(super1[Qtde],super1[Item],tab_alimentos[[#This Row],[Item]],super1[Bairro],mercado1)+SUMIFS(supercb[Qtde],supercb[Item],tab_alimentos[[#This Row],[Item]],supercb[Bairro],mercado1)</f>
        <v>0</v>
      </c>
      <c r="M435" s="4">
        <f>SUMIFS(super1[Qtde],super1[Item],tab_alimentos[[#This Row],[Item]],super1[Bairro],mercado2)+SUMIFS(supercb[Qtde],supercb[Item],tab_alimentos[[#This Row],[Item]],supercb[Bairro],mercado2)</f>
        <v>0</v>
      </c>
      <c r="N435" s="4">
        <f>SUMIFS(super1[Qtde],super1[Item],tab_alimentos[[#This Row],[Item]],super1[Bairro],mercado3)+SUMIFS(supercb[Qtde],supercb[Item],tab_alimentos[[#This Row],[Item]],supercb[Bairro],mercado3)</f>
        <v>0</v>
      </c>
      <c r="O435" s="4">
        <f>SUMIFS(super1[Qtde],super1[Item],tab_alimentos[[#This Row],[Item]],super1[Bairro],mercado4)+SUMIFS(supercb[Qtde],supercb[Item],tab_alimentos[[#This Row],[Item]],supercb[Bairro],mercado4)</f>
        <v>0</v>
      </c>
      <c r="P435" s="4">
        <f>SUMIFS(super1[Qtde],super1[Item],tab_alimentos[[#This Row],[Item]],super1[Bairro],mercado5)+SUMIFS(supercb[Qtde],supercb[Item],tab_alimentos[[#This Row],[Item]],supercb[Bairro],mercado5)</f>
        <v>0</v>
      </c>
      <c r="Q435" s="4">
        <f>SUMIFS(super1[Qtde],super1[Item],tab_alimentos[[#This Row],[Item]],super1[Bairro],mercado6)+SUMIFS(supercb[Qtde],supercb[Item],tab_alimentos[[#This Row],[Item]],supercb[Bairro],mercado6)</f>
        <v>0</v>
      </c>
      <c r="R435" s="4">
        <f>SUMIFS(super1[Qtde],super1[Item],tab_alimentos[[#This Row],[Item]],super1[Bairro],mercado7)+SUMIFS(supercb[Qtde],supercb[Item],tab_alimentos[[#This Row],[Item]],supercb[Bairro],mercado7)</f>
        <v>0</v>
      </c>
      <c r="S435" s="4">
        <f>SUMIFS(super1[Qtde],super1[Item],tab_alimentos[[#This Row],[Item]],super1[Bairro],mercado8)+SUMIFS(supercb[Qtde],supercb[Item],tab_alimentos[[#This Row],[Item]],supercb[Bairro],mercado8)</f>
        <v>0</v>
      </c>
      <c r="T435" s="4">
        <f>SUMIFS(super1[Qtde],super1[Item],tab_alimentos[[#This Row],[Item]],super1[Bairro],mercado9)+SUMIFS(supercb[Qtde],supercb[Item],tab_alimentos[[#This Row],[Item]],supercb[Bairro],mercado9)</f>
        <v>0</v>
      </c>
      <c r="U435" s="4">
        <f>SUMIFS(super1[Qtde],super1[Item],tab_alimentos[[#This Row],[Item]],super1[Bairro],mercado10)+SUMIFS(supercb[Qtde],supercb[Item],tab_alimentos[[#This Row],[Item]],supercb[Bairro],mercado10)</f>
        <v>0</v>
      </c>
      <c r="V435" s="4">
        <f>SUMIFS(super1[Qtde],super1[Item],tab_alimentos[[#This Row],[Item]],super1[Bairro],mercado11)+SUMIFS(supercb[Qtde],supercb[Item],tab_alimentos[[#This Row],[Item]],supercb[Bairro],mercado11)</f>
        <v>0</v>
      </c>
      <c r="W435" s="4">
        <f>SUMIFS(super1[Qtde],super1[Item],tab_alimentos[[#This Row],[Item]],super1[Bairro],mercado12)+SUMIFS(supercb[Qtde],supercb[Item],tab_alimentos[[#This Row],[Item]],supercb[Bairro],mercado12)</f>
        <v>0</v>
      </c>
      <c r="X435" s="4">
        <f>SUMIFS(super1[Qtde],super1[Item],tab_alimentos[[#This Row],[Item]],super1[Bairro],mercado13)+SUMIFS(supercb[Qtde],supercb[Item],tab_alimentos[[#This Row],[Item]],supercb[Bairro],mercado13)</f>
        <v>0</v>
      </c>
      <c r="Y435" s="4">
        <f>SUMIFS(super1[Qtde],super1[Item],tab_alimentos[[#This Row],[Item]],super1[Bairro],mercado14)+SUMIFS(supercb[Qtde],supercb[Item],tab_alimentos[[#This Row],[Item]],supercb[Bairro],mercado14)</f>
        <v>0</v>
      </c>
      <c r="Z435" s="4">
        <f>SUMIFS(super1[Qtde],super1[Item],tab_alimentos[[#This Row],[Item]],super1[Bairro],mercado15)+SUMIFS(supercb[Qtde],supercb[Item],tab_alimentos[[#This Row],[Item]],supercb[Bairro],mercado15)</f>
        <v>0</v>
      </c>
      <c r="AA435" s="4">
        <f>SUMIFS(super1[Qtde],super1[Item],tab_alimentos[[#This Row],[Item]],super1[Bairro],mercado16)+SUMIFS(supercb[Qtde],supercb[Item],tab_alimentos[[#This Row],[Item]],supercb[Bairro],mercado16)</f>
        <v>0</v>
      </c>
      <c r="AB435" s="4">
        <f>SUMIFS(super1[Qtde],super1[Item],tab_alimentos[[#This Row],[Item]],super1[Bairro],mercado17)+SUMIFS(supercb[Qtde],supercb[Item],tab_alimentos[[#This Row],[Item]],supercb[Bairro],mercado17)</f>
        <v>0</v>
      </c>
      <c r="AC435" s="4">
        <f>SUMIFS(super1[Qtde],super1[Item],tab_alimentos[[#This Row],[Item]],super1[Bairro],mercado18)+SUMIFS(supercb[Qtde],supercb[Item],tab_alimentos[[#This Row],[Item]],supercb[Bairro],mercado18)</f>
        <v>0</v>
      </c>
      <c r="AD435" s="4">
        <f>SUMIFS(super1[Qtde],super1[Item],tab_alimentos[[#This Row],[Item]],super1[Bairro],extras)+SUMIFS(supercb[Qtde],supercb[Item],tab_alimentos[[#This Row],[Item]],supercb[Bairro],extras)</f>
        <v>0</v>
      </c>
      <c r="AE435" s="4">
        <f t="shared" si="97"/>
        <v>0</v>
      </c>
      <c r="AF435" s="4">
        <f t="shared" si="98"/>
        <v>0</v>
      </c>
      <c r="AG435" s="6">
        <f t="shared" si="99"/>
        <v>0</v>
      </c>
    </row>
    <row r="436" spans="9:33" x14ac:dyDescent="0.25">
      <c r="I436" s="19" t="str">
        <f>alimentos[[#This Row],[Item]]</f>
        <v>Tapioca (500g)</v>
      </c>
      <c r="J436" s="4">
        <f>IFERROR(alimentos[[#This Row],[kg/embalagem]],0)</f>
        <v>0.5</v>
      </c>
      <c r="K436" s="4">
        <f>IFERROR(alimentos[[#This Row],[Preço]],0)</f>
        <v>4.3600000000000003</v>
      </c>
      <c r="L436" s="4">
        <f>SUMIFS(super1[Qtde],super1[Item],tab_alimentos[[#This Row],[Item]],super1[Bairro],mercado1)+SUMIFS(supercb[Qtde],supercb[Item],tab_alimentos[[#This Row],[Item]],supercb[Bairro],mercado1)</f>
        <v>0</v>
      </c>
      <c r="M436" s="4">
        <f>SUMIFS(super1[Qtde],super1[Item],tab_alimentos[[#This Row],[Item]],super1[Bairro],mercado2)+SUMIFS(supercb[Qtde],supercb[Item],tab_alimentos[[#This Row],[Item]],supercb[Bairro],mercado2)</f>
        <v>0</v>
      </c>
      <c r="N436" s="4">
        <f>SUMIFS(super1[Qtde],super1[Item],tab_alimentos[[#This Row],[Item]],super1[Bairro],mercado3)+SUMIFS(supercb[Qtde],supercb[Item],tab_alimentos[[#This Row],[Item]],supercb[Bairro],mercado3)</f>
        <v>0</v>
      </c>
      <c r="O436" s="4">
        <f>SUMIFS(super1[Qtde],super1[Item],tab_alimentos[[#This Row],[Item]],super1[Bairro],mercado4)+SUMIFS(supercb[Qtde],supercb[Item],tab_alimentos[[#This Row],[Item]],supercb[Bairro],mercado4)</f>
        <v>0</v>
      </c>
      <c r="P436" s="4">
        <f>SUMIFS(super1[Qtde],super1[Item],tab_alimentos[[#This Row],[Item]],super1[Bairro],mercado5)+SUMIFS(supercb[Qtde],supercb[Item],tab_alimentos[[#This Row],[Item]],supercb[Bairro],mercado5)</f>
        <v>0</v>
      </c>
      <c r="Q436" s="4">
        <f>SUMIFS(super1[Qtde],super1[Item],tab_alimentos[[#This Row],[Item]],super1[Bairro],mercado6)+SUMIFS(supercb[Qtde],supercb[Item],tab_alimentos[[#This Row],[Item]],supercb[Bairro],mercado6)</f>
        <v>0</v>
      </c>
      <c r="R436" s="4">
        <f>SUMIFS(super1[Qtde],super1[Item],tab_alimentos[[#This Row],[Item]],super1[Bairro],mercado7)+SUMIFS(supercb[Qtde],supercb[Item],tab_alimentos[[#This Row],[Item]],supercb[Bairro],mercado7)</f>
        <v>0</v>
      </c>
      <c r="S436" s="4">
        <f>SUMIFS(super1[Qtde],super1[Item],tab_alimentos[[#This Row],[Item]],super1[Bairro],mercado8)+SUMIFS(supercb[Qtde],supercb[Item],tab_alimentos[[#This Row],[Item]],supercb[Bairro],mercado8)</f>
        <v>0</v>
      </c>
      <c r="T436" s="4">
        <f>SUMIFS(super1[Qtde],super1[Item],tab_alimentos[[#This Row],[Item]],super1[Bairro],mercado9)+SUMIFS(supercb[Qtde],supercb[Item],tab_alimentos[[#This Row],[Item]],supercb[Bairro],mercado9)</f>
        <v>0</v>
      </c>
      <c r="U436" s="4">
        <f>SUMIFS(super1[Qtde],super1[Item],tab_alimentos[[#This Row],[Item]],super1[Bairro],mercado10)+SUMIFS(supercb[Qtde],supercb[Item],tab_alimentos[[#This Row],[Item]],supercb[Bairro],mercado10)</f>
        <v>0</v>
      </c>
      <c r="V436" s="4">
        <f>SUMIFS(super1[Qtde],super1[Item],tab_alimentos[[#This Row],[Item]],super1[Bairro],mercado11)+SUMIFS(supercb[Qtde],supercb[Item],tab_alimentos[[#This Row],[Item]],supercb[Bairro],mercado11)</f>
        <v>0</v>
      </c>
      <c r="W436" s="4">
        <f>SUMIFS(super1[Qtde],super1[Item],tab_alimentos[[#This Row],[Item]],super1[Bairro],mercado12)+SUMIFS(supercb[Qtde],supercb[Item],tab_alimentos[[#This Row],[Item]],supercb[Bairro],mercado12)</f>
        <v>0</v>
      </c>
      <c r="X436" s="4">
        <f>SUMIFS(super1[Qtde],super1[Item],tab_alimentos[[#This Row],[Item]],super1[Bairro],mercado13)+SUMIFS(supercb[Qtde],supercb[Item],tab_alimentos[[#This Row],[Item]],supercb[Bairro],mercado13)</f>
        <v>0</v>
      </c>
      <c r="Y436" s="4">
        <f>SUMIFS(super1[Qtde],super1[Item],tab_alimentos[[#This Row],[Item]],super1[Bairro],mercado14)+SUMIFS(supercb[Qtde],supercb[Item],tab_alimentos[[#This Row],[Item]],supercb[Bairro],mercado14)</f>
        <v>0</v>
      </c>
      <c r="Z436" s="4">
        <f>SUMIFS(super1[Qtde],super1[Item],tab_alimentos[[#This Row],[Item]],super1[Bairro],mercado15)+SUMIFS(supercb[Qtde],supercb[Item],tab_alimentos[[#This Row],[Item]],supercb[Bairro],mercado15)</f>
        <v>0</v>
      </c>
      <c r="AA436" s="4">
        <f>SUMIFS(super1[Qtde],super1[Item],tab_alimentos[[#This Row],[Item]],super1[Bairro],mercado16)+SUMIFS(supercb[Qtde],supercb[Item],tab_alimentos[[#This Row],[Item]],supercb[Bairro],mercado16)</f>
        <v>0</v>
      </c>
      <c r="AB436" s="4">
        <f>SUMIFS(super1[Qtde],super1[Item],tab_alimentos[[#This Row],[Item]],super1[Bairro],mercado17)+SUMIFS(supercb[Qtde],supercb[Item],tab_alimentos[[#This Row],[Item]],supercb[Bairro],mercado17)</f>
        <v>0</v>
      </c>
      <c r="AC436" s="4">
        <f>SUMIFS(super1[Qtde],super1[Item],tab_alimentos[[#This Row],[Item]],super1[Bairro],mercado18)+SUMIFS(supercb[Qtde],supercb[Item],tab_alimentos[[#This Row],[Item]],supercb[Bairro],mercado18)</f>
        <v>0</v>
      </c>
      <c r="AD436" s="4">
        <f>SUMIFS(super1[Qtde],super1[Item],tab_alimentos[[#This Row],[Item]],super1[Bairro],extras)+SUMIFS(supercb[Qtde],supercb[Item],tab_alimentos[[#This Row],[Item]],supercb[Bairro],extras)</f>
        <v>0</v>
      </c>
      <c r="AE436" s="4">
        <f t="shared" si="97"/>
        <v>0</v>
      </c>
      <c r="AF436" s="4">
        <f t="shared" si="98"/>
        <v>0</v>
      </c>
      <c r="AG436" s="6">
        <f t="shared" si="99"/>
        <v>0</v>
      </c>
    </row>
    <row r="437" spans="9:33" x14ac:dyDescent="0.25">
      <c r="I437" s="19" t="str">
        <f>alimentos[[#This Row],[Item]]</f>
        <v>Tempero Pronto (300g)</v>
      </c>
      <c r="J437" s="4">
        <f>IFERROR(alimentos[[#This Row],[kg/embalagem]],0)</f>
        <v>0.3</v>
      </c>
      <c r="K437" s="4">
        <f>IFERROR(alimentos[[#This Row],[Preço]],0)</f>
        <v>4.59</v>
      </c>
      <c r="L437" s="4">
        <f>SUMIFS(super1[Qtde],super1[Item],tab_alimentos[[#This Row],[Item]],super1[Bairro],mercado1)+SUMIFS(supercb[Qtde],supercb[Item],tab_alimentos[[#This Row],[Item]],supercb[Bairro],mercado1)</f>
        <v>0</v>
      </c>
      <c r="M437" s="4">
        <f>SUMIFS(super1[Qtde],super1[Item],tab_alimentos[[#This Row],[Item]],super1[Bairro],mercado2)+SUMIFS(supercb[Qtde],supercb[Item],tab_alimentos[[#This Row],[Item]],supercb[Bairro],mercado2)</f>
        <v>0</v>
      </c>
      <c r="N437" s="4">
        <f>SUMIFS(super1[Qtde],super1[Item],tab_alimentos[[#This Row],[Item]],super1[Bairro],mercado3)+SUMIFS(supercb[Qtde],supercb[Item],tab_alimentos[[#This Row],[Item]],supercb[Bairro],mercado3)</f>
        <v>0</v>
      </c>
      <c r="O437" s="4">
        <f>SUMIFS(super1[Qtde],super1[Item],tab_alimentos[[#This Row],[Item]],super1[Bairro],mercado4)+SUMIFS(supercb[Qtde],supercb[Item],tab_alimentos[[#This Row],[Item]],supercb[Bairro],mercado4)</f>
        <v>0</v>
      </c>
      <c r="P437" s="4">
        <f>SUMIFS(super1[Qtde],super1[Item],tab_alimentos[[#This Row],[Item]],super1[Bairro],mercado5)+SUMIFS(supercb[Qtde],supercb[Item],tab_alimentos[[#This Row],[Item]],supercb[Bairro],mercado5)</f>
        <v>0</v>
      </c>
      <c r="Q437" s="4">
        <f>SUMIFS(super1[Qtde],super1[Item],tab_alimentos[[#This Row],[Item]],super1[Bairro],mercado6)+SUMIFS(supercb[Qtde],supercb[Item],tab_alimentos[[#This Row],[Item]],supercb[Bairro],mercado6)</f>
        <v>0</v>
      </c>
      <c r="R437" s="4">
        <f>SUMIFS(super1[Qtde],super1[Item],tab_alimentos[[#This Row],[Item]],super1[Bairro],mercado7)+SUMIFS(supercb[Qtde],supercb[Item],tab_alimentos[[#This Row],[Item]],supercb[Bairro],mercado7)</f>
        <v>0</v>
      </c>
      <c r="S437" s="4">
        <f>SUMIFS(super1[Qtde],super1[Item],tab_alimentos[[#This Row],[Item]],super1[Bairro],mercado8)+SUMIFS(supercb[Qtde],supercb[Item],tab_alimentos[[#This Row],[Item]],supercb[Bairro],mercado8)</f>
        <v>0</v>
      </c>
      <c r="T437" s="4">
        <f>SUMIFS(super1[Qtde],super1[Item],tab_alimentos[[#This Row],[Item]],super1[Bairro],mercado9)+SUMIFS(supercb[Qtde],supercb[Item],tab_alimentos[[#This Row],[Item]],supercb[Bairro],mercado9)</f>
        <v>0</v>
      </c>
      <c r="U437" s="4">
        <f>SUMIFS(super1[Qtde],super1[Item],tab_alimentos[[#This Row],[Item]],super1[Bairro],mercado10)+SUMIFS(supercb[Qtde],supercb[Item],tab_alimentos[[#This Row],[Item]],supercb[Bairro],mercado10)</f>
        <v>0</v>
      </c>
      <c r="V437" s="4">
        <f>SUMIFS(super1[Qtde],super1[Item],tab_alimentos[[#This Row],[Item]],super1[Bairro],mercado11)+SUMIFS(supercb[Qtde],supercb[Item],tab_alimentos[[#This Row],[Item]],supercb[Bairro],mercado11)</f>
        <v>0</v>
      </c>
      <c r="W437" s="4">
        <f>SUMIFS(super1[Qtde],super1[Item],tab_alimentos[[#This Row],[Item]],super1[Bairro],mercado12)+SUMIFS(supercb[Qtde],supercb[Item],tab_alimentos[[#This Row],[Item]],supercb[Bairro],mercado12)</f>
        <v>0</v>
      </c>
      <c r="X437" s="4">
        <f>SUMIFS(super1[Qtde],super1[Item],tab_alimentos[[#This Row],[Item]],super1[Bairro],mercado13)+SUMIFS(supercb[Qtde],supercb[Item],tab_alimentos[[#This Row],[Item]],supercb[Bairro],mercado13)</f>
        <v>0</v>
      </c>
      <c r="Y437" s="4">
        <f>SUMIFS(super1[Qtde],super1[Item],tab_alimentos[[#This Row],[Item]],super1[Bairro],mercado14)+SUMIFS(supercb[Qtde],supercb[Item],tab_alimentos[[#This Row],[Item]],supercb[Bairro],mercado14)</f>
        <v>0</v>
      </c>
      <c r="Z437" s="4">
        <f>SUMIFS(super1[Qtde],super1[Item],tab_alimentos[[#This Row],[Item]],super1[Bairro],mercado15)+SUMIFS(supercb[Qtde],supercb[Item],tab_alimentos[[#This Row],[Item]],supercb[Bairro],mercado15)</f>
        <v>0</v>
      </c>
      <c r="AA437" s="4">
        <f>SUMIFS(super1[Qtde],super1[Item],tab_alimentos[[#This Row],[Item]],super1[Bairro],mercado16)+SUMIFS(supercb[Qtde],supercb[Item],tab_alimentos[[#This Row],[Item]],supercb[Bairro],mercado16)</f>
        <v>0</v>
      </c>
      <c r="AB437" s="4">
        <f>SUMIFS(super1[Qtde],super1[Item],tab_alimentos[[#This Row],[Item]],super1[Bairro],mercado17)+SUMIFS(supercb[Qtde],supercb[Item],tab_alimentos[[#This Row],[Item]],supercb[Bairro],mercado17)</f>
        <v>0</v>
      </c>
      <c r="AC437" s="4">
        <f>SUMIFS(super1[Qtde],super1[Item],tab_alimentos[[#This Row],[Item]],super1[Bairro],mercado18)+SUMIFS(supercb[Qtde],supercb[Item],tab_alimentos[[#This Row],[Item]],supercb[Bairro],mercado18)</f>
        <v>0</v>
      </c>
      <c r="AD437" s="4">
        <f>SUMIFS(super1[Qtde],super1[Item],tab_alimentos[[#This Row],[Item]],super1[Bairro],extras)+SUMIFS(supercb[Qtde],supercb[Item],tab_alimentos[[#This Row],[Item]],supercb[Bairro],extras)</f>
        <v>0</v>
      </c>
      <c r="AE437" s="4">
        <f t="shared" si="97"/>
        <v>0</v>
      </c>
      <c r="AF437" s="4">
        <f t="shared" si="98"/>
        <v>0</v>
      </c>
      <c r="AG437" s="6">
        <f t="shared" si="99"/>
        <v>0</v>
      </c>
    </row>
    <row r="438" spans="9:33" x14ac:dyDescent="0.25">
      <c r="I438" s="19" t="str">
        <f>alimentos[[#This Row],[Item]]</f>
        <v>Tempero Pronto (500g)</v>
      </c>
      <c r="J438" s="4">
        <f>IFERROR(alimentos[[#This Row],[kg/embalagem]],0)</f>
        <v>0.5</v>
      </c>
      <c r="K438" s="4">
        <f>IFERROR(alimentos[[#This Row],[Preço]],0)</f>
        <v>4.59</v>
      </c>
      <c r="L438" s="4">
        <f>SUMIFS(super1[Qtde],super1[Item],tab_alimentos[[#This Row],[Item]],super1[Bairro],mercado1)+SUMIFS(supercb[Qtde],supercb[Item],tab_alimentos[[#This Row],[Item]],supercb[Bairro],mercado1)</f>
        <v>0</v>
      </c>
      <c r="M438" s="4">
        <f>SUMIFS(super1[Qtde],super1[Item],tab_alimentos[[#This Row],[Item]],super1[Bairro],mercado2)+SUMIFS(supercb[Qtde],supercb[Item],tab_alimentos[[#This Row],[Item]],supercb[Bairro],mercado2)</f>
        <v>0</v>
      </c>
      <c r="N438" s="4">
        <f>SUMIFS(super1[Qtde],super1[Item],tab_alimentos[[#This Row],[Item]],super1[Bairro],mercado3)+SUMIFS(supercb[Qtde],supercb[Item],tab_alimentos[[#This Row],[Item]],supercb[Bairro],mercado3)</f>
        <v>0</v>
      </c>
      <c r="O438" s="4">
        <f>SUMIFS(super1[Qtde],super1[Item],tab_alimentos[[#This Row],[Item]],super1[Bairro],mercado4)+SUMIFS(supercb[Qtde],supercb[Item],tab_alimentos[[#This Row],[Item]],supercb[Bairro],mercado4)</f>
        <v>0</v>
      </c>
      <c r="P438" s="4">
        <f>SUMIFS(super1[Qtde],super1[Item],tab_alimentos[[#This Row],[Item]],super1[Bairro],mercado5)+SUMIFS(supercb[Qtde],supercb[Item],tab_alimentos[[#This Row],[Item]],supercb[Bairro],mercado5)</f>
        <v>0</v>
      </c>
      <c r="Q438" s="4">
        <f>SUMIFS(super1[Qtde],super1[Item],tab_alimentos[[#This Row],[Item]],super1[Bairro],mercado6)+SUMIFS(supercb[Qtde],supercb[Item],tab_alimentos[[#This Row],[Item]],supercb[Bairro],mercado6)</f>
        <v>0</v>
      </c>
      <c r="R438" s="4">
        <f>SUMIFS(super1[Qtde],super1[Item],tab_alimentos[[#This Row],[Item]],super1[Bairro],mercado7)+SUMIFS(supercb[Qtde],supercb[Item],tab_alimentos[[#This Row],[Item]],supercb[Bairro],mercado7)</f>
        <v>0</v>
      </c>
      <c r="S438" s="4">
        <f>SUMIFS(super1[Qtde],super1[Item],tab_alimentos[[#This Row],[Item]],super1[Bairro],mercado8)+SUMIFS(supercb[Qtde],supercb[Item],tab_alimentos[[#This Row],[Item]],supercb[Bairro],mercado8)</f>
        <v>0</v>
      </c>
      <c r="T438" s="4">
        <f>SUMIFS(super1[Qtde],super1[Item],tab_alimentos[[#This Row],[Item]],super1[Bairro],mercado9)+SUMIFS(supercb[Qtde],supercb[Item],tab_alimentos[[#This Row],[Item]],supercb[Bairro],mercado9)</f>
        <v>0</v>
      </c>
      <c r="U438" s="4">
        <f>SUMIFS(super1[Qtde],super1[Item],tab_alimentos[[#This Row],[Item]],super1[Bairro],mercado10)+SUMIFS(supercb[Qtde],supercb[Item],tab_alimentos[[#This Row],[Item]],supercb[Bairro],mercado10)</f>
        <v>0</v>
      </c>
      <c r="V438" s="4">
        <f>SUMIFS(super1[Qtde],super1[Item],tab_alimentos[[#This Row],[Item]],super1[Bairro],mercado11)+SUMIFS(supercb[Qtde],supercb[Item],tab_alimentos[[#This Row],[Item]],supercb[Bairro],mercado11)</f>
        <v>0</v>
      </c>
      <c r="W438" s="4">
        <f>SUMIFS(super1[Qtde],super1[Item],tab_alimentos[[#This Row],[Item]],super1[Bairro],mercado12)+SUMIFS(supercb[Qtde],supercb[Item],tab_alimentos[[#This Row],[Item]],supercb[Bairro],mercado12)</f>
        <v>0</v>
      </c>
      <c r="X438" s="4">
        <f>SUMIFS(super1[Qtde],super1[Item],tab_alimentos[[#This Row],[Item]],super1[Bairro],mercado13)+SUMIFS(supercb[Qtde],supercb[Item],tab_alimentos[[#This Row],[Item]],supercb[Bairro],mercado13)</f>
        <v>0</v>
      </c>
      <c r="Y438" s="4">
        <f>SUMIFS(super1[Qtde],super1[Item],tab_alimentos[[#This Row],[Item]],super1[Bairro],mercado14)+SUMIFS(supercb[Qtde],supercb[Item],tab_alimentos[[#This Row],[Item]],supercb[Bairro],mercado14)</f>
        <v>0</v>
      </c>
      <c r="Z438" s="4">
        <f>SUMIFS(super1[Qtde],super1[Item],tab_alimentos[[#This Row],[Item]],super1[Bairro],mercado15)+SUMIFS(supercb[Qtde],supercb[Item],tab_alimentos[[#This Row],[Item]],supercb[Bairro],mercado15)</f>
        <v>0</v>
      </c>
      <c r="AA438" s="4">
        <f>SUMIFS(super1[Qtde],super1[Item],tab_alimentos[[#This Row],[Item]],super1[Bairro],mercado16)+SUMIFS(supercb[Qtde],supercb[Item],tab_alimentos[[#This Row],[Item]],supercb[Bairro],mercado16)</f>
        <v>0</v>
      </c>
      <c r="AB438" s="4">
        <f>SUMIFS(super1[Qtde],super1[Item],tab_alimentos[[#This Row],[Item]],super1[Bairro],mercado17)+SUMIFS(supercb[Qtde],supercb[Item],tab_alimentos[[#This Row],[Item]],supercb[Bairro],mercado17)</f>
        <v>0</v>
      </c>
      <c r="AC438" s="4">
        <f>SUMIFS(super1[Qtde],super1[Item],tab_alimentos[[#This Row],[Item]],super1[Bairro],mercado18)+SUMIFS(supercb[Qtde],supercb[Item],tab_alimentos[[#This Row],[Item]],supercb[Bairro],mercado18)</f>
        <v>0</v>
      </c>
      <c r="AD438" s="4">
        <f>SUMIFS(super1[Qtde],super1[Item],tab_alimentos[[#This Row],[Item]],super1[Bairro],extras)+SUMIFS(supercb[Qtde],supercb[Item],tab_alimentos[[#This Row],[Item]],supercb[Bairro],extras)</f>
        <v>0</v>
      </c>
      <c r="AE438" s="4">
        <f t="shared" si="97"/>
        <v>0</v>
      </c>
      <c r="AF438" s="4">
        <f t="shared" si="98"/>
        <v>0</v>
      </c>
      <c r="AG438" s="6">
        <f t="shared" si="99"/>
        <v>0</v>
      </c>
    </row>
    <row r="439" spans="9:33" x14ac:dyDescent="0.25">
      <c r="I439" s="19" t="str">
        <f>alimentos[[#This Row],[Item]]</f>
        <v>Tempero Pronto (60g)</v>
      </c>
      <c r="J439" s="4">
        <f>IFERROR(alimentos[[#This Row],[kg/embalagem]],0)</f>
        <v>0.06</v>
      </c>
      <c r="K439" s="4">
        <f>IFERROR(alimentos[[#This Row],[Preço]],0)</f>
        <v>3.59</v>
      </c>
      <c r="L439" s="4">
        <f>SUMIFS(super1[Qtde],super1[Item],tab_alimentos[[#This Row],[Item]],super1[Bairro],mercado1)+SUMIFS(supercb[Qtde],supercb[Item],tab_alimentos[[#This Row],[Item]],supercb[Bairro],mercado1)</f>
        <v>0</v>
      </c>
      <c r="M439" s="4">
        <f>SUMIFS(super1[Qtde],super1[Item],tab_alimentos[[#This Row],[Item]],super1[Bairro],mercado2)+SUMIFS(supercb[Qtde],supercb[Item],tab_alimentos[[#This Row],[Item]],supercb[Bairro],mercado2)</f>
        <v>0</v>
      </c>
      <c r="N439" s="4">
        <f>SUMIFS(super1[Qtde],super1[Item],tab_alimentos[[#This Row],[Item]],super1[Bairro],mercado3)+SUMIFS(supercb[Qtde],supercb[Item],tab_alimentos[[#This Row],[Item]],supercb[Bairro],mercado3)</f>
        <v>0</v>
      </c>
      <c r="O439" s="4">
        <f>SUMIFS(super1[Qtde],super1[Item],tab_alimentos[[#This Row],[Item]],super1[Bairro],mercado4)+SUMIFS(supercb[Qtde],supercb[Item],tab_alimentos[[#This Row],[Item]],supercb[Bairro],mercado4)</f>
        <v>0</v>
      </c>
      <c r="P439" s="4">
        <f>SUMIFS(super1[Qtde],super1[Item],tab_alimentos[[#This Row],[Item]],super1[Bairro],mercado5)+SUMIFS(supercb[Qtde],supercb[Item],tab_alimentos[[#This Row],[Item]],supercb[Bairro],mercado5)</f>
        <v>0</v>
      </c>
      <c r="Q439" s="4">
        <f>SUMIFS(super1[Qtde],super1[Item],tab_alimentos[[#This Row],[Item]],super1[Bairro],mercado6)+SUMIFS(supercb[Qtde],supercb[Item],tab_alimentos[[#This Row],[Item]],supercb[Bairro],mercado6)</f>
        <v>0</v>
      </c>
      <c r="R439" s="4">
        <f>SUMIFS(super1[Qtde],super1[Item],tab_alimentos[[#This Row],[Item]],super1[Bairro],mercado7)+SUMIFS(supercb[Qtde],supercb[Item],tab_alimentos[[#This Row],[Item]],supercb[Bairro],mercado7)</f>
        <v>0</v>
      </c>
      <c r="S439" s="4">
        <f>SUMIFS(super1[Qtde],super1[Item],tab_alimentos[[#This Row],[Item]],super1[Bairro],mercado8)+SUMIFS(supercb[Qtde],supercb[Item],tab_alimentos[[#This Row],[Item]],supercb[Bairro],mercado8)</f>
        <v>0</v>
      </c>
      <c r="T439" s="4">
        <f>SUMIFS(super1[Qtde],super1[Item],tab_alimentos[[#This Row],[Item]],super1[Bairro],mercado9)+SUMIFS(supercb[Qtde],supercb[Item],tab_alimentos[[#This Row],[Item]],supercb[Bairro],mercado9)</f>
        <v>0</v>
      </c>
      <c r="U439" s="4">
        <f>SUMIFS(super1[Qtde],super1[Item],tab_alimentos[[#This Row],[Item]],super1[Bairro],mercado10)+SUMIFS(supercb[Qtde],supercb[Item],tab_alimentos[[#This Row],[Item]],supercb[Bairro],mercado10)</f>
        <v>0</v>
      </c>
      <c r="V439" s="4">
        <f>SUMIFS(super1[Qtde],super1[Item],tab_alimentos[[#This Row],[Item]],super1[Bairro],mercado11)+SUMIFS(supercb[Qtde],supercb[Item],tab_alimentos[[#This Row],[Item]],supercb[Bairro],mercado11)</f>
        <v>0</v>
      </c>
      <c r="W439" s="4">
        <f>SUMIFS(super1[Qtde],super1[Item],tab_alimentos[[#This Row],[Item]],super1[Bairro],mercado12)+SUMIFS(supercb[Qtde],supercb[Item],tab_alimentos[[#This Row],[Item]],supercb[Bairro],mercado12)</f>
        <v>0</v>
      </c>
      <c r="X439" s="4">
        <f>SUMIFS(super1[Qtde],super1[Item],tab_alimentos[[#This Row],[Item]],super1[Bairro],mercado13)+SUMIFS(supercb[Qtde],supercb[Item],tab_alimentos[[#This Row],[Item]],supercb[Bairro],mercado13)</f>
        <v>0</v>
      </c>
      <c r="Y439" s="4">
        <f>SUMIFS(super1[Qtde],super1[Item],tab_alimentos[[#This Row],[Item]],super1[Bairro],mercado14)+SUMIFS(supercb[Qtde],supercb[Item],tab_alimentos[[#This Row],[Item]],supercb[Bairro],mercado14)</f>
        <v>0</v>
      </c>
      <c r="Z439" s="4">
        <f>SUMIFS(super1[Qtde],super1[Item],tab_alimentos[[#This Row],[Item]],super1[Bairro],mercado15)+SUMIFS(supercb[Qtde],supercb[Item],tab_alimentos[[#This Row],[Item]],supercb[Bairro],mercado15)</f>
        <v>0</v>
      </c>
      <c r="AA439" s="4">
        <f>SUMIFS(super1[Qtde],super1[Item],tab_alimentos[[#This Row],[Item]],super1[Bairro],mercado16)+SUMIFS(supercb[Qtde],supercb[Item],tab_alimentos[[#This Row],[Item]],supercb[Bairro],mercado16)</f>
        <v>0</v>
      </c>
      <c r="AB439" s="4">
        <f>SUMIFS(super1[Qtde],super1[Item],tab_alimentos[[#This Row],[Item]],super1[Bairro],mercado17)+SUMIFS(supercb[Qtde],supercb[Item],tab_alimentos[[#This Row],[Item]],supercb[Bairro],mercado17)</f>
        <v>0</v>
      </c>
      <c r="AC439" s="4">
        <f>SUMIFS(super1[Qtde],super1[Item],tab_alimentos[[#This Row],[Item]],super1[Bairro],mercado18)+SUMIFS(supercb[Qtde],supercb[Item],tab_alimentos[[#This Row],[Item]],supercb[Bairro],mercado18)</f>
        <v>0</v>
      </c>
      <c r="AD439" s="4">
        <f>SUMIFS(super1[Qtde],super1[Item],tab_alimentos[[#This Row],[Item]],super1[Bairro],extras)+SUMIFS(supercb[Qtde],supercb[Item],tab_alimentos[[#This Row],[Item]],supercb[Bairro],extras)</f>
        <v>0</v>
      </c>
      <c r="AE439" s="4">
        <f t="shared" si="97"/>
        <v>0</v>
      </c>
      <c r="AF439" s="4">
        <f t="shared" si="98"/>
        <v>0</v>
      </c>
      <c r="AG439" s="6">
        <f t="shared" si="99"/>
        <v>0</v>
      </c>
    </row>
    <row r="440" spans="9:33" x14ac:dyDescent="0.25">
      <c r="I440" s="19" t="str">
        <f>alimentos[[#This Row],[Item]]</f>
        <v>Tomate Pelado (400g)</v>
      </c>
      <c r="J440" s="4">
        <f>IFERROR(alimentos[[#This Row],[kg/embalagem]],0)</f>
        <v>0.4</v>
      </c>
      <c r="K440" s="4">
        <f>IFERROR(alimentos[[#This Row],[Preço]],0)</f>
        <v>6.43</v>
      </c>
      <c r="L440" s="4">
        <f>SUMIFS(super1[Qtde],super1[Item],tab_alimentos[[#This Row],[Item]],super1[Bairro],mercado1)+SUMIFS(supercb[Qtde],supercb[Item],tab_alimentos[[#This Row],[Item]],supercb[Bairro],mercado1)</f>
        <v>0</v>
      </c>
      <c r="M440" s="4">
        <f>SUMIFS(super1[Qtde],super1[Item],tab_alimentos[[#This Row],[Item]],super1[Bairro],mercado2)+SUMIFS(supercb[Qtde],supercb[Item],tab_alimentos[[#This Row],[Item]],supercb[Bairro],mercado2)</f>
        <v>0</v>
      </c>
      <c r="N440" s="4">
        <f>SUMIFS(super1[Qtde],super1[Item],tab_alimentos[[#This Row],[Item]],super1[Bairro],mercado3)+SUMIFS(supercb[Qtde],supercb[Item],tab_alimentos[[#This Row],[Item]],supercb[Bairro],mercado3)</f>
        <v>0</v>
      </c>
      <c r="O440" s="4">
        <f>SUMIFS(super1[Qtde],super1[Item],tab_alimentos[[#This Row],[Item]],super1[Bairro],mercado4)+SUMIFS(supercb[Qtde],supercb[Item],tab_alimentos[[#This Row],[Item]],supercb[Bairro],mercado4)</f>
        <v>0</v>
      </c>
      <c r="P440" s="4">
        <f>SUMIFS(super1[Qtde],super1[Item],tab_alimentos[[#This Row],[Item]],super1[Bairro],mercado5)+SUMIFS(supercb[Qtde],supercb[Item],tab_alimentos[[#This Row],[Item]],supercb[Bairro],mercado5)</f>
        <v>0</v>
      </c>
      <c r="Q440" s="4">
        <f>SUMIFS(super1[Qtde],super1[Item],tab_alimentos[[#This Row],[Item]],super1[Bairro],mercado6)+SUMIFS(supercb[Qtde],supercb[Item],tab_alimentos[[#This Row],[Item]],supercb[Bairro],mercado6)</f>
        <v>0</v>
      </c>
      <c r="R440" s="4">
        <f>SUMIFS(super1[Qtde],super1[Item],tab_alimentos[[#This Row],[Item]],super1[Bairro],mercado7)+SUMIFS(supercb[Qtde],supercb[Item],tab_alimentos[[#This Row],[Item]],supercb[Bairro],mercado7)</f>
        <v>0</v>
      </c>
      <c r="S440" s="4">
        <f>SUMIFS(super1[Qtde],super1[Item],tab_alimentos[[#This Row],[Item]],super1[Bairro],mercado8)+SUMIFS(supercb[Qtde],supercb[Item],tab_alimentos[[#This Row],[Item]],supercb[Bairro],mercado8)</f>
        <v>0</v>
      </c>
      <c r="T440" s="4">
        <f>SUMIFS(super1[Qtde],super1[Item],tab_alimentos[[#This Row],[Item]],super1[Bairro],mercado9)+SUMIFS(supercb[Qtde],supercb[Item],tab_alimentos[[#This Row],[Item]],supercb[Bairro],mercado9)</f>
        <v>0</v>
      </c>
      <c r="U440" s="4">
        <f>SUMIFS(super1[Qtde],super1[Item],tab_alimentos[[#This Row],[Item]],super1[Bairro],mercado10)+SUMIFS(supercb[Qtde],supercb[Item],tab_alimentos[[#This Row],[Item]],supercb[Bairro],mercado10)</f>
        <v>0</v>
      </c>
      <c r="V440" s="4">
        <f>SUMIFS(super1[Qtde],super1[Item],tab_alimentos[[#This Row],[Item]],super1[Bairro],mercado11)+SUMIFS(supercb[Qtde],supercb[Item],tab_alimentos[[#This Row],[Item]],supercb[Bairro],mercado11)</f>
        <v>0</v>
      </c>
      <c r="W440" s="4">
        <f>SUMIFS(super1[Qtde],super1[Item],tab_alimentos[[#This Row],[Item]],super1[Bairro],mercado12)+SUMIFS(supercb[Qtde],supercb[Item],tab_alimentos[[#This Row],[Item]],supercb[Bairro],mercado12)</f>
        <v>0</v>
      </c>
      <c r="X440" s="4">
        <f>SUMIFS(super1[Qtde],super1[Item],tab_alimentos[[#This Row],[Item]],super1[Bairro],mercado13)+SUMIFS(supercb[Qtde],supercb[Item],tab_alimentos[[#This Row],[Item]],supercb[Bairro],mercado13)</f>
        <v>0</v>
      </c>
      <c r="Y440" s="4">
        <f>SUMIFS(super1[Qtde],super1[Item],tab_alimentos[[#This Row],[Item]],super1[Bairro],mercado14)+SUMIFS(supercb[Qtde],supercb[Item],tab_alimentos[[#This Row],[Item]],supercb[Bairro],mercado14)</f>
        <v>0</v>
      </c>
      <c r="Z440" s="4">
        <f>SUMIFS(super1[Qtde],super1[Item],tab_alimentos[[#This Row],[Item]],super1[Bairro],mercado15)+SUMIFS(supercb[Qtde],supercb[Item],tab_alimentos[[#This Row],[Item]],supercb[Bairro],mercado15)</f>
        <v>0</v>
      </c>
      <c r="AA440" s="4">
        <f>SUMIFS(super1[Qtde],super1[Item],tab_alimentos[[#This Row],[Item]],super1[Bairro],mercado16)+SUMIFS(supercb[Qtde],supercb[Item],tab_alimentos[[#This Row],[Item]],supercb[Bairro],mercado16)</f>
        <v>0</v>
      </c>
      <c r="AB440" s="4">
        <f>SUMIFS(super1[Qtde],super1[Item],tab_alimentos[[#This Row],[Item]],super1[Bairro],mercado17)+SUMIFS(supercb[Qtde],supercb[Item],tab_alimentos[[#This Row],[Item]],supercb[Bairro],mercado17)</f>
        <v>0</v>
      </c>
      <c r="AC440" s="4">
        <f>SUMIFS(super1[Qtde],super1[Item],tab_alimentos[[#This Row],[Item]],super1[Bairro],mercado18)+SUMIFS(supercb[Qtde],supercb[Item],tab_alimentos[[#This Row],[Item]],supercb[Bairro],mercado18)</f>
        <v>0</v>
      </c>
      <c r="AD440" s="4">
        <f>SUMIFS(super1[Qtde],super1[Item],tab_alimentos[[#This Row],[Item]],super1[Bairro],extras)+SUMIFS(supercb[Qtde],supercb[Item],tab_alimentos[[#This Row],[Item]],supercb[Bairro],extras)</f>
        <v>0</v>
      </c>
      <c r="AE440" s="4">
        <f t="shared" ref="AE440:AE503" si="100">SUM(L440:AC440)</f>
        <v>0</v>
      </c>
      <c r="AF440" s="4">
        <f t="shared" ref="AF440:AF503" si="101">IFERROR(AE440*K440,0)</f>
        <v>0</v>
      </c>
      <c r="AG440" s="6">
        <f t="shared" ref="AG440:AG503" si="102">IFERROR(J440*AE440,0)</f>
        <v>0</v>
      </c>
    </row>
    <row r="441" spans="9:33" x14ac:dyDescent="0.25">
      <c r="I441" s="19" t="str">
        <f>alimentos[[#This Row],[Item]]</f>
        <v>Tomate Picado (400g)</v>
      </c>
      <c r="J441" s="4">
        <f>IFERROR(alimentos[[#This Row],[kg/embalagem]],0)</f>
        <v>0.4</v>
      </c>
      <c r="K441" s="4">
        <f>IFERROR(alimentos[[#This Row],[Preço]],0)</f>
        <v>9.4</v>
      </c>
      <c r="L441" s="4">
        <f>SUMIFS(super1[Qtde],super1[Item],tab_alimentos[[#This Row],[Item]],super1[Bairro],mercado1)+SUMIFS(supercb[Qtde],supercb[Item],tab_alimentos[[#This Row],[Item]],supercb[Bairro],mercado1)</f>
        <v>0</v>
      </c>
      <c r="M441" s="4">
        <f>SUMIFS(super1[Qtde],super1[Item],tab_alimentos[[#This Row],[Item]],super1[Bairro],mercado2)+SUMIFS(supercb[Qtde],supercb[Item],tab_alimentos[[#This Row],[Item]],supercb[Bairro],mercado2)</f>
        <v>0</v>
      </c>
      <c r="N441" s="4">
        <f>SUMIFS(super1[Qtde],super1[Item],tab_alimentos[[#This Row],[Item]],super1[Bairro],mercado3)+SUMIFS(supercb[Qtde],supercb[Item],tab_alimentos[[#This Row],[Item]],supercb[Bairro],mercado3)</f>
        <v>0</v>
      </c>
      <c r="O441" s="4">
        <f>SUMIFS(super1[Qtde],super1[Item],tab_alimentos[[#This Row],[Item]],super1[Bairro],mercado4)+SUMIFS(supercb[Qtde],supercb[Item],tab_alimentos[[#This Row],[Item]],supercb[Bairro],mercado4)</f>
        <v>0</v>
      </c>
      <c r="P441" s="4">
        <f>SUMIFS(super1[Qtde],super1[Item],tab_alimentos[[#This Row],[Item]],super1[Bairro],mercado5)+SUMIFS(supercb[Qtde],supercb[Item],tab_alimentos[[#This Row],[Item]],supercb[Bairro],mercado5)</f>
        <v>0</v>
      </c>
      <c r="Q441" s="4">
        <f>SUMIFS(super1[Qtde],super1[Item],tab_alimentos[[#This Row],[Item]],super1[Bairro],mercado6)+SUMIFS(supercb[Qtde],supercb[Item],tab_alimentos[[#This Row],[Item]],supercb[Bairro],mercado6)</f>
        <v>0</v>
      </c>
      <c r="R441" s="4">
        <f>SUMIFS(super1[Qtde],super1[Item],tab_alimentos[[#This Row],[Item]],super1[Bairro],mercado7)+SUMIFS(supercb[Qtde],supercb[Item],tab_alimentos[[#This Row],[Item]],supercb[Bairro],mercado7)</f>
        <v>0</v>
      </c>
      <c r="S441" s="4">
        <f>SUMIFS(super1[Qtde],super1[Item],tab_alimentos[[#This Row],[Item]],super1[Bairro],mercado8)+SUMIFS(supercb[Qtde],supercb[Item],tab_alimentos[[#This Row],[Item]],supercb[Bairro],mercado8)</f>
        <v>0</v>
      </c>
      <c r="T441" s="4">
        <f>SUMIFS(super1[Qtde],super1[Item],tab_alimentos[[#This Row],[Item]],super1[Bairro],mercado9)+SUMIFS(supercb[Qtde],supercb[Item],tab_alimentos[[#This Row],[Item]],supercb[Bairro],mercado9)</f>
        <v>0</v>
      </c>
      <c r="U441" s="4">
        <f>SUMIFS(super1[Qtde],super1[Item],tab_alimentos[[#This Row],[Item]],super1[Bairro],mercado10)+SUMIFS(supercb[Qtde],supercb[Item],tab_alimentos[[#This Row],[Item]],supercb[Bairro],mercado10)</f>
        <v>0</v>
      </c>
      <c r="V441" s="4">
        <f>SUMIFS(super1[Qtde],super1[Item],tab_alimentos[[#This Row],[Item]],super1[Bairro],mercado11)+SUMIFS(supercb[Qtde],supercb[Item],tab_alimentos[[#This Row],[Item]],supercb[Bairro],mercado11)</f>
        <v>0</v>
      </c>
      <c r="W441" s="4">
        <f>SUMIFS(super1[Qtde],super1[Item],tab_alimentos[[#This Row],[Item]],super1[Bairro],mercado12)+SUMIFS(supercb[Qtde],supercb[Item],tab_alimentos[[#This Row],[Item]],supercb[Bairro],mercado12)</f>
        <v>0</v>
      </c>
      <c r="X441" s="4">
        <f>SUMIFS(super1[Qtde],super1[Item],tab_alimentos[[#This Row],[Item]],super1[Bairro],mercado13)+SUMIFS(supercb[Qtde],supercb[Item],tab_alimentos[[#This Row],[Item]],supercb[Bairro],mercado13)</f>
        <v>0</v>
      </c>
      <c r="Y441" s="4">
        <f>SUMIFS(super1[Qtde],super1[Item],tab_alimentos[[#This Row],[Item]],super1[Bairro],mercado14)+SUMIFS(supercb[Qtde],supercb[Item],tab_alimentos[[#This Row],[Item]],supercb[Bairro],mercado14)</f>
        <v>0</v>
      </c>
      <c r="Z441" s="4">
        <f>SUMIFS(super1[Qtde],super1[Item],tab_alimentos[[#This Row],[Item]],super1[Bairro],mercado15)+SUMIFS(supercb[Qtde],supercb[Item],tab_alimentos[[#This Row],[Item]],supercb[Bairro],mercado15)</f>
        <v>0</v>
      </c>
      <c r="AA441" s="4">
        <f>SUMIFS(super1[Qtde],super1[Item],tab_alimentos[[#This Row],[Item]],super1[Bairro],mercado16)+SUMIFS(supercb[Qtde],supercb[Item],tab_alimentos[[#This Row],[Item]],supercb[Bairro],mercado16)</f>
        <v>0</v>
      </c>
      <c r="AB441" s="4">
        <f>SUMIFS(super1[Qtde],super1[Item],tab_alimentos[[#This Row],[Item]],super1[Bairro],mercado17)+SUMIFS(supercb[Qtde],supercb[Item],tab_alimentos[[#This Row],[Item]],supercb[Bairro],mercado17)</f>
        <v>0</v>
      </c>
      <c r="AC441" s="4">
        <f>SUMIFS(super1[Qtde],super1[Item],tab_alimentos[[#This Row],[Item]],super1[Bairro],mercado18)+SUMIFS(supercb[Qtde],supercb[Item],tab_alimentos[[#This Row],[Item]],supercb[Bairro],mercado18)</f>
        <v>0</v>
      </c>
      <c r="AD441" s="4">
        <f>SUMIFS(super1[Qtde],super1[Item],tab_alimentos[[#This Row],[Item]],super1[Bairro],extras)+SUMIFS(supercb[Qtde],supercb[Item],tab_alimentos[[#This Row],[Item]],supercb[Bairro],extras)</f>
        <v>0</v>
      </c>
      <c r="AE441" s="4">
        <f t="shared" si="100"/>
        <v>0</v>
      </c>
      <c r="AF441" s="4">
        <f t="shared" si="101"/>
        <v>0</v>
      </c>
      <c r="AG441" s="6">
        <f t="shared" si="102"/>
        <v>0</v>
      </c>
    </row>
    <row r="442" spans="9:33" x14ac:dyDescent="0.25">
      <c r="I442" s="19" t="str">
        <f>alimentos[[#This Row],[Item]]</f>
        <v>Torrada (100g)</v>
      </c>
      <c r="J442" s="4">
        <f>IFERROR(alimentos[[#This Row],[kg/embalagem]],0)</f>
        <v>0.1</v>
      </c>
      <c r="K442" s="4">
        <f>IFERROR(alimentos[[#This Row],[Preço]],0)</f>
        <v>5.19</v>
      </c>
      <c r="L442" s="4">
        <f>SUMIFS(super1[Qtde],super1[Item],tab_alimentos[[#This Row],[Item]],super1[Bairro],mercado1)+SUMIFS(supercb[Qtde],supercb[Item],tab_alimentos[[#This Row],[Item]],supercb[Bairro],mercado1)</f>
        <v>0</v>
      </c>
      <c r="M442" s="4">
        <f>SUMIFS(super1[Qtde],super1[Item],tab_alimentos[[#This Row],[Item]],super1[Bairro],mercado2)+SUMIFS(supercb[Qtde],supercb[Item],tab_alimentos[[#This Row],[Item]],supercb[Bairro],mercado2)</f>
        <v>0</v>
      </c>
      <c r="N442" s="4">
        <f>SUMIFS(super1[Qtde],super1[Item],tab_alimentos[[#This Row],[Item]],super1[Bairro],mercado3)+SUMIFS(supercb[Qtde],supercb[Item],tab_alimentos[[#This Row],[Item]],supercb[Bairro],mercado3)</f>
        <v>0</v>
      </c>
      <c r="O442" s="4">
        <f>SUMIFS(super1[Qtde],super1[Item],tab_alimentos[[#This Row],[Item]],super1[Bairro],mercado4)+SUMIFS(supercb[Qtde],supercb[Item],tab_alimentos[[#This Row],[Item]],supercb[Bairro],mercado4)</f>
        <v>0</v>
      </c>
      <c r="P442" s="4">
        <f>SUMIFS(super1[Qtde],super1[Item],tab_alimentos[[#This Row],[Item]],super1[Bairro],mercado5)+SUMIFS(supercb[Qtde],supercb[Item],tab_alimentos[[#This Row],[Item]],supercb[Bairro],mercado5)</f>
        <v>0</v>
      </c>
      <c r="Q442" s="4">
        <f>SUMIFS(super1[Qtde],super1[Item],tab_alimentos[[#This Row],[Item]],super1[Bairro],mercado6)+SUMIFS(supercb[Qtde],supercb[Item],tab_alimentos[[#This Row],[Item]],supercb[Bairro],mercado6)</f>
        <v>0</v>
      </c>
      <c r="R442" s="4">
        <f>SUMIFS(super1[Qtde],super1[Item],tab_alimentos[[#This Row],[Item]],super1[Bairro],mercado7)+SUMIFS(supercb[Qtde],supercb[Item],tab_alimentos[[#This Row],[Item]],supercb[Bairro],mercado7)</f>
        <v>0</v>
      </c>
      <c r="S442" s="4">
        <f>SUMIFS(super1[Qtde],super1[Item],tab_alimentos[[#This Row],[Item]],super1[Bairro],mercado8)+SUMIFS(supercb[Qtde],supercb[Item],tab_alimentos[[#This Row],[Item]],supercb[Bairro],mercado8)</f>
        <v>0</v>
      </c>
      <c r="T442" s="4">
        <f>SUMIFS(super1[Qtde],super1[Item],tab_alimentos[[#This Row],[Item]],super1[Bairro],mercado9)+SUMIFS(supercb[Qtde],supercb[Item],tab_alimentos[[#This Row],[Item]],supercb[Bairro],mercado9)</f>
        <v>0</v>
      </c>
      <c r="U442" s="4">
        <f>SUMIFS(super1[Qtde],super1[Item],tab_alimentos[[#This Row],[Item]],super1[Bairro],mercado10)+SUMIFS(supercb[Qtde],supercb[Item],tab_alimentos[[#This Row],[Item]],supercb[Bairro],mercado10)</f>
        <v>0</v>
      </c>
      <c r="V442" s="4">
        <f>SUMIFS(super1[Qtde],super1[Item],tab_alimentos[[#This Row],[Item]],super1[Bairro],mercado11)+SUMIFS(supercb[Qtde],supercb[Item],tab_alimentos[[#This Row],[Item]],supercb[Bairro],mercado11)</f>
        <v>0</v>
      </c>
      <c r="W442" s="4">
        <f>SUMIFS(super1[Qtde],super1[Item],tab_alimentos[[#This Row],[Item]],super1[Bairro],mercado12)+SUMIFS(supercb[Qtde],supercb[Item],tab_alimentos[[#This Row],[Item]],supercb[Bairro],mercado12)</f>
        <v>0</v>
      </c>
      <c r="X442" s="4">
        <f>SUMIFS(super1[Qtde],super1[Item],tab_alimentos[[#This Row],[Item]],super1[Bairro],mercado13)+SUMIFS(supercb[Qtde],supercb[Item],tab_alimentos[[#This Row],[Item]],supercb[Bairro],mercado13)</f>
        <v>0</v>
      </c>
      <c r="Y442" s="4">
        <f>SUMIFS(super1[Qtde],super1[Item],tab_alimentos[[#This Row],[Item]],super1[Bairro],mercado14)+SUMIFS(supercb[Qtde],supercb[Item],tab_alimentos[[#This Row],[Item]],supercb[Bairro],mercado14)</f>
        <v>0</v>
      </c>
      <c r="Z442" s="4">
        <f>SUMIFS(super1[Qtde],super1[Item],tab_alimentos[[#This Row],[Item]],super1[Bairro],mercado15)+SUMIFS(supercb[Qtde],supercb[Item],tab_alimentos[[#This Row],[Item]],supercb[Bairro],mercado15)</f>
        <v>0</v>
      </c>
      <c r="AA442" s="4">
        <f>SUMIFS(super1[Qtde],super1[Item],tab_alimentos[[#This Row],[Item]],super1[Bairro],mercado16)+SUMIFS(supercb[Qtde],supercb[Item],tab_alimentos[[#This Row],[Item]],supercb[Bairro],mercado16)</f>
        <v>0</v>
      </c>
      <c r="AB442" s="4">
        <f>SUMIFS(super1[Qtde],super1[Item],tab_alimentos[[#This Row],[Item]],super1[Bairro],mercado17)+SUMIFS(supercb[Qtde],supercb[Item],tab_alimentos[[#This Row],[Item]],supercb[Bairro],mercado17)</f>
        <v>0</v>
      </c>
      <c r="AC442" s="4">
        <f>SUMIFS(super1[Qtde],super1[Item],tab_alimentos[[#This Row],[Item]],super1[Bairro],mercado18)+SUMIFS(supercb[Qtde],supercb[Item],tab_alimentos[[#This Row],[Item]],supercb[Bairro],mercado18)</f>
        <v>0</v>
      </c>
      <c r="AD442" s="4">
        <f>SUMIFS(super1[Qtde],super1[Item],tab_alimentos[[#This Row],[Item]],super1[Bairro],extras)+SUMIFS(supercb[Qtde],supercb[Item],tab_alimentos[[#This Row],[Item]],supercb[Bairro],extras)</f>
        <v>0</v>
      </c>
      <c r="AE442" s="4">
        <f t="shared" si="100"/>
        <v>0</v>
      </c>
      <c r="AF442" s="4">
        <f t="shared" si="101"/>
        <v>0</v>
      </c>
      <c r="AG442" s="6">
        <f t="shared" si="102"/>
        <v>0</v>
      </c>
    </row>
    <row r="443" spans="9:33" x14ac:dyDescent="0.25">
      <c r="I443" s="19" t="str">
        <f>alimentos[[#This Row],[Item]]</f>
        <v>Torrada (120g)</v>
      </c>
      <c r="J443" s="4">
        <f>IFERROR(alimentos[[#This Row],[kg/embalagem]],0)</f>
        <v>0.12</v>
      </c>
      <c r="K443" s="4">
        <f>IFERROR(alimentos[[#This Row],[Preço]],0)</f>
        <v>4.3</v>
      </c>
      <c r="L443" s="4">
        <f>SUMIFS(super1[Qtde],super1[Item],tab_alimentos[[#This Row],[Item]],super1[Bairro],mercado1)+SUMIFS(supercb[Qtde],supercb[Item],tab_alimentos[[#This Row],[Item]],supercb[Bairro],mercado1)</f>
        <v>0</v>
      </c>
      <c r="M443" s="4">
        <f>SUMIFS(super1[Qtde],super1[Item],tab_alimentos[[#This Row],[Item]],super1[Bairro],mercado2)+SUMIFS(supercb[Qtde],supercb[Item],tab_alimentos[[#This Row],[Item]],supercb[Bairro],mercado2)</f>
        <v>0</v>
      </c>
      <c r="N443" s="4">
        <f>SUMIFS(super1[Qtde],super1[Item],tab_alimentos[[#This Row],[Item]],super1[Bairro],mercado3)+SUMIFS(supercb[Qtde],supercb[Item],tab_alimentos[[#This Row],[Item]],supercb[Bairro],mercado3)</f>
        <v>0</v>
      </c>
      <c r="O443" s="4">
        <f>SUMIFS(super1[Qtde],super1[Item],tab_alimentos[[#This Row],[Item]],super1[Bairro],mercado4)+SUMIFS(supercb[Qtde],supercb[Item],tab_alimentos[[#This Row],[Item]],supercb[Bairro],mercado4)</f>
        <v>0</v>
      </c>
      <c r="P443" s="4">
        <f>SUMIFS(super1[Qtde],super1[Item],tab_alimentos[[#This Row],[Item]],super1[Bairro],mercado5)+SUMIFS(supercb[Qtde],supercb[Item],tab_alimentos[[#This Row],[Item]],supercb[Bairro],mercado5)</f>
        <v>0</v>
      </c>
      <c r="Q443" s="4">
        <f>SUMIFS(super1[Qtde],super1[Item],tab_alimentos[[#This Row],[Item]],super1[Bairro],mercado6)+SUMIFS(supercb[Qtde],supercb[Item],tab_alimentos[[#This Row],[Item]],supercb[Bairro],mercado6)</f>
        <v>0</v>
      </c>
      <c r="R443" s="4">
        <f>SUMIFS(super1[Qtde],super1[Item],tab_alimentos[[#This Row],[Item]],super1[Bairro],mercado7)+SUMIFS(supercb[Qtde],supercb[Item],tab_alimentos[[#This Row],[Item]],supercb[Bairro],mercado7)</f>
        <v>0</v>
      </c>
      <c r="S443" s="4">
        <f>SUMIFS(super1[Qtde],super1[Item],tab_alimentos[[#This Row],[Item]],super1[Bairro],mercado8)+SUMIFS(supercb[Qtde],supercb[Item],tab_alimentos[[#This Row],[Item]],supercb[Bairro],mercado8)</f>
        <v>0</v>
      </c>
      <c r="T443" s="4">
        <f>SUMIFS(super1[Qtde],super1[Item],tab_alimentos[[#This Row],[Item]],super1[Bairro],mercado9)+SUMIFS(supercb[Qtde],supercb[Item],tab_alimentos[[#This Row],[Item]],supercb[Bairro],mercado9)</f>
        <v>0</v>
      </c>
      <c r="U443" s="4">
        <f>SUMIFS(super1[Qtde],super1[Item],tab_alimentos[[#This Row],[Item]],super1[Bairro],mercado10)+SUMIFS(supercb[Qtde],supercb[Item],tab_alimentos[[#This Row],[Item]],supercb[Bairro],mercado10)</f>
        <v>0</v>
      </c>
      <c r="V443" s="4">
        <f>SUMIFS(super1[Qtde],super1[Item],tab_alimentos[[#This Row],[Item]],super1[Bairro],mercado11)+SUMIFS(supercb[Qtde],supercb[Item],tab_alimentos[[#This Row],[Item]],supercb[Bairro],mercado11)</f>
        <v>0</v>
      </c>
      <c r="W443" s="4">
        <f>SUMIFS(super1[Qtde],super1[Item],tab_alimentos[[#This Row],[Item]],super1[Bairro],mercado12)+SUMIFS(supercb[Qtde],supercb[Item],tab_alimentos[[#This Row],[Item]],supercb[Bairro],mercado12)</f>
        <v>0</v>
      </c>
      <c r="X443" s="4">
        <f>SUMIFS(super1[Qtde],super1[Item],tab_alimentos[[#This Row],[Item]],super1[Bairro],mercado13)+SUMIFS(supercb[Qtde],supercb[Item],tab_alimentos[[#This Row],[Item]],supercb[Bairro],mercado13)</f>
        <v>0</v>
      </c>
      <c r="Y443" s="4">
        <f>SUMIFS(super1[Qtde],super1[Item],tab_alimentos[[#This Row],[Item]],super1[Bairro],mercado14)+SUMIFS(supercb[Qtde],supercb[Item],tab_alimentos[[#This Row],[Item]],supercb[Bairro],mercado14)</f>
        <v>0</v>
      </c>
      <c r="Z443" s="4">
        <f>SUMIFS(super1[Qtde],super1[Item],tab_alimentos[[#This Row],[Item]],super1[Bairro],mercado15)+SUMIFS(supercb[Qtde],supercb[Item],tab_alimentos[[#This Row],[Item]],supercb[Bairro],mercado15)</f>
        <v>0</v>
      </c>
      <c r="AA443" s="4">
        <f>SUMIFS(super1[Qtde],super1[Item],tab_alimentos[[#This Row],[Item]],super1[Bairro],mercado16)+SUMIFS(supercb[Qtde],supercb[Item],tab_alimentos[[#This Row],[Item]],supercb[Bairro],mercado16)</f>
        <v>0</v>
      </c>
      <c r="AB443" s="4">
        <f>SUMIFS(super1[Qtde],super1[Item],tab_alimentos[[#This Row],[Item]],super1[Bairro],mercado17)+SUMIFS(supercb[Qtde],supercb[Item],tab_alimentos[[#This Row],[Item]],supercb[Bairro],mercado17)</f>
        <v>0</v>
      </c>
      <c r="AC443" s="4">
        <f>SUMIFS(super1[Qtde],super1[Item],tab_alimentos[[#This Row],[Item]],super1[Bairro],mercado18)+SUMIFS(supercb[Qtde],supercb[Item],tab_alimentos[[#This Row],[Item]],supercb[Bairro],mercado18)</f>
        <v>0</v>
      </c>
      <c r="AD443" s="4">
        <f>SUMIFS(super1[Qtde],super1[Item],tab_alimentos[[#This Row],[Item]],super1[Bairro],extras)+SUMIFS(supercb[Qtde],supercb[Item],tab_alimentos[[#This Row],[Item]],supercb[Bairro],extras)</f>
        <v>0</v>
      </c>
      <c r="AE443" s="4">
        <f t="shared" si="100"/>
        <v>0</v>
      </c>
      <c r="AF443" s="4">
        <f t="shared" si="101"/>
        <v>0</v>
      </c>
      <c r="AG443" s="6">
        <f t="shared" si="102"/>
        <v>0</v>
      </c>
    </row>
    <row r="444" spans="9:33" x14ac:dyDescent="0.25">
      <c r="I444" s="19" t="str">
        <f>alimentos[[#This Row],[Item]]</f>
        <v>Torrada (142g)</v>
      </c>
      <c r="J444" s="4">
        <f>IFERROR(alimentos[[#This Row],[kg/embalagem]],0)</f>
        <v>0.14199999999999999</v>
      </c>
      <c r="K444" s="4">
        <f>IFERROR(alimentos[[#This Row],[Preço]],0)</f>
        <v>5.15</v>
      </c>
      <c r="L444" s="4">
        <f>SUMIFS(super1[Qtde],super1[Item],tab_alimentos[[#This Row],[Item]],super1[Bairro],mercado1)+SUMIFS(supercb[Qtde],supercb[Item],tab_alimentos[[#This Row],[Item]],supercb[Bairro],mercado1)</f>
        <v>0</v>
      </c>
      <c r="M444" s="4">
        <f>SUMIFS(super1[Qtde],super1[Item],tab_alimentos[[#This Row],[Item]],super1[Bairro],mercado2)+SUMIFS(supercb[Qtde],supercb[Item],tab_alimentos[[#This Row],[Item]],supercb[Bairro],mercado2)</f>
        <v>0</v>
      </c>
      <c r="N444" s="4">
        <f>SUMIFS(super1[Qtde],super1[Item],tab_alimentos[[#This Row],[Item]],super1[Bairro],mercado3)+SUMIFS(supercb[Qtde],supercb[Item],tab_alimentos[[#This Row],[Item]],supercb[Bairro],mercado3)</f>
        <v>0</v>
      </c>
      <c r="O444" s="4">
        <f>SUMIFS(super1[Qtde],super1[Item],tab_alimentos[[#This Row],[Item]],super1[Bairro],mercado4)+SUMIFS(supercb[Qtde],supercb[Item],tab_alimentos[[#This Row],[Item]],supercb[Bairro],mercado4)</f>
        <v>0</v>
      </c>
      <c r="P444" s="4">
        <f>SUMIFS(super1[Qtde],super1[Item],tab_alimentos[[#This Row],[Item]],super1[Bairro],mercado5)+SUMIFS(supercb[Qtde],supercb[Item],tab_alimentos[[#This Row],[Item]],supercb[Bairro],mercado5)</f>
        <v>0</v>
      </c>
      <c r="Q444" s="4">
        <f>SUMIFS(super1[Qtde],super1[Item],tab_alimentos[[#This Row],[Item]],super1[Bairro],mercado6)+SUMIFS(supercb[Qtde],supercb[Item],tab_alimentos[[#This Row],[Item]],supercb[Bairro],mercado6)</f>
        <v>0</v>
      </c>
      <c r="R444" s="4">
        <f>SUMIFS(super1[Qtde],super1[Item],tab_alimentos[[#This Row],[Item]],super1[Bairro],mercado7)+SUMIFS(supercb[Qtde],supercb[Item],tab_alimentos[[#This Row],[Item]],supercb[Bairro],mercado7)</f>
        <v>0</v>
      </c>
      <c r="S444" s="4">
        <f>SUMIFS(super1[Qtde],super1[Item],tab_alimentos[[#This Row],[Item]],super1[Bairro],mercado8)+SUMIFS(supercb[Qtde],supercb[Item],tab_alimentos[[#This Row],[Item]],supercb[Bairro],mercado8)</f>
        <v>0</v>
      </c>
      <c r="T444" s="4">
        <f>SUMIFS(super1[Qtde],super1[Item],tab_alimentos[[#This Row],[Item]],super1[Bairro],mercado9)+SUMIFS(supercb[Qtde],supercb[Item],tab_alimentos[[#This Row],[Item]],supercb[Bairro],mercado9)</f>
        <v>0</v>
      </c>
      <c r="U444" s="4">
        <f>SUMIFS(super1[Qtde],super1[Item],tab_alimentos[[#This Row],[Item]],super1[Bairro],mercado10)+SUMIFS(supercb[Qtde],supercb[Item],tab_alimentos[[#This Row],[Item]],supercb[Bairro],mercado10)</f>
        <v>0</v>
      </c>
      <c r="V444" s="4">
        <f>SUMIFS(super1[Qtde],super1[Item],tab_alimentos[[#This Row],[Item]],super1[Bairro],mercado11)+SUMIFS(supercb[Qtde],supercb[Item],tab_alimentos[[#This Row],[Item]],supercb[Bairro],mercado11)</f>
        <v>0</v>
      </c>
      <c r="W444" s="4">
        <f>SUMIFS(super1[Qtde],super1[Item],tab_alimentos[[#This Row],[Item]],super1[Bairro],mercado12)+SUMIFS(supercb[Qtde],supercb[Item],tab_alimentos[[#This Row],[Item]],supercb[Bairro],mercado12)</f>
        <v>0</v>
      </c>
      <c r="X444" s="4">
        <f>SUMIFS(super1[Qtde],super1[Item],tab_alimentos[[#This Row],[Item]],super1[Bairro],mercado13)+SUMIFS(supercb[Qtde],supercb[Item],tab_alimentos[[#This Row],[Item]],supercb[Bairro],mercado13)</f>
        <v>0</v>
      </c>
      <c r="Y444" s="4">
        <f>SUMIFS(super1[Qtde],super1[Item],tab_alimentos[[#This Row],[Item]],super1[Bairro],mercado14)+SUMIFS(supercb[Qtde],supercb[Item],tab_alimentos[[#This Row],[Item]],supercb[Bairro],mercado14)</f>
        <v>0</v>
      </c>
      <c r="Z444" s="4">
        <f>SUMIFS(super1[Qtde],super1[Item],tab_alimentos[[#This Row],[Item]],super1[Bairro],mercado15)+SUMIFS(supercb[Qtde],supercb[Item],tab_alimentos[[#This Row],[Item]],supercb[Bairro],mercado15)</f>
        <v>0</v>
      </c>
      <c r="AA444" s="4">
        <f>SUMIFS(super1[Qtde],super1[Item],tab_alimentos[[#This Row],[Item]],super1[Bairro],mercado16)+SUMIFS(supercb[Qtde],supercb[Item],tab_alimentos[[#This Row],[Item]],supercb[Bairro],mercado16)</f>
        <v>0</v>
      </c>
      <c r="AB444" s="4">
        <f>SUMIFS(super1[Qtde],super1[Item],tab_alimentos[[#This Row],[Item]],super1[Bairro],mercado17)+SUMIFS(supercb[Qtde],supercb[Item],tab_alimentos[[#This Row],[Item]],supercb[Bairro],mercado17)</f>
        <v>0</v>
      </c>
      <c r="AC444" s="4">
        <f>SUMIFS(super1[Qtde],super1[Item],tab_alimentos[[#This Row],[Item]],super1[Bairro],mercado18)+SUMIFS(supercb[Qtde],supercb[Item],tab_alimentos[[#This Row],[Item]],supercb[Bairro],mercado18)</f>
        <v>0</v>
      </c>
      <c r="AD444" s="4">
        <f>SUMIFS(super1[Qtde],super1[Item],tab_alimentos[[#This Row],[Item]],super1[Bairro],extras)+SUMIFS(supercb[Qtde],supercb[Item],tab_alimentos[[#This Row],[Item]],supercb[Bairro],extras)</f>
        <v>0</v>
      </c>
      <c r="AE444" s="4">
        <f t="shared" si="100"/>
        <v>0</v>
      </c>
      <c r="AF444" s="4">
        <f t="shared" si="101"/>
        <v>0</v>
      </c>
      <c r="AG444" s="6">
        <f t="shared" si="102"/>
        <v>0</v>
      </c>
    </row>
    <row r="445" spans="9:33" x14ac:dyDescent="0.25">
      <c r="I445" s="19" t="str">
        <f>alimentos[[#This Row],[Item]]</f>
        <v>Torrada (160g)</v>
      </c>
      <c r="J445" s="4">
        <f>IFERROR(alimentos[[#This Row],[kg/embalagem]],0)</f>
        <v>0.16</v>
      </c>
      <c r="K445" s="4">
        <f>IFERROR(alimentos[[#This Row],[Preço]],0)</f>
        <v>6.3</v>
      </c>
      <c r="L445" s="4">
        <f>SUMIFS(super1[Qtde],super1[Item],tab_alimentos[[#This Row],[Item]],super1[Bairro],mercado1)+SUMIFS(supercb[Qtde],supercb[Item],tab_alimentos[[#This Row],[Item]],supercb[Bairro],mercado1)</f>
        <v>0</v>
      </c>
      <c r="M445" s="4">
        <f>SUMIFS(super1[Qtde],super1[Item],tab_alimentos[[#This Row],[Item]],super1[Bairro],mercado2)+SUMIFS(supercb[Qtde],supercb[Item],tab_alimentos[[#This Row],[Item]],supercb[Bairro],mercado2)</f>
        <v>0</v>
      </c>
      <c r="N445" s="4">
        <f>SUMIFS(super1[Qtde],super1[Item],tab_alimentos[[#This Row],[Item]],super1[Bairro],mercado3)+SUMIFS(supercb[Qtde],supercb[Item],tab_alimentos[[#This Row],[Item]],supercb[Bairro],mercado3)</f>
        <v>0</v>
      </c>
      <c r="O445" s="4">
        <f>SUMIFS(super1[Qtde],super1[Item],tab_alimentos[[#This Row],[Item]],super1[Bairro],mercado4)+SUMIFS(supercb[Qtde],supercb[Item],tab_alimentos[[#This Row],[Item]],supercb[Bairro],mercado4)</f>
        <v>0</v>
      </c>
      <c r="P445" s="4">
        <f>SUMIFS(super1[Qtde],super1[Item],tab_alimentos[[#This Row],[Item]],super1[Bairro],mercado5)+SUMIFS(supercb[Qtde],supercb[Item],tab_alimentos[[#This Row],[Item]],supercb[Bairro],mercado5)</f>
        <v>0</v>
      </c>
      <c r="Q445" s="4">
        <f>SUMIFS(super1[Qtde],super1[Item],tab_alimentos[[#This Row],[Item]],super1[Bairro],mercado6)+SUMIFS(supercb[Qtde],supercb[Item],tab_alimentos[[#This Row],[Item]],supercb[Bairro],mercado6)</f>
        <v>0</v>
      </c>
      <c r="R445" s="4">
        <f>SUMIFS(super1[Qtde],super1[Item],tab_alimentos[[#This Row],[Item]],super1[Bairro],mercado7)+SUMIFS(supercb[Qtde],supercb[Item],tab_alimentos[[#This Row],[Item]],supercb[Bairro],mercado7)</f>
        <v>0</v>
      </c>
      <c r="S445" s="4">
        <f>SUMIFS(super1[Qtde],super1[Item],tab_alimentos[[#This Row],[Item]],super1[Bairro],mercado8)+SUMIFS(supercb[Qtde],supercb[Item],tab_alimentos[[#This Row],[Item]],supercb[Bairro],mercado8)</f>
        <v>0</v>
      </c>
      <c r="T445" s="4">
        <f>SUMIFS(super1[Qtde],super1[Item],tab_alimentos[[#This Row],[Item]],super1[Bairro],mercado9)+SUMIFS(supercb[Qtde],supercb[Item],tab_alimentos[[#This Row],[Item]],supercb[Bairro],mercado9)</f>
        <v>0</v>
      </c>
      <c r="U445" s="4">
        <f>SUMIFS(super1[Qtde],super1[Item],tab_alimentos[[#This Row],[Item]],super1[Bairro],mercado10)+SUMIFS(supercb[Qtde],supercb[Item],tab_alimentos[[#This Row],[Item]],supercb[Bairro],mercado10)</f>
        <v>0</v>
      </c>
      <c r="V445" s="4">
        <f>SUMIFS(super1[Qtde],super1[Item],tab_alimentos[[#This Row],[Item]],super1[Bairro],mercado11)+SUMIFS(supercb[Qtde],supercb[Item],tab_alimentos[[#This Row],[Item]],supercb[Bairro],mercado11)</f>
        <v>0</v>
      </c>
      <c r="W445" s="4">
        <f>SUMIFS(super1[Qtde],super1[Item],tab_alimentos[[#This Row],[Item]],super1[Bairro],mercado12)+SUMIFS(supercb[Qtde],supercb[Item],tab_alimentos[[#This Row],[Item]],supercb[Bairro],mercado12)</f>
        <v>0</v>
      </c>
      <c r="X445" s="4">
        <f>SUMIFS(super1[Qtde],super1[Item],tab_alimentos[[#This Row],[Item]],super1[Bairro],mercado13)+SUMIFS(supercb[Qtde],supercb[Item],tab_alimentos[[#This Row],[Item]],supercb[Bairro],mercado13)</f>
        <v>0</v>
      </c>
      <c r="Y445" s="4">
        <f>SUMIFS(super1[Qtde],super1[Item],tab_alimentos[[#This Row],[Item]],super1[Bairro],mercado14)+SUMIFS(supercb[Qtde],supercb[Item],tab_alimentos[[#This Row],[Item]],supercb[Bairro],mercado14)</f>
        <v>0</v>
      </c>
      <c r="Z445" s="4">
        <f>SUMIFS(super1[Qtde],super1[Item],tab_alimentos[[#This Row],[Item]],super1[Bairro],mercado15)+SUMIFS(supercb[Qtde],supercb[Item],tab_alimentos[[#This Row],[Item]],supercb[Bairro],mercado15)</f>
        <v>0</v>
      </c>
      <c r="AA445" s="4">
        <f>SUMIFS(super1[Qtde],super1[Item],tab_alimentos[[#This Row],[Item]],super1[Bairro],mercado16)+SUMIFS(supercb[Qtde],supercb[Item],tab_alimentos[[#This Row],[Item]],supercb[Bairro],mercado16)</f>
        <v>0</v>
      </c>
      <c r="AB445" s="4">
        <f>SUMIFS(super1[Qtde],super1[Item],tab_alimentos[[#This Row],[Item]],super1[Bairro],mercado17)+SUMIFS(supercb[Qtde],supercb[Item],tab_alimentos[[#This Row],[Item]],supercb[Bairro],mercado17)</f>
        <v>0</v>
      </c>
      <c r="AC445" s="4">
        <f>SUMIFS(super1[Qtde],super1[Item],tab_alimentos[[#This Row],[Item]],super1[Bairro],mercado18)+SUMIFS(supercb[Qtde],supercb[Item],tab_alimentos[[#This Row],[Item]],supercb[Bairro],mercado18)</f>
        <v>0</v>
      </c>
      <c r="AD445" s="4">
        <f>SUMIFS(super1[Qtde],super1[Item],tab_alimentos[[#This Row],[Item]],super1[Bairro],extras)+SUMIFS(supercb[Qtde],supercb[Item],tab_alimentos[[#This Row],[Item]],supercb[Bairro],extras)</f>
        <v>0</v>
      </c>
      <c r="AE445" s="4">
        <f t="shared" si="100"/>
        <v>0</v>
      </c>
      <c r="AF445" s="4">
        <f t="shared" si="101"/>
        <v>0</v>
      </c>
      <c r="AG445" s="6">
        <f t="shared" si="102"/>
        <v>0</v>
      </c>
    </row>
    <row r="446" spans="9:33" x14ac:dyDescent="0.25">
      <c r="I446" s="19" t="str">
        <f>alimentos[[#This Row],[Item]]</f>
        <v>Trigo para Kibe (500g)</v>
      </c>
      <c r="J446" s="4">
        <f>IFERROR(alimentos[[#This Row],[kg/embalagem]],0)</f>
        <v>0.5</v>
      </c>
      <c r="K446" s="4">
        <f>IFERROR(alimentos[[#This Row],[Preço]],0)</f>
        <v>5.99</v>
      </c>
      <c r="L446" s="4">
        <f>SUMIFS(super1[Qtde],super1[Item],tab_alimentos[[#This Row],[Item]],super1[Bairro],mercado1)+SUMIFS(supercb[Qtde],supercb[Item],tab_alimentos[[#This Row],[Item]],supercb[Bairro],mercado1)</f>
        <v>0</v>
      </c>
      <c r="M446" s="4">
        <f>SUMIFS(super1[Qtde],super1[Item],tab_alimentos[[#This Row],[Item]],super1[Bairro],mercado2)+SUMIFS(supercb[Qtde],supercb[Item],tab_alimentos[[#This Row],[Item]],supercb[Bairro],mercado2)</f>
        <v>0</v>
      </c>
      <c r="N446" s="4">
        <f>SUMIFS(super1[Qtde],super1[Item],tab_alimentos[[#This Row],[Item]],super1[Bairro],mercado3)+SUMIFS(supercb[Qtde],supercb[Item],tab_alimentos[[#This Row],[Item]],supercb[Bairro],mercado3)</f>
        <v>0</v>
      </c>
      <c r="O446" s="4">
        <f>SUMIFS(super1[Qtde],super1[Item],tab_alimentos[[#This Row],[Item]],super1[Bairro],mercado4)+SUMIFS(supercb[Qtde],supercb[Item],tab_alimentos[[#This Row],[Item]],supercb[Bairro],mercado4)</f>
        <v>0</v>
      </c>
      <c r="P446" s="4">
        <f>SUMIFS(super1[Qtde],super1[Item],tab_alimentos[[#This Row],[Item]],super1[Bairro],mercado5)+SUMIFS(supercb[Qtde],supercb[Item],tab_alimentos[[#This Row],[Item]],supercb[Bairro],mercado5)</f>
        <v>0</v>
      </c>
      <c r="Q446" s="4">
        <f>SUMIFS(super1[Qtde],super1[Item],tab_alimentos[[#This Row],[Item]],super1[Bairro],mercado6)+SUMIFS(supercb[Qtde],supercb[Item],tab_alimentos[[#This Row],[Item]],supercb[Bairro],mercado6)</f>
        <v>0</v>
      </c>
      <c r="R446" s="4">
        <f>SUMIFS(super1[Qtde],super1[Item],tab_alimentos[[#This Row],[Item]],super1[Bairro],mercado7)+SUMIFS(supercb[Qtde],supercb[Item],tab_alimentos[[#This Row],[Item]],supercb[Bairro],mercado7)</f>
        <v>0</v>
      </c>
      <c r="S446" s="4">
        <f>SUMIFS(super1[Qtde],super1[Item],tab_alimentos[[#This Row],[Item]],super1[Bairro],mercado8)+SUMIFS(supercb[Qtde],supercb[Item],tab_alimentos[[#This Row],[Item]],supercb[Bairro],mercado8)</f>
        <v>0</v>
      </c>
      <c r="T446" s="4">
        <f>SUMIFS(super1[Qtde],super1[Item],tab_alimentos[[#This Row],[Item]],super1[Bairro],mercado9)+SUMIFS(supercb[Qtde],supercb[Item],tab_alimentos[[#This Row],[Item]],supercb[Bairro],mercado9)</f>
        <v>0</v>
      </c>
      <c r="U446" s="4">
        <f>SUMIFS(super1[Qtde],super1[Item],tab_alimentos[[#This Row],[Item]],super1[Bairro],mercado10)+SUMIFS(supercb[Qtde],supercb[Item],tab_alimentos[[#This Row],[Item]],supercb[Bairro],mercado10)</f>
        <v>0</v>
      </c>
      <c r="V446" s="4">
        <f>SUMIFS(super1[Qtde],super1[Item],tab_alimentos[[#This Row],[Item]],super1[Bairro],mercado11)+SUMIFS(supercb[Qtde],supercb[Item],tab_alimentos[[#This Row],[Item]],supercb[Bairro],mercado11)</f>
        <v>0</v>
      </c>
      <c r="W446" s="4">
        <f>SUMIFS(super1[Qtde],super1[Item],tab_alimentos[[#This Row],[Item]],super1[Bairro],mercado12)+SUMIFS(supercb[Qtde],supercb[Item],tab_alimentos[[#This Row],[Item]],supercb[Bairro],mercado12)</f>
        <v>0</v>
      </c>
      <c r="X446" s="4">
        <f>SUMIFS(super1[Qtde],super1[Item],tab_alimentos[[#This Row],[Item]],super1[Bairro],mercado13)+SUMIFS(supercb[Qtde],supercb[Item],tab_alimentos[[#This Row],[Item]],supercb[Bairro],mercado13)</f>
        <v>0</v>
      </c>
      <c r="Y446" s="4">
        <f>SUMIFS(super1[Qtde],super1[Item],tab_alimentos[[#This Row],[Item]],super1[Bairro],mercado14)+SUMIFS(supercb[Qtde],supercb[Item],tab_alimentos[[#This Row],[Item]],supercb[Bairro],mercado14)</f>
        <v>0</v>
      </c>
      <c r="Z446" s="4">
        <f>SUMIFS(super1[Qtde],super1[Item],tab_alimentos[[#This Row],[Item]],super1[Bairro],mercado15)+SUMIFS(supercb[Qtde],supercb[Item],tab_alimentos[[#This Row],[Item]],supercb[Bairro],mercado15)</f>
        <v>0</v>
      </c>
      <c r="AA446" s="4">
        <f>SUMIFS(super1[Qtde],super1[Item],tab_alimentos[[#This Row],[Item]],super1[Bairro],mercado16)+SUMIFS(supercb[Qtde],supercb[Item],tab_alimentos[[#This Row],[Item]],supercb[Bairro],mercado16)</f>
        <v>0</v>
      </c>
      <c r="AB446" s="4">
        <f>SUMIFS(super1[Qtde],super1[Item],tab_alimentos[[#This Row],[Item]],super1[Bairro],mercado17)+SUMIFS(supercb[Qtde],supercb[Item],tab_alimentos[[#This Row],[Item]],supercb[Bairro],mercado17)</f>
        <v>0</v>
      </c>
      <c r="AC446" s="4">
        <f>SUMIFS(super1[Qtde],super1[Item],tab_alimentos[[#This Row],[Item]],super1[Bairro],mercado18)+SUMIFS(supercb[Qtde],supercb[Item],tab_alimentos[[#This Row],[Item]],supercb[Bairro],mercado18)</f>
        <v>0</v>
      </c>
      <c r="AD446" s="4">
        <f>SUMIFS(super1[Qtde],super1[Item],tab_alimentos[[#This Row],[Item]],super1[Bairro],extras)+SUMIFS(supercb[Qtde],supercb[Item],tab_alimentos[[#This Row],[Item]],supercb[Bairro],extras)</f>
        <v>0</v>
      </c>
      <c r="AE446" s="4">
        <f t="shared" si="100"/>
        <v>0</v>
      </c>
      <c r="AF446" s="4">
        <f t="shared" si="101"/>
        <v>0</v>
      </c>
      <c r="AG446" s="6">
        <f t="shared" si="102"/>
        <v>0</v>
      </c>
    </row>
    <row r="447" spans="9:33" x14ac:dyDescent="0.25">
      <c r="I447" s="19" t="str">
        <f>alimentos[[#This Row],[Item]]</f>
        <v>U</v>
      </c>
      <c r="J447" s="4">
        <f>IFERROR(alimentos[[#This Row],[kg/embalagem]],0)</f>
        <v>0</v>
      </c>
      <c r="K447" s="4">
        <f>IFERROR(alimentos[[#This Row],[Preço]],0)</f>
        <v>0</v>
      </c>
      <c r="L447" s="4">
        <f>SUMIFS(super1[Qtde],super1[Item],tab_alimentos[[#This Row],[Item]],super1[Bairro],mercado1)+SUMIFS(supercb[Qtde],supercb[Item],tab_alimentos[[#This Row],[Item]],supercb[Bairro],mercado1)</f>
        <v>0</v>
      </c>
      <c r="M447" s="4">
        <f>SUMIFS(super1[Qtde],super1[Item],tab_alimentos[[#This Row],[Item]],super1[Bairro],mercado2)+SUMIFS(supercb[Qtde],supercb[Item],tab_alimentos[[#This Row],[Item]],supercb[Bairro],mercado2)</f>
        <v>0</v>
      </c>
      <c r="N447" s="4">
        <f>SUMIFS(super1[Qtde],super1[Item],tab_alimentos[[#This Row],[Item]],super1[Bairro],mercado3)+SUMIFS(supercb[Qtde],supercb[Item],tab_alimentos[[#This Row],[Item]],supercb[Bairro],mercado3)</f>
        <v>0</v>
      </c>
      <c r="O447" s="4">
        <f>SUMIFS(super1[Qtde],super1[Item],tab_alimentos[[#This Row],[Item]],super1[Bairro],mercado4)+SUMIFS(supercb[Qtde],supercb[Item],tab_alimentos[[#This Row],[Item]],supercb[Bairro],mercado4)</f>
        <v>0</v>
      </c>
      <c r="P447" s="4">
        <f>SUMIFS(super1[Qtde],super1[Item],tab_alimentos[[#This Row],[Item]],super1[Bairro],mercado5)+SUMIFS(supercb[Qtde],supercb[Item],tab_alimentos[[#This Row],[Item]],supercb[Bairro],mercado5)</f>
        <v>0</v>
      </c>
      <c r="Q447" s="4">
        <f>SUMIFS(super1[Qtde],super1[Item],tab_alimentos[[#This Row],[Item]],super1[Bairro],mercado6)+SUMIFS(supercb[Qtde],supercb[Item],tab_alimentos[[#This Row],[Item]],supercb[Bairro],mercado6)</f>
        <v>0</v>
      </c>
      <c r="R447" s="4">
        <f>SUMIFS(super1[Qtde],super1[Item],tab_alimentos[[#This Row],[Item]],super1[Bairro],mercado7)+SUMIFS(supercb[Qtde],supercb[Item],tab_alimentos[[#This Row],[Item]],supercb[Bairro],mercado7)</f>
        <v>0</v>
      </c>
      <c r="S447" s="4">
        <f>SUMIFS(super1[Qtde],super1[Item],tab_alimentos[[#This Row],[Item]],super1[Bairro],mercado8)+SUMIFS(supercb[Qtde],supercb[Item],tab_alimentos[[#This Row],[Item]],supercb[Bairro],mercado8)</f>
        <v>0</v>
      </c>
      <c r="T447" s="4">
        <f>SUMIFS(super1[Qtde],super1[Item],tab_alimentos[[#This Row],[Item]],super1[Bairro],mercado9)+SUMIFS(supercb[Qtde],supercb[Item],tab_alimentos[[#This Row],[Item]],supercb[Bairro],mercado9)</f>
        <v>0</v>
      </c>
      <c r="U447" s="4">
        <f>SUMIFS(super1[Qtde],super1[Item],tab_alimentos[[#This Row],[Item]],super1[Bairro],mercado10)+SUMIFS(supercb[Qtde],supercb[Item],tab_alimentos[[#This Row],[Item]],supercb[Bairro],mercado10)</f>
        <v>0</v>
      </c>
      <c r="V447" s="4">
        <f>SUMIFS(super1[Qtde],super1[Item],tab_alimentos[[#This Row],[Item]],super1[Bairro],mercado11)+SUMIFS(supercb[Qtde],supercb[Item],tab_alimentos[[#This Row],[Item]],supercb[Bairro],mercado11)</f>
        <v>0</v>
      </c>
      <c r="W447" s="4">
        <f>SUMIFS(super1[Qtde],super1[Item],tab_alimentos[[#This Row],[Item]],super1[Bairro],mercado12)+SUMIFS(supercb[Qtde],supercb[Item],tab_alimentos[[#This Row],[Item]],supercb[Bairro],mercado12)</f>
        <v>0</v>
      </c>
      <c r="X447" s="4">
        <f>SUMIFS(super1[Qtde],super1[Item],tab_alimentos[[#This Row],[Item]],super1[Bairro],mercado13)+SUMIFS(supercb[Qtde],supercb[Item],tab_alimentos[[#This Row],[Item]],supercb[Bairro],mercado13)</f>
        <v>0</v>
      </c>
      <c r="Y447" s="4">
        <f>SUMIFS(super1[Qtde],super1[Item],tab_alimentos[[#This Row],[Item]],super1[Bairro],mercado14)+SUMIFS(supercb[Qtde],supercb[Item],tab_alimentos[[#This Row],[Item]],supercb[Bairro],mercado14)</f>
        <v>0</v>
      </c>
      <c r="Z447" s="4">
        <f>SUMIFS(super1[Qtde],super1[Item],tab_alimentos[[#This Row],[Item]],super1[Bairro],mercado15)+SUMIFS(supercb[Qtde],supercb[Item],tab_alimentos[[#This Row],[Item]],supercb[Bairro],mercado15)</f>
        <v>0</v>
      </c>
      <c r="AA447" s="4">
        <f>SUMIFS(super1[Qtde],super1[Item],tab_alimentos[[#This Row],[Item]],super1[Bairro],mercado16)+SUMIFS(supercb[Qtde],supercb[Item],tab_alimentos[[#This Row],[Item]],supercb[Bairro],mercado16)</f>
        <v>0</v>
      </c>
      <c r="AB447" s="4">
        <f>SUMIFS(super1[Qtde],super1[Item],tab_alimentos[[#This Row],[Item]],super1[Bairro],mercado17)+SUMIFS(supercb[Qtde],supercb[Item],tab_alimentos[[#This Row],[Item]],supercb[Bairro],mercado17)</f>
        <v>0</v>
      </c>
      <c r="AC447" s="4">
        <f>SUMIFS(super1[Qtde],super1[Item],tab_alimentos[[#This Row],[Item]],super1[Bairro],mercado18)+SUMIFS(supercb[Qtde],supercb[Item],tab_alimentos[[#This Row],[Item]],supercb[Bairro],mercado18)</f>
        <v>0</v>
      </c>
      <c r="AD447" s="4">
        <f>SUMIFS(super1[Qtde],super1[Item],tab_alimentos[[#This Row],[Item]],super1[Bairro],extras)+SUMIFS(supercb[Qtde],supercb[Item],tab_alimentos[[#This Row],[Item]],supercb[Bairro],extras)</f>
        <v>0</v>
      </c>
      <c r="AE447" s="4">
        <f t="shared" si="100"/>
        <v>0</v>
      </c>
      <c r="AF447" s="4">
        <f t="shared" si="101"/>
        <v>0</v>
      </c>
      <c r="AG447" s="6">
        <f t="shared" si="102"/>
        <v>0</v>
      </c>
    </row>
    <row r="448" spans="9:33" x14ac:dyDescent="0.25">
      <c r="I448" s="19" t="str">
        <f>alimentos[[#This Row],[Item]]</f>
        <v>Uva Passa (100g)</v>
      </c>
      <c r="J448" s="4">
        <f>IFERROR(alimentos[[#This Row],[kg/embalagem]],0)</f>
        <v>0.1</v>
      </c>
      <c r="K448" s="4">
        <f>IFERROR(alimentos[[#This Row],[Preço]],0)</f>
        <v>7.98</v>
      </c>
      <c r="L448" s="4">
        <f>SUMIFS(super1[Qtde],super1[Item],tab_alimentos[[#This Row],[Item]],super1[Bairro],mercado1)+SUMIFS(supercb[Qtde],supercb[Item],tab_alimentos[[#This Row],[Item]],supercb[Bairro],mercado1)</f>
        <v>0</v>
      </c>
      <c r="M448" s="4">
        <f>SUMIFS(super1[Qtde],super1[Item],tab_alimentos[[#This Row],[Item]],super1[Bairro],mercado2)+SUMIFS(supercb[Qtde],supercb[Item],tab_alimentos[[#This Row],[Item]],supercb[Bairro],mercado2)</f>
        <v>0</v>
      </c>
      <c r="N448" s="4">
        <f>SUMIFS(super1[Qtde],super1[Item],tab_alimentos[[#This Row],[Item]],super1[Bairro],mercado3)+SUMIFS(supercb[Qtde],supercb[Item],tab_alimentos[[#This Row],[Item]],supercb[Bairro],mercado3)</f>
        <v>0</v>
      </c>
      <c r="O448" s="4">
        <f>SUMIFS(super1[Qtde],super1[Item],tab_alimentos[[#This Row],[Item]],super1[Bairro],mercado4)+SUMIFS(supercb[Qtde],supercb[Item],tab_alimentos[[#This Row],[Item]],supercb[Bairro],mercado4)</f>
        <v>0</v>
      </c>
      <c r="P448" s="4">
        <f>SUMIFS(super1[Qtde],super1[Item],tab_alimentos[[#This Row],[Item]],super1[Bairro],mercado5)+SUMIFS(supercb[Qtde],supercb[Item],tab_alimentos[[#This Row],[Item]],supercb[Bairro],mercado5)</f>
        <v>0</v>
      </c>
      <c r="Q448" s="4">
        <f>SUMIFS(super1[Qtde],super1[Item],tab_alimentos[[#This Row],[Item]],super1[Bairro],mercado6)+SUMIFS(supercb[Qtde],supercb[Item],tab_alimentos[[#This Row],[Item]],supercb[Bairro],mercado6)</f>
        <v>0</v>
      </c>
      <c r="R448" s="4">
        <f>SUMIFS(super1[Qtde],super1[Item],tab_alimentos[[#This Row],[Item]],super1[Bairro],mercado7)+SUMIFS(supercb[Qtde],supercb[Item],tab_alimentos[[#This Row],[Item]],supercb[Bairro],mercado7)</f>
        <v>0</v>
      </c>
      <c r="S448" s="4">
        <f>SUMIFS(super1[Qtde],super1[Item],tab_alimentos[[#This Row],[Item]],super1[Bairro],mercado8)+SUMIFS(supercb[Qtde],supercb[Item],tab_alimentos[[#This Row],[Item]],supercb[Bairro],mercado8)</f>
        <v>0</v>
      </c>
      <c r="T448" s="4">
        <f>SUMIFS(super1[Qtde],super1[Item],tab_alimentos[[#This Row],[Item]],super1[Bairro],mercado9)+SUMIFS(supercb[Qtde],supercb[Item],tab_alimentos[[#This Row],[Item]],supercb[Bairro],mercado9)</f>
        <v>0</v>
      </c>
      <c r="U448" s="4">
        <f>SUMIFS(super1[Qtde],super1[Item],tab_alimentos[[#This Row],[Item]],super1[Bairro],mercado10)+SUMIFS(supercb[Qtde],supercb[Item],tab_alimentos[[#This Row],[Item]],supercb[Bairro],mercado10)</f>
        <v>0</v>
      </c>
      <c r="V448" s="4">
        <f>SUMIFS(super1[Qtde],super1[Item],tab_alimentos[[#This Row],[Item]],super1[Bairro],mercado11)+SUMIFS(supercb[Qtde],supercb[Item],tab_alimentos[[#This Row],[Item]],supercb[Bairro],mercado11)</f>
        <v>0</v>
      </c>
      <c r="W448" s="4">
        <f>SUMIFS(super1[Qtde],super1[Item],tab_alimentos[[#This Row],[Item]],super1[Bairro],mercado12)+SUMIFS(supercb[Qtde],supercb[Item],tab_alimentos[[#This Row],[Item]],supercb[Bairro],mercado12)</f>
        <v>0</v>
      </c>
      <c r="X448" s="4">
        <f>SUMIFS(super1[Qtde],super1[Item],tab_alimentos[[#This Row],[Item]],super1[Bairro],mercado13)+SUMIFS(supercb[Qtde],supercb[Item],tab_alimentos[[#This Row],[Item]],supercb[Bairro],mercado13)</f>
        <v>0</v>
      </c>
      <c r="Y448" s="4">
        <f>SUMIFS(super1[Qtde],super1[Item],tab_alimentos[[#This Row],[Item]],super1[Bairro],mercado14)+SUMIFS(supercb[Qtde],supercb[Item],tab_alimentos[[#This Row],[Item]],supercb[Bairro],mercado14)</f>
        <v>0</v>
      </c>
      <c r="Z448" s="4">
        <f>SUMIFS(super1[Qtde],super1[Item],tab_alimentos[[#This Row],[Item]],super1[Bairro],mercado15)+SUMIFS(supercb[Qtde],supercb[Item],tab_alimentos[[#This Row],[Item]],supercb[Bairro],mercado15)</f>
        <v>0</v>
      </c>
      <c r="AA448" s="4">
        <f>SUMIFS(super1[Qtde],super1[Item],tab_alimentos[[#This Row],[Item]],super1[Bairro],mercado16)+SUMIFS(supercb[Qtde],supercb[Item],tab_alimentos[[#This Row],[Item]],supercb[Bairro],mercado16)</f>
        <v>0</v>
      </c>
      <c r="AB448" s="4">
        <f>SUMIFS(super1[Qtde],super1[Item],tab_alimentos[[#This Row],[Item]],super1[Bairro],mercado17)+SUMIFS(supercb[Qtde],supercb[Item],tab_alimentos[[#This Row],[Item]],supercb[Bairro],mercado17)</f>
        <v>0</v>
      </c>
      <c r="AC448" s="4">
        <f>SUMIFS(super1[Qtde],super1[Item],tab_alimentos[[#This Row],[Item]],super1[Bairro],mercado18)+SUMIFS(supercb[Qtde],supercb[Item],tab_alimentos[[#This Row],[Item]],supercb[Bairro],mercado18)</f>
        <v>0</v>
      </c>
      <c r="AD448" s="4">
        <f>SUMIFS(super1[Qtde],super1[Item],tab_alimentos[[#This Row],[Item]],super1[Bairro],extras)+SUMIFS(supercb[Qtde],supercb[Item],tab_alimentos[[#This Row],[Item]],supercb[Bairro],extras)</f>
        <v>0</v>
      </c>
      <c r="AE448" s="4">
        <f t="shared" si="100"/>
        <v>0</v>
      </c>
      <c r="AF448" s="4">
        <f t="shared" si="101"/>
        <v>0</v>
      </c>
      <c r="AG448" s="6">
        <f t="shared" si="102"/>
        <v>0</v>
      </c>
    </row>
    <row r="449" spans="9:33" x14ac:dyDescent="0.25">
      <c r="I449" s="19" t="str">
        <f>alimentos[[#This Row],[Item]]</f>
        <v>V</v>
      </c>
      <c r="J449" s="4">
        <f>IFERROR(alimentos[[#This Row],[kg/embalagem]],0)</f>
        <v>0</v>
      </c>
      <c r="K449" s="4">
        <f>IFERROR(alimentos[[#This Row],[Preço]],0)</f>
        <v>0</v>
      </c>
      <c r="L449" s="4">
        <f>SUMIFS(super1[Qtde],super1[Item],tab_alimentos[[#This Row],[Item]],super1[Bairro],mercado1)+SUMIFS(supercb[Qtde],supercb[Item],tab_alimentos[[#This Row],[Item]],supercb[Bairro],mercado1)</f>
        <v>0</v>
      </c>
      <c r="M449" s="4">
        <f>SUMIFS(super1[Qtde],super1[Item],tab_alimentos[[#This Row],[Item]],super1[Bairro],mercado2)+SUMIFS(supercb[Qtde],supercb[Item],tab_alimentos[[#This Row],[Item]],supercb[Bairro],mercado2)</f>
        <v>0</v>
      </c>
      <c r="N449" s="4">
        <f>SUMIFS(super1[Qtde],super1[Item],tab_alimentos[[#This Row],[Item]],super1[Bairro],mercado3)+SUMIFS(supercb[Qtde],supercb[Item],tab_alimentos[[#This Row],[Item]],supercb[Bairro],mercado3)</f>
        <v>0</v>
      </c>
      <c r="O449" s="4">
        <f>SUMIFS(super1[Qtde],super1[Item],tab_alimentos[[#This Row],[Item]],super1[Bairro],mercado4)+SUMIFS(supercb[Qtde],supercb[Item],tab_alimentos[[#This Row],[Item]],supercb[Bairro],mercado4)</f>
        <v>0</v>
      </c>
      <c r="P449" s="4">
        <f>SUMIFS(super1[Qtde],super1[Item],tab_alimentos[[#This Row],[Item]],super1[Bairro],mercado5)+SUMIFS(supercb[Qtde],supercb[Item],tab_alimentos[[#This Row],[Item]],supercb[Bairro],mercado5)</f>
        <v>0</v>
      </c>
      <c r="Q449" s="4">
        <f>SUMIFS(super1[Qtde],super1[Item],tab_alimentos[[#This Row],[Item]],super1[Bairro],mercado6)+SUMIFS(supercb[Qtde],supercb[Item],tab_alimentos[[#This Row],[Item]],supercb[Bairro],mercado6)</f>
        <v>0</v>
      </c>
      <c r="R449" s="4">
        <f>SUMIFS(super1[Qtde],super1[Item],tab_alimentos[[#This Row],[Item]],super1[Bairro],mercado7)+SUMIFS(supercb[Qtde],supercb[Item],tab_alimentos[[#This Row],[Item]],supercb[Bairro],mercado7)</f>
        <v>0</v>
      </c>
      <c r="S449" s="4">
        <f>SUMIFS(super1[Qtde],super1[Item],tab_alimentos[[#This Row],[Item]],super1[Bairro],mercado8)+SUMIFS(supercb[Qtde],supercb[Item],tab_alimentos[[#This Row],[Item]],supercb[Bairro],mercado8)</f>
        <v>0</v>
      </c>
      <c r="T449" s="4">
        <f>SUMIFS(super1[Qtde],super1[Item],tab_alimentos[[#This Row],[Item]],super1[Bairro],mercado9)+SUMIFS(supercb[Qtde],supercb[Item],tab_alimentos[[#This Row],[Item]],supercb[Bairro],mercado9)</f>
        <v>0</v>
      </c>
      <c r="U449" s="4">
        <f>SUMIFS(super1[Qtde],super1[Item],tab_alimentos[[#This Row],[Item]],super1[Bairro],mercado10)+SUMIFS(supercb[Qtde],supercb[Item],tab_alimentos[[#This Row],[Item]],supercb[Bairro],mercado10)</f>
        <v>0</v>
      </c>
      <c r="V449" s="4">
        <f>SUMIFS(super1[Qtde],super1[Item],tab_alimentos[[#This Row],[Item]],super1[Bairro],mercado11)+SUMIFS(supercb[Qtde],supercb[Item],tab_alimentos[[#This Row],[Item]],supercb[Bairro],mercado11)</f>
        <v>0</v>
      </c>
      <c r="W449" s="4">
        <f>SUMIFS(super1[Qtde],super1[Item],tab_alimentos[[#This Row],[Item]],super1[Bairro],mercado12)+SUMIFS(supercb[Qtde],supercb[Item],tab_alimentos[[#This Row],[Item]],supercb[Bairro],mercado12)</f>
        <v>0</v>
      </c>
      <c r="X449" s="4">
        <f>SUMIFS(super1[Qtde],super1[Item],tab_alimentos[[#This Row],[Item]],super1[Bairro],mercado13)+SUMIFS(supercb[Qtde],supercb[Item],tab_alimentos[[#This Row],[Item]],supercb[Bairro],mercado13)</f>
        <v>0</v>
      </c>
      <c r="Y449" s="4">
        <f>SUMIFS(super1[Qtde],super1[Item],tab_alimentos[[#This Row],[Item]],super1[Bairro],mercado14)+SUMIFS(supercb[Qtde],supercb[Item],tab_alimentos[[#This Row],[Item]],supercb[Bairro],mercado14)</f>
        <v>0</v>
      </c>
      <c r="Z449" s="4">
        <f>SUMIFS(super1[Qtde],super1[Item],tab_alimentos[[#This Row],[Item]],super1[Bairro],mercado15)+SUMIFS(supercb[Qtde],supercb[Item],tab_alimentos[[#This Row],[Item]],supercb[Bairro],mercado15)</f>
        <v>0</v>
      </c>
      <c r="AA449" s="4">
        <f>SUMIFS(super1[Qtde],super1[Item],tab_alimentos[[#This Row],[Item]],super1[Bairro],mercado16)+SUMIFS(supercb[Qtde],supercb[Item],tab_alimentos[[#This Row],[Item]],supercb[Bairro],mercado16)</f>
        <v>0</v>
      </c>
      <c r="AB449" s="4">
        <f>SUMIFS(super1[Qtde],super1[Item],tab_alimentos[[#This Row],[Item]],super1[Bairro],mercado17)+SUMIFS(supercb[Qtde],supercb[Item],tab_alimentos[[#This Row],[Item]],supercb[Bairro],mercado17)</f>
        <v>0</v>
      </c>
      <c r="AC449" s="4">
        <f>SUMIFS(super1[Qtde],super1[Item],tab_alimentos[[#This Row],[Item]],super1[Bairro],mercado18)+SUMIFS(supercb[Qtde],supercb[Item],tab_alimentos[[#This Row],[Item]],supercb[Bairro],mercado18)</f>
        <v>0</v>
      </c>
      <c r="AD449" s="4">
        <f>SUMIFS(super1[Qtde],super1[Item],tab_alimentos[[#This Row],[Item]],super1[Bairro],extras)+SUMIFS(supercb[Qtde],supercb[Item],tab_alimentos[[#This Row],[Item]],supercb[Bairro],extras)</f>
        <v>0</v>
      </c>
      <c r="AE449" s="4">
        <f t="shared" si="100"/>
        <v>0</v>
      </c>
      <c r="AF449" s="4">
        <f t="shared" si="101"/>
        <v>0</v>
      </c>
      <c r="AG449" s="6">
        <f t="shared" si="102"/>
        <v>0</v>
      </c>
    </row>
    <row r="450" spans="9:33" x14ac:dyDescent="0.25">
      <c r="I450" s="19" t="str">
        <f>alimentos[[#This Row],[Item]]</f>
        <v>Vinagre (200mL)</v>
      </c>
      <c r="J450" s="4">
        <f>IFERROR(alimentos[[#This Row],[kg/embalagem]],0)</f>
        <v>0.2</v>
      </c>
      <c r="K450" s="4">
        <f>IFERROR(alimentos[[#This Row],[Preço]],0)</f>
        <v>12.99</v>
      </c>
      <c r="L450" s="4">
        <f>SUMIFS(super1[Qtde],super1[Item],tab_alimentos[[#This Row],[Item]],super1[Bairro],mercado1)+SUMIFS(supercb[Qtde],supercb[Item],tab_alimentos[[#This Row],[Item]],supercb[Bairro],mercado1)</f>
        <v>0</v>
      </c>
      <c r="M450" s="4">
        <f>SUMIFS(super1[Qtde],super1[Item],tab_alimentos[[#This Row],[Item]],super1[Bairro],mercado2)+SUMIFS(supercb[Qtde],supercb[Item],tab_alimentos[[#This Row],[Item]],supercb[Bairro],mercado2)</f>
        <v>0</v>
      </c>
      <c r="N450" s="4">
        <f>SUMIFS(super1[Qtde],super1[Item],tab_alimentos[[#This Row],[Item]],super1[Bairro],mercado3)+SUMIFS(supercb[Qtde],supercb[Item],tab_alimentos[[#This Row],[Item]],supercb[Bairro],mercado3)</f>
        <v>0</v>
      </c>
      <c r="O450" s="4">
        <f>SUMIFS(super1[Qtde],super1[Item],tab_alimentos[[#This Row],[Item]],super1[Bairro],mercado4)+SUMIFS(supercb[Qtde],supercb[Item],tab_alimentos[[#This Row],[Item]],supercb[Bairro],mercado4)</f>
        <v>0</v>
      </c>
      <c r="P450" s="4">
        <f>SUMIFS(super1[Qtde],super1[Item],tab_alimentos[[#This Row],[Item]],super1[Bairro],mercado5)+SUMIFS(supercb[Qtde],supercb[Item],tab_alimentos[[#This Row],[Item]],supercb[Bairro],mercado5)</f>
        <v>0</v>
      </c>
      <c r="Q450" s="4">
        <f>SUMIFS(super1[Qtde],super1[Item],tab_alimentos[[#This Row],[Item]],super1[Bairro],mercado6)+SUMIFS(supercb[Qtde],supercb[Item],tab_alimentos[[#This Row],[Item]],supercb[Bairro],mercado6)</f>
        <v>0</v>
      </c>
      <c r="R450" s="4">
        <f>SUMIFS(super1[Qtde],super1[Item],tab_alimentos[[#This Row],[Item]],super1[Bairro],mercado7)+SUMIFS(supercb[Qtde],supercb[Item],tab_alimentos[[#This Row],[Item]],supercb[Bairro],mercado7)</f>
        <v>0</v>
      </c>
      <c r="S450" s="4">
        <f>SUMIFS(super1[Qtde],super1[Item],tab_alimentos[[#This Row],[Item]],super1[Bairro],mercado8)+SUMIFS(supercb[Qtde],supercb[Item],tab_alimentos[[#This Row],[Item]],supercb[Bairro],mercado8)</f>
        <v>0</v>
      </c>
      <c r="T450" s="4">
        <f>SUMIFS(super1[Qtde],super1[Item],tab_alimentos[[#This Row],[Item]],super1[Bairro],mercado9)+SUMIFS(supercb[Qtde],supercb[Item],tab_alimentos[[#This Row],[Item]],supercb[Bairro],mercado9)</f>
        <v>0</v>
      </c>
      <c r="U450" s="4">
        <f>SUMIFS(super1[Qtde],super1[Item],tab_alimentos[[#This Row],[Item]],super1[Bairro],mercado10)+SUMIFS(supercb[Qtde],supercb[Item],tab_alimentos[[#This Row],[Item]],supercb[Bairro],mercado10)</f>
        <v>0</v>
      </c>
      <c r="V450" s="4">
        <f>SUMIFS(super1[Qtde],super1[Item],tab_alimentos[[#This Row],[Item]],super1[Bairro],mercado11)+SUMIFS(supercb[Qtde],supercb[Item],tab_alimentos[[#This Row],[Item]],supercb[Bairro],mercado11)</f>
        <v>0</v>
      </c>
      <c r="W450" s="4">
        <f>SUMIFS(super1[Qtde],super1[Item],tab_alimentos[[#This Row],[Item]],super1[Bairro],mercado12)+SUMIFS(supercb[Qtde],supercb[Item],tab_alimentos[[#This Row],[Item]],supercb[Bairro],mercado12)</f>
        <v>0</v>
      </c>
      <c r="X450" s="4">
        <f>SUMIFS(super1[Qtde],super1[Item],tab_alimentos[[#This Row],[Item]],super1[Bairro],mercado13)+SUMIFS(supercb[Qtde],supercb[Item],tab_alimentos[[#This Row],[Item]],supercb[Bairro],mercado13)</f>
        <v>0</v>
      </c>
      <c r="Y450" s="4">
        <f>SUMIFS(super1[Qtde],super1[Item],tab_alimentos[[#This Row],[Item]],super1[Bairro],mercado14)+SUMIFS(supercb[Qtde],supercb[Item],tab_alimentos[[#This Row],[Item]],supercb[Bairro],mercado14)</f>
        <v>0</v>
      </c>
      <c r="Z450" s="4">
        <f>SUMIFS(super1[Qtde],super1[Item],tab_alimentos[[#This Row],[Item]],super1[Bairro],mercado15)+SUMIFS(supercb[Qtde],supercb[Item],tab_alimentos[[#This Row],[Item]],supercb[Bairro],mercado15)</f>
        <v>0</v>
      </c>
      <c r="AA450" s="4">
        <f>SUMIFS(super1[Qtde],super1[Item],tab_alimentos[[#This Row],[Item]],super1[Bairro],mercado16)+SUMIFS(supercb[Qtde],supercb[Item],tab_alimentos[[#This Row],[Item]],supercb[Bairro],mercado16)</f>
        <v>0</v>
      </c>
      <c r="AB450" s="4">
        <f>SUMIFS(super1[Qtde],super1[Item],tab_alimentos[[#This Row],[Item]],super1[Bairro],mercado17)+SUMIFS(supercb[Qtde],supercb[Item],tab_alimentos[[#This Row],[Item]],supercb[Bairro],mercado17)</f>
        <v>0</v>
      </c>
      <c r="AC450" s="4">
        <f>SUMIFS(super1[Qtde],super1[Item],tab_alimentos[[#This Row],[Item]],super1[Bairro],mercado18)+SUMIFS(supercb[Qtde],supercb[Item],tab_alimentos[[#This Row],[Item]],supercb[Bairro],mercado18)</f>
        <v>0</v>
      </c>
      <c r="AD450" s="4">
        <f>SUMIFS(super1[Qtde],super1[Item],tab_alimentos[[#This Row],[Item]],super1[Bairro],extras)+SUMIFS(supercb[Qtde],supercb[Item],tab_alimentos[[#This Row],[Item]],supercb[Bairro],extras)</f>
        <v>0</v>
      </c>
      <c r="AE450" s="4">
        <f t="shared" si="100"/>
        <v>0</v>
      </c>
      <c r="AF450" s="4">
        <f t="shared" si="101"/>
        <v>0</v>
      </c>
      <c r="AG450" s="6">
        <f t="shared" si="102"/>
        <v>0</v>
      </c>
    </row>
    <row r="451" spans="9:33" x14ac:dyDescent="0.25">
      <c r="I451" s="19" t="str">
        <f>alimentos[[#This Row],[Item]]</f>
        <v>Vinagre (2L)</v>
      </c>
      <c r="J451" s="4">
        <f>IFERROR(alimentos[[#This Row],[kg/embalagem]],0)</f>
        <v>2</v>
      </c>
      <c r="K451" s="4">
        <f>IFERROR(alimentos[[#This Row],[Preço]],0)</f>
        <v>11.8</v>
      </c>
      <c r="L451" s="4">
        <f>SUMIFS(super1[Qtde],super1[Item],tab_alimentos[[#This Row],[Item]],super1[Bairro],mercado1)+SUMIFS(supercb[Qtde],supercb[Item],tab_alimentos[[#This Row],[Item]],supercb[Bairro],mercado1)</f>
        <v>0</v>
      </c>
      <c r="M451" s="4">
        <f>SUMIFS(super1[Qtde],super1[Item],tab_alimentos[[#This Row],[Item]],super1[Bairro],mercado2)+SUMIFS(supercb[Qtde],supercb[Item],tab_alimentos[[#This Row],[Item]],supercb[Bairro],mercado2)</f>
        <v>0</v>
      </c>
      <c r="N451" s="4">
        <f>SUMIFS(super1[Qtde],super1[Item],tab_alimentos[[#This Row],[Item]],super1[Bairro],mercado3)+SUMIFS(supercb[Qtde],supercb[Item],tab_alimentos[[#This Row],[Item]],supercb[Bairro],mercado3)</f>
        <v>0</v>
      </c>
      <c r="O451" s="4">
        <f>SUMIFS(super1[Qtde],super1[Item],tab_alimentos[[#This Row],[Item]],super1[Bairro],mercado4)+SUMIFS(supercb[Qtde],supercb[Item],tab_alimentos[[#This Row],[Item]],supercb[Bairro],mercado4)</f>
        <v>0</v>
      </c>
      <c r="P451" s="4">
        <f>SUMIFS(super1[Qtde],super1[Item],tab_alimentos[[#This Row],[Item]],super1[Bairro],mercado5)+SUMIFS(supercb[Qtde],supercb[Item],tab_alimentos[[#This Row],[Item]],supercb[Bairro],mercado5)</f>
        <v>0</v>
      </c>
      <c r="Q451" s="4">
        <f>SUMIFS(super1[Qtde],super1[Item],tab_alimentos[[#This Row],[Item]],super1[Bairro],mercado6)+SUMIFS(supercb[Qtde],supercb[Item],tab_alimentos[[#This Row],[Item]],supercb[Bairro],mercado6)</f>
        <v>0</v>
      </c>
      <c r="R451" s="4">
        <f>SUMIFS(super1[Qtde],super1[Item],tab_alimentos[[#This Row],[Item]],super1[Bairro],mercado7)+SUMIFS(supercb[Qtde],supercb[Item],tab_alimentos[[#This Row],[Item]],supercb[Bairro],mercado7)</f>
        <v>0</v>
      </c>
      <c r="S451" s="4">
        <f>SUMIFS(super1[Qtde],super1[Item],tab_alimentos[[#This Row],[Item]],super1[Bairro],mercado8)+SUMIFS(supercb[Qtde],supercb[Item],tab_alimentos[[#This Row],[Item]],supercb[Bairro],mercado8)</f>
        <v>0</v>
      </c>
      <c r="T451" s="4">
        <f>SUMIFS(super1[Qtde],super1[Item],tab_alimentos[[#This Row],[Item]],super1[Bairro],mercado9)+SUMIFS(supercb[Qtde],supercb[Item],tab_alimentos[[#This Row],[Item]],supercb[Bairro],mercado9)</f>
        <v>0</v>
      </c>
      <c r="U451" s="4">
        <f>SUMIFS(super1[Qtde],super1[Item],tab_alimentos[[#This Row],[Item]],super1[Bairro],mercado10)+SUMIFS(supercb[Qtde],supercb[Item],tab_alimentos[[#This Row],[Item]],supercb[Bairro],mercado10)</f>
        <v>0</v>
      </c>
      <c r="V451" s="4">
        <f>SUMIFS(super1[Qtde],super1[Item],tab_alimentos[[#This Row],[Item]],super1[Bairro],mercado11)+SUMIFS(supercb[Qtde],supercb[Item],tab_alimentos[[#This Row],[Item]],supercb[Bairro],mercado11)</f>
        <v>0</v>
      </c>
      <c r="W451" s="4">
        <f>SUMIFS(super1[Qtde],super1[Item],tab_alimentos[[#This Row],[Item]],super1[Bairro],mercado12)+SUMIFS(supercb[Qtde],supercb[Item],tab_alimentos[[#This Row],[Item]],supercb[Bairro],mercado12)</f>
        <v>0</v>
      </c>
      <c r="X451" s="4">
        <f>SUMIFS(super1[Qtde],super1[Item],tab_alimentos[[#This Row],[Item]],super1[Bairro],mercado13)+SUMIFS(supercb[Qtde],supercb[Item],tab_alimentos[[#This Row],[Item]],supercb[Bairro],mercado13)</f>
        <v>0</v>
      </c>
      <c r="Y451" s="4">
        <f>SUMIFS(super1[Qtde],super1[Item],tab_alimentos[[#This Row],[Item]],super1[Bairro],mercado14)+SUMIFS(supercb[Qtde],supercb[Item],tab_alimentos[[#This Row],[Item]],supercb[Bairro],mercado14)</f>
        <v>0</v>
      </c>
      <c r="Z451" s="4">
        <f>SUMIFS(super1[Qtde],super1[Item],tab_alimentos[[#This Row],[Item]],super1[Bairro],mercado15)+SUMIFS(supercb[Qtde],supercb[Item],tab_alimentos[[#This Row],[Item]],supercb[Bairro],mercado15)</f>
        <v>0</v>
      </c>
      <c r="AA451" s="4">
        <f>SUMIFS(super1[Qtde],super1[Item],tab_alimentos[[#This Row],[Item]],super1[Bairro],mercado16)+SUMIFS(supercb[Qtde],supercb[Item],tab_alimentos[[#This Row],[Item]],supercb[Bairro],mercado16)</f>
        <v>0</v>
      </c>
      <c r="AB451" s="4">
        <f>SUMIFS(super1[Qtde],super1[Item],tab_alimentos[[#This Row],[Item]],super1[Bairro],mercado17)+SUMIFS(supercb[Qtde],supercb[Item],tab_alimentos[[#This Row],[Item]],supercb[Bairro],mercado17)</f>
        <v>0</v>
      </c>
      <c r="AC451" s="4">
        <f>SUMIFS(super1[Qtde],super1[Item],tab_alimentos[[#This Row],[Item]],super1[Bairro],mercado18)+SUMIFS(supercb[Qtde],supercb[Item],tab_alimentos[[#This Row],[Item]],supercb[Bairro],mercado18)</f>
        <v>0</v>
      </c>
      <c r="AD451" s="4">
        <f>SUMIFS(super1[Qtde],super1[Item],tab_alimentos[[#This Row],[Item]],super1[Bairro],extras)+SUMIFS(supercb[Qtde],supercb[Item],tab_alimentos[[#This Row],[Item]],supercb[Bairro],extras)</f>
        <v>0</v>
      </c>
      <c r="AE451" s="4">
        <f t="shared" si="100"/>
        <v>0</v>
      </c>
      <c r="AF451" s="4">
        <f t="shared" si="101"/>
        <v>0</v>
      </c>
      <c r="AG451" s="6">
        <f t="shared" si="102"/>
        <v>0</v>
      </c>
    </row>
    <row r="452" spans="9:33" x14ac:dyDescent="0.25">
      <c r="I452" s="19" t="str">
        <f>alimentos[[#This Row],[Item]]</f>
        <v>Vinagre (750mL)</v>
      </c>
      <c r="J452" s="4">
        <f>IFERROR(alimentos[[#This Row],[kg/embalagem]],0)</f>
        <v>0.75</v>
      </c>
      <c r="K452" s="4">
        <f>IFERROR(alimentos[[#This Row],[Preço]],0)</f>
        <v>4.09</v>
      </c>
      <c r="L452" s="4">
        <f>SUMIFS(super1[Qtde],super1[Item],tab_alimentos[[#This Row],[Item]],super1[Bairro],mercado1)+SUMIFS(supercb[Qtde],supercb[Item],tab_alimentos[[#This Row],[Item]],supercb[Bairro],mercado1)</f>
        <v>0</v>
      </c>
      <c r="M452" s="4">
        <f>SUMIFS(super1[Qtde],super1[Item],tab_alimentos[[#This Row],[Item]],super1[Bairro],mercado2)+SUMIFS(supercb[Qtde],supercb[Item],tab_alimentos[[#This Row],[Item]],supercb[Bairro],mercado2)</f>
        <v>0</v>
      </c>
      <c r="N452" s="4">
        <f>SUMIFS(super1[Qtde],super1[Item],tab_alimentos[[#This Row],[Item]],super1[Bairro],mercado3)+SUMIFS(supercb[Qtde],supercb[Item],tab_alimentos[[#This Row],[Item]],supercb[Bairro],mercado3)</f>
        <v>0</v>
      </c>
      <c r="O452" s="4">
        <f>SUMIFS(super1[Qtde],super1[Item],tab_alimentos[[#This Row],[Item]],super1[Bairro],mercado4)+SUMIFS(supercb[Qtde],supercb[Item],tab_alimentos[[#This Row],[Item]],supercb[Bairro],mercado4)</f>
        <v>0</v>
      </c>
      <c r="P452" s="4">
        <f>SUMIFS(super1[Qtde],super1[Item],tab_alimentos[[#This Row],[Item]],super1[Bairro],mercado5)+SUMIFS(supercb[Qtde],supercb[Item],tab_alimentos[[#This Row],[Item]],supercb[Bairro],mercado5)</f>
        <v>0</v>
      </c>
      <c r="Q452" s="4">
        <f>SUMIFS(super1[Qtde],super1[Item],tab_alimentos[[#This Row],[Item]],super1[Bairro],mercado6)+SUMIFS(supercb[Qtde],supercb[Item],tab_alimentos[[#This Row],[Item]],supercb[Bairro],mercado6)</f>
        <v>0</v>
      </c>
      <c r="R452" s="4">
        <f>SUMIFS(super1[Qtde],super1[Item],tab_alimentos[[#This Row],[Item]],super1[Bairro],mercado7)+SUMIFS(supercb[Qtde],supercb[Item],tab_alimentos[[#This Row],[Item]],supercb[Bairro],mercado7)</f>
        <v>0</v>
      </c>
      <c r="S452" s="4">
        <f>SUMIFS(super1[Qtde],super1[Item],tab_alimentos[[#This Row],[Item]],super1[Bairro],mercado8)+SUMIFS(supercb[Qtde],supercb[Item],tab_alimentos[[#This Row],[Item]],supercb[Bairro],mercado8)</f>
        <v>0</v>
      </c>
      <c r="T452" s="4">
        <f>SUMIFS(super1[Qtde],super1[Item],tab_alimentos[[#This Row],[Item]],super1[Bairro],mercado9)+SUMIFS(supercb[Qtde],supercb[Item],tab_alimentos[[#This Row],[Item]],supercb[Bairro],mercado9)</f>
        <v>0</v>
      </c>
      <c r="U452" s="4">
        <f>SUMIFS(super1[Qtde],super1[Item],tab_alimentos[[#This Row],[Item]],super1[Bairro],mercado10)+SUMIFS(supercb[Qtde],supercb[Item],tab_alimentos[[#This Row],[Item]],supercb[Bairro],mercado10)</f>
        <v>0</v>
      </c>
      <c r="V452" s="4">
        <f>SUMIFS(super1[Qtde],super1[Item],tab_alimentos[[#This Row],[Item]],super1[Bairro],mercado11)+SUMIFS(supercb[Qtde],supercb[Item],tab_alimentos[[#This Row],[Item]],supercb[Bairro],mercado11)</f>
        <v>0</v>
      </c>
      <c r="W452" s="4">
        <f>SUMIFS(super1[Qtde],super1[Item],tab_alimentos[[#This Row],[Item]],super1[Bairro],mercado12)+SUMIFS(supercb[Qtde],supercb[Item],tab_alimentos[[#This Row],[Item]],supercb[Bairro],mercado12)</f>
        <v>0</v>
      </c>
      <c r="X452" s="4">
        <f>SUMIFS(super1[Qtde],super1[Item],tab_alimentos[[#This Row],[Item]],super1[Bairro],mercado13)+SUMIFS(supercb[Qtde],supercb[Item],tab_alimentos[[#This Row],[Item]],supercb[Bairro],mercado13)</f>
        <v>0</v>
      </c>
      <c r="Y452" s="4">
        <f>SUMIFS(super1[Qtde],super1[Item],tab_alimentos[[#This Row],[Item]],super1[Bairro],mercado14)+SUMIFS(supercb[Qtde],supercb[Item],tab_alimentos[[#This Row],[Item]],supercb[Bairro],mercado14)</f>
        <v>0</v>
      </c>
      <c r="Z452" s="4">
        <f>SUMIFS(super1[Qtde],super1[Item],tab_alimentos[[#This Row],[Item]],super1[Bairro],mercado15)+SUMIFS(supercb[Qtde],supercb[Item],tab_alimentos[[#This Row],[Item]],supercb[Bairro],mercado15)</f>
        <v>0</v>
      </c>
      <c r="AA452" s="4">
        <f>SUMIFS(super1[Qtde],super1[Item],tab_alimentos[[#This Row],[Item]],super1[Bairro],mercado16)+SUMIFS(supercb[Qtde],supercb[Item],tab_alimentos[[#This Row],[Item]],supercb[Bairro],mercado16)</f>
        <v>0</v>
      </c>
      <c r="AB452" s="4">
        <f>SUMIFS(super1[Qtde],super1[Item],tab_alimentos[[#This Row],[Item]],super1[Bairro],mercado17)+SUMIFS(supercb[Qtde],supercb[Item],tab_alimentos[[#This Row],[Item]],supercb[Bairro],mercado17)</f>
        <v>0</v>
      </c>
      <c r="AC452" s="4">
        <f>SUMIFS(super1[Qtde],super1[Item],tab_alimentos[[#This Row],[Item]],super1[Bairro],mercado18)+SUMIFS(supercb[Qtde],supercb[Item],tab_alimentos[[#This Row],[Item]],supercb[Bairro],mercado18)</f>
        <v>0</v>
      </c>
      <c r="AD452" s="4">
        <f>SUMIFS(super1[Qtde],super1[Item],tab_alimentos[[#This Row],[Item]],super1[Bairro],extras)+SUMIFS(supercb[Qtde],supercb[Item],tab_alimentos[[#This Row],[Item]],supercb[Bairro],extras)</f>
        <v>0</v>
      </c>
      <c r="AE452" s="4">
        <f t="shared" si="100"/>
        <v>0</v>
      </c>
      <c r="AF452" s="4">
        <f t="shared" si="101"/>
        <v>0</v>
      </c>
      <c r="AG452" s="6">
        <f t="shared" si="102"/>
        <v>0</v>
      </c>
    </row>
    <row r="453" spans="9:33" x14ac:dyDescent="0.25">
      <c r="I453" s="19" t="str">
        <f>alimentos[[#This Row],[Item]]</f>
        <v>W</v>
      </c>
      <c r="J453" s="4">
        <f>IFERROR(alimentos[[#This Row],[kg/embalagem]],0)</f>
        <v>0</v>
      </c>
      <c r="K453" s="4">
        <f>IFERROR(alimentos[[#This Row],[Preço]],0)</f>
        <v>0</v>
      </c>
      <c r="L453" s="4">
        <f>SUMIFS(super1[Qtde],super1[Item],tab_alimentos[[#This Row],[Item]],super1[Bairro],mercado1)+SUMIFS(supercb[Qtde],supercb[Item],tab_alimentos[[#This Row],[Item]],supercb[Bairro],mercado1)</f>
        <v>0</v>
      </c>
      <c r="M453" s="4">
        <f>SUMIFS(super1[Qtde],super1[Item],tab_alimentos[[#This Row],[Item]],super1[Bairro],mercado2)+SUMIFS(supercb[Qtde],supercb[Item],tab_alimentos[[#This Row],[Item]],supercb[Bairro],mercado2)</f>
        <v>0</v>
      </c>
      <c r="N453" s="4">
        <f>SUMIFS(super1[Qtde],super1[Item],tab_alimentos[[#This Row],[Item]],super1[Bairro],mercado3)+SUMIFS(supercb[Qtde],supercb[Item],tab_alimentos[[#This Row],[Item]],supercb[Bairro],mercado3)</f>
        <v>0</v>
      </c>
      <c r="O453" s="4">
        <f>SUMIFS(super1[Qtde],super1[Item],tab_alimentos[[#This Row],[Item]],super1[Bairro],mercado4)+SUMIFS(supercb[Qtde],supercb[Item],tab_alimentos[[#This Row],[Item]],supercb[Bairro],mercado4)</f>
        <v>0</v>
      </c>
      <c r="P453" s="4">
        <f>SUMIFS(super1[Qtde],super1[Item],tab_alimentos[[#This Row],[Item]],super1[Bairro],mercado5)+SUMIFS(supercb[Qtde],supercb[Item],tab_alimentos[[#This Row],[Item]],supercb[Bairro],mercado5)</f>
        <v>0</v>
      </c>
      <c r="Q453" s="4">
        <f>SUMIFS(super1[Qtde],super1[Item],tab_alimentos[[#This Row],[Item]],super1[Bairro],mercado6)+SUMIFS(supercb[Qtde],supercb[Item],tab_alimentos[[#This Row],[Item]],supercb[Bairro],mercado6)</f>
        <v>0</v>
      </c>
      <c r="R453" s="4">
        <f>SUMIFS(super1[Qtde],super1[Item],tab_alimentos[[#This Row],[Item]],super1[Bairro],mercado7)+SUMIFS(supercb[Qtde],supercb[Item],tab_alimentos[[#This Row],[Item]],supercb[Bairro],mercado7)</f>
        <v>0</v>
      </c>
      <c r="S453" s="4">
        <f>SUMIFS(super1[Qtde],super1[Item],tab_alimentos[[#This Row],[Item]],super1[Bairro],mercado8)+SUMIFS(supercb[Qtde],supercb[Item],tab_alimentos[[#This Row],[Item]],supercb[Bairro],mercado8)</f>
        <v>0</v>
      </c>
      <c r="T453" s="4">
        <f>SUMIFS(super1[Qtde],super1[Item],tab_alimentos[[#This Row],[Item]],super1[Bairro],mercado9)+SUMIFS(supercb[Qtde],supercb[Item],tab_alimentos[[#This Row],[Item]],supercb[Bairro],mercado9)</f>
        <v>0</v>
      </c>
      <c r="U453" s="4">
        <f>SUMIFS(super1[Qtde],super1[Item],tab_alimentos[[#This Row],[Item]],super1[Bairro],mercado10)+SUMIFS(supercb[Qtde],supercb[Item],tab_alimentos[[#This Row],[Item]],supercb[Bairro],mercado10)</f>
        <v>0</v>
      </c>
      <c r="V453" s="4">
        <f>SUMIFS(super1[Qtde],super1[Item],tab_alimentos[[#This Row],[Item]],super1[Bairro],mercado11)+SUMIFS(supercb[Qtde],supercb[Item],tab_alimentos[[#This Row],[Item]],supercb[Bairro],mercado11)</f>
        <v>0</v>
      </c>
      <c r="W453" s="4">
        <f>SUMIFS(super1[Qtde],super1[Item],tab_alimentos[[#This Row],[Item]],super1[Bairro],mercado12)+SUMIFS(supercb[Qtde],supercb[Item],tab_alimentos[[#This Row],[Item]],supercb[Bairro],mercado12)</f>
        <v>0</v>
      </c>
      <c r="X453" s="4">
        <f>SUMIFS(super1[Qtde],super1[Item],tab_alimentos[[#This Row],[Item]],super1[Bairro],mercado13)+SUMIFS(supercb[Qtde],supercb[Item],tab_alimentos[[#This Row],[Item]],supercb[Bairro],mercado13)</f>
        <v>0</v>
      </c>
      <c r="Y453" s="4">
        <f>SUMIFS(super1[Qtde],super1[Item],tab_alimentos[[#This Row],[Item]],super1[Bairro],mercado14)+SUMIFS(supercb[Qtde],supercb[Item],tab_alimentos[[#This Row],[Item]],supercb[Bairro],mercado14)</f>
        <v>0</v>
      </c>
      <c r="Z453" s="4">
        <f>SUMIFS(super1[Qtde],super1[Item],tab_alimentos[[#This Row],[Item]],super1[Bairro],mercado15)+SUMIFS(supercb[Qtde],supercb[Item],tab_alimentos[[#This Row],[Item]],supercb[Bairro],mercado15)</f>
        <v>0</v>
      </c>
      <c r="AA453" s="4">
        <f>SUMIFS(super1[Qtde],super1[Item],tab_alimentos[[#This Row],[Item]],super1[Bairro],mercado16)+SUMIFS(supercb[Qtde],supercb[Item],tab_alimentos[[#This Row],[Item]],supercb[Bairro],mercado16)</f>
        <v>0</v>
      </c>
      <c r="AB453" s="4">
        <f>SUMIFS(super1[Qtde],super1[Item],tab_alimentos[[#This Row],[Item]],super1[Bairro],mercado17)+SUMIFS(supercb[Qtde],supercb[Item],tab_alimentos[[#This Row],[Item]],supercb[Bairro],mercado17)</f>
        <v>0</v>
      </c>
      <c r="AC453" s="4">
        <f>SUMIFS(super1[Qtde],super1[Item],tab_alimentos[[#This Row],[Item]],super1[Bairro],mercado18)+SUMIFS(supercb[Qtde],supercb[Item],tab_alimentos[[#This Row],[Item]],supercb[Bairro],mercado18)</f>
        <v>0</v>
      </c>
      <c r="AD453" s="4">
        <f>SUMIFS(super1[Qtde],super1[Item],tab_alimentos[[#This Row],[Item]],super1[Bairro],extras)+SUMIFS(supercb[Qtde],supercb[Item],tab_alimentos[[#This Row],[Item]],supercb[Bairro],extras)</f>
        <v>0</v>
      </c>
      <c r="AE453" s="4">
        <f t="shared" si="100"/>
        <v>0</v>
      </c>
      <c r="AF453" s="4">
        <f t="shared" si="101"/>
        <v>0</v>
      </c>
      <c r="AG453" s="6">
        <f t="shared" si="102"/>
        <v>0</v>
      </c>
    </row>
    <row r="454" spans="9:33" x14ac:dyDescent="0.25">
      <c r="I454" s="19" t="str">
        <f>alimentos[[#This Row],[Item]]</f>
        <v>X</v>
      </c>
      <c r="J454" s="4">
        <f>IFERROR(alimentos[[#This Row],[kg/embalagem]],0)</f>
        <v>0</v>
      </c>
      <c r="K454" s="4">
        <f>IFERROR(alimentos[[#This Row],[Preço]],0)</f>
        <v>0</v>
      </c>
      <c r="L454" s="4">
        <f>SUMIFS(super1[Qtde],super1[Item],tab_alimentos[[#This Row],[Item]],super1[Bairro],mercado1)+SUMIFS(supercb[Qtde],supercb[Item],tab_alimentos[[#This Row],[Item]],supercb[Bairro],mercado1)</f>
        <v>0</v>
      </c>
      <c r="M454" s="4">
        <f>SUMIFS(super1[Qtde],super1[Item],tab_alimentos[[#This Row],[Item]],super1[Bairro],mercado2)+SUMIFS(supercb[Qtde],supercb[Item],tab_alimentos[[#This Row],[Item]],supercb[Bairro],mercado2)</f>
        <v>0</v>
      </c>
      <c r="N454" s="4">
        <f>SUMIFS(super1[Qtde],super1[Item],tab_alimentos[[#This Row],[Item]],super1[Bairro],mercado3)+SUMIFS(supercb[Qtde],supercb[Item],tab_alimentos[[#This Row],[Item]],supercb[Bairro],mercado3)</f>
        <v>0</v>
      </c>
      <c r="O454" s="4">
        <f>SUMIFS(super1[Qtde],super1[Item],tab_alimentos[[#This Row],[Item]],super1[Bairro],mercado4)+SUMIFS(supercb[Qtde],supercb[Item],tab_alimentos[[#This Row],[Item]],supercb[Bairro],mercado4)</f>
        <v>0</v>
      </c>
      <c r="P454" s="4">
        <f>SUMIFS(super1[Qtde],super1[Item],tab_alimentos[[#This Row],[Item]],super1[Bairro],mercado5)+SUMIFS(supercb[Qtde],supercb[Item],tab_alimentos[[#This Row],[Item]],supercb[Bairro],mercado5)</f>
        <v>0</v>
      </c>
      <c r="Q454" s="4">
        <f>SUMIFS(super1[Qtde],super1[Item],tab_alimentos[[#This Row],[Item]],super1[Bairro],mercado6)+SUMIFS(supercb[Qtde],supercb[Item],tab_alimentos[[#This Row],[Item]],supercb[Bairro],mercado6)</f>
        <v>0</v>
      </c>
      <c r="R454" s="4">
        <f>SUMIFS(super1[Qtde],super1[Item],tab_alimentos[[#This Row],[Item]],super1[Bairro],mercado7)+SUMIFS(supercb[Qtde],supercb[Item],tab_alimentos[[#This Row],[Item]],supercb[Bairro],mercado7)</f>
        <v>0</v>
      </c>
      <c r="S454" s="4">
        <f>SUMIFS(super1[Qtde],super1[Item],tab_alimentos[[#This Row],[Item]],super1[Bairro],mercado8)+SUMIFS(supercb[Qtde],supercb[Item],tab_alimentos[[#This Row],[Item]],supercb[Bairro],mercado8)</f>
        <v>0</v>
      </c>
      <c r="T454" s="4">
        <f>SUMIFS(super1[Qtde],super1[Item],tab_alimentos[[#This Row],[Item]],super1[Bairro],mercado9)+SUMIFS(supercb[Qtde],supercb[Item],tab_alimentos[[#This Row],[Item]],supercb[Bairro],mercado9)</f>
        <v>0</v>
      </c>
      <c r="U454" s="4">
        <f>SUMIFS(super1[Qtde],super1[Item],tab_alimentos[[#This Row],[Item]],super1[Bairro],mercado10)+SUMIFS(supercb[Qtde],supercb[Item],tab_alimentos[[#This Row],[Item]],supercb[Bairro],mercado10)</f>
        <v>0</v>
      </c>
      <c r="V454" s="4">
        <f>SUMIFS(super1[Qtde],super1[Item],tab_alimentos[[#This Row],[Item]],super1[Bairro],mercado11)+SUMIFS(supercb[Qtde],supercb[Item],tab_alimentos[[#This Row],[Item]],supercb[Bairro],mercado11)</f>
        <v>0</v>
      </c>
      <c r="W454" s="4">
        <f>SUMIFS(super1[Qtde],super1[Item],tab_alimentos[[#This Row],[Item]],super1[Bairro],mercado12)+SUMIFS(supercb[Qtde],supercb[Item],tab_alimentos[[#This Row],[Item]],supercb[Bairro],mercado12)</f>
        <v>0</v>
      </c>
      <c r="X454" s="4">
        <f>SUMIFS(super1[Qtde],super1[Item],tab_alimentos[[#This Row],[Item]],super1[Bairro],mercado13)+SUMIFS(supercb[Qtde],supercb[Item],tab_alimentos[[#This Row],[Item]],supercb[Bairro],mercado13)</f>
        <v>0</v>
      </c>
      <c r="Y454" s="4">
        <f>SUMIFS(super1[Qtde],super1[Item],tab_alimentos[[#This Row],[Item]],super1[Bairro],mercado14)+SUMIFS(supercb[Qtde],supercb[Item],tab_alimentos[[#This Row],[Item]],supercb[Bairro],mercado14)</f>
        <v>0</v>
      </c>
      <c r="Z454" s="4">
        <f>SUMIFS(super1[Qtde],super1[Item],tab_alimentos[[#This Row],[Item]],super1[Bairro],mercado15)+SUMIFS(supercb[Qtde],supercb[Item],tab_alimentos[[#This Row],[Item]],supercb[Bairro],mercado15)</f>
        <v>0</v>
      </c>
      <c r="AA454" s="4">
        <f>SUMIFS(super1[Qtde],super1[Item],tab_alimentos[[#This Row],[Item]],super1[Bairro],mercado16)+SUMIFS(supercb[Qtde],supercb[Item],tab_alimentos[[#This Row],[Item]],supercb[Bairro],mercado16)</f>
        <v>0</v>
      </c>
      <c r="AB454" s="4">
        <f>SUMIFS(super1[Qtde],super1[Item],tab_alimentos[[#This Row],[Item]],super1[Bairro],mercado17)+SUMIFS(supercb[Qtde],supercb[Item],tab_alimentos[[#This Row],[Item]],supercb[Bairro],mercado17)</f>
        <v>0</v>
      </c>
      <c r="AC454" s="4">
        <f>SUMIFS(super1[Qtde],super1[Item],tab_alimentos[[#This Row],[Item]],super1[Bairro],mercado18)+SUMIFS(supercb[Qtde],supercb[Item],tab_alimentos[[#This Row],[Item]],supercb[Bairro],mercado18)</f>
        <v>0</v>
      </c>
      <c r="AD454" s="4">
        <f>SUMIFS(super1[Qtde],super1[Item],tab_alimentos[[#This Row],[Item]],super1[Bairro],extras)+SUMIFS(supercb[Qtde],supercb[Item],tab_alimentos[[#This Row],[Item]],supercb[Bairro],extras)</f>
        <v>0</v>
      </c>
      <c r="AE454" s="4">
        <f t="shared" si="100"/>
        <v>0</v>
      </c>
      <c r="AF454" s="4">
        <f t="shared" si="101"/>
        <v>0</v>
      </c>
      <c r="AG454" s="6">
        <f t="shared" si="102"/>
        <v>0</v>
      </c>
    </row>
    <row r="455" spans="9:33" x14ac:dyDescent="0.25">
      <c r="I455" s="19" t="str">
        <f>alimentos[[#This Row],[Item]]</f>
        <v>Y</v>
      </c>
      <c r="J455" s="4">
        <f>IFERROR(alimentos[[#This Row],[kg/embalagem]],0)</f>
        <v>0</v>
      </c>
      <c r="K455" s="4">
        <f>IFERROR(alimentos[[#This Row],[Preço]],0)</f>
        <v>0</v>
      </c>
      <c r="L455" s="4">
        <f>SUMIFS(super1[Qtde],super1[Item],tab_alimentos[[#This Row],[Item]],super1[Bairro],mercado1)+SUMIFS(supercb[Qtde],supercb[Item],tab_alimentos[[#This Row],[Item]],supercb[Bairro],mercado1)</f>
        <v>0</v>
      </c>
      <c r="M455" s="4">
        <f>SUMIFS(super1[Qtde],super1[Item],tab_alimentos[[#This Row],[Item]],super1[Bairro],mercado2)+SUMIFS(supercb[Qtde],supercb[Item],tab_alimentos[[#This Row],[Item]],supercb[Bairro],mercado2)</f>
        <v>0</v>
      </c>
      <c r="N455" s="4">
        <f>SUMIFS(super1[Qtde],super1[Item],tab_alimentos[[#This Row],[Item]],super1[Bairro],mercado3)+SUMIFS(supercb[Qtde],supercb[Item],tab_alimentos[[#This Row],[Item]],supercb[Bairro],mercado3)</f>
        <v>0</v>
      </c>
      <c r="O455" s="4">
        <f>SUMIFS(super1[Qtde],super1[Item],tab_alimentos[[#This Row],[Item]],super1[Bairro],mercado4)+SUMIFS(supercb[Qtde],supercb[Item],tab_alimentos[[#This Row],[Item]],supercb[Bairro],mercado4)</f>
        <v>0</v>
      </c>
      <c r="P455" s="4">
        <f>SUMIFS(super1[Qtde],super1[Item],tab_alimentos[[#This Row],[Item]],super1[Bairro],mercado5)+SUMIFS(supercb[Qtde],supercb[Item],tab_alimentos[[#This Row],[Item]],supercb[Bairro],mercado5)</f>
        <v>0</v>
      </c>
      <c r="Q455" s="4">
        <f>SUMIFS(super1[Qtde],super1[Item],tab_alimentos[[#This Row],[Item]],super1[Bairro],mercado6)+SUMIFS(supercb[Qtde],supercb[Item],tab_alimentos[[#This Row],[Item]],supercb[Bairro],mercado6)</f>
        <v>0</v>
      </c>
      <c r="R455" s="4">
        <f>SUMIFS(super1[Qtde],super1[Item],tab_alimentos[[#This Row],[Item]],super1[Bairro],mercado7)+SUMIFS(supercb[Qtde],supercb[Item],tab_alimentos[[#This Row],[Item]],supercb[Bairro],mercado7)</f>
        <v>0</v>
      </c>
      <c r="S455" s="4">
        <f>SUMIFS(super1[Qtde],super1[Item],tab_alimentos[[#This Row],[Item]],super1[Bairro],mercado8)+SUMIFS(supercb[Qtde],supercb[Item],tab_alimentos[[#This Row],[Item]],supercb[Bairro],mercado8)</f>
        <v>0</v>
      </c>
      <c r="T455" s="4">
        <f>SUMIFS(super1[Qtde],super1[Item],tab_alimentos[[#This Row],[Item]],super1[Bairro],mercado9)+SUMIFS(supercb[Qtde],supercb[Item],tab_alimentos[[#This Row],[Item]],supercb[Bairro],mercado9)</f>
        <v>0</v>
      </c>
      <c r="U455" s="4">
        <f>SUMIFS(super1[Qtde],super1[Item],tab_alimentos[[#This Row],[Item]],super1[Bairro],mercado10)+SUMIFS(supercb[Qtde],supercb[Item],tab_alimentos[[#This Row],[Item]],supercb[Bairro],mercado10)</f>
        <v>0</v>
      </c>
      <c r="V455" s="4">
        <f>SUMIFS(super1[Qtde],super1[Item],tab_alimentos[[#This Row],[Item]],super1[Bairro],mercado11)+SUMIFS(supercb[Qtde],supercb[Item],tab_alimentos[[#This Row],[Item]],supercb[Bairro],mercado11)</f>
        <v>0</v>
      </c>
      <c r="W455" s="4">
        <f>SUMIFS(super1[Qtde],super1[Item],tab_alimentos[[#This Row],[Item]],super1[Bairro],mercado12)+SUMIFS(supercb[Qtde],supercb[Item],tab_alimentos[[#This Row],[Item]],supercb[Bairro],mercado12)</f>
        <v>0</v>
      </c>
      <c r="X455" s="4">
        <f>SUMIFS(super1[Qtde],super1[Item],tab_alimentos[[#This Row],[Item]],super1[Bairro],mercado13)+SUMIFS(supercb[Qtde],supercb[Item],tab_alimentos[[#This Row],[Item]],supercb[Bairro],mercado13)</f>
        <v>0</v>
      </c>
      <c r="Y455" s="4">
        <f>SUMIFS(super1[Qtde],super1[Item],tab_alimentos[[#This Row],[Item]],super1[Bairro],mercado14)+SUMIFS(supercb[Qtde],supercb[Item],tab_alimentos[[#This Row],[Item]],supercb[Bairro],mercado14)</f>
        <v>0</v>
      </c>
      <c r="Z455" s="4">
        <f>SUMIFS(super1[Qtde],super1[Item],tab_alimentos[[#This Row],[Item]],super1[Bairro],mercado15)+SUMIFS(supercb[Qtde],supercb[Item],tab_alimentos[[#This Row],[Item]],supercb[Bairro],mercado15)</f>
        <v>0</v>
      </c>
      <c r="AA455" s="4">
        <f>SUMIFS(super1[Qtde],super1[Item],tab_alimentos[[#This Row],[Item]],super1[Bairro],mercado16)+SUMIFS(supercb[Qtde],supercb[Item],tab_alimentos[[#This Row],[Item]],supercb[Bairro],mercado16)</f>
        <v>0</v>
      </c>
      <c r="AB455" s="4">
        <f>SUMIFS(super1[Qtde],super1[Item],tab_alimentos[[#This Row],[Item]],super1[Bairro],mercado17)+SUMIFS(supercb[Qtde],supercb[Item],tab_alimentos[[#This Row],[Item]],supercb[Bairro],mercado17)</f>
        <v>0</v>
      </c>
      <c r="AC455" s="4">
        <f>SUMIFS(super1[Qtde],super1[Item],tab_alimentos[[#This Row],[Item]],super1[Bairro],mercado18)+SUMIFS(supercb[Qtde],supercb[Item],tab_alimentos[[#This Row],[Item]],supercb[Bairro],mercado18)</f>
        <v>0</v>
      </c>
      <c r="AD455" s="4">
        <f>SUMIFS(super1[Qtde],super1[Item],tab_alimentos[[#This Row],[Item]],super1[Bairro],extras)+SUMIFS(supercb[Qtde],supercb[Item],tab_alimentos[[#This Row],[Item]],supercb[Bairro],extras)</f>
        <v>0</v>
      </c>
      <c r="AE455" s="4">
        <f t="shared" si="100"/>
        <v>0</v>
      </c>
      <c r="AF455" s="4">
        <f t="shared" si="101"/>
        <v>0</v>
      </c>
      <c r="AG455" s="6">
        <f t="shared" si="102"/>
        <v>0</v>
      </c>
    </row>
    <row r="456" spans="9:33" x14ac:dyDescent="0.25">
      <c r="I456" s="19" t="str">
        <f>alimentos[[#This Row],[Item]]</f>
        <v>Z</v>
      </c>
      <c r="J456" s="4">
        <f>IFERROR(alimentos[[#This Row],[kg/embalagem]],0)</f>
        <v>0</v>
      </c>
      <c r="K456" s="4">
        <f>IFERROR(alimentos[[#This Row],[Preço]],0)</f>
        <v>0</v>
      </c>
      <c r="L456" s="4">
        <f>SUMIFS(super1[Qtde],super1[Item],tab_alimentos[[#This Row],[Item]],super1[Bairro],mercado1)+SUMIFS(supercb[Qtde],supercb[Item],tab_alimentos[[#This Row],[Item]],supercb[Bairro],mercado1)</f>
        <v>0</v>
      </c>
      <c r="M456" s="4">
        <f>SUMIFS(super1[Qtde],super1[Item],tab_alimentos[[#This Row],[Item]],super1[Bairro],mercado2)+SUMIFS(supercb[Qtde],supercb[Item],tab_alimentos[[#This Row],[Item]],supercb[Bairro],mercado2)</f>
        <v>0</v>
      </c>
      <c r="N456" s="4">
        <f>SUMIFS(super1[Qtde],super1[Item],tab_alimentos[[#This Row],[Item]],super1[Bairro],mercado3)+SUMIFS(supercb[Qtde],supercb[Item],tab_alimentos[[#This Row],[Item]],supercb[Bairro],mercado3)</f>
        <v>0</v>
      </c>
      <c r="O456" s="4">
        <f>SUMIFS(super1[Qtde],super1[Item],tab_alimentos[[#This Row],[Item]],super1[Bairro],mercado4)+SUMIFS(supercb[Qtde],supercb[Item],tab_alimentos[[#This Row],[Item]],supercb[Bairro],mercado4)</f>
        <v>0</v>
      </c>
      <c r="P456" s="4">
        <f>SUMIFS(super1[Qtde],super1[Item],tab_alimentos[[#This Row],[Item]],super1[Bairro],mercado5)+SUMIFS(supercb[Qtde],supercb[Item],tab_alimentos[[#This Row],[Item]],supercb[Bairro],mercado5)</f>
        <v>0</v>
      </c>
      <c r="Q456" s="4">
        <f>SUMIFS(super1[Qtde],super1[Item],tab_alimentos[[#This Row],[Item]],super1[Bairro],mercado6)+SUMIFS(supercb[Qtde],supercb[Item],tab_alimentos[[#This Row],[Item]],supercb[Bairro],mercado6)</f>
        <v>0</v>
      </c>
      <c r="R456" s="4">
        <f>SUMIFS(super1[Qtde],super1[Item],tab_alimentos[[#This Row],[Item]],super1[Bairro],mercado7)+SUMIFS(supercb[Qtde],supercb[Item],tab_alimentos[[#This Row],[Item]],supercb[Bairro],mercado7)</f>
        <v>0</v>
      </c>
      <c r="S456" s="4">
        <f>SUMIFS(super1[Qtde],super1[Item],tab_alimentos[[#This Row],[Item]],super1[Bairro],mercado8)+SUMIFS(supercb[Qtde],supercb[Item],tab_alimentos[[#This Row],[Item]],supercb[Bairro],mercado8)</f>
        <v>0</v>
      </c>
      <c r="T456" s="4">
        <f>SUMIFS(super1[Qtde],super1[Item],tab_alimentos[[#This Row],[Item]],super1[Bairro],mercado9)+SUMIFS(supercb[Qtde],supercb[Item],tab_alimentos[[#This Row],[Item]],supercb[Bairro],mercado9)</f>
        <v>0</v>
      </c>
      <c r="U456" s="4">
        <f>SUMIFS(super1[Qtde],super1[Item],tab_alimentos[[#This Row],[Item]],super1[Bairro],mercado10)+SUMIFS(supercb[Qtde],supercb[Item],tab_alimentos[[#This Row],[Item]],supercb[Bairro],mercado10)</f>
        <v>0</v>
      </c>
      <c r="V456" s="4">
        <f>SUMIFS(super1[Qtde],super1[Item],tab_alimentos[[#This Row],[Item]],super1[Bairro],mercado11)+SUMIFS(supercb[Qtde],supercb[Item],tab_alimentos[[#This Row],[Item]],supercb[Bairro],mercado11)</f>
        <v>0</v>
      </c>
      <c r="W456" s="4">
        <f>SUMIFS(super1[Qtde],super1[Item],tab_alimentos[[#This Row],[Item]],super1[Bairro],mercado12)+SUMIFS(supercb[Qtde],supercb[Item],tab_alimentos[[#This Row],[Item]],supercb[Bairro],mercado12)</f>
        <v>0</v>
      </c>
      <c r="X456" s="4">
        <f>SUMIFS(super1[Qtde],super1[Item],tab_alimentos[[#This Row],[Item]],super1[Bairro],mercado13)+SUMIFS(supercb[Qtde],supercb[Item],tab_alimentos[[#This Row],[Item]],supercb[Bairro],mercado13)</f>
        <v>0</v>
      </c>
      <c r="Y456" s="4">
        <f>SUMIFS(super1[Qtde],super1[Item],tab_alimentos[[#This Row],[Item]],super1[Bairro],mercado14)+SUMIFS(supercb[Qtde],supercb[Item],tab_alimentos[[#This Row],[Item]],supercb[Bairro],mercado14)</f>
        <v>0</v>
      </c>
      <c r="Z456" s="4">
        <f>SUMIFS(super1[Qtde],super1[Item],tab_alimentos[[#This Row],[Item]],super1[Bairro],mercado15)+SUMIFS(supercb[Qtde],supercb[Item],tab_alimentos[[#This Row],[Item]],supercb[Bairro],mercado15)</f>
        <v>0</v>
      </c>
      <c r="AA456" s="4">
        <f>SUMIFS(super1[Qtde],super1[Item],tab_alimentos[[#This Row],[Item]],super1[Bairro],mercado16)+SUMIFS(supercb[Qtde],supercb[Item],tab_alimentos[[#This Row],[Item]],supercb[Bairro],mercado16)</f>
        <v>0</v>
      </c>
      <c r="AB456" s="4">
        <f>SUMIFS(super1[Qtde],super1[Item],tab_alimentos[[#This Row],[Item]],super1[Bairro],mercado17)+SUMIFS(supercb[Qtde],supercb[Item],tab_alimentos[[#This Row],[Item]],supercb[Bairro],mercado17)</f>
        <v>0</v>
      </c>
      <c r="AC456" s="4">
        <f>SUMIFS(super1[Qtde],super1[Item],tab_alimentos[[#This Row],[Item]],super1[Bairro],mercado18)+SUMIFS(supercb[Qtde],supercb[Item],tab_alimentos[[#This Row],[Item]],supercb[Bairro],mercado18)</f>
        <v>0</v>
      </c>
      <c r="AD456" s="4">
        <f>SUMIFS(super1[Qtde],super1[Item],tab_alimentos[[#This Row],[Item]],super1[Bairro],extras)+SUMIFS(supercb[Qtde],supercb[Item],tab_alimentos[[#This Row],[Item]],supercb[Bairro],extras)</f>
        <v>0</v>
      </c>
      <c r="AE456" s="4">
        <f t="shared" si="100"/>
        <v>0</v>
      </c>
      <c r="AF456" s="4">
        <f t="shared" si="101"/>
        <v>0</v>
      </c>
      <c r="AG456" s="6">
        <f t="shared" si="102"/>
        <v>0</v>
      </c>
    </row>
    <row r="457" spans="9:33" x14ac:dyDescent="0.25">
      <c r="I457" s="19" t="e">
        <f>alimentos[[#This Row],[Item]]</f>
        <v>#VALUE!</v>
      </c>
      <c r="J457" s="4">
        <f>IFERROR(alimentos[[#This Row],[kg/embalagem]],0)</f>
        <v>0</v>
      </c>
      <c r="K457" s="4">
        <f>IFERROR(alimentos[[#This Row],[Preço]],0)</f>
        <v>0</v>
      </c>
      <c r="L457" s="4">
        <f>SUMIFS(super1[Qtde],super1[Item],tab_alimentos[[#This Row],[Item]],super1[Bairro],mercado1)+SUMIFS(supercb[Qtde],supercb[Item],tab_alimentos[[#This Row],[Item]],supercb[Bairro],mercado1)</f>
        <v>0</v>
      </c>
      <c r="M457" s="4">
        <f>SUMIFS(super1[Qtde],super1[Item],tab_alimentos[[#This Row],[Item]],super1[Bairro],mercado2)+SUMIFS(supercb[Qtde],supercb[Item],tab_alimentos[[#This Row],[Item]],supercb[Bairro],mercado2)</f>
        <v>0</v>
      </c>
      <c r="N457" s="4">
        <f>SUMIFS(super1[Qtde],super1[Item],tab_alimentos[[#This Row],[Item]],super1[Bairro],mercado3)+SUMIFS(supercb[Qtde],supercb[Item],tab_alimentos[[#This Row],[Item]],supercb[Bairro],mercado3)</f>
        <v>0</v>
      </c>
      <c r="O457" s="4">
        <f>SUMIFS(super1[Qtde],super1[Item],tab_alimentos[[#This Row],[Item]],super1[Bairro],mercado4)+SUMIFS(supercb[Qtde],supercb[Item],tab_alimentos[[#This Row],[Item]],supercb[Bairro],mercado4)</f>
        <v>0</v>
      </c>
      <c r="P457" s="4">
        <f>SUMIFS(super1[Qtde],super1[Item],tab_alimentos[[#This Row],[Item]],super1[Bairro],mercado5)+SUMIFS(supercb[Qtde],supercb[Item],tab_alimentos[[#This Row],[Item]],supercb[Bairro],mercado5)</f>
        <v>0</v>
      </c>
      <c r="Q457" s="4">
        <f>SUMIFS(super1[Qtde],super1[Item],tab_alimentos[[#This Row],[Item]],super1[Bairro],mercado6)+SUMIFS(supercb[Qtde],supercb[Item],tab_alimentos[[#This Row],[Item]],supercb[Bairro],mercado6)</f>
        <v>0</v>
      </c>
      <c r="R457" s="4">
        <f>SUMIFS(super1[Qtde],super1[Item],tab_alimentos[[#This Row],[Item]],super1[Bairro],mercado7)+SUMIFS(supercb[Qtde],supercb[Item],tab_alimentos[[#This Row],[Item]],supercb[Bairro],mercado7)</f>
        <v>0</v>
      </c>
      <c r="S457" s="4">
        <f>SUMIFS(super1[Qtde],super1[Item],tab_alimentos[[#This Row],[Item]],super1[Bairro],mercado8)+SUMIFS(supercb[Qtde],supercb[Item],tab_alimentos[[#This Row],[Item]],supercb[Bairro],mercado8)</f>
        <v>0</v>
      </c>
      <c r="T457" s="4">
        <f>SUMIFS(super1[Qtde],super1[Item],tab_alimentos[[#This Row],[Item]],super1[Bairro],mercado9)+SUMIFS(supercb[Qtde],supercb[Item],tab_alimentos[[#This Row],[Item]],supercb[Bairro],mercado9)</f>
        <v>0</v>
      </c>
      <c r="U457" s="4">
        <f>SUMIFS(super1[Qtde],super1[Item],tab_alimentos[[#This Row],[Item]],super1[Bairro],mercado10)+SUMIFS(supercb[Qtde],supercb[Item],tab_alimentos[[#This Row],[Item]],supercb[Bairro],mercado10)</f>
        <v>0</v>
      </c>
      <c r="V457" s="4">
        <f>SUMIFS(super1[Qtde],super1[Item],tab_alimentos[[#This Row],[Item]],super1[Bairro],mercado11)+SUMIFS(supercb[Qtde],supercb[Item],tab_alimentos[[#This Row],[Item]],supercb[Bairro],mercado11)</f>
        <v>0</v>
      </c>
      <c r="W457" s="4">
        <f>SUMIFS(super1[Qtde],super1[Item],tab_alimentos[[#This Row],[Item]],super1[Bairro],mercado12)+SUMIFS(supercb[Qtde],supercb[Item],tab_alimentos[[#This Row],[Item]],supercb[Bairro],mercado12)</f>
        <v>0</v>
      </c>
      <c r="X457" s="4">
        <f>SUMIFS(super1[Qtde],super1[Item],tab_alimentos[[#This Row],[Item]],super1[Bairro],mercado13)+SUMIFS(supercb[Qtde],supercb[Item],tab_alimentos[[#This Row],[Item]],supercb[Bairro],mercado13)</f>
        <v>0</v>
      </c>
      <c r="Y457" s="4">
        <f>SUMIFS(super1[Qtde],super1[Item],tab_alimentos[[#This Row],[Item]],super1[Bairro],mercado14)+SUMIFS(supercb[Qtde],supercb[Item],tab_alimentos[[#This Row],[Item]],supercb[Bairro],mercado14)</f>
        <v>0</v>
      </c>
      <c r="Z457" s="4">
        <f>SUMIFS(super1[Qtde],super1[Item],tab_alimentos[[#This Row],[Item]],super1[Bairro],mercado15)+SUMIFS(supercb[Qtde],supercb[Item],tab_alimentos[[#This Row],[Item]],supercb[Bairro],mercado15)</f>
        <v>0</v>
      </c>
      <c r="AA457" s="4">
        <f>SUMIFS(super1[Qtde],super1[Item],tab_alimentos[[#This Row],[Item]],super1[Bairro],mercado16)+SUMIFS(supercb[Qtde],supercb[Item],tab_alimentos[[#This Row],[Item]],supercb[Bairro],mercado16)</f>
        <v>0</v>
      </c>
      <c r="AB457" s="4">
        <f>SUMIFS(super1[Qtde],super1[Item],tab_alimentos[[#This Row],[Item]],super1[Bairro],mercado17)+SUMIFS(supercb[Qtde],supercb[Item],tab_alimentos[[#This Row],[Item]],supercb[Bairro],mercado17)</f>
        <v>0</v>
      </c>
      <c r="AC457" s="4">
        <f>SUMIFS(super1[Qtde],super1[Item],tab_alimentos[[#This Row],[Item]],super1[Bairro],mercado18)+SUMIFS(supercb[Qtde],supercb[Item],tab_alimentos[[#This Row],[Item]],supercb[Bairro],mercado18)</f>
        <v>0</v>
      </c>
      <c r="AD457" s="4">
        <f>SUMIFS(super1[Qtde],super1[Item],tab_alimentos[[#This Row],[Item]],super1[Bairro],extras)+SUMIFS(supercb[Qtde],supercb[Item],tab_alimentos[[#This Row],[Item]],supercb[Bairro],extras)</f>
        <v>0</v>
      </c>
      <c r="AE457" s="4">
        <f t="shared" si="100"/>
        <v>0</v>
      </c>
      <c r="AF457" s="4">
        <f t="shared" si="101"/>
        <v>0</v>
      </c>
      <c r="AG457" s="6">
        <f t="shared" si="102"/>
        <v>0</v>
      </c>
    </row>
    <row r="458" spans="9:33" x14ac:dyDescent="0.25">
      <c r="I458" s="19" t="e">
        <f>alimentos[[#This Row],[Item]]</f>
        <v>#VALUE!</v>
      </c>
      <c r="J458" s="4">
        <f>IFERROR(alimentos[[#This Row],[kg/embalagem]],0)</f>
        <v>0</v>
      </c>
      <c r="K458" s="4">
        <f>IFERROR(alimentos[[#This Row],[Preço]],0)</f>
        <v>0</v>
      </c>
      <c r="L458" s="4">
        <f>SUMIFS(super1[Qtde],super1[Item],tab_alimentos[[#This Row],[Item]],super1[Bairro],mercado1)+SUMIFS(supercb[Qtde],supercb[Item],tab_alimentos[[#This Row],[Item]],supercb[Bairro],mercado1)</f>
        <v>0</v>
      </c>
      <c r="M458" s="4">
        <f>SUMIFS(super1[Qtde],super1[Item],tab_alimentos[[#This Row],[Item]],super1[Bairro],mercado2)+SUMIFS(supercb[Qtde],supercb[Item],tab_alimentos[[#This Row],[Item]],supercb[Bairro],mercado2)</f>
        <v>0</v>
      </c>
      <c r="N458" s="4">
        <f>SUMIFS(super1[Qtde],super1[Item],tab_alimentos[[#This Row],[Item]],super1[Bairro],mercado3)+SUMIFS(supercb[Qtde],supercb[Item],tab_alimentos[[#This Row],[Item]],supercb[Bairro],mercado3)</f>
        <v>0</v>
      </c>
      <c r="O458" s="4">
        <f>SUMIFS(super1[Qtde],super1[Item],tab_alimentos[[#This Row],[Item]],super1[Bairro],mercado4)+SUMIFS(supercb[Qtde],supercb[Item],tab_alimentos[[#This Row],[Item]],supercb[Bairro],mercado4)</f>
        <v>0</v>
      </c>
      <c r="P458" s="4">
        <f>SUMIFS(super1[Qtde],super1[Item],tab_alimentos[[#This Row],[Item]],super1[Bairro],mercado5)+SUMIFS(supercb[Qtde],supercb[Item],tab_alimentos[[#This Row],[Item]],supercb[Bairro],mercado5)</f>
        <v>0</v>
      </c>
      <c r="Q458" s="4">
        <f>SUMIFS(super1[Qtde],super1[Item],tab_alimentos[[#This Row],[Item]],super1[Bairro],mercado6)+SUMIFS(supercb[Qtde],supercb[Item],tab_alimentos[[#This Row],[Item]],supercb[Bairro],mercado6)</f>
        <v>0</v>
      </c>
      <c r="R458" s="4">
        <f>SUMIFS(super1[Qtde],super1[Item],tab_alimentos[[#This Row],[Item]],super1[Bairro],mercado7)+SUMIFS(supercb[Qtde],supercb[Item],tab_alimentos[[#This Row],[Item]],supercb[Bairro],mercado7)</f>
        <v>0</v>
      </c>
      <c r="S458" s="4">
        <f>SUMIFS(super1[Qtde],super1[Item],tab_alimentos[[#This Row],[Item]],super1[Bairro],mercado8)+SUMIFS(supercb[Qtde],supercb[Item],tab_alimentos[[#This Row],[Item]],supercb[Bairro],mercado8)</f>
        <v>0</v>
      </c>
      <c r="T458" s="4">
        <f>SUMIFS(super1[Qtde],super1[Item],tab_alimentos[[#This Row],[Item]],super1[Bairro],mercado9)+SUMIFS(supercb[Qtde],supercb[Item],tab_alimentos[[#This Row],[Item]],supercb[Bairro],mercado9)</f>
        <v>0</v>
      </c>
      <c r="U458" s="4">
        <f>SUMIFS(super1[Qtde],super1[Item],tab_alimentos[[#This Row],[Item]],super1[Bairro],mercado10)+SUMIFS(supercb[Qtde],supercb[Item],tab_alimentos[[#This Row],[Item]],supercb[Bairro],mercado10)</f>
        <v>0</v>
      </c>
      <c r="V458" s="4">
        <f>SUMIFS(super1[Qtde],super1[Item],tab_alimentos[[#This Row],[Item]],super1[Bairro],mercado11)+SUMIFS(supercb[Qtde],supercb[Item],tab_alimentos[[#This Row],[Item]],supercb[Bairro],mercado11)</f>
        <v>0</v>
      </c>
      <c r="W458" s="4">
        <f>SUMIFS(super1[Qtde],super1[Item],tab_alimentos[[#This Row],[Item]],super1[Bairro],mercado12)+SUMIFS(supercb[Qtde],supercb[Item],tab_alimentos[[#This Row],[Item]],supercb[Bairro],mercado12)</f>
        <v>0</v>
      </c>
      <c r="X458" s="4">
        <f>SUMIFS(super1[Qtde],super1[Item],tab_alimentos[[#This Row],[Item]],super1[Bairro],mercado13)+SUMIFS(supercb[Qtde],supercb[Item],tab_alimentos[[#This Row],[Item]],supercb[Bairro],mercado13)</f>
        <v>0</v>
      </c>
      <c r="Y458" s="4">
        <f>SUMIFS(super1[Qtde],super1[Item],tab_alimentos[[#This Row],[Item]],super1[Bairro],mercado14)+SUMIFS(supercb[Qtde],supercb[Item],tab_alimentos[[#This Row],[Item]],supercb[Bairro],mercado14)</f>
        <v>0</v>
      </c>
      <c r="Z458" s="4">
        <f>SUMIFS(super1[Qtde],super1[Item],tab_alimentos[[#This Row],[Item]],super1[Bairro],mercado15)+SUMIFS(supercb[Qtde],supercb[Item],tab_alimentos[[#This Row],[Item]],supercb[Bairro],mercado15)</f>
        <v>0</v>
      </c>
      <c r="AA458" s="4">
        <f>SUMIFS(super1[Qtde],super1[Item],tab_alimentos[[#This Row],[Item]],super1[Bairro],mercado16)+SUMIFS(supercb[Qtde],supercb[Item],tab_alimentos[[#This Row],[Item]],supercb[Bairro],mercado16)</f>
        <v>0</v>
      </c>
      <c r="AB458" s="4">
        <f>SUMIFS(super1[Qtde],super1[Item],tab_alimentos[[#This Row],[Item]],super1[Bairro],mercado17)+SUMIFS(supercb[Qtde],supercb[Item],tab_alimentos[[#This Row],[Item]],supercb[Bairro],mercado17)</f>
        <v>0</v>
      </c>
      <c r="AC458" s="4">
        <f>SUMIFS(super1[Qtde],super1[Item],tab_alimentos[[#This Row],[Item]],super1[Bairro],mercado18)+SUMIFS(supercb[Qtde],supercb[Item],tab_alimentos[[#This Row],[Item]],supercb[Bairro],mercado18)</f>
        <v>0</v>
      </c>
      <c r="AD458" s="4">
        <f>SUMIFS(super1[Qtde],super1[Item],tab_alimentos[[#This Row],[Item]],super1[Bairro],extras)+SUMIFS(supercb[Qtde],supercb[Item],tab_alimentos[[#This Row],[Item]],supercb[Bairro],extras)</f>
        <v>0</v>
      </c>
      <c r="AE458" s="4">
        <f t="shared" si="100"/>
        <v>0</v>
      </c>
      <c r="AF458" s="4">
        <f t="shared" si="101"/>
        <v>0</v>
      </c>
      <c r="AG458" s="6">
        <f t="shared" si="102"/>
        <v>0</v>
      </c>
    </row>
    <row r="459" spans="9:33" x14ac:dyDescent="0.25">
      <c r="I459" s="19" t="e">
        <f>alimentos[[#This Row],[Item]]</f>
        <v>#VALUE!</v>
      </c>
      <c r="J459" s="4">
        <f>IFERROR(alimentos[[#This Row],[kg/embalagem]],0)</f>
        <v>0</v>
      </c>
      <c r="K459" s="4">
        <f>IFERROR(alimentos[[#This Row],[Preço]],0)</f>
        <v>0</v>
      </c>
      <c r="L459" s="4">
        <f>SUMIFS(super1[Qtde],super1[Item],tab_alimentos[[#This Row],[Item]],super1[Bairro],mercado1)+SUMIFS(supercb[Qtde],supercb[Item],tab_alimentos[[#This Row],[Item]],supercb[Bairro],mercado1)</f>
        <v>0</v>
      </c>
      <c r="M459" s="4">
        <f>SUMIFS(super1[Qtde],super1[Item],tab_alimentos[[#This Row],[Item]],super1[Bairro],mercado2)+SUMIFS(supercb[Qtde],supercb[Item],tab_alimentos[[#This Row],[Item]],supercb[Bairro],mercado2)</f>
        <v>0</v>
      </c>
      <c r="N459" s="4">
        <f>SUMIFS(super1[Qtde],super1[Item],tab_alimentos[[#This Row],[Item]],super1[Bairro],mercado3)+SUMIFS(supercb[Qtde],supercb[Item],tab_alimentos[[#This Row],[Item]],supercb[Bairro],mercado3)</f>
        <v>0</v>
      </c>
      <c r="O459" s="4">
        <f>SUMIFS(super1[Qtde],super1[Item],tab_alimentos[[#This Row],[Item]],super1[Bairro],mercado4)+SUMIFS(supercb[Qtde],supercb[Item],tab_alimentos[[#This Row],[Item]],supercb[Bairro],mercado4)</f>
        <v>0</v>
      </c>
      <c r="P459" s="4">
        <f>SUMIFS(super1[Qtde],super1[Item],tab_alimentos[[#This Row],[Item]],super1[Bairro],mercado5)+SUMIFS(supercb[Qtde],supercb[Item],tab_alimentos[[#This Row],[Item]],supercb[Bairro],mercado5)</f>
        <v>0</v>
      </c>
      <c r="Q459" s="4">
        <f>SUMIFS(super1[Qtde],super1[Item],tab_alimentos[[#This Row],[Item]],super1[Bairro],mercado6)+SUMIFS(supercb[Qtde],supercb[Item],tab_alimentos[[#This Row],[Item]],supercb[Bairro],mercado6)</f>
        <v>0</v>
      </c>
      <c r="R459" s="4">
        <f>SUMIFS(super1[Qtde],super1[Item],tab_alimentos[[#This Row],[Item]],super1[Bairro],mercado7)+SUMIFS(supercb[Qtde],supercb[Item],tab_alimentos[[#This Row],[Item]],supercb[Bairro],mercado7)</f>
        <v>0</v>
      </c>
      <c r="S459" s="4">
        <f>SUMIFS(super1[Qtde],super1[Item],tab_alimentos[[#This Row],[Item]],super1[Bairro],mercado8)+SUMIFS(supercb[Qtde],supercb[Item],tab_alimentos[[#This Row],[Item]],supercb[Bairro],mercado8)</f>
        <v>0</v>
      </c>
      <c r="T459" s="4">
        <f>SUMIFS(super1[Qtde],super1[Item],tab_alimentos[[#This Row],[Item]],super1[Bairro],mercado9)+SUMIFS(supercb[Qtde],supercb[Item],tab_alimentos[[#This Row],[Item]],supercb[Bairro],mercado9)</f>
        <v>0</v>
      </c>
      <c r="U459" s="4">
        <f>SUMIFS(super1[Qtde],super1[Item],tab_alimentos[[#This Row],[Item]],super1[Bairro],mercado10)+SUMIFS(supercb[Qtde],supercb[Item],tab_alimentos[[#This Row],[Item]],supercb[Bairro],mercado10)</f>
        <v>0</v>
      </c>
      <c r="V459" s="4">
        <f>SUMIFS(super1[Qtde],super1[Item],tab_alimentos[[#This Row],[Item]],super1[Bairro],mercado11)+SUMIFS(supercb[Qtde],supercb[Item],tab_alimentos[[#This Row],[Item]],supercb[Bairro],mercado11)</f>
        <v>0</v>
      </c>
      <c r="W459" s="4">
        <f>SUMIFS(super1[Qtde],super1[Item],tab_alimentos[[#This Row],[Item]],super1[Bairro],mercado12)+SUMIFS(supercb[Qtde],supercb[Item],tab_alimentos[[#This Row],[Item]],supercb[Bairro],mercado12)</f>
        <v>0</v>
      </c>
      <c r="X459" s="4">
        <f>SUMIFS(super1[Qtde],super1[Item],tab_alimentos[[#This Row],[Item]],super1[Bairro],mercado13)+SUMIFS(supercb[Qtde],supercb[Item],tab_alimentos[[#This Row],[Item]],supercb[Bairro],mercado13)</f>
        <v>0</v>
      </c>
      <c r="Y459" s="4">
        <f>SUMIFS(super1[Qtde],super1[Item],tab_alimentos[[#This Row],[Item]],super1[Bairro],mercado14)+SUMIFS(supercb[Qtde],supercb[Item],tab_alimentos[[#This Row],[Item]],supercb[Bairro],mercado14)</f>
        <v>0</v>
      </c>
      <c r="Z459" s="4">
        <f>SUMIFS(super1[Qtde],super1[Item],tab_alimentos[[#This Row],[Item]],super1[Bairro],mercado15)+SUMIFS(supercb[Qtde],supercb[Item],tab_alimentos[[#This Row],[Item]],supercb[Bairro],mercado15)</f>
        <v>0</v>
      </c>
      <c r="AA459" s="4">
        <f>SUMIFS(super1[Qtde],super1[Item],tab_alimentos[[#This Row],[Item]],super1[Bairro],mercado16)+SUMIFS(supercb[Qtde],supercb[Item],tab_alimentos[[#This Row],[Item]],supercb[Bairro],mercado16)</f>
        <v>0</v>
      </c>
      <c r="AB459" s="4">
        <f>SUMIFS(super1[Qtde],super1[Item],tab_alimentos[[#This Row],[Item]],super1[Bairro],mercado17)+SUMIFS(supercb[Qtde],supercb[Item],tab_alimentos[[#This Row],[Item]],supercb[Bairro],mercado17)</f>
        <v>0</v>
      </c>
      <c r="AC459" s="4">
        <f>SUMIFS(super1[Qtde],super1[Item],tab_alimentos[[#This Row],[Item]],super1[Bairro],mercado18)+SUMIFS(supercb[Qtde],supercb[Item],tab_alimentos[[#This Row],[Item]],supercb[Bairro],mercado18)</f>
        <v>0</v>
      </c>
      <c r="AD459" s="4">
        <f>SUMIFS(super1[Qtde],super1[Item],tab_alimentos[[#This Row],[Item]],super1[Bairro],extras)+SUMIFS(supercb[Qtde],supercb[Item],tab_alimentos[[#This Row],[Item]],supercb[Bairro],extras)</f>
        <v>0</v>
      </c>
      <c r="AE459" s="4">
        <f t="shared" si="100"/>
        <v>0</v>
      </c>
      <c r="AF459" s="4">
        <f t="shared" si="101"/>
        <v>0</v>
      </c>
      <c r="AG459" s="6">
        <f t="shared" si="102"/>
        <v>0</v>
      </c>
    </row>
    <row r="460" spans="9:33" x14ac:dyDescent="0.25">
      <c r="I460" s="19" t="e">
        <f>alimentos[[#This Row],[Item]]</f>
        <v>#VALUE!</v>
      </c>
      <c r="J460" s="4">
        <f>IFERROR(alimentos[[#This Row],[kg/embalagem]],0)</f>
        <v>0</v>
      </c>
      <c r="K460" s="4">
        <f>IFERROR(alimentos[[#This Row],[Preço]],0)</f>
        <v>0</v>
      </c>
      <c r="L460" s="4">
        <f>SUMIFS(super1[Qtde],super1[Item],tab_alimentos[[#This Row],[Item]],super1[Bairro],mercado1)+SUMIFS(supercb[Qtde],supercb[Item],tab_alimentos[[#This Row],[Item]],supercb[Bairro],mercado1)</f>
        <v>0</v>
      </c>
      <c r="M460" s="4">
        <f>SUMIFS(super1[Qtde],super1[Item],tab_alimentos[[#This Row],[Item]],super1[Bairro],mercado2)+SUMIFS(supercb[Qtde],supercb[Item],tab_alimentos[[#This Row],[Item]],supercb[Bairro],mercado2)</f>
        <v>0</v>
      </c>
      <c r="N460" s="4">
        <f>SUMIFS(super1[Qtde],super1[Item],tab_alimentos[[#This Row],[Item]],super1[Bairro],mercado3)+SUMIFS(supercb[Qtde],supercb[Item],tab_alimentos[[#This Row],[Item]],supercb[Bairro],mercado3)</f>
        <v>0</v>
      </c>
      <c r="O460" s="4">
        <f>SUMIFS(super1[Qtde],super1[Item],tab_alimentos[[#This Row],[Item]],super1[Bairro],mercado4)+SUMIFS(supercb[Qtde],supercb[Item],tab_alimentos[[#This Row],[Item]],supercb[Bairro],mercado4)</f>
        <v>0</v>
      </c>
      <c r="P460" s="4">
        <f>SUMIFS(super1[Qtde],super1[Item],tab_alimentos[[#This Row],[Item]],super1[Bairro],mercado5)+SUMIFS(supercb[Qtde],supercb[Item],tab_alimentos[[#This Row],[Item]],supercb[Bairro],mercado5)</f>
        <v>0</v>
      </c>
      <c r="Q460" s="4">
        <f>SUMIFS(super1[Qtde],super1[Item],tab_alimentos[[#This Row],[Item]],super1[Bairro],mercado6)+SUMIFS(supercb[Qtde],supercb[Item],tab_alimentos[[#This Row],[Item]],supercb[Bairro],mercado6)</f>
        <v>0</v>
      </c>
      <c r="R460" s="4">
        <f>SUMIFS(super1[Qtde],super1[Item],tab_alimentos[[#This Row],[Item]],super1[Bairro],mercado7)+SUMIFS(supercb[Qtde],supercb[Item],tab_alimentos[[#This Row],[Item]],supercb[Bairro],mercado7)</f>
        <v>0</v>
      </c>
      <c r="S460" s="4">
        <f>SUMIFS(super1[Qtde],super1[Item],tab_alimentos[[#This Row],[Item]],super1[Bairro],mercado8)+SUMIFS(supercb[Qtde],supercb[Item],tab_alimentos[[#This Row],[Item]],supercb[Bairro],mercado8)</f>
        <v>0</v>
      </c>
      <c r="T460" s="4">
        <f>SUMIFS(super1[Qtde],super1[Item],tab_alimentos[[#This Row],[Item]],super1[Bairro],mercado9)+SUMIFS(supercb[Qtde],supercb[Item],tab_alimentos[[#This Row],[Item]],supercb[Bairro],mercado9)</f>
        <v>0</v>
      </c>
      <c r="U460" s="4">
        <f>SUMIFS(super1[Qtde],super1[Item],tab_alimentos[[#This Row],[Item]],super1[Bairro],mercado10)+SUMIFS(supercb[Qtde],supercb[Item],tab_alimentos[[#This Row],[Item]],supercb[Bairro],mercado10)</f>
        <v>0</v>
      </c>
      <c r="V460" s="4">
        <f>SUMIFS(super1[Qtde],super1[Item],tab_alimentos[[#This Row],[Item]],super1[Bairro],mercado11)+SUMIFS(supercb[Qtde],supercb[Item],tab_alimentos[[#This Row],[Item]],supercb[Bairro],mercado11)</f>
        <v>0</v>
      </c>
      <c r="W460" s="4">
        <f>SUMIFS(super1[Qtde],super1[Item],tab_alimentos[[#This Row],[Item]],super1[Bairro],mercado12)+SUMIFS(supercb[Qtde],supercb[Item],tab_alimentos[[#This Row],[Item]],supercb[Bairro],mercado12)</f>
        <v>0</v>
      </c>
      <c r="X460" s="4">
        <f>SUMIFS(super1[Qtde],super1[Item],tab_alimentos[[#This Row],[Item]],super1[Bairro],mercado13)+SUMIFS(supercb[Qtde],supercb[Item],tab_alimentos[[#This Row],[Item]],supercb[Bairro],mercado13)</f>
        <v>0</v>
      </c>
      <c r="Y460" s="4">
        <f>SUMIFS(super1[Qtde],super1[Item],tab_alimentos[[#This Row],[Item]],super1[Bairro],mercado14)+SUMIFS(supercb[Qtde],supercb[Item],tab_alimentos[[#This Row],[Item]],supercb[Bairro],mercado14)</f>
        <v>0</v>
      </c>
      <c r="Z460" s="4">
        <f>SUMIFS(super1[Qtde],super1[Item],tab_alimentos[[#This Row],[Item]],super1[Bairro],mercado15)+SUMIFS(supercb[Qtde],supercb[Item],tab_alimentos[[#This Row],[Item]],supercb[Bairro],mercado15)</f>
        <v>0</v>
      </c>
      <c r="AA460" s="4">
        <f>SUMIFS(super1[Qtde],super1[Item],tab_alimentos[[#This Row],[Item]],super1[Bairro],mercado16)+SUMIFS(supercb[Qtde],supercb[Item],tab_alimentos[[#This Row],[Item]],supercb[Bairro],mercado16)</f>
        <v>0</v>
      </c>
      <c r="AB460" s="4">
        <f>SUMIFS(super1[Qtde],super1[Item],tab_alimentos[[#This Row],[Item]],super1[Bairro],mercado17)+SUMIFS(supercb[Qtde],supercb[Item],tab_alimentos[[#This Row],[Item]],supercb[Bairro],mercado17)</f>
        <v>0</v>
      </c>
      <c r="AC460" s="4">
        <f>SUMIFS(super1[Qtde],super1[Item],tab_alimentos[[#This Row],[Item]],super1[Bairro],mercado18)+SUMIFS(supercb[Qtde],supercb[Item],tab_alimentos[[#This Row],[Item]],supercb[Bairro],mercado18)</f>
        <v>0</v>
      </c>
      <c r="AD460" s="4">
        <f>SUMIFS(super1[Qtde],super1[Item],tab_alimentos[[#This Row],[Item]],super1[Bairro],extras)+SUMIFS(supercb[Qtde],supercb[Item],tab_alimentos[[#This Row],[Item]],supercb[Bairro],extras)</f>
        <v>0</v>
      </c>
      <c r="AE460" s="4">
        <f t="shared" si="100"/>
        <v>0</v>
      </c>
      <c r="AF460" s="4">
        <f t="shared" si="101"/>
        <v>0</v>
      </c>
      <c r="AG460" s="6">
        <f t="shared" si="102"/>
        <v>0</v>
      </c>
    </row>
    <row r="461" spans="9:33" x14ac:dyDescent="0.25">
      <c r="I461" s="19" t="e">
        <f>alimentos[[#This Row],[Item]]</f>
        <v>#VALUE!</v>
      </c>
      <c r="J461" s="4">
        <f>IFERROR(alimentos[[#This Row],[kg/embalagem]],0)</f>
        <v>0</v>
      </c>
      <c r="K461" s="4">
        <f>IFERROR(alimentos[[#This Row],[Preço]],0)</f>
        <v>0</v>
      </c>
      <c r="L461" s="4">
        <f>SUMIFS(super1[Qtde],super1[Item],tab_alimentos[[#This Row],[Item]],super1[Bairro],mercado1)+SUMIFS(supercb[Qtde],supercb[Item],tab_alimentos[[#This Row],[Item]],supercb[Bairro],mercado1)</f>
        <v>0</v>
      </c>
      <c r="M461" s="4">
        <f>SUMIFS(super1[Qtde],super1[Item],tab_alimentos[[#This Row],[Item]],super1[Bairro],mercado2)+SUMIFS(supercb[Qtde],supercb[Item],tab_alimentos[[#This Row],[Item]],supercb[Bairro],mercado2)</f>
        <v>0</v>
      </c>
      <c r="N461" s="4">
        <f>SUMIFS(super1[Qtde],super1[Item],tab_alimentos[[#This Row],[Item]],super1[Bairro],mercado3)+SUMIFS(supercb[Qtde],supercb[Item],tab_alimentos[[#This Row],[Item]],supercb[Bairro],mercado3)</f>
        <v>0</v>
      </c>
      <c r="O461" s="4">
        <f>SUMIFS(super1[Qtde],super1[Item],tab_alimentos[[#This Row],[Item]],super1[Bairro],mercado4)+SUMIFS(supercb[Qtde],supercb[Item],tab_alimentos[[#This Row],[Item]],supercb[Bairro],mercado4)</f>
        <v>0</v>
      </c>
      <c r="P461" s="4">
        <f>SUMIFS(super1[Qtde],super1[Item],tab_alimentos[[#This Row],[Item]],super1[Bairro],mercado5)+SUMIFS(supercb[Qtde],supercb[Item],tab_alimentos[[#This Row],[Item]],supercb[Bairro],mercado5)</f>
        <v>0</v>
      </c>
      <c r="Q461" s="4">
        <f>SUMIFS(super1[Qtde],super1[Item],tab_alimentos[[#This Row],[Item]],super1[Bairro],mercado6)+SUMIFS(supercb[Qtde],supercb[Item],tab_alimentos[[#This Row],[Item]],supercb[Bairro],mercado6)</f>
        <v>0</v>
      </c>
      <c r="R461" s="4">
        <f>SUMIFS(super1[Qtde],super1[Item],tab_alimentos[[#This Row],[Item]],super1[Bairro],mercado7)+SUMIFS(supercb[Qtde],supercb[Item],tab_alimentos[[#This Row],[Item]],supercb[Bairro],mercado7)</f>
        <v>0</v>
      </c>
      <c r="S461" s="4">
        <f>SUMIFS(super1[Qtde],super1[Item],tab_alimentos[[#This Row],[Item]],super1[Bairro],mercado8)+SUMIFS(supercb[Qtde],supercb[Item],tab_alimentos[[#This Row],[Item]],supercb[Bairro],mercado8)</f>
        <v>0</v>
      </c>
      <c r="T461" s="4">
        <f>SUMIFS(super1[Qtde],super1[Item],tab_alimentos[[#This Row],[Item]],super1[Bairro],mercado9)+SUMIFS(supercb[Qtde],supercb[Item],tab_alimentos[[#This Row],[Item]],supercb[Bairro],mercado9)</f>
        <v>0</v>
      </c>
      <c r="U461" s="4">
        <f>SUMIFS(super1[Qtde],super1[Item],tab_alimentos[[#This Row],[Item]],super1[Bairro],mercado10)+SUMIFS(supercb[Qtde],supercb[Item],tab_alimentos[[#This Row],[Item]],supercb[Bairro],mercado10)</f>
        <v>0</v>
      </c>
      <c r="V461" s="4">
        <f>SUMIFS(super1[Qtde],super1[Item],tab_alimentos[[#This Row],[Item]],super1[Bairro],mercado11)+SUMIFS(supercb[Qtde],supercb[Item],tab_alimentos[[#This Row],[Item]],supercb[Bairro],mercado11)</f>
        <v>0</v>
      </c>
      <c r="W461" s="4">
        <f>SUMIFS(super1[Qtde],super1[Item],tab_alimentos[[#This Row],[Item]],super1[Bairro],mercado12)+SUMIFS(supercb[Qtde],supercb[Item],tab_alimentos[[#This Row],[Item]],supercb[Bairro],mercado12)</f>
        <v>0</v>
      </c>
      <c r="X461" s="4">
        <f>SUMIFS(super1[Qtde],super1[Item],tab_alimentos[[#This Row],[Item]],super1[Bairro],mercado13)+SUMIFS(supercb[Qtde],supercb[Item],tab_alimentos[[#This Row],[Item]],supercb[Bairro],mercado13)</f>
        <v>0</v>
      </c>
      <c r="Y461" s="4">
        <f>SUMIFS(super1[Qtde],super1[Item],tab_alimentos[[#This Row],[Item]],super1[Bairro],mercado14)+SUMIFS(supercb[Qtde],supercb[Item],tab_alimentos[[#This Row],[Item]],supercb[Bairro],mercado14)</f>
        <v>0</v>
      </c>
      <c r="Z461" s="4">
        <f>SUMIFS(super1[Qtde],super1[Item],tab_alimentos[[#This Row],[Item]],super1[Bairro],mercado15)+SUMIFS(supercb[Qtde],supercb[Item],tab_alimentos[[#This Row],[Item]],supercb[Bairro],mercado15)</f>
        <v>0</v>
      </c>
      <c r="AA461" s="4">
        <f>SUMIFS(super1[Qtde],super1[Item],tab_alimentos[[#This Row],[Item]],super1[Bairro],mercado16)+SUMIFS(supercb[Qtde],supercb[Item],tab_alimentos[[#This Row],[Item]],supercb[Bairro],mercado16)</f>
        <v>0</v>
      </c>
      <c r="AB461" s="4">
        <f>SUMIFS(super1[Qtde],super1[Item],tab_alimentos[[#This Row],[Item]],super1[Bairro],mercado17)+SUMIFS(supercb[Qtde],supercb[Item],tab_alimentos[[#This Row],[Item]],supercb[Bairro],mercado17)</f>
        <v>0</v>
      </c>
      <c r="AC461" s="4">
        <f>SUMIFS(super1[Qtde],super1[Item],tab_alimentos[[#This Row],[Item]],super1[Bairro],mercado18)+SUMIFS(supercb[Qtde],supercb[Item],tab_alimentos[[#This Row],[Item]],supercb[Bairro],mercado18)</f>
        <v>0</v>
      </c>
      <c r="AD461" s="4">
        <f>SUMIFS(super1[Qtde],super1[Item],tab_alimentos[[#This Row],[Item]],super1[Bairro],extras)+SUMIFS(supercb[Qtde],supercb[Item],tab_alimentos[[#This Row],[Item]],supercb[Bairro],extras)</f>
        <v>0</v>
      </c>
      <c r="AE461" s="4">
        <f t="shared" si="100"/>
        <v>0</v>
      </c>
      <c r="AF461" s="4">
        <f t="shared" si="101"/>
        <v>0</v>
      </c>
      <c r="AG461" s="6">
        <f t="shared" si="102"/>
        <v>0</v>
      </c>
    </row>
    <row r="462" spans="9:33" x14ac:dyDescent="0.25">
      <c r="I462" s="19" t="e">
        <f>alimentos[[#This Row],[Item]]</f>
        <v>#VALUE!</v>
      </c>
      <c r="J462" s="4">
        <f>IFERROR(alimentos[[#This Row],[kg/embalagem]],0)</f>
        <v>0</v>
      </c>
      <c r="K462" s="4">
        <f>IFERROR(alimentos[[#This Row],[Preço]],0)</f>
        <v>0</v>
      </c>
      <c r="L462" s="4">
        <f>SUMIFS(super1[Qtde],super1[Item],tab_alimentos[[#This Row],[Item]],super1[Bairro],mercado1)+SUMIFS(supercb[Qtde],supercb[Item],tab_alimentos[[#This Row],[Item]],supercb[Bairro],mercado1)</f>
        <v>0</v>
      </c>
      <c r="M462" s="4">
        <f>SUMIFS(super1[Qtde],super1[Item],tab_alimentos[[#This Row],[Item]],super1[Bairro],mercado2)+SUMIFS(supercb[Qtde],supercb[Item],tab_alimentos[[#This Row],[Item]],supercb[Bairro],mercado2)</f>
        <v>0</v>
      </c>
      <c r="N462" s="4">
        <f>SUMIFS(super1[Qtde],super1[Item],tab_alimentos[[#This Row],[Item]],super1[Bairro],mercado3)+SUMIFS(supercb[Qtde],supercb[Item],tab_alimentos[[#This Row],[Item]],supercb[Bairro],mercado3)</f>
        <v>0</v>
      </c>
      <c r="O462" s="4">
        <f>SUMIFS(super1[Qtde],super1[Item],tab_alimentos[[#This Row],[Item]],super1[Bairro],mercado4)+SUMIFS(supercb[Qtde],supercb[Item],tab_alimentos[[#This Row],[Item]],supercb[Bairro],mercado4)</f>
        <v>0</v>
      </c>
      <c r="P462" s="4">
        <f>SUMIFS(super1[Qtde],super1[Item],tab_alimentos[[#This Row],[Item]],super1[Bairro],mercado5)+SUMIFS(supercb[Qtde],supercb[Item],tab_alimentos[[#This Row],[Item]],supercb[Bairro],mercado5)</f>
        <v>0</v>
      </c>
      <c r="Q462" s="4">
        <f>SUMIFS(super1[Qtde],super1[Item],tab_alimentos[[#This Row],[Item]],super1[Bairro],mercado6)+SUMIFS(supercb[Qtde],supercb[Item],tab_alimentos[[#This Row],[Item]],supercb[Bairro],mercado6)</f>
        <v>0</v>
      </c>
      <c r="R462" s="4">
        <f>SUMIFS(super1[Qtde],super1[Item],tab_alimentos[[#This Row],[Item]],super1[Bairro],mercado7)+SUMIFS(supercb[Qtde],supercb[Item],tab_alimentos[[#This Row],[Item]],supercb[Bairro],mercado7)</f>
        <v>0</v>
      </c>
      <c r="S462" s="4">
        <f>SUMIFS(super1[Qtde],super1[Item],tab_alimentos[[#This Row],[Item]],super1[Bairro],mercado8)+SUMIFS(supercb[Qtde],supercb[Item],tab_alimentos[[#This Row],[Item]],supercb[Bairro],mercado8)</f>
        <v>0</v>
      </c>
      <c r="T462" s="4">
        <f>SUMIFS(super1[Qtde],super1[Item],tab_alimentos[[#This Row],[Item]],super1[Bairro],mercado9)+SUMIFS(supercb[Qtde],supercb[Item],tab_alimentos[[#This Row],[Item]],supercb[Bairro],mercado9)</f>
        <v>0</v>
      </c>
      <c r="U462" s="4">
        <f>SUMIFS(super1[Qtde],super1[Item],tab_alimentos[[#This Row],[Item]],super1[Bairro],mercado10)+SUMIFS(supercb[Qtde],supercb[Item],tab_alimentos[[#This Row],[Item]],supercb[Bairro],mercado10)</f>
        <v>0</v>
      </c>
      <c r="V462" s="4">
        <f>SUMIFS(super1[Qtde],super1[Item],tab_alimentos[[#This Row],[Item]],super1[Bairro],mercado11)+SUMIFS(supercb[Qtde],supercb[Item],tab_alimentos[[#This Row],[Item]],supercb[Bairro],mercado11)</f>
        <v>0</v>
      </c>
      <c r="W462" s="4">
        <f>SUMIFS(super1[Qtde],super1[Item],tab_alimentos[[#This Row],[Item]],super1[Bairro],mercado12)+SUMIFS(supercb[Qtde],supercb[Item],tab_alimentos[[#This Row],[Item]],supercb[Bairro],mercado12)</f>
        <v>0</v>
      </c>
      <c r="X462" s="4">
        <f>SUMIFS(super1[Qtde],super1[Item],tab_alimentos[[#This Row],[Item]],super1[Bairro],mercado13)+SUMIFS(supercb[Qtde],supercb[Item],tab_alimentos[[#This Row],[Item]],supercb[Bairro],mercado13)</f>
        <v>0</v>
      </c>
      <c r="Y462" s="4">
        <f>SUMIFS(super1[Qtde],super1[Item],tab_alimentos[[#This Row],[Item]],super1[Bairro],mercado14)+SUMIFS(supercb[Qtde],supercb[Item],tab_alimentos[[#This Row],[Item]],supercb[Bairro],mercado14)</f>
        <v>0</v>
      </c>
      <c r="Z462" s="4">
        <f>SUMIFS(super1[Qtde],super1[Item],tab_alimentos[[#This Row],[Item]],super1[Bairro],mercado15)+SUMIFS(supercb[Qtde],supercb[Item],tab_alimentos[[#This Row],[Item]],supercb[Bairro],mercado15)</f>
        <v>0</v>
      </c>
      <c r="AA462" s="4">
        <f>SUMIFS(super1[Qtde],super1[Item],tab_alimentos[[#This Row],[Item]],super1[Bairro],mercado16)+SUMIFS(supercb[Qtde],supercb[Item],tab_alimentos[[#This Row],[Item]],supercb[Bairro],mercado16)</f>
        <v>0</v>
      </c>
      <c r="AB462" s="4">
        <f>SUMIFS(super1[Qtde],super1[Item],tab_alimentos[[#This Row],[Item]],super1[Bairro],mercado17)+SUMIFS(supercb[Qtde],supercb[Item],tab_alimentos[[#This Row],[Item]],supercb[Bairro],mercado17)</f>
        <v>0</v>
      </c>
      <c r="AC462" s="4">
        <f>SUMIFS(super1[Qtde],super1[Item],tab_alimentos[[#This Row],[Item]],super1[Bairro],mercado18)+SUMIFS(supercb[Qtde],supercb[Item],tab_alimentos[[#This Row],[Item]],supercb[Bairro],mercado18)</f>
        <v>0</v>
      </c>
      <c r="AD462" s="4">
        <f>SUMIFS(super1[Qtde],super1[Item],tab_alimentos[[#This Row],[Item]],super1[Bairro],extras)+SUMIFS(supercb[Qtde],supercb[Item],tab_alimentos[[#This Row],[Item]],supercb[Bairro],extras)</f>
        <v>0</v>
      </c>
      <c r="AE462" s="4">
        <f t="shared" si="100"/>
        <v>0</v>
      </c>
      <c r="AF462" s="4">
        <f t="shared" si="101"/>
        <v>0</v>
      </c>
      <c r="AG462" s="6">
        <f t="shared" si="102"/>
        <v>0</v>
      </c>
    </row>
    <row r="463" spans="9:33" x14ac:dyDescent="0.25">
      <c r="I463" s="19" t="e">
        <f>alimentos[[#This Row],[Item]]</f>
        <v>#VALUE!</v>
      </c>
      <c r="J463" s="4">
        <f>IFERROR(alimentos[[#This Row],[kg/embalagem]],0)</f>
        <v>0</v>
      </c>
      <c r="K463" s="4">
        <f>IFERROR(alimentos[[#This Row],[Preço]],0)</f>
        <v>0</v>
      </c>
      <c r="L463" s="4">
        <f>SUMIFS(super1[Qtde],super1[Item],tab_alimentos[[#This Row],[Item]],super1[Bairro],mercado1)+SUMIFS(supercb[Qtde],supercb[Item],tab_alimentos[[#This Row],[Item]],supercb[Bairro],mercado1)</f>
        <v>0</v>
      </c>
      <c r="M463" s="4">
        <f>SUMIFS(super1[Qtde],super1[Item],tab_alimentos[[#This Row],[Item]],super1[Bairro],mercado2)+SUMIFS(supercb[Qtde],supercb[Item],tab_alimentos[[#This Row],[Item]],supercb[Bairro],mercado2)</f>
        <v>0</v>
      </c>
      <c r="N463" s="4">
        <f>SUMIFS(super1[Qtde],super1[Item],tab_alimentos[[#This Row],[Item]],super1[Bairro],mercado3)+SUMIFS(supercb[Qtde],supercb[Item],tab_alimentos[[#This Row],[Item]],supercb[Bairro],mercado3)</f>
        <v>0</v>
      </c>
      <c r="O463" s="4">
        <f>SUMIFS(super1[Qtde],super1[Item],tab_alimentos[[#This Row],[Item]],super1[Bairro],mercado4)+SUMIFS(supercb[Qtde],supercb[Item],tab_alimentos[[#This Row],[Item]],supercb[Bairro],mercado4)</f>
        <v>0</v>
      </c>
      <c r="P463" s="4">
        <f>SUMIFS(super1[Qtde],super1[Item],tab_alimentos[[#This Row],[Item]],super1[Bairro],mercado5)+SUMIFS(supercb[Qtde],supercb[Item],tab_alimentos[[#This Row],[Item]],supercb[Bairro],mercado5)</f>
        <v>0</v>
      </c>
      <c r="Q463" s="4">
        <f>SUMIFS(super1[Qtde],super1[Item],tab_alimentos[[#This Row],[Item]],super1[Bairro],mercado6)+SUMIFS(supercb[Qtde],supercb[Item],tab_alimentos[[#This Row],[Item]],supercb[Bairro],mercado6)</f>
        <v>0</v>
      </c>
      <c r="R463" s="4">
        <f>SUMIFS(super1[Qtde],super1[Item],tab_alimentos[[#This Row],[Item]],super1[Bairro],mercado7)+SUMIFS(supercb[Qtde],supercb[Item],tab_alimentos[[#This Row],[Item]],supercb[Bairro],mercado7)</f>
        <v>0</v>
      </c>
      <c r="S463" s="4">
        <f>SUMIFS(super1[Qtde],super1[Item],tab_alimentos[[#This Row],[Item]],super1[Bairro],mercado8)+SUMIFS(supercb[Qtde],supercb[Item],tab_alimentos[[#This Row],[Item]],supercb[Bairro],mercado8)</f>
        <v>0</v>
      </c>
      <c r="T463" s="4">
        <f>SUMIFS(super1[Qtde],super1[Item],tab_alimentos[[#This Row],[Item]],super1[Bairro],mercado9)+SUMIFS(supercb[Qtde],supercb[Item],tab_alimentos[[#This Row],[Item]],supercb[Bairro],mercado9)</f>
        <v>0</v>
      </c>
      <c r="U463" s="4">
        <f>SUMIFS(super1[Qtde],super1[Item],tab_alimentos[[#This Row],[Item]],super1[Bairro],mercado10)+SUMIFS(supercb[Qtde],supercb[Item],tab_alimentos[[#This Row],[Item]],supercb[Bairro],mercado10)</f>
        <v>0</v>
      </c>
      <c r="V463" s="4">
        <f>SUMIFS(super1[Qtde],super1[Item],tab_alimentos[[#This Row],[Item]],super1[Bairro],mercado11)+SUMIFS(supercb[Qtde],supercb[Item],tab_alimentos[[#This Row],[Item]],supercb[Bairro],mercado11)</f>
        <v>0</v>
      </c>
      <c r="W463" s="4">
        <f>SUMIFS(super1[Qtde],super1[Item],tab_alimentos[[#This Row],[Item]],super1[Bairro],mercado12)+SUMIFS(supercb[Qtde],supercb[Item],tab_alimentos[[#This Row],[Item]],supercb[Bairro],mercado12)</f>
        <v>0</v>
      </c>
      <c r="X463" s="4">
        <f>SUMIFS(super1[Qtde],super1[Item],tab_alimentos[[#This Row],[Item]],super1[Bairro],mercado13)+SUMIFS(supercb[Qtde],supercb[Item],tab_alimentos[[#This Row],[Item]],supercb[Bairro],mercado13)</f>
        <v>0</v>
      </c>
      <c r="Y463" s="4">
        <f>SUMIFS(super1[Qtde],super1[Item],tab_alimentos[[#This Row],[Item]],super1[Bairro],mercado14)+SUMIFS(supercb[Qtde],supercb[Item],tab_alimentos[[#This Row],[Item]],supercb[Bairro],mercado14)</f>
        <v>0</v>
      </c>
      <c r="Z463" s="4">
        <f>SUMIFS(super1[Qtde],super1[Item],tab_alimentos[[#This Row],[Item]],super1[Bairro],mercado15)+SUMIFS(supercb[Qtde],supercb[Item],tab_alimentos[[#This Row],[Item]],supercb[Bairro],mercado15)</f>
        <v>0</v>
      </c>
      <c r="AA463" s="4">
        <f>SUMIFS(super1[Qtde],super1[Item],tab_alimentos[[#This Row],[Item]],super1[Bairro],mercado16)+SUMIFS(supercb[Qtde],supercb[Item],tab_alimentos[[#This Row],[Item]],supercb[Bairro],mercado16)</f>
        <v>0</v>
      </c>
      <c r="AB463" s="4">
        <f>SUMIFS(super1[Qtde],super1[Item],tab_alimentos[[#This Row],[Item]],super1[Bairro],mercado17)+SUMIFS(supercb[Qtde],supercb[Item],tab_alimentos[[#This Row],[Item]],supercb[Bairro],mercado17)</f>
        <v>0</v>
      </c>
      <c r="AC463" s="4">
        <f>SUMIFS(super1[Qtde],super1[Item],tab_alimentos[[#This Row],[Item]],super1[Bairro],mercado18)+SUMIFS(supercb[Qtde],supercb[Item],tab_alimentos[[#This Row],[Item]],supercb[Bairro],mercado18)</f>
        <v>0</v>
      </c>
      <c r="AD463" s="4">
        <f>SUMIFS(super1[Qtde],super1[Item],tab_alimentos[[#This Row],[Item]],super1[Bairro],extras)+SUMIFS(supercb[Qtde],supercb[Item],tab_alimentos[[#This Row],[Item]],supercb[Bairro],extras)</f>
        <v>0</v>
      </c>
      <c r="AE463" s="4">
        <f t="shared" si="100"/>
        <v>0</v>
      </c>
      <c r="AF463" s="4">
        <f t="shared" si="101"/>
        <v>0</v>
      </c>
      <c r="AG463" s="6">
        <f t="shared" si="102"/>
        <v>0</v>
      </c>
    </row>
    <row r="464" spans="9:33" x14ac:dyDescent="0.25">
      <c r="I464" s="19" t="e">
        <f>alimentos[[#This Row],[Item]]</f>
        <v>#VALUE!</v>
      </c>
      <c r="J464" s="4">
        <f>IFERROR(alimentos[[#This Row],[kg/embalagem]],0)</f>
        <v>0</v>
      </c>
      <c r="K464" s="4">
        <f>IFERROR(alimentos[[#This Row],[Preço]],0)</f>
        <v>0</v>
      </c>
      <c r="L464" s="4">
        <f>SUMIFS(super1[Qtde],super1[Item],tab_alimentos[[#This Row],[Item]],super1[Bairro],mercado1)+SUMIFS(supercb[Qtde],supercb[Item],tab_alimentos[[#This Row],[Item]],supercb[Bairro],mercado1)</f>
        <v>0</v>
      </c>
      <c r="M464" s="4">
        <f>SUMIFS(super1[Qtde],super1[Item],tab_alimentos[[#This Row],[Item]],super1[Bairro],mercado2)+SUMIFS(supercb[Qtde],supercb[Item],tab_alimentos[[#This Row],[Item]],supercb[Bairro],mercado2)</f>
        <v>0</v>
      </c>
      <c r="N464" s="4">
        <f>SUMIFS(super1[Qtde],super1[Item],tab_alimentos[[#This Row],[Item]],super1[Bairro],mercado3)+SUMIFS(supercb[Qtde],supercb[Item],tab_alimentos[[#This Row],[Item]],supercb[Bairro],mercado3)</f>
        <v>0</v>
      </c>
      <c r="O464" s="4">
        <f>SUMIFS(super1[Qtde],super1[Item],tab_alimentos[[#This Row],[Item]],super1[Bairro],mercado4)+SUMIFS(supercb[Qtde],supercb[Item],tab_alimentos[[#This Row],[Item]],supercb[Bairro],mercado4)</f>
        <v>0</v>
      </c>
      <c r="P464" s="4">
        <f>SUMIFS(super1[Qtde],super1[Item],tab_alimentos[[#This Row],[Item]],super1[Bairro],mercado5)+SUMIFS(supercb[Qtde],supercb[Item],tab_alimentos[[#This Row],[Item]],supercb[Bairro],mercado5)</f>
        <v>0</v>
      </c>
      <c r="Q464" s="4">
        <f>SUMIFS(super1[Qtde],super1[Item],tab_alimentos[[#This Row],[Item]],super1[Bairro],mercado6)+SUMIFS(supercb[Qtde],supercb[Item],tab_alimentos[[#This Row],[Item]],supercb[Bairro],mercado6)</f>
        <v>0</v>
      </c>
      <c r="R464" s="4">
        <f>SUMIFS(super1[Qtde],super1[Item],tab_alimentos[[#This Row],[Item]],super1[Bairro],mercado7)+SUMIFS(supercb[Qtde],supercb[Item],tab_alimentos[[#This Row],[Item]],supercb[Bairro],mercado7)</f>
        <v>0</v>
      </c>
      <c r="S464" s="4">
        <f>SUMIFS(super1[Qtde],super1[Item],tab_alimentos[[#This Row],[Item]],super1[Bairro],mercado8)+SUMIFS(supercb[Qtde],supercb[Item],tab_alimentos[[#This Row],[Item]],supercb[Bairro],mercado8)</f>
        <v>0</v>
      </c>
      <c r="T464" s="4">
        <f>SUMIFS(super1[Qtde],super1[Item],tab_alimentos[[#This Row],[Item]],super1[Bairro],mercado9)+SUMIFS(supercb[Qtde],supercb[Item],tab_alimentos[[#This Row],[Item]],supercb[Bairro],mercado9)</f>
        <v>0</v>
      </c>
      <c r="U464" s="4">
        <f>SUMIFS(super1[Qtde],super1[Item],tab_alimentos[[#This Row],[Item]],super1[Bairro],mercado10)+SUMIFS(supercb[Qtde],supercb[Item],tab_alimentos[[#This Row],[Item]],supercb[Bairro],mercado10)</f>
        <v>0</v>
      </c>
      <c r="V464" s="4">
        <f>SUMIFS(super1[Qtde],super1[Item],tab_alimentos[[#This Row],[Item]],super1[Bairro],mercado11)+SUMIFS(supercb[Qtde],supercb[Item],tab_alimentos[[#This Row],[Item]],supercb[Bairro],mercado11)</f>
        <v>0</v>
      </c>
      <c r="W464" s="4">
        <f>SUMIFS(super1[Qtde],super1[Item],tab_alimentos[[#This Row],[Item]],super1[Bairro],mercado12)+SUMIFS(supercb[Qtde],supercb[Item],tab_alimentos[[#This Row],[Item]],supercb[Bairro],mercado12)</f>
        <v>0</v>
      </c>
      <c r="X464" s="4">
        <f>SUMIFS(super1[Qtde],super1[Item],tab_alimentos[[#This Row],[Item]],super1[Bairro],mercado13)+SUMIFS(supercb[Qtde],supercb[Item],tab_alimentos[[#This Row],[Item]],supercb[Bairro],mercado13)</f>
        <v>0</v>
      </c>
      <c r="Y464" s="4">
        <f>SUMIFS(super1[Qtde],super1[Item],tab_alimentos[[#This Row],[Item]],super1[Bairro],mercado14)+SUMIFS(supercb[Qtde],supercb[Item],tab_alimentos[[#This Row],[Item]],supercb[Bairro],mercado14)</f>
        <v>0</v>
      </c>
      <c r="Z464" s="4">
        <f>SUMIFS(super1[Qtde],super1[Item],tab_alimentos[[#This Row],[Item]],super1[Bairro],mercado15)+SUMIFS(supercb[Qtde],supercb[Item],tab_alimentos[[#This Row],[Item]],supercb[Bairro],mercado15)</f>
        <v>0</v>
      </c>
      <c r="AA464" s="4">
        <f>SUMIFS(super1[Qtde],super1[Item],tab_alimentos[[#This Row],[Item]],super1[Bairro],mercado16)+SUMIFS(supercb[Qtde],supercb[Item],tab_alimentos[[#This Row],[Item]],supercb[Bairro],mercado16)</f>
        <v>0</v>
      </c>
      <c r="AB464" s="4">
        <f>SUMIFS(super1[Qtde],super1[Item],tab_alimentos[[#This Row],[Item]],super1[Bairro],mercado17)+SUMIFS(supercb[Qtde],supercb[Item],tab_alimentos[[#This Row],[Item]],supercb[Bairro],mercado17)</f>
        <v>0</v>
      </c>
      <c r="AC464" s="4">
        <f>SUMIFS(super1[Qtde],super1[Item],tab_alimentos[[#This Row],[Item]],super1[Bairro],mercado18)+SUMIFS(supercb[Qtde],supercb[Item],tab_alimentos[[#This Row],[Item]],supercb[Bairro],mercado18)</f>
        <v>0</v>
      </c>
      <c r="AD464" s="4">
        <f>SUMIFS(super1[Qtde],super1[Item],tab_alimentos[[#This Row],[Item]],super1[Bairro],extras)+SUMIFS(supercb[Qtde],supercb[Item],tab_alimentos[[#This Row],[Item]],supercb[Bairro],extras)</f>
        <v>0</v>
      </c>
      <c r="AE464" s="4">
        <f t="shared" si="100"/>
        <v>0</v>
      </c>
      <c r="AF464" s="4">
        <f t="shared" si="101"/>
        <v>0</v>
      </c>
      <c r="AG464" s="6">
        <f t="shared" si="102"/>
        <v>0</v>
      </c>
    </row>
    <row r="465" spans="9:33" x14ac:dyDescent="0.25">
      <c r="I465" s="19" t="e">
        <f>alimentos[[#This Row],[Item]]</f>
        <v>#VALUE!</v>
      </c>
      <c r="J465" s="4">
        <f>IFERROR(alimentos[[#This Row],[kg/embalagem]],0)</f>
        <v>0</v>
      </c>
      <c r="K465" s="4">
        <f>IFERROR(alimentos[[#This Row],[Preço]],0)</f>
        <v>0</v>
      </c>
      <c r="L465" s="4">
        <f>SUMIFS(super1[Qtde],super1[Item],tab_alimentos[[#This Row],[Item]],super1[Bairro],mercado1)+SUMIFS(supercb[Qtde],supercb[Item],tab_alimentos[[#This Row],[Item]],supercb[Bairro],mercado1)</f>
        <v>0</v>
      </c>
      <c r="M465" s="4">
        <f>SUMIFS(super1[Qtde],super1[Item],tab_alimentos[[#This Row],[Item]],super1[Bairro],mercado2)+SUMIFS(supercb[Qtde],supercb[Item],tab_alimentos[[#This Row],[Item]],supercb[Bairro],mercado2)</f>
        <v>0</v>
      </c>
      <c r="N465" s="4">
        <f>SUMIFS(super1[Qtde],super1[Item],tab_alimentos[[#This Row],[Item]],super1[Bairro],mercado3)+SUMIFS(supercb[Qtde],supercb[Item],tab_alimentos[[#This Row],[Item]],supercb[Bairro],mercado3)</f>
        <v>0</v>
      </c>
      <c r="O465" s="4">
        <f>SUMIFS(super1[Qtde],super1[Item],tab_alimentos[[#This Row],[Item]],super1[Bairro],mercado4)+SUMIFS(supercb[Qtde],supercb[Item],tab_alimentos[[#This Row],[Item]],supercb[Bairro],mercado4)</f>
        <v>0</v>
      </c>
      <c r="P465" s="4">
        <f>SUMIFS(super1[Qtde],super1[Item],tab_alimentos[[#This Row],[Item]],super1[Bairro],mercado5)+SUMIFS(supercb[Qtde],supercb[Item],tab_alimentos[[#This Row],[Item]],supercb[Bairro],mercado5)</f>
        <v>0</v>
      </c>
      <c r="Q465" s="4">
        <f>SUMIFS(super1[Qtde],super1[Item],tab_alimentos[[#This Row],[Item]],super1[Bairro],mercado6)+SUMIFS(supercb[Qtde],supercb[Item],tab_alimentos[[#This Row],[Item]],supercb[Bairro],mercado6)</f>
        <v>0</v>
      </c>
      <c r="R465" s="4">
        <f>SUMIFS(super1[Qtde],super1[Item],tab_alimentos[[#This Row],[Item]],super1[Bairro],mercado7)+SUMIFS(supercb[Qtde],supercb[Item],tab_alimentos[[#This Row],[Item]],supercb[Bairro],mercado7)</f>
        <v>0</v>
      </c>
      <c r="S465" s="4">
        <f>SUMIFS(super1[Qtde],super1[Item],tab_alimentos[[#This Row],[Item]],super1[Bairro],mercado8)+SUMIFS(supercb[Qtde],supercb[Item],tab_alimentos[[#This Row],[Item]],supercb[Bairro],mercado8)</f>
        <v>0</v>
      </c>
      <c r="T465" s="4">
        <f>SUMIFS(super1[Qtde],super1[Item],tab_alimentos[[#This Row],[Item]],super1[Bairro],mercado9)+SUMIFS(supercb[Qtde],supercb[Item],tab_alimentos[[#This Row],[Item]],supercb[Bairro],mercado9)</f>
        <v>0</v>
      </c>
      <c r="U465" s="4">
        <f>SUMIFS(super1[Qtde],super1[Item],tab_alimentos[[#This Row],[Item]],super1[Bairro],mercado10)+SUMIFS(supercb[Qtde],supercb[Item],tab_alimentos[[#This Row],[Item]],supercb[Bairro],mercado10)</f>
        <v>0</v>
      </c>
      <c r="V465" s="4">
        <f>SUMIFS(super1[Qtde],super1[Item],tab_alimentos[[#This Row],[Item]],super1[Bairro],mercado11)+SUMIFS(supercb[Qtde],supercb[Item],tab_alimentos[[#This Row],[Item]],supercb[Bairro],mercado11)</f>
        <v>0</v>
      </c>
      <c r="W465" s="4">
        <f>SUMIFS(super1[Qtde],super1[Item],tab_alimentos[[#This Row],[Item]],super1[Bairro],mercado12)+SUMIFS(supercb[Qtde],supercb[Item],tab_alimentos[[#This Row],[Item]],supercb[Bairro],mercado12)</f>
        <v>0</v>
      </c>
      <c r="X465" s="4">
        <f>SUMIFS(super1[Qtde],super1[Item],tab_alimentos[[#This Row],[Item]],super1[Bairro],mercado13)+SUMIFS(supercb[Qtde],supercb[Item],tab_alimentos[[#This Row],[Item]],supercb[Bairro],mercado13)</f>
        <v>0</v>
      </c>
      <c r="Y465" s="4">
        <f>SUMIFS(super1[Qtde],super1[Item],tab_alimentos[[#This Row],[Item]],super1[Bairro],mercado14)+SUMIFS(supercb[Qtde],supercb[Item],tab_alimentos[[#This Row],[Item]],supercb[Bairro],mercado14)</f>
        <v>0</v>
      </c>
      <c r="Z465" s="4">
        <f>SUMIFS(super1[Qtde],super1[Item],tab_alimentos[[#This Row],[Item]],super1[Bairro],mercado15)+SUMIFS(supercb[Qtde],supercb[Item],tab_alimentos[[#This Row],[Item]],supercb[Bairro],mercado15)</f>
        <v>0</v>
      </c>
      <c r="AA465" s="4">
        <f>SUMIFS(super1[Qtde],super1[Item],tab_alimentos[[#This Row],[Item]],super1[Bairro],mercado16)+SUMIFS(supercb[Qtde],supercb[Item],tab_alimentos[[#This Row],[Item]],supercb[Bairro],mercado16)</f>
        <v>0</v>
      </c>
      <c r="AB465" s="4">
        <f>SUMIFS(super1[Qtde],super1[Item],tab_alimentos[[#This Row],[Item]],super1[Bairro],mercado17)+SUMIFS(supercb[Qtde],supercb[Item],tab_alimentos[[#This Row],[Item]],supercb[Bairro],mercado17)</f>
        <v>0</v>
      </c>
      <c r="AC465" s="4">
        <f>SUMIFS(super1[Qtde],super1[Item],tab_alimentos[[#This Row],[Item]],super1[Bairro],mercado18)+SUMIFS(supercb[Qtde],supercb[Item],tab_alimentos[[#This Row],[Item]],supercb[Bairro],mercado18)</f>
        <v>0</v>
      </c>
      <c r="AD465" s="4">
        <f>SUMIFS(super1[Qtde],super1[Item],tab_alimentos[[#This Row],[Item]],super1[Bairro],extras)+SUMIFS(supercb[Qtde],supercb[Item],tab_alimentos[[#This Row],[Item]],supercb[Bairro],extras)</f>
        <v>0</v>
      </c>
      <c r="AE465" s="4">
        <f t="shared" si="100"/>
        <v>0</v>
      </c>
      <c r="AF465" s="4">
        <f t="shared" si="101"/>
        <v>0</v>
      </c>
      <c r="AG465" s="6">
        <f t="shared" si="102"/>
        <v>0</v>
      </c>
    </row>
    <row r="466" spans="9:33" x14ac:dyDescent="0.25">
      <c r="I466" s="19" t="e">
        <f>alimentos[[#This Row],[Item]]</f>
        <v>#VALUE!</v>
      </c>
      <c r="J466" s="4">
        <f>IFERROR(alimentos[[#This Row],[kg/embalagem]],0)</f>
        <v>0</v>
      </c>
      <c r="K466" s="4">
        <f>IFERROR(alimentos[[#This Row],[Preço]],0)</f>
        <v>0</v>
      </c>
      <c r="L466" s="4">
        <f>SUMIFS(super1[Qtde],super1[Item],tab_alimentos[[#This Row],[Item]],super1[Bairro],mercado1)+SUMIFS(supercb[Qtde],supercb[Item],tab_alimentos[[#This Row],[Item]],supercb[Bairro],mercado1)</f>
        <v>0</v>
      </c>
      <c r="M466" s="4">
        <f>SUMIFS(super1[Qtde],super1[Item],tab_alimentos[[#This Row],[Item]],super1[Bairro],mercado2)+SUMIFS(supercb[Qtde],supercb[Item],tab_alimentos[[#This Row],[Item]],supercb[Bairro],mercado2)</f>
        <v>0</v>
      </c>
      <c r="N466" s="4">
        <f>SUMIFS(super1[Qtde],super1[Item],tab_alimentos[[#This Row],[Item]],super1[Bairro],mercado3)+SUMIFS(supercb[Qtde],supercb[Item],tab_alimentos[[#This Row],[Item]],supercb[Bairro],mercado3)</f>
        <v>0</v>
      </c>
      <c r="O466" s="4">
        <f>SUMIFS(super1[Qtde],super1[Item],tab_alimentos[[#This Row],[Item]],super1[Bairro],mercado4)+SUMIFS(supercb[Qtde],supercb[Item],tab_alimentos[[#This Row],[Item]],supercb[Bairro],mercado4)</f>
        <v>0</v>
      </c>
      <c r="P466" s="4">
        <f>SUMIFS(super1[Qtde],super1[Item],tab_alimentos[[#This Row],[Item]],super1[Bairro],mercado5)+SUMIFS(supercb[Qtde],supercb[Item],tab_alimentos[[#This Row],[Item]],supercb[Bairro],mercado5)</f>
        <v>0</v>
      </c>
      <c r="Q466" s="4">
        <f>SUMIFS(super1[Qtde],super1[Item],tab_alimentos[[#This Row],[Item]],super1[Bairro],mercado6)+SUMIFS(supercb[Qtde],supercb[Item],tab_alimentos[[#This Row],[Item]],supercb[Bairro],mercado6)</f>
        <v>0</v>
      </c>
      <c r="R466" s="4">
        <f>SUMIFS(super1[Qtde],super1[Item],tab_alimentos[[#This Row],[Item]],super1[Bairro],mercado7)+SUMIFS(supercb[Qtde],supercb[Item],tab_alimentos[[#This Row],[Item]],supercb[Bairro],mercado7)</f>
        <v>0</v>
      </c>
      <c r="S466" s="4">
        <f>SUMIFS(super1[Qtde],super1[Item],tab_alimentos[[#This Row],[Item]],super1[Bairro],mercado8)+SUMIFS(supercb[Qtde],supercb[Item],tab_alimentos[[#This Row],[Item]],supercb[Bairro],mercado8)</f>
        <v>0</v>
      </c>
      <c r="T466" s="4">
        <f>SUMIFS(super1[Qtde],super1[Item],tab_alimentos[[#This Row],[Item]],super1[Bairro],mercado9)+SUMIFS(supercb[Qtde],supercb[Item],tab_alimentos[[#This Row],[Item]],supercb[Bairro],mercado9)</f>
        <v>0</v>
      </c>
      <c r="U466" s="4">
        <f>SUMIFS(super1[Qtde],super1[Item],tab_alimentos[[#This Row],[Item]],super1[Bairro],mercado10)+SUMIFS(supercb[Qtde],supercb[Item],tab_alimentos[[#This Row],[Item]],supercb[Bairro],mercado10)</f>
        <v>0</v>
      </c>
      <c r="V466" s="4">
        <f>SUMIFS(super1[Qtde],super1[Item],tab_alimentos[[#This Row],[Item]],super1[Bairro],mercado11)+SUMIFS(supercb[Qtde],supercb[Item],tab_alimentos[[#This Row],[Item]],supercb[Bairro],mercado11)</f>
        <v>0</v>
      </c>
      <c r="W466" s="4">
        <f>SUMIFS(super1[Qtde],super1[Item],tab_alimentos[[#This Row],[Item]],super1[Bairro],mercado12)+SUMIFS(supercb[Qtde],supercb[Item],tab_alimentos[[#This Row],[Item]],supercb[Bairro],mercado12)</f>
        <v>0</v>
      </c>
      <c r="X466" s="4">
        <f>SUMIFS(super1[Qtde],super1[Item],tab_alimentos[[#This Row],[Item]],super1[Bairro],mercado13)+SUMIFS(supercb[Qtde],supercb[Item],tab_alimentos[[#This Row],[Item]],supercb[Bairro],mercado13)</f>
        <v>0</v>
      </c>
      <c r="Y466" s="4">
        <f>SUMIFS(super1[Qtde],super1[Item],tab_alimentos[[#This Row],[Item]],super1[Bairro],mercado14)+SUMIFS(supercb[Qtde],supercb[Item],tab_alimentos[[#This Row],[Item]],supercb[Bairro],mercado14)</f>
        <v>0</v>
      </c>
      <c r="Z466" s="4">
        <f>SUMIFS(super1[Qtde],super1[Item],tab_alimentos[[#This Row],[Item]],super1[Bairro],mercado15)+SUMIFS(supercb[Qtde],supercb[Item],tab_alimentos[[#This Row],[Item]],supercb[Bairro],mercado15)</f>
        <v>0</v>
      </c>
      <c r="AA466" s="4">
        <f>SUMIFS(super1[Qtde],super1[Item],tab_alimentos[[#This Row],[Item]],super1[Bairro],mercado16)+SUMIFS(supercb[Qtde],supercb[Item],tab_alimentos[[#This Row],[Item]],supercb[Bairro],mercado16)</f>
        <v>0</v>
      </c>
      <c r="AB466" s="4">
        <f>SUMIFS(super1[Qtde],super1[Item],tab_alimentos[[#This Row],[Item]],super1[Bairro],mercado17)+SUMIFS(supercb[Qtde],supercb[Item],tab_alimentos[[#This Row],[Item]],supercb[Bairro],mercado17)</f>
        <v>0</v>
      </c>
      <c r="AC466" s="4">
        <f>SUMIFS(super1[Qtde],super1[Item],tab_alimentos[[#This Row],[Item]],super1[Bairro],mercado18)+SUMIFS(supercb[Qtde],supercb[Item],tab_alimentos[[#This Row],[Item]],supercb[Bairro],mercado18)</f>
        <v>0</v>
      </c>
      <c r="AD466" s="4">
        <f>SUMIFS(super1[Qtde],super1[Item],tab_alimentos[[#This Row],[Item]],super1[Bairro],extras)+SUMIFS(supercb[Qtde],supercb[Item],tab_alimentos[[#This Row],[Item]],supercb[Bairro],extras)</f>
        <v>0</v>
      </c>
      <c r="AE466" s="4">
        <f t="shared" si="100"/>
        <v>0</v>
      </c>
      <c r="AF466" s="4">
        <f t="shared" si="101"/>
        <v>0</v>
      </c>
      <c r="AG466" s="6">
        <f t="shared" si="102"/>
        <v>0</v>
      </c>
    </row>
    <row r="467" spans="9:33" x14ac:dyDescent="0.25">
      <c r="I467" s="19" t="e">
        <f>alimentos[[#This Row],[Item]]</f>
        <v>#VALUE!</v>
      </c>
      <c r="J467" s="4">
        <f>IFERROR(alimentos[[#This Row],[kg/embalagem]],0)</f>
        <v>0</v>
      </c>
      <c r="K467" s="4">
        <f>IFERROR(alimentos[[#This Row],[Preço]],0)</f>
        <v>0</v>
      </c>
      <c r="L467" s="4">
        <f>SUMIFS(super1[Qtde],super1[Item],tab_alimentos[[#This Row],[Item]],super1[Bairro],mercado1)+SUMIFS(supercb[Qtde],supercb[Item],tab_alimentos[[#This Row],[Item]],supercb[Bairro],mercado1)</f>
        <v>0</v>
      </c>
      <c r="M467" s="4">
        <f>SUMIFS(super1[Qtde],super1[Item],tab_alimentos[[#This Row],[Item]],super1[Bairro],mercado2)+SUMIFS(supercb[Qtde],supercb[Item],tab_alimentos[[#This Row],[Item]],supercb[Bairro],mercado2)</f>
        <v>0</v>
      </c>
      <c r="N467" s="4">
        <f>SUMIFS(super1[Qtde],super1[Item],tab_alimentos[[#This Row],[Item]],super1[Bairro],mercado3)+SUMIFS(supercb[Qtde],supercb[Item],tab_alimentos[[#This Row],[Item]],supercb[Bairro],mercado3)</f>
        <v>0</v>
      </c>
      <c r="O467" s="4">
        <f>SUMIFS(super1[Qtde],super1[Item],tab_alimentos[[#This Row],[Item]],super1[Bairro],mercado4)+SUMIFS(supercb[Qtde],supercb[Item],tab_alimentos[[#This Row],[Item]],supercb[Bairro],mercado4)</f>
        <v>0</v>
      </c>
      <c r="P467" s="4">
        <f>SUMIFS(super1[Qtde],super1[Item],tab_alimentos[[#This Row],[Item]],super1[Bairro],mercado5)+SUMIFS(supercb[Qtde],supercb[Item],tab_alimentos[[#This Row],[Item]],supercb[Bairro],mercado5)</f>
        <v>0</v>
      </c>
      <c r="Q467" s="4">
        <f>SUMIFS(super1[Qtde],super1[Item],tab_alimentos[[#This Row],[Item]],super1[Bairro],mercado6)+SUMIFS(supercb[Qtde],supercb[Item],tab_alimentos[[#This Row],[Item]],supercb[Bairro],mercado6)</f>
        <v>0</v>
      </c>
      <c r="R467" s="4">
        <f>SUMIFS(super1[Qtde],super1[Item],tab_alimentos[[#This Row],[Item]],super1[Bairro],mercado7)+SUMIFS(supercb[Qtde],supercb[Item],tab_alimentos[[#This Row],[Item]],supercb[Bairro],mercado7)</f>
        <v>0</v>
      </c>
      <c r="S467" s="4">
        <f>SUMIFS(super1[Qtde],super1[Item],tab_alimentos[[#This Row],[Item]],super1[Bairro],mercado8)+SUMIFS(supercb[Qtde],supercb[Item],tab_alimentos[[#This Row],[Item]],supercb[Bairro],mercado8)</f>
        <v>0</v>
      </c>
      <c r="T467" s="4">
        <f>SUMIFS(super1[Qtde],super1[Item],tab_alimentos[[#This Row],[Item]],super1[Bairro],mercado9)+SUMIFS(supercb[Qtde],supercb[Item],tab_alimentos[[#This Row],[Item]],supercb[Bairro],mercado9)</f>
        <v>0</v>
      </c>
      <c r="U467" s="4">
        <f>SUMIFS(super1[Qtde],super1[Item],tab_alimentos[[#This Row],[Item]],super1[Bairro],mercado10)+SUMIFS(supercb[Qtde],supercb[Item],tab_alimentos[[#This Row],[Item]],supercb[Bairro],mercado10)</f>
        <v>0</v>
      </c>
      <c r="V467" s="4">
        <f>SUMIFS(super1[Qtde],super1[Item],tab_alimentos[[#This Row],[Item]],super1[Bairro],mercado11)+SUMIFS(supercb[Qtde],supercb[Item],tab_alimentos[[#This Row],[Item]],supercb[Bairro],mercado11)</f>
        <v>0</v>
      </c>
      <c r="W467" s="4">
        <f>SUMIFS(super1[Qtde],super1[Item],tab_alimentos[[#This Row],[Item]],super1[Bairro],mercado12)+SUMIFS(supercb[Qtde],supercb[Item],tab_alimentos[[#This Row],[Item]],supercb[Bairro],mercado12)</f>
        <v>0</v>
      </c>
      <c r="X467" s="4">
        <f>SUMIFS(super1[Qtde],super1[Item],tab_alimentos[[#This Row],[Item]],super1[Bairro],mercado13)+SUMIFS(supercb[Qtde],supercb[Item],tab_alimentos[[#This Row],[Item]],supercb[Bairro],mercado13)</f>
        <v>0</v>
      </c>
      <c r="Y467" s="4">
        <f>SUMIFS(super1[Qtde],super1[Item],tab_alimentos[[#This Row],[Item]],super1[Bairro],mercado14)+SUMIFS(supercb[Qtde],supercb[Item],tab_alimentos[[#This Row],[Item]],supercb[Bairro],mercado14)</f>
        <v>0</v>
      </c>
      <c r="Z467" s="4">
        <f>SUMIFS(super1[Qtde],super1[Item],tab_alimentos[[#This Row],[Item]],super1[Bairro],mercado15)+SUMIFS(supercb[Qtde],supercb[Item],tab_alimentos[[#This Row],[Item]],supercb[Bairro],mercado15)</f>
        <v>0</v>
      </c>
      <c r="AA467" s="4">
        <f>SUMIFS(super1[Qtde],super1[Item],tab_alimentos[[#This Row],[Item]],super1[Bairro],mercado16)+SUMIFS(supercb[Qtde],supercb[Item],tab_alimentos[[#This Row],[Item]],supercb[Bairro],mercado16)</f>
        <v>0</v>
      </c>
      <c r="AB467" s="4">
        <f>SUMIFS(super1[Qtde],super1[Item],tab_alimentos[[#This Row],[Item]],super1[Bairro],mercado17)+SUMIFS(supercb[Qtde],supercb[Item],tab_alimentos[[#This Row],[Item]],supercb[Bairro],mercado17)</f>
        <v>0</v>
      </c>
      <c r="AC467" s="4">
        <f>SUMIFS(super1[Qtde],super1[Item],tab_alimentos[[#This Row],[Item]],super1[Bairro],mercado18)+SUMIFS(supercb[Qtde],supercb[Item],tab_alimentos[[#This Row],[Item]],supercb[Bairro],mercado18)</f>
        <v>0</v>
      </c>
      <c r="AD467" s="4">
        <f>SUMIFS(super1[Qtde],super1[Item],tab_alimentos[[#This Row],[Item]],super1[Bairro],extras)+SUMIFS(supercb[Qtde],supercb[Item],tab_alimentos[[#This Row],[Item]],supercb[Bairro],extras)</f>
        <v>0</v>
      </c>
      <c r="AE467" s="4">
        <f t="shared" si="100"/>
        <v>0</v>
      </c>
      <c r="AF467" s="4">
        <f t="shared" si="101"/>
        <v>0</v>
      </c>
      <c r="AG467" s="6">
        <f t="shared" si="102"/>
        <v>0</v>
      </c>
    </row>
    <row r="468" spans="9:33" x14ac:dyDescent="0.25">
      <c r="I468" s="19" t="e">
        <f>alimentos[[#This Row],[Item]]</f>
        <v>#VALUE!</v>
      </c>
      <c r="J468" s="4">
        <f>IFERROR(alimentos[[#This Row],[kg/embalagem]],0)</f>
        <v>0</v>
      </c>
      <c r="K468" s="4">
        <f>IFERROR(alimentos[[#This Row],[Preço]],0)</f>
        <v>0</v>
      </c>
      <c r="L468" s="4">
        <f>SUMIFS(super1[Qtde],super1[Item],tab_alimentos[[#This Row],[Item]],super1[Bairro],mercado1)+SUMIFS(supercb[Qtde],supercb[Item],tab_alimentos[[#This Row],[Item]],supercb[Bairro],mercado1)</f>
        <v>0</v>
      </c>
      <c r="M468" s="4">
        <f>SUMIFS(super1[Qtde],super1[Item],tab_alimentos[[#This Row],[Item]],super1[Bairro],mercado2)+SUMIFS(supercb[Qtde],supercb[Item],tab_alimentos[[#This Row],[Item]],supercb[Bairro],mercado2)</f>
        <v>0</v>
      </c>
      <c r="N468" s="4">
        <f>SUMIFS(super1[Qtde],super1[Item],tab_alimentos[[#This Row],[Item]],super1[Bairro],mercado3)+SUMIFS(supercb[Qtde],supercb[Item],tab_alimentos[[#This Row],[Item]],supercb[Bairro],mercado3)</f>
        <v>0</v>
      </c>
      <c r="O468" s="4">
        <f>SUMIFS(super1[Qtde],super1[Item],tab_alimentos[[#This Row],[Item]],super1[Bairro],mercado4)+SUMIFS(supercb[Qtde],supercb[Item],tab_alimentos[[#This Row],[Item]],supercb[Bairro],mercado4)</f>
        <v>0</v>
      </c>
      <c r="P468" s="4">
        <f>SUMIFS(super1[Qtde],super1[Item],tab_alimentos[[#This Row],[Item]],super1[Bairro],mercado5)+SUMIFS(supercb[Qtde],supercb[Item],tab_alimentos[[#This Row],[Item]],supercb[Bairro],mercado5)</f>
        <v>0</v>
      </c>
      <c r="Q468" s="4">
        <f>SUMIFS(super1[Qtde],super1[Item],tab_alimentos[[#This Row],[Item]],super1[Bairro],mercado6)+SUMIFS(supercb[Qtde],supercb[Item],tab_alimentos[[#This Row],[Item]],supercb[Bairro],mercado6)</f>
        <v>0</v>
      </c>
      <c r="R468" s="4">
        <f>SUMIFS(super1[Qtde],super1[Item],tab_alimentos[[#This Row],[Item]],super1[Bairro],mercado7)+SUMIFS(supercb[Qtde],supercb[Item],tab_alimentos[[#This Row],[Item]],supercb[Bairro],mercado7)</f>
        <v>0</v>
      </c>
      <c r="S468" s="4">
        <f>SUMIFS(super1[Qtde],super1[Item],tab_alimentos[[#This Row],[Item]],super1[Bairro],mercado8)+SUMIFS(supercb[Qtde],supercb[Item],tab_alimentos[[#This Row],[Item]],supercb[Bairro],mercado8)</f>
        <v>0</v>
      </c>
      <c r="T468" s="4">
        <f>SUMIFS(super1[Qtde],super1[Item],tab_alimentos[[#This Row],[Item]],super1[Bairro],mercado9)+SUMIFS(supercb[Qtde],supercb[Item],tab_alimentos[[#This Row],[Item]],supercb[Bairro],mercado9)</f>
        <v>0</v>
      </c>
      <c r="U468" s="4">
        <f>SUMIFS(super1[Qtde],super1[Item],tab_alimentos[[#This Row],[Item]],super1[Bairro],mercado10)+SUMIFS(supercb[Qtde],supercb[Item],tab_alimentos[[#This Row],[Item]],supercb[Bairro],mercado10)</f>
        <v>0</v>
      </c>
      <c r="V468" s="4">
        <f>SUMIFS(super1[Qtde],super1[Item],tab_alimentos[[#This Row],[Item]],super1[Bairro],mercado11)+SUMIFS(supercb[Qtde],supercb[Item],tab_alimentos[[#This Row],[Item]],supercb[Bairro],mercado11)</f>
        <v>0</v>
      </c>
      <c r="W468" s="4">
        <f>SUMIFS(super1[Qtde],super1[Item],tab_alimentos[[#This Row],[Item]],super1[Bairro],mercado12)+SUMIFS(supercb[Qtde],supercb[Item],tab_alimentos[[#This Row],[Item]],supercb[Bairro],mercado12)</f>
        <v>0</v>
      </c>
      <c r="X468" s="4">
        <f>SUMIFS(super1[Qtde],super1[Item],tab_alimentos[[#This Row],[Item]],super1[Bairro],mercado13)+SUMIFS(supercb[Qtde],supercb[Item],tab_alimentos[[#This Row],[Item]],supercb[Bairro],mercado13)</f>
        <v>0</v>
      </c>
      <c r="Y468" s="4">
        <f>SUMIFS(super1[Qtde],super1[Item],tab_alimentos[[#This Row],[Item]],super1[Bairro],mercado14)+SUMIFS(supercb[Qtde],supercb[Item],tab_alimentos[[#This Row],[Item]],supercb[Bairro],mercado14)</f>
        <v>0</v>
      </c>
      <c r="Z468" s="4">
        <f>SUMIFS(super1[Qtde],super1[Item],tab_alimentos[[#This Row],[Item]],super1[Bairro],mercado15)+SUMIFS(supercb[Qtde],supercb[Item],tab_alimentos[[#This Row],[Item]],supercb[Bairro],mercado15)</f>
        <v>0</v>
      </c>
      <c r="AA468" s="4">
        <f>SUMIFS(super1[Qtde],super1[Item],tab_alimentos[[#This Row],[Item]],super1[Bairro],mercado16)+SUMIFS(supercb[Qtde],supercb[Item],tab_alimentos[[#This Row],[Item]],supercb[Bairro],mercado16)</f>
        <v>0</v>
      </c>
      <c r="AB468" s="4">
        <f>SUMIFS(super1[Qtde],super1[Item],tab_alimentos[[#This Row],[Item]],super1[Bairro],mercado17)+SUMIFS(supercb[Qtde],supercb[Item],tab_alimentos[[#This Row],[Item]],supercb[Bairro],mercado17)</f>
        <v>0</v>
      </c>
      <c r="AC468" s="4">
        <f>SUMIFS(super1[Qtde],super1[Item],tab_alimentos[[#This Row],[Item]],super1[Bairro],mercado18)+SUMIFS(supercb[Qtde],supercb[Item],tab_alimentos[[#This Row],[Item]],supercb[Bairro],mercado18)</f>
        <v>0</v>
      </c>
      <c r="AD468" s="4">
        <f>SUMIFS(super1[Qtde],super1[Item],tab_alimentos[[#This Row],[Item]],super1[Bairro],extras)+SUMIFS(supercb[Qtde],supercb[Item],tab_alimentos[[#This Row],[Item]],supercb[Bairro],extras)</f>
        <v>0</v>
      </c>
      <c r="AE468" s="4">
        <f t="shared" si="100"/>
        <v>0</v>
      </c>
      <c r="AF468" s="4">
        <f t="shared" si="101"/>
        <v>0</v>
      </c>
      <c r="AG468" s="6">
        <f t="shared" si="102"/>
        <v>0</v>
      </c>
    </row>
    <row r="469" spans="9:33" x14ac:dyDescent="0.25">
      <c r="I469" s="19" t="e">
        <f>alimentos[[#This Row],[Item]]</f>
        <v>#VALUE!</v>
      </c>
      <c r="J469" s="4">
        <f>IFERROR(alimentos[[#This Row],[kg/embalagem]],0)</f>
        <v>0</v>
      </c>
      <c r="K469" s="4">
        <f>IFERROR(alimentos[[#This Row],[Preço]],0)</f>
        <v>0</v>
      </c>
      <c r="L469" s="4">
        <f>SUMIFS(super1[Qtde],super1[Item],tab_alimentos[[#This Row],[Item]],super1[Bairro],mercado1)+SUMIFS(supercb[Qtde],supercb[Item],tab_alimentos[[#This Row],[Item]],supercb[Bairro],mercado1)</f>
        <v>0</v>
      </c>
      <c r="M469" s="4">
        <f>SUMIFS(super1[Qtde],super1[Item],tab_alimentos[[#This Row],[Item]],super1[Bairro],mercado2)+SUMIFS(supercb[Qtde],supercb[Item],tab_alimentos[[#This Row],[Item]],supercb[Bairro],mercado2)</f>
        <v>0</v>
      </c>
      <c r="N469" s="4">
        <f>SUMIFS(super1[Qtde],super1[Item],tab_alimentos[[#This Row],[Item]],super1[Bairro],mercado3)+SUMIFS(supercb[Qtde],supercb[Item],tab_alimentos[[#This Row],[Item]],supercb[Bairro],mercado3)</f>
        <v>0</v>
      </c>
      <c r="O469" s="4">
        <f>SUMIFS(super1[Qtde],super1[Item],tab_alimentos[[#This Row],[Item]],super1[Bairro],mercado4)+SUMIFS(supercb[Qtde],supercb[Item],tab_alimentos[[#This Row],[Item]],supercb[Bairro],mercado4)</f>
        <v>0</v>
      </c>
      <c r="P469" s="4">
        <f>SUMIFS(super1[Qtde],super1[Item],tab_alimentos[[#This Row],[Item]],super1[Bairro],mercado5)+SUMIFS(supercb[Qtde],supercb[Item],tab_alimentos[[#This Row],[Item]],supercb[Bairro],mercado5)</f>
        <v>0</v>
      </c>
      <c r="Q469" s="4">
        <f>SUMIFS(super1[Qtde],super1[Item],tab_alimentos[[#This Row],[Item]],super1[Bairro],mercado6)+SUMIFS(supercb[Qtde],supercb[Item],tab_alimentos[[#This Row],[Item]],supercb[Bairro],mercado6)</f>
        <v>0</v>
      </c>
      <c r="R469" s="4">
        <f>SUMIFS(super1[Qtde],super1[Item],tab_alimentos[[#This Row],[Item]],super1[Bairro],mercado7)+SUMIFS(supercb[Qtde],supercb[Item],tab_alimentos[[#This Row],[Item]],supercb[Bairro],mercado7)</f>
        <v>0</v>
      </c>
      <c r="S469" s="4">
        <f>SUMIFS(super1[Qtde],super1[Item],tab_alimentos[[#This Row],[Item]],super1[Bairro],mercado8)+SUMIFS(supercb[Qtde],supercb[Item],tab_alimentos[[#This Row],[Item]],supercb[Bairro],mercado8)</f>
        <v>0</v>
      </c>
      <c r="T469" s="4">
        <f>SUMIFS(super1[Qtde],super1[Item],tab_alimentos[[#This Row],[Item]],super1[Bairro],mercado9)+SUMIFS(supercb[Qtde],supercb[Item],tab_alimentos[[#This Row],[Item]],supercb[Bairro],mercado9)</f>
        <v>0</v>
      </c>
      <c r="U469" s="4">
        <f>SUMIFS(super1[Qtde],super1[Item],tab_alimentos[[#This Row],[Item]],super1[Bairro],mercado10)+SUMIFS(supercb[Qtde],supercb[Item],tab_alimentos[[#This Row],[Item]],supercb[Bairro],mercado10)</f>
        <v>0</v>
      </c>
      <c r="V469" s="4">
        <f>SUMIFS(super1[Qtde],super1[Item],tab_alimentos[[#This Row],[Item]],super1[Bairro],mercado11)+SUMIFS(supercb[Qtde],supercb[Item],tab_alimentos[[#This Row],[Item]],supercb[Bairro],mercado11)</f>
        <v>0</v>
      </c>
      <c r="W469" s="4">
        <f>SUMIFS(super1[Qtde],super1[Item],tab_alimentos[[#This Row],[Item]],super1[Bairro],mercado12)+SUMIFS(supercb[Qtde],supercb[Item],tab_alimentos[[#This Row],[Item]],supercb[Bairro],mercado12)</f>
        <v>0</v>
      </c>
      <c r="X469" s="4">
        <f>SUMIFS(super1[Qtde],super1[Item],tab_alimentos[[#This Row],[Item]],super1[Bairro],mercado13)+SUMIFS(supercb[Qtde],supercb[Item],tab_alimentos[[#This Row],[Item]],supercb[Bairro],mercado13)</f>
        <v>0</v>
      </c>
      <c r="Y469" s="4">
        <f>SUMIFS(super1[Qtde],super1[Item],tab_alimentos[[#This Row],[Item]],super1[Bairro],mercado14)+SUMIFS(supercb[Qtde],supercb[Item],tab_alimentos[[#This Row],[Item]],supercb[Bairro],mercado14)</f>
        <v>0</v>
      </c>
      <c r="Z469" s="4">
        <f>SUMIFS(super1[Qtde],super1[Item],tab_alimentos[[#This Row],[Item]],super1[Bairro],mercado15)+SUMIFS(supercb[Qtde],supercb[Item],tab_alimentos[[#This Row],[Item]],supercb[Bairro],mercado15)</f>
        <v>0</v>
      </c>
      <c r="AA469" s="4">
        <f>SUMIFS(super1[Qtde],super1[Item],tab_alimentos[[#This Row],[Item]],super1[Bairro],mercado16)+SUMIFS(supercb[Qtde],supercb[Item],tab_alimentos[[#This Row],[Item]],supercb[Bairro],mercado16)</f>
        <v>0</v>
      </c>
      <c r="AB469" s="4">
        <f>SUMIFS(super1[Qtde],super1[Item],tab_alimentos[[#This Row],[Item]],super1[Bairro],mercado17)+SUMIFS(supercb[Qtde],supercb[Item],tab_alimentos[[#This Row],[Item]],supercb[Bairro],mercado17)</f>
        <v>0</v>
      </c>
      <c r="AC469" s="4">
        <f>SUMIFS(super1[Qtde],super1[Item],tab_alimentos[[#This Row],[Item]],super1[Bairro],mercado18)+SUMIFS(supercb[Qtde],supercb[Item],tab_alimentos[[#This Row],[Item]],supercb[Bairro],mercado18)</f>
        <v>0</v>
      </c>
      <c r="AD469" s="4">
        <f>SUMIFS(super1[Qtde],super1[Item],tab_alimentos[[#This Row],[Item]],super1[Bairro],extras)+SUMIFS(supercb[Qtde],supercb[Item],tab_alimentos[[#This Row],[Item]],supercb[Bairro],extras)</f>
        <v>0</v>
      </c>
      <c r="AE469" s="4">
        <f t="shared" si="100"/>
        <v>0</v>
      </c>
      <c r="AF469" s="4">
        <f t="shared" si="101"/>
        <v>0</v>
      </c>
      <c r="AG469" s="6">
        <f t="shared" si="102"/>
        <v>0</v>
      </c>
    </row>
    <row r="470" spans="9:33" x14ac:dyDescent="0.25">
      <c r="I470" s="19" t="e">
        <f>alimentos[[#This Row],[Item]]</f>
        <v>#VALUE!</v>
      </c>
      <c r="J470" s="4">
        <f>IFERROR(alimentos[[#This Row],[kg/embalagem]],0)</f>
        <v>0</v>
      </c>
      <c r="K470" s="4">
        <f>IFERROR(alimentos[[#This Row],[Preço]],0)</f>
        <v>0</v>
      </c>
      <c r="L470" s="4">
        <f>SUMIFS(super1[Qtde],super1[Item],tab_alimentos[[#This Row],[Item]],super1[Bairro],mercado1)+SUMIFS(supercb[Qtde],supercb[Item],tab_alimentos[[#This Row],[Item]],supercb[Bairro],mercado1)</f>
        <v>0</v>
      </c>
      <c r="M470" s="4">
        <f>SUMIFS(super1[Qtde],super1[Item],tab_alimentos[[#This Row],[Item]],super1[Bairro],mercado2)+SUMIFS(supercb[Qtde],supercb[Item],tab_alimentos[[#This Row],[Item]],supercb[Bairro],mercado2)</f>
        <v>0</v>
      </c>
      <c r="N470" s="4">
        <f>SUMIFS(super1[Qtde],super1[Item],tab_alimentos[[#This Row],[Item]],super1[Bairro],mercado3)+SUMIFS(supercb[Qtde],supercb[Item],tab_alimentos[[#This Row],[Item]],supercb[Bairro],mercado3)</f>
        <v>0</v>
      </c>
      <c r="O470" s="4">
        <f>SUMIFS(super1[Qtde],super1[Item],tab_alimentos[[#This Row],[Item]],super1[Bairro],mercado4)+SUMIFS(supercb[Qtde],supercb[Item],tab_alimentos[[#This Row],[Item]],supercb[Bairro],mercado4)</f>
        <v>0</v>
      </c>
      <c r="P470" s="4">
        <f>SUMIFS(super1[Qtde],super1[Item],tab_alimentos[[#This Row],[Item]],super1[Bairro],mercado5)+SUMIFS(supercb[Qtde],supercb[Item],tab_alimentos[[#This Row],[Item]],supercb[Bairro],mercado5)</f>
        <v>0</v>
      </c>
      <c r="Q470" s="4">
        <f>SUMIFS(super1[Qtde],super1[Item],tab_alimentos[[#This Row],[Item]],super1[Bairro],mercado6)+SUMIFS(supercb[Qtde],supercb[Item],tab_alimentos[[#This Row],[Item]],supercb[Bairro],mercado6)</f>
        <v>0</v>
      </c>
      <c r="R470" s="4">
        <f>SUMIFS(super1[Qtde],super1[Item],tab_alimentos[[#This Row],[Item]],super1[Bairro],mercado7)+SUMIFS(supercb[Qtde],supercb[Item],tab_alimentos[[#This Row],[Item]],supercb[Bairro],mercado7)</f>
        <v>0</v>
      </c>
      <c r="S470" s="4">
        <f>SUMIFS(super1[Qtde],super1[Item],tab_alimentos[[#This Row],[Item]],super1[Bairro],mercado8)+SUMIFS(supercb[Qtde],supercb[Item],tab_alimentos[[#This Row],[Item]],supercb[Bairro],mercado8)</f>
        <v>0</v>
      </c>
      <c r="T470" s="4">
        <f>SUMIFS(super1[Qtde],super1[Item],tab_alimentos[[#This Row],[Item]],super1[Bairro],mercado9)+SUMIFS(supercb[Qtde],supercb[Item],tab_alimentos[[#This Row],[Item]],supercb[Bairro],mercado9)</f>
        <v>0</v>
      </c>
      <c r="U470" s="4">
        <f>SUMIFS(super1[Qtde],super1[Item],tab_alimentos[[#This Row],[Item]],super1[Bairro],mercado10)+SUMIFS(supercb[Qtde],supercb[Item],tab_alimentos[[#This Row],[Item]],supercb[Bairro],mercado10)</f>
        <v>0</v>
      </c>
      <c r="V470" s="4">
        <f>SUMIFS(super1[Qtde],super1[Item],tab_alimentos[[#This Row],[Item]],super1[Bairro],mercado11)+SUMIFS(supercb[Qtde],supercb[Item],tab_alimentos[[#This Row],[Item]],supercb[Bairro],mercado11)</f>
        <v>0</v>
      </c>
      <c r="W470" s="4">
        <f>SUMIFS(super1[Qtde],super1[Item],tab_alimentos[[#This Row],[Item]],super1[Bairro],mercado12)+SUMIFS(supercb[Qtde],supercb[Item],tab_alimentos[[#This Row],[Item]],supercb[Bairro],mercado12)</f>
        <v>0</v>
      </c>
      <c r="X470" s="4">
        <f>SUMIFS(super1[Qtde],super1[Item],tab_alimentos[[#This Row],[Item]],super1[Bairro],mercado13)+SUMIFS(supercb[Qtde],supercb[Item],tab_alimentos[[#This Row],[Item]],supercb[Bairro],mercado13)</f>
        <v>0</v>
      </c>
      <c r="Y470" s="4">
        <f>SUMIFS(super1[Qtde],super1[Item],tab_alimentos[[#This Row],[Item]],super1[Bairro],mercado14)+SUMIFS(supercb[Qtde],supercb[Item],tab_alimentos[[#This Row],[Item]],supercb[Bairro],mercado14)</f>
        <v>0</v>
      </c>
      <c r="Z470" s="4">
        <f>SUMIFS(super1[Qtde],super1[Item],tab_alimentos[[#This Row],[Item]],super1[Bairro],mercado15)+SUMIFS(supercb[Qtde],supercb[Item],tab_alimentos[[#This Row],[Item]],supercb[Bairro],mercado15)</f>
        <v>0</v>
      </c>
      <c r="AA470" s="4">
        <f>SUMIFS(super1[Qtde],super1[Item],tab_alimentos[[#This Row],[Item]],super1[Bairro],mercado16)+SUMIFS(supercb[Qtde],supercb[Item],tab_alimentos[[#This Row],[Item]],supercb[Bairro],mercado16)</f>
        <v>0</v>
      </c>
      <c r="AB470" s="4">
        <f>SUMIFS(super1[Qtde],super1[Item],tab_alimentos[[#This Row],[Item]],super1[Bairro],mercado17)+SUMIFS(supercb[Qtde],supercb[Item],tab_alimentos[[#This Row],[Item]],supercb[Bairro],mercado17)</f>
        <v>0</v>
      </c>
      <c r="AC470" s="4">
        <f>SUMIFS(super1[Qtde],super1[Item],tab_alimentos[[#This Row],[Item]],super1[Bairro],mercado18)+SUMIFS(supercb[Qtde],supercb[Item],tab_alimentos[[#This Row],[Item]],supercb[Bairro],mercado18)</f>
        <v>0</v>
      </c>
      <c r="AD470" s="4">
        <f>SUMIFS(super1[Qtde],super1[Item],tab_alimentos[[#This Row],[Item]],super1[Bairro],extras)+SUMIFS(supercb[Qtde],supercb[Item],tab_alimentos[[#This Row],[Item]],supercb[Bairro],extras)</f>
        <v>0</v>
      </c>
      <c r="AE470" s="4">
        <f t="shared" si="100"/>
        <v>0</v>
      </c>
      <c r="AF470" s="4">
        <f t="shared" si="101"/>
        <v>0</v>
      </c>
      <c r="AG470" s="6">
        <f t="shared" si="102"/>
        <v>0</v>
      </c>
    </row>
    <row r="471" spans="9:33" x14ac:dyDescent="0.25">
      <c r="I471" s="19" t="e">
        <f>alimentos[[#This Row],[Item]]</f>
        <v>#VALUE!</v>
      </c>
      <c r="J471" s="4">
        <f>IFERROR(alimentos[[#This Row],[kg/embalagem]],0)</f>
        <v>0</v>
      </c>
      <c r="K471" s="4">
        <f>IFERROR(alimentos[[#This Row],[Preço]],0)</f>
        <v>0</v>
      </c>
      <c r="L471" s="4">
        <f>SUMIFS(super1[Qtde],super1[Item],tab_alimentos[[#This Row],[Item]],super1[Bairro],mercado1)+SUMIFS(supercb[Qtde],supercb[Item],tab_alimentos[[#This Row],[Item]],supercb[Bairro],mercado1)</f>
        <v>0</v>
      </c>
      <c r="M471" s="4">
        <f>SUMIFS(super1[Qtde],super1[Item],tab_alimentos[[#This Row],[Item]],super1[Bairro],mercado2)+SUMIFS(supercb[Qtde],supercb[Item],tab_alimentos[[#This Row],[Item]],supercb[Bairro],mercado2)</f>
        <v>0</v>
      </c>
      <c r="N471" s="4">
        <f>SUMIFS(super1[Qtde],super1[Item],tab_alimentos[[#This Row],[Item]],super1[Bairro],mercado3)+SUMIFS(supercb[Qtde],supercb[Item],tab_alimentos[[#This Row],[Item]],supercb[Bairro],mercado3)</f>
        <v>0</v>
      </c>
      <c r="O471" s="4">
        <f>SUMIFS(super1[Qtde],super1[Item],tab_alimentos[[#This Row],[Item]],super1[Bairro],mercado4)+SUMIFS(supercb[Qtde],supercb[Item],tab_alimentos[[#This Row],[Item]],supercb[Bairro],mercado4)</f>
        <v>0</v>
      </c>
      <c r="P471" s="4">
        <f>SUMIFS(super1[Qtde],super1[Item],tab_alimentos[[#This Row],[Item]],super1[Bairro],mercado5)+SUMIFS(supercb[Qtde],supercb[Item],tab_alimentos[[#This Row],[Item]],supercb[Bairro],mercado5)</f>
        <v>0</v>
      </c>
      <c r="Q471" s="4">
        <f>SUMIFS(super1[Qtde],super1[Item],tab_alimentos[[#This Row],[Item]],super1[Bairro],mercado6)+SUMIFS(supercb[Qtde],supercb[Item],tab_alimentos[[#This Row],[Item]],supercb[Bairro],mercado6)</f>
        <v>0</v>
      </c>
      <c r="R471" s="4">
        <f>SUMIFS(super1[Qtde],super1[Item],tab_alimentos[[#This Row],[Item]],super1[Bairro],mercado7)+SUMIFS(supercb[Qtde],supercb[Item],tab_alimentos[[#This Row],[Item]],supercb[Bairro],mercado7)</f>
        <v>0</v>
      </c>
      <c r="S471" s="4">
        <f>SUMIFS(super1[Qtde],super1[Item],tab_alimentos[[#This Row],[Item]],super1[Bairro],mercado8)+SUMIFS(supercb[Qtde],supercb[Item],tab_alimentos[[#This Row],[Item]],supercb[Bairro],mercado8)</f>
        <v>0</v>
      </c>
      <c r="T471" s="4">
        <f>SUMIFS(super1[Qtde],super1[Item],tab_alimentos[[#This Row],[Item]],super1[Bairro],mercado9)+SUMIFS(supercb[Qtde],supercb[Item],tab_alimentos[[#This Row],[Item]],supercb[Bairro],mercado9)</f>
        <v>0</v>
      </c>
      <c r="U471" s="4">
        <f>SUMIFS(super1[Qtde],super1[Item],tab_alimentos[[#This Row],[Item]],super1[Bairro],mercado10)+SUMIFS(supercb[Qtde],supercb[Item],tab_alimentos[[#This Row],[Item]],supercb[Bairro],mercado10)</f>
        <v>0</v>
      </c>
      <c r="V471" s="4">
        <f>SUMIFS(super1[Qtde],super1[Item],tab_alimentos[[#This Row],[Item]],super1[Bairro],mercado11)+SUMIFS(supercb[Qtde],supercb[Item],tab_alimentos[[#This Row],[Item]],supercb[Bairro],mercado11)</f>
        <v>0</v>
      </c>
      <c r="W471" s="4">
        <f>SUMIFS(super1[Qtde],super1[Item],tab_alimentos[[#This Row],[Item]],super1[Bairro],mercado12)+SUMIFS(supercb[Qtde],supercb[Item],tab_alimentos[[#This Row],[Item]],supercb[Bairro],mercado12)</f>
        <v>0</v>
      </c>
      <c r="X471" s="4">
        <f>SUMIFS(super1[Qtde],super1[Item],tab_alimentos[[#This Row],[Item]],super1[Bairro],mercado13)+SUMIFS(supercb[Qtde],supercb[Item],tab_alimentos[[#This Row],[Item]],supercb[Bairro],mercado13)</f>
        <v>0</v>
      </c>
      <c r="Y471" s="4">
        <f>SUMIFS(super1[Qtde],super1[Item],tab_alimentos[[#This Row],[Item]],super1[Bairro],mercado14)+SUMIFS(supercb[Qtde],supercb[Item],tab_alimentos[[#This Row],[Item]],supercb[Bairro],mercado14)</f>
        <v>0</v>
      </c>
      <c r="Z471" s="4">
        <f>SUMIFS(super1[Qtde],super1[Item],tab_alimentos[[#This Row],[Item]],super1[Bairro],mercado15)+SUMIFS(supercb[Qtde],supercb[Item],tab_alimentos[[#This Row],[Item]],supercb[Bairro],mercado15)</f>
        <v>0</v>
      </c>
      <c r="AA471" s="4">
        <f>SUMIFS(super1[Qtde],super1[Item],tab_alimentos[[#This Row],[Item]],super1[Bairro],mercado16)+SUMIFS(supercb[Qtde],supercb[Item],tab_alimentos[[#This Row],[Item]],supercb[Bairro],mercado16)</f>
        <v>0</v>
      </c>
      <c r="AB471" s="4">
        <f>SUMIFS(super1[Qtde],super1[Item],tab_alimentos[[#This Row],[Item]],super1[Bairro],mercado17)+SUMIFS(supercb[Qtde],supercb[Item],tab_alimentos[[#This Row],[Item]],supercb[Bairro],mercado17)</f>
        <v>0</v>
      </c>
      <c r="AC471" s="4">
        <f>SUMIFS(super1[Qtde],super1[Item],tab_alimentos[[#This Row],[Item]],super1[Bairro],mercado18)+SUMIFS(supercb[Qtde],supercb[Item],tab_alimentos[[#This Row],[Item]],supercb[Bairro],mercado18)</f>
        <v>0</v>
      </c>
      <c r="AD471" s="4">
        <f>SUMIFS(super1[Qtde],super1[Item],tab_alimentos[[#This Row],[Item]],super1[Bairro],extras)+SUMIFS(supercb[Qtde],supercb[Item],tab_alimentos[[#This Row],[Item]],supercb[Bairro],extras)</f>
        <v>0</v>
      </c>
      <c r="AE471" s="4">
        <f t="shared" si="100"/>
        <v>0</v>
      </c>
      <c r="AF471" s="4">
        <f t="shared" si="101"/>
        <v>0</v>
      </c>
      <c r="AG471" s="6">
        <f t="shared" si="102"/>
        <v>0</v>
      </c>
    </row>
    <row r="472" spans="9:33" x14ac:dyDescent="0.25">
      <c r="I472" s="19" t="e">
        <f>alimentos[[#This Row],[Item]]</f>
        <v>#VALUE!</v>
      </c>
      <c r="J472" s="4">
        <f>IFERROR(alimentos[[#This Row],[kg/embalagem]],0)</f>
        <v>0</v>
      </c>
      <c r="K472" s="4">
        <f>IFERROR(alimentos[[#This Row],[Preço]],0)</f>
        <v>0</v>
      </c>
      <c r="L472" s="4">
        <f>SUMIFS(super1[Qtde],super1[Item],tab_alimentos[[#This Row],[Item]],super1[Bairro],mercado1)+SUMIFS(supercb[Qtde],supercb[Item],tab_alimentos[[#This Row],[Item]],supercb[Bairro],mercado1)</f>
        <v>0</v>
      </c>
      <c r="M472" s="4">
        <f>SUMIFS(super1[Qtde],super1[Item],tab_alimentos[[#This Row],[Item]],super1[Bairro],mercado2)+SUMIFS(supercb[Qtde],supercb[Item],tab_alimentos[[#This Row],[Item]],supercb[Bairro],mercado2)</f>
        <v>0</v>
      </c>
      <c r="N472" s="4">
        <f>SUMIFS(super1[Qtde],super1[Item],tab_alimentos[[#This Row],[Item]],super1[Bairro],mercado3)+SUMIFS(supercb[Qtde],supercb[Item],tab_alimentos[[#This Row],[Item]],supercb[Bairro],mercado3)</f>
        <v>0</v>
      </c>
      <c r="O472" s="4">
        <f>SUMIFS(super1[Qtde],super1[Item],tab_alimentos[[#This Row],[Item]],super1[Bairro],mercado4)+SUMIFS(supercb[Qtde],supercb[Item],tab_alimentos[[#This Row],[Item]],supercb[Bairro],mercado4)</f>
        <v>0</v>
      </c>
      <c r="P472" s="4">
        <f>SUMIFS(super1[Qtde],super1[Item],tab_alimentos[[#This Row],[Item]],super1[Bairro],mercado5)+SUMIFS(supercb[Qtde],supercb[Item],tab_alimentos[[#This Row],[Item]],supercb[Bairro],mercado5)</f>
        <v>0</v>
      </c>
      <c r="Q472" s="4">
        <f>SUMIFS(super1[Qtde],super1[Item],tab_alimentos[[#This Row],[Item]],super1[Bairro],mercado6)+SUMIFS(supercb[Qtde],supercb[Item],tab_alimentos[[#This Row],[Item]],supercb[Bairro],mercado6)</f>
        <v>0</v>
      </c>
      <c r="R472" s="4">
        <f>SUMIFS(super1[Qtde],super1[Item],tab_alimentos[[#This Row],[Item]],super1[Bairro],mercado7)+SUMIFS(supercb[Qtde],supercb[Item],tab_alimentos[[#This Row],[Item]],supercb[Bairro],mercado7)</f>
        <v>0</v>
      </c>
      <c r="S472" s="4">
        <f>SUMIFS(super1[Qtde],super1[Item],tab_alimentos[[#This Row],[Item]],super1[Bairro],mercado8)+SUMIFS(supercb[Qtde],supercb[Item],tab_alimentos[[#This Row],[Item]],supercb[Bairro],mercado8)</f>
        <v>0</v>
      </c>
      <c r="T472" s="4">
        <f>SUMIFS(super1[Qtde],super1[Item],tab_alimentos[[#This Row],[Item]],super1[Bairro],mercado9)+SUMIFS(supercb[Qtde],supercb[Item],tab_alimentos[[#This Row],[Item]],supercb[Bairro],mercado9)</f>
        <v>0</v>
      </c>
      <c r="U472" s="4">
        <f>SUMIFS(super1[Qtde],super1[Item],tab_alimentos[[#This Row],[Item]],super1[Bairro],mercado10)+SUMIFS(supercb[Qtde],supercb[Item],tab_alimentos[[#This Row],[Item]],supercb[Bairro],mercado10)</f>
        <v>0</v>
      </c>
      <c r="V472" s="4">
        <f>SUMIFS(super1[Qtde],super1[Item],tab_alimentos[[#This Row],[Item]],super1[Bairro],mercado11)+SUMIFS(supercb[Qtde],supercb[Item],tab_alimentos[[#This Row],[Item]],supercb[Bairro],mercado11)</f>
        <v>0</v>
      </c>
      <c r="W472" s="4">
        <f>SUMIFS(super1[Qtde],super1[Item],tab_alimentos[[#This Row],[Item]],super1[Bairro],mercado12)+SUMIFS(supercb[Qtde],supercb[Item],tab_alimentos[[#This Row],[Item]],supercb[Bairro],mercado12)</f>
        <v>0</v>
      </c>
      <c r="X472" s="4">
        <f>SUMIFS(super1[Qtde],super1[Item],tab_alimentos[[#This Row],[Item]],super1[Bairro],mercado13)+SUMIFS(supercb[Qtde],supercb[Item],tab_alimentos[[#This Row],[Item]],supercb[Bairro],mercado13)</f>
        <v>0</v>
      </c>
      <c r="Y472" s="4">
        <f>SUMIFS(super1[Qtde],super1[Item],tab_alimentos[[#This Row],[Item]],super1[Bairro],mercado14)+SUMIFS(supercb[Qtde],supercb[Item],tab_alimentos[[#This Row],[Item]],supercb[Bairro],mercado14)</f>
        <v>0</v>
      </c>
      <c r="Z472" s="4">
        <f>SUMIFS(super1[Qtde],super1[Item],tab_alimentos[[#This Row],[Item]],super1[Bairro],mercado15)+SUMIFS(supercb[Qtde],supercb[Item],tab_alimentos[[#This Row],[Item]],supercb[Bairro],mercado15)</f>
        <v>0</v>
      </c>
      <c r="AA472" s="4">
        <f>SUMIFS(super1[Qtde],super1[Item],tab_alimentos[[#This Row],[Item]],super1[Bairro],mercado16)+SUMIFS(supercb[Qtde],supercb[Item],tab_alimentos[[#This Row],[Item]],supercb[Bairro],mercado16)</f>
        <v>0</v>
      </c>
      <c r="AB472" s="4">
        <f>SUMIFS(super1[Qtde],super1[Item],tab_alimentos[[#This Row],[Item]],super1[Bairro],mercado17)+SUMIFS(supercb[Qtde],supercb[Item],tab_alimentos[[#This Row],[Item]],supercb[Bairro],mercado17)</f>
        <v>0</v>
      </c>
      <c r="AC472" s="4">
        <f>SUMIFS(super1[Qtde],super1[Item],tab_alimentos[[#This Row],[Item]],super1[Bairro],mercado18)+SUMIFS(supercb[Qtde],supercb[Item],tab_alimentos[[#This Row],[Item]],supercb[Bairro],mercado18)</f>
        <v>0</v>
      </c>
      <c r="AD472" s="4">
        <f>SUMIFS(super1[Qtde],super1[Item],tab_alimentos[[#This Row],[Item]],super1[Bairro],extras)+SUMIFS(supercb[Qtde],supercb[Item],tab_alimentos[[#This Row],[Item]],supercb[Bairro],extras)</f>
        <v>0</v>
      </c>
      <c r="AE472" s="4">
        <f t="shared" si="100"/>
        <v>0</v>
      </c>
      <c r="AF472" s="4">
        <f t="shared" si="101"/>
        <v>0</v>
      </c>
      <c r="AG472" s="6">
        <f t="shared" si="102"/>
        <v>0</v>
      </c>
    </row>
    <row r="473" spans="9:33" x14ac:dyDescent="0.25">
      <c r="I473" s="19" t="e">
        <f>alimentos[[#This Row],[Item]]</f>
        <v>#VALUE!</v>
      </c>
      <c r="J473" s="4">
        <f>IFERROR(alimentos[[#This Row],[kg/embalagem]],0)</f>
        <v>0</v>
      </c>
      <c r="K473" s="4">
        <f>IFERROR(alimentos[[#This Row],[Preço]],0)</f>
        <v>0</v>
      </c>
      <c r="L473" s="4">
        <f>SUMIFS(super1[Qtde],super1[Item],tab_alimentos[[#This Row],[Item]],super1[Bairro],mercado1)+SUMIFS(supercb[Qtde],supercb[Item],tab_alimentos[[#This Row],[Item]],supercb[Bairro],mercado1)</f>
        <v>0</v>
      </c>
      <c r="M473" s="4">
        <f>SUMIFS(super1[Qtde],super1[Item],tab_alimentos[[#This Row],[Item]],super1[Bairro],mercado2)+SUMIFS(supercb[Qtde],supercb[Item],tab_alimentos[[#This Row],[Item]],supercb[Bairro],mercado2)</f>
        <v>0</v>
      </c>
      <c r="N473" s="4">
        <f>SUMIFS(super1[Qtde],super1[Item],tab_alimentos[[#This Row],[Item]],super1[Bairro],mercado3)+SUMIFS(supercb[Qtde],supercb[Item],tab_alimentos[[#This Row],[Item]],supercb[Bairro],mercado3)</f>
        <v>0</v>
      </c>
      <c r="O473" s="4">
        <f>SUMIFS(super1[Qtde],super1[Item],tab_alimentos[[#This Row],[Item]],super1[Bairro],mercado4)+SUMIFS(supercb[Qtde],supercb[Item],tab_alimentos[[#This Row],[Item]],supercb[Bairro],mercado4)</f>
        <v>0</v>
      </c>
      <c r="P473" s="4">
        <f>SUMIFS(super1[Qtde],super1[Item],tab_alimentos[[#This Row],[Item]],super1[Bairro],mercado5)+SUMIFS(supercb[Qtde],supercb[Item],tab_alimentos[[#This Row],[Item]],supercb[Bairro],mercado5)</f>
        <v>0</v>
      </c>
      <c r="Q473" s="4">
        <f>SUMIFS(super1[Qtde],super1[Item],tab_alimentos[[#This Row],[Item]],super1[Bairro],mercado6)+SUMIFS(supercb[Qtde],supercb[Item],tab_alimentos[[#This Row],[Item]],supercb[Bairro],mercado6)</f>
        <v>0</v>
      </c>
      <c r="R473" s="4">
        <f>SUMIFS(super1[Qtde],super1[Item],tab_alimentos[[#This Row],[Item]],super1[Bairro],mercado7)+SUMIFS(supercb[Qtde],supercb[Item],tab_alimentos[[#This Row],[Item]],supercb[Bairro],mercado7)</f>
        <v>0</v>
      </c>
      <c r="S473" s="4">
        <f>SUMIFS(super1[Qtde],super1[Item],tab_alimentos[[#This Row],[Item]],super1[Bairro],mercado8)+SUMIFS(supercb[Qtde],supercb[Item],tab_alimentos[[#This Row],[Item]],supercb[Bairro],mercado8)</f>
        <v>0</v>
      </c>
      <c r="T473" s="4">
        <f>SUMIFS(super1[Qtde],super1[Item],tab_alimentos[[#This Row],[Item]],super1[Bairro],mercado9)+SUMIFS(supercb[Qtde],supercb[Item],tab_alimentos[[#This Row],[Item]],supercb[Bairro],mercado9)</f>
        <v>0</v>
      </c>
      <c r="U473" s="4">
        <f>SUMIFS(super1[Qtde],super1[Item],tab_alimentos[[#This Row],[Item]],super1[Bairro],mercado10)+SUMIFS(supercb[Qtde],supercb[Item],tab_alimentos[[#This Row],[Item]],supercb[Bairro],mercado10)</f>
        <v>0</v>
      </c>
      <c r="V473" s="4">
        <f>SUMIFS(super1[Qtde],super1[Item],tab_alimentos[[#This Row],[Item]],super1[Bairro],mercado11)+SUMIFS(supercb[Qtde],supercb[Item],tab_alimentos[[#This Row],[Item]],supercb[Bairro],mercado11)</f>
        <v>0</v>
      </c>
      <c r="W473" s="4">
        <f>SUMIFS(super1[Qtde],super1[Item],tab_alimentos[[#This Row],[Item]],super1[Bairro],mercado12)+SUMIFS(supercb[Qtde],supercb[Item],tab_alimentos[[#This Row],[Item]],supercb[Bairro],mercado12)</f>
        <v>0</v>
      </c>
      <c r="X473" s="4">
        <f>SUMIFS(super1[Qtde],super1[Item],tab_alimentos[[#This Row],[Item]],super1[Bairro],mercado13)+SUMIFS(supercb[Qtde],supercb[Item],tab_alimentos[[#This Row],[Item]],supercb[Bairro],mercado13)</f>
        <v>0</v>
      </c>
      <c r="Y473" s="4">
        <f>SUMIFS(super1[Qtde],super1[Item],tab_alimentos[[#This Row],[Item]],super1[Bairro],mercado14)+SUMIFS(supercb[Qtde],supercb[Item],tab_alimentos[[#This Row],[Item]],supercb[Bairro],mercado14)</f>
        <v>0</v>
      </c>
      <c r="Z473" s="4">
        <f>SUMIFS(super1[Qtde],super1[Item],tab_alimentos[[#This Row],[Item]],super1[Bairro],mercado15)+SUMIFS(supercb[Qtde],supercb[Item],tab_alimentos[[#This Row],[Item]],supercb[Bairro],mercado15)</f>
        <v>0</v>
      </c>
      <c r="AA473" s="4">
        <f>SUMIFS(super1[Qtde],super1[Item],tab_alimentos[[#This Row],[Item]],super1[Bairro],mercado16)+SUMIFS(supercb[Qtde],supercb[Item],tab_alimentos[[#This Row],[Item]],supercb[Bairro],mercado16)</f>
        <v>0</v>
      </c>
      <c r="AB473" s="4">
        <f>SUMIFS(super1[Qtde],super1[Item],tab_alimentos[[#This Row],[Item]],super1[Bairro],mercado17)+SUMIFS(supercb[Qtde],supercb[Item],tab_alimentos[[#This Row],[Item]],supercb[Bairro],mercado17)</f>
        <v>0</v>
      </c>
      <c r="AC473" s="4">
        <f>SUMIFS(super1[Qtde],super1[Item],tab_alimentos[[#This Row],[Item]],super1[Bairro],mercado18)+SUMIFS(supercb[Qtde],supercb[Item],tab_alimentos[[#This Row],[Item]],supercb[Bairro],mercado18)</f>
        <v>0</v>
      </c>
      <c r="AD473" s="4">
        <f>SUMIFS(super1[Qtde],super1[Item],tab_alimentos[[#This Row],[Item]],super1[Bairro],extras)+SUMIFS(supercb[Qtde],supercb[Item],tab_alimentos[[#This Row],[Item]],supercb[Bairro],extras)</f>
        <v>0</v>
      </c>
      <c r="AE473" s="4">
        <f t="shared" si="100"/>
        <v>0</v>
      </c>
      <c r="AF473" s="4">
        <f t="shared" si="101"/>
        <v>0</v>
      </c>
      <c r="AG473" s="6">
        <f t="shared" si="102"/>
        <v>0</v>
      </c>
    </row>
    <row r="474" spans="9:33" x14ac:dyDescent="0.25">
      <c r="I474" s="19" t="e">
        <f>alimentos[[#This Row],[Item]]</f>
        <v>#VALUE!</v>
      </c>
      <c r="J474" s="4">
        <f>IFERROR(alimentos[[#This Row],[kg/embalagem]],0)</f>
        <v>0</v>
      </c>
      <c r="K474" s="4">
        <f>IFERROR(alimentos[[#This Row],[Preço]],0)</f>
        <v>0</v>
      </c>
      <c r="L474" s="4">
        <f>SUMIFS(super1[Qtde],super1[Item],tab_alimentos[[#This Row],[Item]],super1[Bairro],mercado1)+SUMIFS(supercb[Qtde],supercb[Item],tab_alimentos[[#This Row],[Item]],supercb[Bairro],mercado1)</f>
        <v>0</v>
      </c>
      <c r="M474" s="4">
        <f>SUMIFS(super1[Qtde],super1[Item],tab_alimentos[[#This Row],[Item]],super1[Bairro],mercado2)+SUMIFS(supercb[Qtde],supercb[Item],tab_alimentos[[#This Row],[Item]],supercb[Bairro],mercado2)</f>
        <v>0</v>
      </c>
      <c r="N474" s="4">
        <f>SUMIFS(super1[Qtde],super1[Item],tab_alimentos[[#This Row],[Item]],super1[Bairro],mercado3)+SUMIFS(supercb[Qtde],supercb[Item],tab_alimentos[[#This Row],[Item]],supercb[Bairro],mercado3)</f>
        <v>0</v>
      </c>
      <c r="O474" s="4">
        <f>SUMIFS(super1[Qtde],super1[Item],tab_alimentos[[#This Row],[Item]],super1[Bairro],mercado4)+SUMIFS(supercb[Qtde],supercb[Item],tab_alimentos[[#This Row],[Item]],supercb[Bairro],mercado4)</f>
        <v>0</v>
      </c>
      <c r="P474" s="4">
        <f>SUMIFS(super1[Qtde],super1[Item],tab_alimentos[[#This Row],[Item]],super1[Bairro],mercado5)+SUMIFS(supercb[Qtde],supercb[Item],tab_alimentos[[#This Row],[Item]],supercb[Bairro],mercado5)</f>
        <v>0</v>
      </c>
      <c r="Q474" s="4">
        <f>SUMIFS(super1[Qtde],super1[Item],tab_alimentos[[#This Row],[Item]],super1[Bairro],mercado6)+SUMIFS(supercb[Qtde],supercb[Item],tab_alimentos[[#This Row],[Item]],supercb[Bairro],mercado6)</f>
        <v>0</v>
      </c>
      <c r="R474" s="4">
        <f>SUMIFS(super1[Qtde],super1[Item],tab_alimentos[[#This Row],[Item]],super1[Bairro],mercado7)+SUMIFS(supercb[Qtde],supercb[Item],tab_alimentos[[#This Row],[Item]],supercb[Bairro],mercado7)</f>
        <v>0</v>
      </c>
      <c r="S474" s="4">
        <f>SUMIFS(super1[Qtde],super1[Item],tab_alimentos[[#This Row],[Item]],super1[Bairro],mercado8)+SUMIFS(supercb[Qtde],supercb[Item],tab_alimentos[[#This Row],[Item]],supercb[Bairro],mercado8)</f>
        <v>0</v>
      </c>
      <c r="T474" s="4">
        <f>SUMIFS(super1[Qtde],super1[Item],tab_alimentos[[#This Row],[Item]],super1[Bairro],mercado9)+SUMIFS(supercb[Qtde],supercb[Item],tab_alimentos[[#This Row],[Item]],supercb[Bairro],mercado9)</f>
        <v>0</v>
      </c>
      <c r="U474" s="4">
        <f>SUMIFS(super1[Qtde],super1[Item],tab_alimentos[[#This Row],[Item]],super1[Bairro],mercado10)+SUMIFS(supercb[Qtde],supercb[Item],tab_alimentos[[#This Row],[Item]],supercb[Bairro],mercado10)</f>
        <v>0</v>
      </c>
      <c r="V474" s="4">
        <f>SUMIFS(super1[Qtde],super1[Item],tab_alimentos[[#This Row],[Item]],super1[Bairro],mercado11)+SUMIFS(supercb[Qtde],supercb[Item],tab_alimentos[[#This Row],[Item]],supercb[Bairro],mercado11)</f>
        <v>0</v>
      </c>
      <c r="W474" s="4">
        <f>SUMIFS(super1[Qtde],super1[Item],tab_alimentos[[#This Row],[Item]],super1[Bairro],mercado12)+SUMIFS(supercb[Qtde],supercb[Item],tab_alimentos[[#This Row],[Item]],supercb[Bairro],mercado12)</f>
        <v>0</v>
      </c>
      <c r="X474" s="4">
        <f>SUMIFS(super1[Qtde],super1[Item],tab_alimentos[[#This Row],[Item]],super1[Bairro],mercado13)+SUMIFS(supercb[Qtde],supercb[Item],tab_alimentos[[#This Row],[Item]],supercb[Bairro],mercado13)</f>
        <v>0</v>
      </c>
      <c r="Y474" s="4">
        <f>SUMIFS(super1[Qtde],super1[Item],tab_alimentos[[#This Row],[Item]],super1[Bairro],mercado14)+SUMIFS(supercb[Qtde],supercb[Item],tab_alimentos[[#This Row],[Item]],supercb[Bairro],mercado14)</f>
        <v>0</v>
      </c>
      <c r="Z474" s="4">
        <f>SUMIFS(super1[Qtde],super1[Item],tab_alimentos[[#This Row],[Item]],super1[Bairro],mercado15)+SUMIFS(supercb[Qtde],supercb[Item],tab_alimentos[[#This Row],[Item]],supercb[Bairro],mercado15)</f>
        <v>0</v>
      </c>
      <c r="AA474" s="4">
        <f>SUMIFS(super1[Qtde],super1[Item],tab_alimentos[[#This Row],[Item]],super1[Bairro],mercado16)+SUMIFS(supercb[Qtde],supercb[Item],tab_alimentos[[#This Row],[Item]],supercb[Bairro],mercado16)</f>
        <v>0</v>
      </c>
      <c r="AB474" s="4">
        <f>SUMIFS(super1[Qtde],super1[Item],tab_alimentos[[#This Row],[Item]],super1[Bairro],mercado17)+SUMIFS(supercb[Qtde],supercb[Item],tab_alimentos[[#This Row],[Item]],supercb[Bairro],mercado17)</f>
        <v>0</v>
      </c>
      <c r="AC474" s="4">
        <f>SUMIFS(super1[Qtde],super1[Item],tab_alimentos[[#This Row],[Item]],super1[Bairro],mercado18)+SUMIFS(supercb[Qtde],supercb[Item],tab_alimentos[[#This Row],[Item]],supercb[Bairro],mercado18)</f>
        <v>0</v>
      </c>
      <c r="AD474" s="4">
        <f>SUMIFS(super1[Qtde],super1[Item],tab_alimentos[[#This Row],[Item]],super1[Bairro],extras)+SUMIFS(supercb[Qtde],supercb[Item],tab_alimentos[[#This Row],[Item]],supercb[Bairro],extras)</f>
        <v>0</v>
      </c>
      <c r="AE474" s="4">
        <f t="shared" si="100"/>
        <v>0</v>
      </c>
      <c r="AF474" s="4">
        <f t="shared" si="101"/>
        <v>0</v>
      </c>
      <c r="AG474" s="6">
        <f t="shared" si="102"/>
        <v>0</v>
      </c>
    </row>
    <row r="475" spans="9:33" x14ac:dyDescent="0.25">
      <c r="I475" s="19" t="e">
        <f>alimentos[[#This Row],[Item]]</f>
        <v>#VALUE!</v>
      </c>
      <c r="J475" s="4">
        <f>IFERROR(alimentos[[#This Row],[kg/embalagem]],0)</f>
        <v>0</v>
      </c>
      <c r="K475" s="4">
        <f>IFERROR(alimentos[[#This Row],[Preço]],0)</f>
        <v>0</v>
      </c>
      <c r="L475" s="4">
        <f>SUMIFS(super1[Qtde],super1[Item],tab_alimentos[[#This Row],[Item]],super1[Bairro],mercado1)+SUMIFS(supercb[Qtde],supercb[Item],tab_alimentos[[#This Row],[Item]],supercb[Bairro],mercado1)</f>
        <v>0</v>
      </c>
      <c r="M475" s="4">
        <f>SUMIFS(super1[Qtde],super1[Item],tab_alimentos[[#This Row],[Item]],super1[Bairro],mercado2)+SUMIFS(supercb[Qtde],supercb[Item],tab_alimentos[[#This Row],[Item]],supercb[Bairro],mercado2)</f>
        <v>0</v>
      </c>
      <c r="N475" s="4">
        <f>SUMIFS(super1[Qtde],super1[Item],tab_alimentos[[#This Row],[Item]],super1[Bairro],mercado3)+SUMIFS(supercb[Qtde],supercb[Item],tab_alimentos[[#This Row],[Item]],supercb[Bairro],mercado3)</f>
        <v>0</v>
      </c>
      <c r="O475" s="4">
        <f>SUMIFS(super1[Qtde],super1[Item],tab_alimentos[[#This Row],[Item]],super1[Bairro],mercado4)+SUMIFS(supercb[Qtde],supercb[Item],tab_alimentos[[#This Row],[Item]],supercb[Bairro],mercado4)</f>
        <v>0</v>
      </c>
      <c r="P475" s="4">
        <f>SUMIFS(super1[Qtde],super1[Item],tab_alimentos[[#This Row],[Item]],super1[Bairro],mercado5)+SUMIFS(supercb[Qtde],supercb[Item],tab_alimentos[[#This Row],[Item]],supercb[Bairro],mercado5)</f>
        <v>0</v>
      </c>
      <c r="Q475" s="4">
        <f>SUMIFS(super1[Qtde],super1[Item],tab_alimentos[[#This Row],[Item]],super1[Bairro],mercado6)+SUMIFS(supercb[Qtde],supercb[Item],tab_alimentos[[#This Row],[Item]],supercb[Bairro],mercado6)</f>
        <v>0</v>
      </c>
      <c r="R475" s="4">
        <f>SUMIFS(super1[Qtde],super1[Item],tab_alimentos[[#This Row],[Item]],super1[Bairro],mercado7)+SUMIFS(supercb[Qtde],supercb[Item],tab_alimentos[[#This Row],[Item]],supercb[Bairro],mercado7)</f>
        <v>0</v>
      </c>
      <c r="S475" s="4">
        <f>SUMIFS(super1[Qtde],super1[Item],tab_alimentos[[#This Row],[Item]],super1[Bairro],mercado8)+SUMIFS(supercb[Qtde],supercb[Item],tab_alimentos[[#This Row],[Item]],supercb[Bairro],mercado8)</f>
        <v>0</v>
      </c>
      <c r="T475" s="4">
        <f>SUMIFS(super1[Qtde],super1[Item],tab_alimentos[[#This Row],[Item]],super1[Bairro],mercado9)+SUMIFS(supercb[Qtde],supercb[Item],tab_alimentos[[#This Row],[Item]],supercb[Bairro],mercado9)</f>
        <v>0</v>
      </c>
      <c r="U475" s="4">
        <f>SUMIFS(super1[Qtde],super1[Item],tab_alimentos[[#This Row],[Item]],super1[Bairro],mercado10)+SUMIFS(supercb[Qtde],supercb[Item],tab_alimentos[[#This Row],[Item]],supercb[Bairro],mercado10)</f>
        <v>0</v>
      </c>
      <c r="V475" s="4">
        <f>SUMIFS(super1[Qtde],super1[Item],tab_alimentos[[#This Row],[Item]],super1[Bairro],mercado11)+SUMIFS(supercb[Qtde],supercb[Item],tab_alimentos[[#This Row],[Item]],supercb[Bairro],mercado11)</f>
        <v>0</v>
      </c>
      <c r="W475" s="4">
        <f>SUMIFS(super1[Qtde],super1[Item],tab_alimentos[[#This Row],[Item]],super1[Bairro],mercado12)+SUMIFS(supercb[Qtde],supercb[Item],tab_alimentos[[#This Row],[Item]],supercb[Bairro],mercado12)</f>
        <v>0</v>
      </c>
      <c r="X475" s="4">
        <f>SUMIFS(super1[Qtde],super1[Item],tab_alimentos[[#This Row],[Item]],super1[Bairro],mercado13)+SUMIFS(supercb[Qtde],supercb[Item],tab_alimentos[[#This Row],[Item]],supercb[Bairro],mercado13)</f>
        <v>0</v>
      </c>
      <c r="Y475" s="4">
        <f>SUMIFS(super1[Qtde],super1[Item],tab_alimentos[[#This Row],[Item]],super1[Bairro],mercado14)+SUMIFS(supercb[Qtde],supercb[Item],tab_alimentos[[#This Row],[Item]],supercb[Bairro],mercado14)</f>
        <v>0</v>
      </c>
      <c r="Z475" s="4">
        <f>SUMIFS(super1[Qtde],super1[Item],tab_alimentos[[#This Row],[Item]],super1[Bairro],mercado15)+SUMIFS(supercb[Qtde],supercb[Item],tab_alimentos[[#This Row],[Item]],supercb[Bairro],mercado15)</f>
        <v>0</v>
      </c>
      <c r="AA475" s="4">
        <f>SUMIFS(super1[Qtde],super1[Item],tab_alimentos[[#This Row],[Item]],super1[Bairro],mercado16)+SUMIFS(supercb[Qtde],supercb[Item],tab_alimentos[[#This Row],[Item]],supercb[Bairro],mercado16)</f>
        <v>0</v>
      </c>
      <c r="AB475" s="4">
        <f>SUMIFS(super1[Qtde],super1[Item],tab_alimentos[[#This Row],[Item]],super1[Bairro],mercado17)+SUMIFS(supercb[Qtde],supercb[Item],tab_alimentos[[#This Row],[Item]],supercb[Bairro],mercado17)</f>
        <v>0</v>
      </c>
      <c r="AC475" s="4">
        <f>SUMIFS(super1[Qtde],super1[Item],tab_alimentos[[#This Row],[Item]],super1[Bairro],mercado18)+SUMIFS(supercb[Qtde],supercb[Item],tab_alimentos[[#This Row],[Item]],supercb[Bairro],mercado18)</f>
        <v>0</v>
      </c>
      <c r="AD475" s="4">
        <f>SUMIFS(super1[Qtde],super1[Item],tab_alimentos[[#This Row],[Item]],super1[Bairro],extras)+SUMIFS(supercb[Qtde],supercb[Item],tab_alimentos[[#This Row],[Item]],supercb[Bairro],extras)</f>
        <v>0</v>
      </c>
      <c r="AE475" s="4">
        <f t="shared" si="100"/>
        <v>0</v>
      </c>
      <c r="AF475" s="4">
        <f t="shared" si="101"/>
        <v>0</v>
      </c>
      <c r="AG475" s="6">
        <f t="shared" si="102"/>
        <v>0</v>
      </c>
    </row>
    <row r="476" spans="9:33" x14ac:dyDescent="0.25">
      <c r="I476" s="19" t="e">
        <f>alimentos[[#This Row],[Item]]</f>
        <v>#VALUE!</v>
      </c>
      <c r="J476" s="4">
        <f>IFERROR(alimentos[[#This Row],[kg/embalagem]],0)</f>
        <v>0</v>
      </c>
      <c r="K476" s="4">
        <f>IFERROR(alimentos[[#This Row],[Preço]],0)</f>
        <v>0</v>
      </c>
      <c r="L476" s="4">
        <f>SUMIFS(super1[Qtde],super1[Item],tab_alimentos[[#This Row],[Item]],super1[Bairro],mercado1)+SUMIFS(supercb[Qtde],supercb[Item],tab_alimentos[[#This Row],[Item]],supercb[Bairro],mercado1)</f>
        <v>0</v>
      </c>
      <c r="M476" s="4">
        <f>SUMIFS(super1[Qtde],super1[Item],tab_alimentos[[#This Row],[Item]],super1[Bairro],mercado2)+SUMIFS(supercb[Qtde],supercb[Item],tab_alimentos[[#This Row],[Item]],supercb[Bairro],mercado2)</f>
        <v>0</v>
      </c>
      <c r="N476" s="4">
        <f>SUMIFS(super1[Qtde],super1[Item],tab_alimentos[[#This Row],[Item]],super1[Bairro],mercado3)+SUMIFS(supercb[Qtde],supercb[Item],tab_alimentos[[#This Row],[Item]],supercb[Bairro],mercado3)</f>
        <v>0</v>
      </c>
      <c r="O476" s="4">
        <f>SUMIFS(super1[Qtde],super1[Item],tab_alimentos[[#This Row],[Item]],super1[Bairro],mercado4)+SUMIFS(supercb[Qtde],supercb[Item],tab_alimentos[[#This Row],[Item]],supercb[Bairro],mercado4)</f>
        <v>0</v>
      </c>
      <c r="P476" s="4">
        <f>SUMIFS(super1[Qtde],super1[Item],tab_alimentos[[#This Row],[Item]],super1[Bairro],mercado5)+SUMIFS(supercb[Qtde],supercb[Item],tab_alimentos[[#This Row],[Item]],supercb[Bairro],mercado5)</f>
        <v>0</v>
      </c>
      <c r="Q476" s="4">
        <f>SUMIFS(super1[Qtde],super1[Item],tab_alimentos[[#This Row],[Item]],super1[Bairro],mercado6)+SUMIFS(supercb[Qtde],supercb[Item],tab_alimentos[[#This Row],[Item]],supercb[Bairro],mercado6)</f>
        <v>0</v>
      </c>
      <c r="R476" s="4">
        <f>SUMIFS(super1[Qtde],super1[Item],tab_alimentos[[#This Row],[Item]],super1[Bairro],mercado7)+SUMIFS(supercb[Qtde],supercb[Item],tab_alimentos[[#This Row],[Item]],supercb[Bairro],mercado7)</f>
        <v>0</v>
      </c>
      <c r="S476" s="4">
        <f>SUMIFS(super1[Qtde],super1[Item],tab_alimentos[[#This Row],[Item]],super1[Bairro],mercado8)+SUMIFS(supercb[Qtde],supercb[Item],tab_alimentos[[#This Row],[Item]],supercb[Bairro],mercado8)</f>
        <v>0</v>
      </c>
      <c r="T476" s="4">
        <f>SUMIFS(super1[Qtde],super1[Item],tab_alimentos[[#This Row],[Item]],super1[Bairro],mercado9)+SUMIFS(supercb[Qtde],supercb[Item],tab_alimentos[[#This Row],[Item]],supercb[Bairro],mercado9)</f>
        <v>0</v>
      </c>
      <c r="U476" s="4">
        <f>SUMIFS(super1[Qtde],super1[Item],tab_alimentos[[#This Row],[Item]],super1[Bairro],mercado10)+SUMIFS(supercb[Qtde],supercb[Item],tab_alimentos[[#This Row],[Item]],supercb[Bairro],mercado10)</f>
        <v>0</v>
      </c>
      <c r="V476" s="4">
        <f>SUMIFS(super1[Qtde],super1[Item],tab_alimentos[[#This Row],[Item]],super1[Bairro],mercado11)+SUMIFS(supercb[Qtde],supercb[Item],tab_alimentos[[#This Row],[Item]],supercb[Bairro],mercado11)</f>
        <v>0</v>
      </c>
      <c r="W476" s="4">
        <f>SUMIFS(super1[Qtde],super1[Item],tab_alimentos[[#This Row],[Item]],super1[Bairro],mercado12)+SUMIFS(supercb[Qtde],supercb[Item],tab_alimentos[[#This Row],[Item]],supercb[Bairro],mercado12)</f>
        <v>0</v>
      </c>
      <c r="X476" s="4">
        <f>SUMIFS(super1[Qtde],super1[Item],tab_alimentos[[#This Row],[Item]],super1[Bairro],mercado13)+SUMIFS(supercb[Qtde],supercb[Item],tab_alimentos[[#This Row],[Item]],supercb[Bairro],mercado13)</f>
        <v>0</v>
      </c>
      <c r="Y476" s="4">
        <f>SUMIFS(super1[Qtde],super1[Item],tab_alimentos[[#This Row],[Item]],super1[Bairro],mercado14)+SUMIFS(supercb[Qtde],supercb[Item],tab_alimentos[[#This Row],[Item]],supercb[Bairro],mercado14)</f>
        <v>0</v>
      </c>
      <c r="Z476" s="4">
        <f>SUMIFS(super1[Qtde],super1[Item],tab_alimentos[[#This Row],[Item]],super1[Bairro],mercado15)+SUMIFS(supercb[Qtde],supercb[Item],tab_alimentos[[#This Row],[Item]],supercb[Bairro],mercado15)</f>
        <v>0</v>
      </c>
      <c r="AA476" s="4">
        <f>SUMIFS(super1[Qtde],super1[Item],tab_alimentos[[#This Row],[Item]],super1[Bairro],mercado16)+SUMIFS(supercb[Qtde],supercb[Item],tab_alimentos[[#This Row],[Item]],supercb[Bairro],mercado16)</f>
        <v>0</v>
      </c>
      <c r="AB476" s="4">
        <f>SUMIFS(super1[Qtde],super1[Item],tab_alimentos[[#This Row],[Item]],super1[Bairro],mercado17)+SUMIFS(supercb[Qtde],supercb[Item],tab_alimentos[[#This Row],[Item]],supercb[Bairro],mercado17)</f>
        <v>0</v>
      </c>
      <c r="AC476" s="4">
        <f>SUMIFS(super1[Qtde],super1[Item],tab_alimentos[[#This Row],[Item]],super1[Bairro],mercado18)+SUMIFS(supercb[Qtde],supercb[Item],tab_alimentos[[#This Row],[Item]],supercb[Bairro],mercado18)</f>
        <v>0</v>
      </c>
      <c r="AD476" s="4">
        <f>SUMIFS(super1[Qtde],super1[Item],tab_alimentos[[#This Row],[Item]],super1[Bairro],extras)+SUMIFS(supercb[Qtde],supercb[Item],tab_alimentos[[#This Row],[Item]],supercb[Bairro],extras)</f>
        <v>0</v>
      </c>
      <c r="AE476" s="4">
        <f t="shared" si="100"/>
        <v>0</v>
      </c>
      <c r="AF476" s="4">
        <f t="shared" si="101"/>
        <v>0</v>
      </c>
      <c r="AG476" s="6">
        <f t="shared" si="102"/>
        <v>0</v>
      </c>
    </row>
    <row r="477" spans="9:33" x14ac:dyDescent="0.25">
      <c r="I477" s="19" t="e">
        <f>alimentos[[#This Row],[Item]]</f>
        <v>#VALUE!</v>
      </c>
      <c r="J477" s="4">
        <f>IFERROR(alimentos[[#This Row],[kg/embalagem]],0)</f>
        <v>0</v>
      </c>
      <c r="K477" s="4">
        <f>IFERROR(alimentos[[#This Row],[Preço]],0)</f>
        <v>0</v>
      </c>
      <c r="L477" s="4">
        <f>SUMIFS(super1[Qtde],super1[Item],tab_alimentos[[#This Row],[Item]],super1[Bairro],mercado1)+SUMIFS(supercb[Qtde],supercb[Item],tab_alimentos[[#This Row],[Item]],supercb[Bairro],mercado1)</f>
        <v>0</v>
      </c>
      <c r="M477" s="4">
        <f>SUMIFS(super1[Qtde],super1[Item],tab_alimentos[[#This Row],[Item]],super1[Bairro],mercado2)+SUMIFS(supercb[Qtde],supercb[Item],tab_alimentos[[#This Row],[Item]],supercb[Bairro],mercado2)</f>
        <v>0</v>
      </c>
      <c r="N477" s="4">
        <f>SUMIFS(super1[Qtde],super1[Item],tab_alimentos[[#This Row],[Item]],super1[Bairro],mercado3)+SUMIFS(supercb[Qtde],supercb[Item],tab_alimentos[[#This Row],[Item]],supercb[Bairro],mercado3)</f>
        <v>0</v>
      </c>
      <c r="O477" s="4">
        <f>SUMIFS(super1[Qtde],super1[Item],tab_alimentos[[#This Row],[Item]],super1[Bairro],mercado4)+SUMIFS(supercb[Qtde],supercb[Item],tab_alimentos[[#This Row],[Item]],supercb[Bairro],mercado4)</f>
        <v>0</v>
      </c>
      <c r="P477" s="4">
        <f>SUMIFS(super1[Qtde],super1[Item],tab_alimentos[[#This Row],[Item]],super1[Bairro],mercado5)+SUMIFS(supercb[Qtde],supercb[Item],tab_alimentos[[#This Row],[Item]],supercb[Bairro],mercado5)</f>
        <v>0</v>
      </c>
      <c r="Q477" s="4">
        <f>SUMIFS(super1[Qtde],super1[Item],tab_alimentos[[#This Row],[Item]],super1[Bairro],mercado6)+SUMIFS(supercb[Qtde],supercb[Item],tab_alimentos[[#This Row],[Item]],supercb[Bairro],mercado6)</f>
        <v>0</v>
      </c>
      <c r="R477" s="4">
        <f>SUMIFS(super1[Qtde],super1[Item],tab_alimentos[[#This Row],[Item]],super1[Bairro],mercado7)+SUMIFS(supercb[Qtde],supercb[Item],tab_alimentos[[#This Row],[Item]],supercb[Bairro],mercado7)</f>
        <v>0</v>
      </c>
      <c r="S477" s="4">
        <f>SUMIFS(super1[Qtde],super1[Item],tab_alimentos[[#This Row],[Item]],super1[Bairro],mercado8)+SUMIFS(supercb[Qtde],supercb[Item],tab_alimentos[[#This Row],[Item]],supercb[Bairro],mercado8)</f>
        <v>0</v>
      </c>
      <c r="T477" s="4">
        <f>SUMIFS(super1[Qtde],super1[Item],tab_alimentos[[#This Row],[Item]],super1[Bairro],mercado9)+SUMIFS(supercb[Qtde],supercb[Item],tab_alimentos[[#This Row],[Item]],supercb[Bairro],mercado9)</f>
        <v>0</v>
      </c>
      <c r="U477" s="4">
        <f>SUMIFS(super1[Qtde],super1[Item],tab_alimentos[[#This Row],[Item]],super1[Bairro],mercado10)+SUMIFS(supercb[Qtde],supercb[Item],tab_alimentos[[#This Row],[Item]],supercb[Bairro],mercado10)</f>
        <v>0</v>
      </c>
      <c r="V477" s="4">
        <f>SUMIFS(super1[Qtde],super1[Item],tab_alimentos[[#This Row],[Item]],super1[Bairro],mercado11)+SUMIFS(supercb[Qtde],supercb[Item],tab_alimentos[[#This Row],[Item]],supercb[Bairro],mercado11)</f>
        <v>0</v>
      </c>
      <c r="W477" s="4">
        <f>SUMIFS(super1[Qtde],super1[Item],tab_alimentos[[#This Row],[Item]],super1[Bairro],mercado12)+SUMIFS(supercb[Qtde],supercb[Item],tab_alimentos[[#This Row],[Item]],supercb[Bairro],mercado12)</f>
        <v>0</v>
      </c>
      <c r="X477" s="4">
        <f>SUMIFS(super1[Qtde],super1[Item],tab_alimentos[[#This Row],[Item]],super1[Bairro],mercado13)+SUMIFS(supercb[Qtde],supercb[Item],tab_alimentos[[#This Row],[Item]],supercb[Bairro],mercado13)</f>
        <v>0</v>
      </c>
      <c r="Y477" s="4">
        <f>SUMIFS(super1[Qtde],super1[Item],tab_alimentos[[#This Row],[Item]],super1[Bairro],mercado14)+SUMIFS(supercb[Qtde],supercb[Item],tab_alimentos[[#This Row],[Item]],supercb[Bairro],mercado14)</f>
        <v>0</v>
      </c>
      <c r="Z477" s="4">
        <f>SUMIFS(super1[Qtde],super1[Item],tab_alimentos[[#This Row],[Item]],super1[Bairro],mercado15)+SUMIFS(supercb[Qtde],supercb[Item],tab_alimentos[[#This Row],[Item]],supercb[Bairro],mercado15)</f>
        <v>0</v>
      </c>
      <c r="AA477" s="4">
        <f>SUMIFS(super1[Qtde],super1[Item],tab_alimentos[[#This Row],[Item]],super1[Bairro],mercado16)+SUMIFS(supercb[Qtde],supercb[Item],tab_alimentos[[#This Row],[Item]],supercb[Bairro],mercado16)</f>
        <v>0</v>
      </c>
      <c r="AB477" s="4">
        <f>SUMIFS(super1[Qtde],super1[Item],tab_alimentos[[#This Row],[Item]],super1[Bairro],mercado17)+SUMIFS(supercb[Qtde],supercb[Item],tab_alimentos[[#This Row],[Item]],supercb[Bairro],mercado17)</f>
        <v>0</v>
      </c>
      <c r="AC477" s="4">
        <f>SUMIFS(super1[Qtde],super1[Item],tab_alimentos[[#This Row],[Item]],super1[Bairro],mercado18)+SUMIFS(supercb[Qtde],supercb[Item],tab_alimentos[[#This Row],[Item]],supercb[Bairro],mercado18)</f>
        <v>0</v>
      </c>
      <c r="AD477" s="4">
        <f>SUMIFS(super1[Qtde],super1[Item],tab_alimentos[[#This Row],[Item]],super1[Bairro],extras)+SUMIFS(supercb[Qtde],supercb[Item],tab_alimentos[[#This Row],[Item]],supercb[Bairro],extras)</f>
        <v>0</v>
      </c>
      <c r="AE477" s="4">
        <f t="shared" si="100"/>
        <v>0</v>
      </c>
      <c r="AF477" s="4">
        <f t="shared" si="101"/>
        <v>0</v>
      </c>
      <c r="AG477" s="6">
        <f t="shared" si="102"/>
        <v>0</v>
      </c>
    </row>
    <row r="478" spans="9:33" x14ac:dyDescent="0.25">
      <c r="I478" s="19" t="e">
        <f>alimentos[[#This Row],[Item]]</f>
        <v>#VALUE!</v>
      </c>
      <c r="J478" s="4">
        <f>IFERROR(alimentos[[#This Row],[kg/embalagem]],0)</f>
        <v>0</v>
      </c>
      <c r="K478" s="4">
        <f>IFERROR(alimentos[[#This Row],[Preço]],0)</f>
        <v>0</v>
      </c>
      <c r="L478" s="4">
        <f>SUMIFS(super1[Qtde],super1[Item],tab_alimentos[[#This Row],[Item]],super1[Bairro],mercado1)+SUMIFS(supercb[Qtde],supercb[Item],tab_alimentos[[#This Row],[Item]],supercb[Bairro],mercado1)</f>
        <v>0</v>
      </c>
      <c r="M478" s="4">
        <f>SUMIFS(super1[Qtde],super1[Item],tab_alimentos[[#This Row],[Item]],super1[Bairro],mercado2)+SUMIFS(supercb[Qtde],supercb[Item],tab_alimentos[[#This Row],[Item]],supercb[Bairro],mercado2)</f>
        <v>0</v>
      </c>
      <c r="N478" s="4">
        <f>SUMIFS(super1[Qtde],super1[Item],tab_alimentos[[#This Row],[Item]],super1[Bairro],mercado3)+SUMIFS(supercb[Qtde],supercb[Item],tab_alimentos[[#This Row],[Item]],supercb[Bairro],mercado3)</f>
        <v>0</v>
      </c>
      <c r="O478" s="4">
        <f>SUMIFS(super1[Qtde],super1[Item],tab_alimentos[[#This Row],[Item]],super1[Bairro],mercado4)+SUMIFS(supercb[Qtde],supercb[Item],tab_alimentos[[#This Row],[Item]],supercb[Bairro],mercado4)</f>
        <v>0</v>
      </c>
      <c r="P478" s="4">
        <f>SUMIFS(super1[Qtde],super1[Item],tab_alimentos[[#This Row],[Item]],super1[Bairro],mercado5)+SUMIFS(supercb[Qtde],supercb[Item],tab_alimentos[[#This Row],[Item]],supercb[Bairro],mercado5)</f>
        <v>0</v>
      </c>
      <c r="Q478" s="4">
        <f>SUMIFS(super1[Qtde],super1[Item],tab_alimentos[[#This Row],[Item]],super1[Bairro],mercado6)+SUMIFS(supercb[Qtde],supercb[Item],tab_alimentos[[#This Row],[Item]],supercb[Bairro],mercado6)</f>
        <v>0</v>
      </c>
      <c r="R478" s="4">
        <f>SUMIFS(super1[Qtde],super1[Item],tab_alimentos[[#This Row],[Item]],super1[Bairro],mercado7)+SUMIFS(supercb[Qtde],supercb[Item],tab_alimentos[[#This Row],[Item]],supercb[Bairro],mercado7)</f>
        <v>0</v>
      </c>
      <c r="S478" s="4">
        <f>SUMIFS(super1[Qtde],super1[Item],tab_alimentos[[#This Row],[Item]],super1[Bairro],mercado8)+SUMIFS(supercb[Qtde],supercb[Item],tab_alimentos[[#This Row],[Item]],supercb[Bairro],mercado8)</f>
        <v>0</v>
      </c>
      <c r="T478" s="4">
        <f>SUMIFS(super1[Qtde],super1[Item],tab_alimentos[[#This Row],[Item]],super1[Bairro],mercado9)+SUMIFS(supercb[Qtde],supercb[Item],tab_alimentos[[#This Row],[Item]],supercb[Bairro],mercado9)</f>
        <v>0</v>
      </c>
      <c r="U478" s="4">
        <f>SUMIFS(super1[Qtde],super1[Item],tab_alimentos[[#This Row],[Item]],super1[Bairro],mercado10)+SUMIFS(supercb[Qtde],supercb[Item],tab_alimentos[[#This Row],[Item]],supercb[Bairro],mercado10)</f>
        <v>0</v>
      </c>
      <c r="V478" s="4">
        <f>SUMIFS(super1[Qtde],super1[Item],tab_alimentos[[#This Row],[Item]],super1[Bairro],mercado11)+SUMIFS(supercb[Qtde],supercb[Item],tab_alimentos[[#This Row],[Item]],supercb[Bairro],mercado11)</f>
        <v>0</v>
      </c>
      <c r="W478" s="4">
        <f>SUMIFS(super1[Qtde],super1[Item],tab_alimentos[[#This Row],[Item]],super1[Bairro],mercado12)+SUMIFS(supercb[Qtde],supercb[Item],tab_alimentos[[#This Row],[Item]],supercb[Bairro],mercado12)</f>
        <v>0</v>
      </c>
      <c r="X478" s="4">
        <f>SUMIFS(super1[Qtde],super1[Item],tab_alimentos[[#This Row],[Item]],super1[Bairro],mercado13)+SUMIFS(supercb[Qtde],supercb[Item],tab_alimentos[[#This Row],[Item]],supercb[Bairro],mercado13)</f>
        <v>0</v>
      </c>
      <c r="Y478" s="4">
        <f>SUMIFS(super1[Qtde],super1[Item],tab_alimentos[[#This Row],[Item]],super1[Bairro],mercado14)+SUMIFS(supercb[Qtde],supercb[Item],tab_alimentos[[#This Row],[Item]],supercb[Bairro],mercado14)</f>
        <v>0</v>
      </c>
      <c r="Z478" s="4">
        <f>SUMIFS(super1[Qtde],super1[Item],tab_alimentos[[#This Row],[Item]],super1[Bairro],mercado15)+SUMIFS(supercb[Qtde],supercb[Item],tab_alimentos[[#This Row],[Item]],supercb[Bairro],mercado15)</f>
        <v>0</v>
      </c>
      <c r="AA478" s="4">
        <f>SUMIFS(super1[Qtde],super1[Item],tab_alimentos[[#This Row],[Item]],super1[Bairro],mercado16)+SUMIFS(supercb[Qtde],supercb[Item],tab_alimentos[[#This Row],[Item]],supercb[Bairro],mercado16)</f>
        <v>0</v>
      </c>
      <c r="AB478" s="4">
        <f>SUMIFS(super1[Qtde],super1[Item],tab_alimentos[[#This Row],[Item]],super1[Bairro],mercado17)+SUMIFS(supercb[Qtde],supercb[Item],tab_alimentos[[#This Row],[Item]],supercb[Bairro],mercado17)</f>
        <v>0</v>
      </c>
      <c r="AC478" s="4">
        <f>SUMIFS(super1[Qtde],super1[Item],tab_alimentos[[#This Row],[Item]],super1[Bairro],mercado18)+SUMIFS(supercb[Qtde],supercb[Item],tab_alimentos[[#This Row],[Item]],supercb[Bairro],mercado18)</f>
        <v>0</v>
      </c>
      <c r="AD478" s="4">
        <f>SUMIFS(super1[Qtde],super1[Item],tab_alimentos[[#This Row],[Item]],super1[Bairro],extras)+SUMIFS(supercb[Qtde],supercb[Item],tab_alimentos[[#This Row],[Item]],supercb[Bairro],extras)</f>
        <v>0</v>
      </c>
      <c r="AE478" s="4">
        <f t="shared" si="100"/>
        <v>0</v>
      </c>
      <c r="AF478" s="4">
        <f t="shared" si="101"/>
        <v>0</v>
      </c>
      <c r="AG478" s="6">
        <f t="shared" si="102"/>
        <v>0</v>
      </c>
    </row>
    <row r="479" spans="9:33" x14ac:dyDescent="0.25">
      <c r="I479" s="19" t="e">
        <f>alimentos[[#This Row],[Item]]</f>
        <v>#VALUE!</v>
      </c>
      <c r="J479" s="4">
        <f>IFERROR(alimentos[[#This Row],[kg/embalagem]],0)</f>
        <v>0</v>
      </c>
      <c r="K479" s="4">
        <f>IFERROR(alimentos[[#This Row],[Preço]],0)</f>
        <v>0</v>
      </c>
      <c r="L479" s="4">
        <f>SUMIFS(super1[Qtde],super1[Item],tab_alimentos[[#This Row],[Item]],super1[Bairro],mercado1)+SUMIFS(supercb[Qtde],supercb[Item],tab_alimentos[[#This Row],[Item]],supercb[Bairro],mercado1)</f>
        <v>0</v>
      </c>
      <c r="M479" s="4">
        <f>SUMIFS(super1[Qtde],super1[Item],tab_alimentos[[#This Row],[Item]],super1[Bairro],mercado2)+SUMIFS(supercb[Qtde],supercb[Item],tab_alimentos[[#This Row],[Item]],supercb[Bairro],mercado2)</f>
        <v>0</v>
      </c>
      <c r="N479" s="4">
        <f>SUMIFS(super1[Qtde],super1[Item],tab_alimentos[[#This Row],[Item]],super1[Bairro],mercado3)+SUMIFS(supercb[Qtde],supercb[Item],tab_alimentos[[#This Row],[Item]],supercb[Bairro],mercado3)</f>
        <v>0</v>
      </c>
      <c r="O479" s="4">
        <f>SUMIFS(super1[Qtde],super1[Item],tab_alimentos[[#This Row],[Item]],super1[Bairro],mercado4)+SUMIFS(supercb[Qtde],supercb[Item],tab_alimentos[[#This Row],[Item]],supercb[Bairro],mercado4)</f>
        <v>0</v>
      </c>
      <c r="P479" s="4">
        <f>SUMIFS(super1[Qtde],super1[Item],tab_alimentos[[#This Row],[Item]],super1[Bairro],mercado5)+SUMIFS(supercb[Qtde],supercb[Item],tab_alimentos[[#This Row],[Item]],supercb[Bairro],mercado5)</f>
        <v>0</v>
      </c>
      <c r="Q479" s="4">
        <f>SUMIFS(super1[Qtde],super1[Item],tab_alimentos[[#This Row],[Item]],super1[Bairro],mercado6)+SUMIFS(supercb[Qtde],supercb[Item],tab_alimentos[[#This Row],[Item]],supercb[Bairro],mercado6)</f>
        <v>0</v>
      </c>
      <c r="R479" s="4">
        <f>SUMIFS(super1[Qtde],super1[Item],tab_alimentos[[#This Row],[Item]],super1[Bairro],mercado7)+SUMIFS(supercb[Qtde],supercb[Item],tab_alimentos[[#This Row],[Item]],supercb[Bairro],mercado7)</f>
        <v>0</v>
      </c>
      <c r="S479" s="4">
        <f>SUMIFS(super1[Qtde],super1[Item],tab_alimentos[[#This Row],[Item]],super1[Bairro],mercado8)+SUMIFS(supercb[Qtde],supercb[Item],tab_alimentos[[#This Row],[Item]],supercb[Bairro],mercado8)</f>
        <v>0</v>
      </c>
      <c r="T479" s="4">
        <f>SUMIFS(super1[Qtde],super1[Item],tab_alimentos[[#This Row],[Item]],super1[Bairro],mercado9)+SUMIFS(supercb[Qtde],supercb[Item],tab_alimentos[[#This Row],[Item]],supercb[Bairro],mercado9)</f>
        <v>0</v>
      </c>
      <c r="U479" s="4">
        <f>SUMIFS(super1[Qtde],super1[Item],tab_alimentos[[#This Row],[Item]],super1[Bairro],mercado10)+SUMIFS(supercb[Qtde],supercb[Item],tab_alimentos[[#This Row],[Item]],supercb[Bairro],mercado10)</f>
        <v>0</v>
      </c>
      <c r="V479" s="4">
        <f>SUMIFS(super1[Qtde],super1[Item],tab_alimentos[[#This Row],[Item]],super1[Bairro],mercado11)+SUMIFS(supercb[Qtde],supercb[Item],tab_alimentos[[#This Row],[Item]],supercb[Bairro],mercado11)</f>
        <v>0</v>
      </c>
      <c r="W479" s="4">
        <f>SUMIFS(super1[Qtde],super1[Item],tab_alimentos[[#This Row],[Item]],super1[Bairro],mercado12)+SUMIFS(supercb[Qtde],supercb[Item],tab_alimentos[[#This Row],[Item]],supercb[Bairro],mercado12)</f>
        <v>0</v>
      </c>
      <c r="X479" s="4">
        <f>SUMIFS(super1[Qtde],super1[Item],tab_alimentos[[#This Row],[Item]],super1[Bairro],mercado13)+SUMIFS(supercb[Qtde],supercb[Item],tab_alimentos[[#This Row],[Item]],supercb[Bairro],mercado13)</f>
        <v>0</v>
      </c>
      <c r="Y479" s="4">
        <f>SUMIFS(super1[Qtde],super1[Item],tab_alimentos[[#This Row],[Item]],super1[Bairro],mercado14)+SUMIFS(supercb[Qtde],supercb[Item],tab_alimentos[[#This Row],[Item]],supercb[Bairro],mercado14)</f>
        <v>0</v>
      </c>
      <c r="Z479" s="4">
        <f>SUMIFS(super1[Qtde],super1[Item],tab_alimentos[[#This Row],[Item]],super1[Bairro],mercado15)+SUMIFS(supercb[Qtde],supercb[Item],tab_alimentos[[#This Row],[Item]],supercb[Bairro],mercado15)</f>
        <v>0</v>
      </c>
      <c r="AA479" s="4">
        <f>SUMIFS(super1[Qtde],super1[Item],tab_alimentos[[#This Row],[Item]],super1[Bairro],mercado16)+SUMIFS(supercb[Qtde],supercb[Item],tab_alimentos[[#This Row],[Item]],supercb[Bairro],mercado16)</f>
        <v>0</v>
      </c>
      <c r="AB479" s="4">
        <f>SUMIFS(super1[Qtde],super1[Item],tab_alimentos[[#This Row],[Item]],super1[Bairro],mercado17)+SUMIFS(supercb[Qtde],supercb[Item],tab_alimentos[[#This Row],[Item]],supercb[Bairro],mercado17)</f>
        <v>0</v>
      </c>
      <c r="AC479" s="4">
        <f>SUMIFS(super1[Qtde],super1[Item],tab_alimentos[[#This Row],[Item]],super1[Bairro],mercado18)+SUMIFS(supercb[Qtde],supercb[Item],tab_alimentos[[#This Row],[Item]],supercb[Bairro],mercado18)</f>
        <v>0</v>
      </c>
      <c r="AD479" s="4">
        <f>SUMIFS(super1[Qtde],super1[Item],tab_alimentos[[#This Row],[Item]],super1[Bairro],extras)+SUMIFS(supercb[Qtde],supercb[Item],tab_alimentos[[#This Row],[Item]],supercb[Bairro],extras)</f>
        <v>0</v>
      </c>
      <c r="AE479" s="4">
        <f t="shared" si="100"/>
        <v>0</v>
      </c>
      <c r="AF479" s="4">
        <f t="shared" si="101"/>
        <v>0</v>
      </c>
      <c r="AG479" s="6">
        <f t="shared" si="102"/>
        <v>0</v>
      </c>
    </row>
    <row r="480" spans="9:33" x14ac:dyDescent="0.25">
      <c r="I480" s="19" t="e">
        <f>alimentos[[#This Row],[Item]]</f>
        <v>#VALUE!</v>
      </c>
      <c r="J480" s="4">
        <f>IFERROR(alimentos[[#This Row],[kg/embalagem]],0)</f>
        <v>0</v>
      </c>
      <c r="K480" s="4">
        <f>IFERROR(alimentos[[#This Row],[Preço]],0)</f>
        <v>0</v>
      </c>
      <c r="L480" s="4">
        <f>SUMIFS(super1[Qtde],super1[Item],tab_alimentos[[#This Row],[Item]],super1[Bairro],mercado1)+SUMIFS(supercb[Qtde],supercb[Item],tab_alimentos[[#This Row],[Item]],supercb[Bairro],mercado1)</f>
        <v>0</v>
      </c>
      <c r="M480" s="4">
        <f>SUMIFS(super1[Qtde],super1[Item],tab_alimentos[[#This Row],[Item]],super1[Bairro],mercado2)+SUMIFS(supercb[Qtde],supercb[Item],tab_alimentos[[#This Row],[Item]],supercb[Bairro],mercado2)</f>
        <v>0</v>
      </c>
      <c r="N480" s="4">
        <f>SUMIFS(super1[Qtde],super1[Item],tab_alimentos[[#This Row],[Item]],super1[Bairro],mercado3)+SUMIFS(supercb[Qtde],supercb[Item],tab_alimentos[[#This Row],[Item]],supercb[Bairro],mercado3)</f>
        <v>0</v>
      </c>
      <c r="O480" s="4">
        <f>SUMIFS(super1[Qtde],super1[Item],tab_alimentos[[#This Row],[Item]],super1[Bairro],mercado4)+SUMIFS(supercb[Qtde],supercb[Item],tab_alimentos[[#This Row],[Item]],supercb[Bairro],mercado4)</f>
        <v>0</v>
      </c>
      <c r="P480" s="4">
        <f>SUMIFS(super1[Qtde],super1[Item],tab_alimentos[[#This Row],[Item]],super1[Bairro],mercado5)+SUMIFS(supercb[Qtde],supercb[Item],tab_alimentos[[#This Row],[Item]],supercb[Bairro],mercado5)</f>
        <v>0</v>
      </c>
      <c r="Q480" s="4">
        <f>SUMIFS(super1[Qtde],super1[Item],tab_alimentos[[#This Row],[Item]],super1[Bairro],mercado6)+SUMIFS(supercb[Qtde],supercb[Item],tab_alimentos[[#This Row],[Item]],supercb[Bairro],mercado6)</f>
        <v>0</v>
      </c>
      <c r="R480" s="4">
        <f>SUMIFS(super1[Qtde],super1[Item],tab_alimentos[[#This Row],[Item]],super1[Bairro],mercado7)+SUMIFS(supercb[Qtde],supercb[Item],tab_alimentos[[#This Row],[Item]],supercb[Bairro],mercado7)</f>
        <v>0</v>
      </c>
      <c r="S480" s="4">
        <f>SUMIFS(super1[Qtde],super1[Item],tab_alimentos[[#This Row],[Item]],super1[Bairro],mercado8)+SUMIFS(supercb[Qtde],supercb[Item],tab_alimentos[[#This Row],[Item]],supercb[Bairro],mercado8)</f>
        <v>0</v>
      </c>
      <c r="T480" s="4">
        <f>SUMIFS(super1[Qtde],super1[Item],tab_alimentos[[#This Row],[Item]],super1[Bairro],mercado9)+SUMIFS(supercb[Qtde],supercb[Item],tab_alimentos[[#This Row],[Item]],supercb[Bairro],mercado9)</f>
        <v>0</v>
      </c>
      <c r="U480" s="4">
        <f>SUMIFS(super1[Qtde],super1[Item],tab_alimentos[[#This Row],[Item]],super1[Bairro],mercado10)+SUMIFS(supercb[Qtde],supercb[Item],tab_alimentos[[#This Row],[Item]],supercb[Bairro],mercado10)</f>
        <v>0</v>
      </c>
      <c r="V480" s="4">
        <f>SUMIFS(super1[Qtde],super1[Item],tab_alimentos[[#This Row],[Item]],super1[Bairro],mercado11)+SUMIFS(supercb[Qtde],supercb[Item],tab_alimentos[[#This Row],[Item]],supercb[Bairro],mercado11)</f>
        <v>0</v>
      </c>
      <c r="W480" s="4">
        <f>SUMIFS(super1[Qtde],super1[Item],tab_alimentos[[#This Row],[Item]],super1[Bairro],mercado12)+SUMIFS(supercb[Qtde],supercb[Item],tab_alimentos[[#This Row],[Item]],supercb[Bairro],mercado12)</f>
        <v>0</v>
      </c>
      <c r="X480" s="4">
        <f>SUMIFS(super1[Qtde],super1[Item],tab_alimentos[[#This Row],[Item]],super1[Bairro],mercado13)+SUMIFS(supercb[Qtde],supercb[Item],tab_alimentos[[#This Row],[Item]],supercb[Bairro],mercado13)</f>
        <v>0</v>
      </c>
      <c r="Y480" s="4">
        <f>SUMIFS(super1[Qtde],super1[Item],tab_alimentos[[#This Row],[Item]],super1[Bairro],mercado14)+SUMIFS(supercb[Qtde],supercb[Item],tab_alimentos[[#This Row],[Item]],supercb[Bairro],mercado14)</f>
        <v>0</v>
      </c>
      <c r="Z480" s="4">
        <f>SUMIFS(super1[Qtde],super1[Item],tab_alimentos[[#This Row],[Item]],super1[Bairro],mercado15)+SUMIFS(supercb[Qtde],supercb[Item],tab_alimentos[[#This Row],[Item]],supercb[Bairro],mercado15)</f>
        <v>0</v>
      </c>
      <c r="AA480" s="4">
        <f>SUMIFS(super1[Qtde],super1[Item],tab_alimentos[[#This Row],[Item]],super1[Bairro],mercado16)+SUMIFS(supercb[Qtde],supercb[Item],tab_alimentos[[#This Row],[Item]],supercb[Bairro],mercado16)</f>
        <v>0</v>
      </c>
      <c r="AB480" s="4">
        <f>SUMIFS(super1[Qtde],super1[Item],tab_alimentos[[#This Row],[Item]],super1[Bairro],mercado17)+SUMIFS(supercb[Qtde],supercb[Item],tab_alimentos[[#This Row],[Item]],supercb[Bairro],mercado17)</f>
        <v>0</v>
      </c>
      <c r="AC480" s="4">
        <f>SUMIFS(super1[Qtde],super1[Item],tab_alimentos[[#This Row],[Item]],super1[Bairro],mercado18)+SUMIFS(supercb[Qtde],supercb[Item],tab_alimentos[[#This Row],[Item]],supercb[Bairro],mercado18)</f>
        <v>0</v>
      </c>
      <c r="AD480" s="4">
        <f>SUMIFS(super1[Qtde],super1[Item],tab_alimentos[[#This Row],[Item]],super1[Bairro],extras)+SUMIFS(supercb[Qtde],supercb[Item],tab_alimentos[[#This Row],[Item]],supercb[Bairro],extras)</f>
        <v>0</v>
      </c>
      <c r="AE480" s="4">
        <f t="shared" si="100"/>
        <v>0</v>
      </c>
      <c r="AF480" s="4">
        <f t="shared" si="101"/>
        <v>0</v>
      </c>
      <c r="AG480" s="6">
        <f t="shared" si="102"/>
        <v>0</v>
      </c>
    </row>
    <row r="481" spans="9:33" x14ac:dyDescent="0.25">
      <c r="I481" s="19" t="e">
        <f>alimentos[[#This Row],[Item]]</f>
        <v>#VALUE!</v>
      </c>
      <c r="J481" s="4">
        <f>IFERROR(alimentos[[#This Row],[kg/embalagem]],0)</f>
        <v>0</v>
      </c>
      <c r="K481" s="4">
        <f>IFERROR(alimentos[[#This Row],[Preço]],0)</f>
        <v>0</v>
      </c>
      <c r="L481" s="4">
        <f>SUMIFS(super1[Qtde],super1[Item],tab_alimentos[[#This Row],[Item]],super1[Bairro],mercado1)+SUMIFS(supercb[Qtde],supercb[Item],tab_alimentos[[#This Row],[Item]],supercb[Bairro],mercado1)</f>
        <v>0</v>
      </c>
      <c r="M481" s="4">
        <f>SUMIFS(super1[Qtde],super1[Item],tab_alimentos[[#This Row],[Item]],super1[Bairro],mercado2)+SUMIFS(supercb[Qtde],supercb[Item],tab_alimentos[[#This Row],[Item]],supercb[Bairro],mercado2)</f>
        <v>0</v>
      </c>
      <c r="N481" s="4">
        <f>SUMIFS(super1[Qtde],super1[Item],tab_alimentos[[#This Row],[Item]],super1[Bairro],mercado3)+SUMIFS(supercb[Qtde],supercb[Item],tab_alimentos[[#This Row],[Item]],supercb[Bairro],mercado3)</f>
        <v>0</v>
      </c>
      <c r="O481" s="4">
        <f>SUMIFS(super1[Qtde],super1[Item],tab_alimentos[[#This Row],[Item]],super1[Bairro],mercado4)+SUMIFS(supercb[Qtde],supercb[Item],tab_alimentos[[#This Row],[Item]],supercb[Bairro],mercado4)</f>
        <v>0</v>
      </c>
      <c r="P481" s="4">
        <f>SUMIFS(super1[Qtde],super1[Item],tab_alimentos[[#This Row],[Item]],super1[Bairro],mercado5)+SUMIFS(supercb[Qtde],supercb[Item],tab_alimentos[[#This Row],[Item]],supercb[Bairro],mercado5)</f>
        <v>0</v>
      </c>
      <c r="Q481" s="4">
        <f>SUMIFS(super1[Qtde],super1[Item],tab_alimentos[[#This Row],[Item]],super1[Bairro],mercado6)+SUMIFS(supercb[Qtde],supercb[Item],tab_alimentos[[#This Row],[Item]],supercb[Bairro],mercado6)</f>
        <v>0</v>
      </c>
      <c r="R481" s="4">
        <f>SUMIFS(super1[Qtde],super1[Item],tab_alimentos[[#This Row],[Item]],super1[Bairro],mercado7)+SUMIFS(supercb[Qtde],supercb[Item],tab_alimentos[[#This Row],[Item]],supercb[Bairro],mercado7)</f>
        <v>0</v>
      </c>
      <c r="S481" s="4">
        <f>SUMIFS(super1[Qtde],super1[Item],tab_alimentos[[#This Row],[Item]],super1[Bairro],mercado8)+SUMIFS(supercb[Qtde],supercb[Item],tab_alimentos[[#This Row],[Item]],supercb[Bairro],mercado8)</f>
        <v>0</v>
      </c>
      <c r="T481" s="4">
        <f>SUMIFS(super1[Qtde],super1[Item],tab_alimentos[[#This Row],[Item]],super1[Bairro],mercado9)+SUMIFS(supercb[Qtde],supercb[Item],tab_alimentos[[#This Row],[Item]],supercb[Bairro],mercado9)</f>
        <v>0</v>
      </c>
      <c r="U481" s="4">
        <f>SUMIFS(super1[Qtde],super1[Item],tab_alimentos[[#This Row],[Item]],super1[Bairro],mercado10)+SUMIFS(supercb[Qtde],supercb[Item],tab_alimentos[[#This Row],[Item]],supercb[Bairro],mercado10)</f>
        <v>0</v>
      </c>
      <c r="V481" s="4">
        <f>SUMIFS(super1[Qtde],super1[Item],tab_alimentos[[#This Row],[Item]],super1[Bairro],mercado11)+SUMIFS(supercb[Qtde],supercb[Item],tab_alimentos[[#This Row],[Item]],supercb[Bairro],mercado11)</f>
        <v>0</v>
      </c>
      <c r="W481" s="4">
        <f>SUMIFS(super1[Qtde],super1[Item],tab_alimentos[[#This Row],[Item]],super1[Bairro],mercado12)+SUMIFS(supercb[Qtde],supercb[Item],tab_alimentos[[#This Row],[Item]],supercb[Bairro],mercado12)</f>
        <v>0</v>
      </c>
      <c r="X481" s="4">
        <f>SUMIFS(super1[Qtde],super1[Item],tab_alimentos[[#This Row],[Item]],super1[Bairro],mercado13)+SUMIFS(supercb[Qtde],supercb[Item],tab_alimentos[[#This Row],[Item]],supercb[Bairro],mercado13)</f>
        <v>0</v>
      </c>
      <c r="Y481" s="4">
        <f>SUMIFS(super1[Qtde],super1[Item],tab_alimentos[[#This Row],[Item]],super1[Bairro],mercado14)+SUMIFS(supercb[Qtde],supercb[Item],tab_alimentos[[#This Row],[Item]],supercb[Bairro],mercado14)</f>
        <v>0</v>
      </c>
      <c r="Z481" s="4">
        <f>SUMIFS(super1[Qtde],super1[Item],tab_alimentos[[#This Row],[Item]],super1[Bairro],mercado15)+SUMIFS(supercb[Qtde],supercb[Item],tab_alimentos[[#This Row],[Item]],supercb[Bairro],mercado15)</f>
        <v>0</v>
      </c>
      <c r="AA481" s="4">
        <f>SUMIFS(super1[Qtde],super1[Item],tab_alimentos[[#This Row],[Item]],super1[Bairro],mercado16)+SUMIFS(supercb[Qtde],supercb[Item],tab_alimentos[[#This Row],[Item]],supercb[Bairro],mercado16)</f>
        <v>0</v>
      </c>
      <c r="AB481" s="4">
        <f>SUMIFS(super1[Qtde],super1[Item],tab_alimentos[[#This Row],[Item]],super1[Bairro],mercado17)+SUMIFS(supercb[Qtde],supercb[Item],tab_alimentos[[#This Row],[Item]],supercb[Bairro],mercado17)</f>
        <v>0</v>
      </c>
      <c r="AC481" s="4">
        <f>SUMIFS(super1[Qtde],super1[Item],tab_alimentos[[#This Row],[Item]],super1[Bairro],mercado18)+SUMIFS(supercb[Qtde],supercb[Item],tab_alimentos[[#This Row],[Item]],supercb[Bairro],mercado18)</f>
        <v>0</v>
      </c>
      <c r="AD481" s="4">
        <f>SUMIFS(super1[Qtde],super1[Item],tab_alimentos[[#This Row],[Item]],super1[Bairro],extras)+SUMIFS(supercb[Qtde],supercb[Item],tab_alimentos[[#This Row],[Item]],supercb[Bairro],extras)</f>
        <v>0</v>
      </c>
      <c r="AE481" s="4">
        <f t="shared" si="100"/>
        <v>0</v>
      </c>
      <c r="AF481" s="4">
        <f t="shared" si="101"/>
        <v>0</v>
      </c>
      <c r="AG481" s="6">
        <f t="shared" si="102"/>
        <v>0</v>
      </c>
    </row>
    <row r="482" spans="9:33" x14ac:dyDescent="0.25">
      <c r="I482" s="19" t="e">
        <f>alimentos[[#This Row],[Item]]</f>
        <v>#VALUE!</v>
      </c>
      <c r="J482" s="4">
        <f>IFERROR(alimentos[[#This Row],[kg/embalagem]],0)</f>
        <v>0</v>
      </c>
      <c r="K482" s="4">
        <f>IFERROR(alimentos[[#This Row],[Preço]],0)</f>
        <v>0</v>
      </c>
      <c r="L482" s="4">
        <f>SUMIFS(super1[Qtde],super1[Item],tab_alimentos[[#This Row],[Item]],super1[Bairro],mercado1)+SUMIFS(supercb[Qtde],supercb[Item],tab_alimentos[[#This Row],[Item]],supercb[Bairro],mercado1)</f>
        <v>0</v>
      </c>
      <c r="M482" s="4">
        <f>SUMIFS(super1[Qtde],super1[Item],tab_alimentos[[#This Row],[Item]],super1[Bairro],mercado2)+SUMIFS(supercb[Qtde],supercb[Item],tab_alimentos[[#This Row],[Item]],supercb[Bairro],mercado2)</f>
        <v>0</v>
      </c>
      <c r="N482" s="4">
        <f>SUMIFS(super1[Qtde],super1[Item],tab_alimentos[[#This Row],[Item]],super1[Bairro],mercado3)+SUMIFS(supercb[Qtde],supercb[Item],tab_alimentos[[#This Row],[Item]],supercb[Bairro],mercado3)</f>
        <v>0</v>
      </c>
      <c r="O482" s="4">
        <f>SUMIFS(super1[Qtde],super1[Item],tab_alimentos[[#This Row],[Item]],super1[Bairro],mercado4)+SUMIFS(supercb[Qtde],supercb[Item],tab_alimentos[[#This Row],[Item]],supercb[Bairro],mercado4)</f>
        <v>0</v>
      </c>
      <c r="P482" s="4">
        <f>SUMIFS(super1[Qtde],super1[Item],tab_alimentos[[#This Row],[Item]],super1[Bairro],mercado5)+SUMIFS(supercb[Qtde],supercb[Item],tab_alimentos[[#This Row],[Item]],supercb[Bairro],mercado5)</f>
        <v>0</v>
      </c>
      <c r="Q482" s="4">
        <f>SUMIFS(super1[Qtde],super1[Item],tab_alimentos[[#This Row],[Item]],super1[Bairro],mercado6)+SUMIFS(supercb[Qtde],supercb[Item],tab_alimentos[[#This Row],[Item]],supercb[Bairro],mercado6)</f>
        <v>0</v>
      </c>
      <c r="R482" s="4">
        <f>SUMIFS(super1[Qtde],super1[Item],tab_alimentos[[#This Row],[Item]],super1[Bairro],mercado7)+SUMIFS(supercb[Qtde],supercb[Item],tab_alimentos[[#This Row],[Item]],supercb[Bairro],mercado7)</f>
        <v>0</v>
      </c>
      <c r="S482" s="4">
        <f>SUMIFS(super1[Qtde],super1[Item],tab_alimentos[[#This Row],[Item]],super1[Bairro],mercado8)+SUMIFS(supercb[Qtde],supercb[Item],tab_alimentos[[#This Row],[Item]],supercb[Bairro],mercado8)</f>
        <v>0</v>
      </c>
      <c r="T482" s="4">
        <f>SUMIFS(super1[Qtde],super1[Item],tab_alimentos[[#This Row],[Item]],super1[Bairro],mercado9)+SUMIFS(supercb[Qtde],supercb[Item],tab_alimentos[[#This Row],[Item]],supercb[Bairro],mercado9)</f>
        <v>0</v>
      </c>
      <c r="U482" s="4">
        <f>SUMIFS(super1[Qtde],super1[Item],tab_alimentos[[#This Row],[Item]],super1[Bairro],mercado10)+SUMIFS(supercb[Qtde],supercb[Item],tab_alimentos[[#This Row],[Item]],supercb[Bairro],mercado10)</f>
        <v>0</v>
      </c>
      <c r="V482" s="4">
        <f>SUMIFS(super1[Qtde],super1[Item],tab_alimentos[[#This Row],[Item]],super1[Bairro],mercado11)+SUMIFS(supercb[Qtde],supercb[Item],tab_alimentos[[#This Row],[Item]],supercb[Bairro],mercado11)</f>
        <v>0</v>
      </c>
      <c r="W482" s="4">
        <f>SUMIFS(super1[Qtde],super1[Item],tab_alimentos[[#This Row],[Item]],super1[Bairro],mercado12)+SUMIFS(supercb[Qtde],supercb[Item],tab_alimentos[[#This Row],[Item]],supercb[Bairro],mercado12)</f>
        <v>0</v>
      </c>
      <c r="X482" s="4">
        <f>SUMIFS(super1[Qtde],super1[Item],tab_alimentos[[#This Row],[Item]],super1[Bairro],mercado13)+SUMIFS(supercb[Qtde],supercb[Item],tab_alimentos[[#This Row],[Item]],supercb[Bairro],mercado13)</f>
        <v>0</v>
      </c>
      <c r="Y482" s="4">
        <f>SUMIFS(super1[Qtde],super1[Item],tab_alimentos[[#This Row],[Item]],super1[Bairro],mercado14)+SUMIFS(supercb[Qtde],supercb[Item],tab_alimentos[[#This Row],[Item]],supercb[Bairro],mercado14)</f>
        <v>0</v>
      </c>
      <c r="Z482" s="4">
        <f>SUMIFS(super1[Qtde],super1[Item],tab_alimentos[[#This Row],[Item]],super1[Bairro],mercado15)+SUMIFS(supercb[Qtde],supercb[Item],tab_alimentos[[#This Row],[Item]],supercb[Bairro],mercado15)</f>
        <v>0</v>
      </c>
      <c r="AA482" s="4">
        <f>SUMIFS(super1[Qtde],super1[Item],tab_alimentos[[#This Row],[Item]],super1[Bairro],mercado16)+SUMIFS(supercb[Qtde],supercb[Item],tab_alimentos[[#This Row],[Item]],supercb[Bairro],mercado16)</f>
        <v>0</v>
      </c>
      <c r="AB482" s="4">
        <f>SUMIFS(super1[Qtde],super1[Item],tab_alimentos[[#This Row],[Item]],super1[Bairro],mercado17)+SUMIFS(supercb[Qtde],supercb[Item],tab_alimentos[[#This Row],[Item]],supercb[Bairro],mercado17)</f>
        <v>0</v>
      </c>
      <c r="AC482" s="4">
        <f>SUMIFS(super1[Qtde],super1[Item],tab_alimentos[[#This Row],[Item]],super1[Bairro],mercado18)+SUMIFS(supercb[Qtde],supercb[Item],tab_alimentos[[#This Row],[Item]],supercb[Bairro],mercado18)</f>
        <v>0</v>
      </c>
      <c r="AD482" s="4">
        <f>SUMIFS(super1[Qtde],super1[Item],tab_alimentos[[#This Row],[Item]],super1[Bairro],extras)+SUMIFS(supercb[Qtde],supercb[Item],tab_alimentos[[#This Row],[Item]],supercb[Bairro],extras)</f>
        <v>0</v>
      </c>
      <c r="AE482" s="4">
        <f t="shared" si="100"/>
        <v>0</v>
      </c>
      <c r="AF482" s="4">
        <f t="shared" si="101"/>
        <v>0</v>
      </c>
      <c r="AG482" s="6">
        <f t="shared" si="102"/>
        <v>0</v>
      </c>
    </row>
    <row r="483" spans="9:33" x14ac:dyDescent="0.25">
      <c r="I483" s="19" t="e">
        <f>alimentos[[#This Row],[Item]]</f>
        <v>#VALUE!</v>
      </c>
      <c r="J483" s="4">
        <f>IFERROR(alimentos[[#This Row],[kg/embalagem]],0)</f>
        <v>0</v>
      </c>
      <c r="K483" s="4">
        <f>IFERROR(alimentos[[#This Row],[Preço]],0)</f>
        <v>0</v>
      </c>
      <c r="L483" s="4">
        <f>SUMIFS(super1[Qtde],super1[Item],tab_alimentos[[#This Row],[Item]],super1[Bairro],mercado1)+SUMIFS(supercb[Qtde],supercb[Item],tab_alimentos[[#This Row],[Item]],supercb[Bairro],mercado1)</f>
        <v>0</v>
      </c>
      <c r="M483" s="4">
        <f>SUMIFS(super1[Qtde],super1[Item],tab_alimentos[[#This Row],[Item]],super1[Bairro],mercado2)+SUMIFS(supercb[Qtde],supercb[Item],tab_alimentos[[#This Row],[Item]],supercb[Bairro],mercado2)</f>
        <v>0</v>
      </c>
      <c r="N483" s="4">
        <f>SUMIFS(super1[Qtde],super1[Item],tab_alimentos[[#This Row],[Item]],super1[Bairro],mercado3)+SUMIFS(supercb[Qtde],supercb[Item],tab_alimentos[[#This Row],[Item]],supercb[Bairro],mercado3)</f>
        <v>0</v>
      </c>
      <c r="O483" s="4">
        <f>SUMIFS(super1[Qtde],super1[Item],tab_alimentos[[#This Row],[Item]],super1[Bairro],mercado4)+SUMIFS(supercb[Qtde],supercb[Item],tab_alimentos[[#This Row],[Item]],supercb[Bairro],mercado4)</f>
        <v>0</v>
      </c>
      <c r="P483" s="4">
        <f>SUMIFS(super1[Qtde],super1[Item],tab_alimentos[[#This Row],[Item]],super1[Bairro],mercado5)+SUMIFS(supercb[Qtde],supercb[Item],tab_alimentos[[#This Row],[Item]],supercb[Bairro],mercado5)</f>
        <v>0</v>
      </c>
      <c r="Q483" s="4">
        <f>SUMIFS(super1[Qtde],super1[Item],tab_alimentos[[#This Row],[Item]],super1[Bairro],mercado6)+SUMIFS(supercb[Qtde],supercb[Item],tab_alimentos[[#This Row],[Item]],supercb[Bairro],mercado6)</f>
        <v>0</v>
      </c>
      <c r="R483" s="4">
        <f>SUMIFS(super1[Qtde],super1[Item],tab_alimentos[[#This Row],[Item]],super1[Bairro],mercado7)+SUMIFS(supercb[Qtde],supercb[Item],tab_alimentos[[#This Row],[Item]],supercb[Bairro],mercado7)</f>
        <v>0</v>
      </c>
      <c r="S483" s="4">
        <f>SUMIFS(super1[Qtde],super1[Item],tab_alimentos[[#This Row],[Item]],super1[Bairro],mercado8)+SUMIFS(supercb[Qtde],supercb[Item],tab_alimentos[[#This Row],[Item]],supercb[Bairro],mercado8)</f>
        <v>0</v>
      </c>
      <c r="T483" s="4">
        <f>SUMIFS(super1[Qtde],super1[Item],tab_alimentos[[#This Row],[Item]],super1[Bairro],mercado9)+SUMIFS(supercb[Qtde],supercb[Item],tab_alimentos[[#This Row],[Item]],supercb[Bairro],mercado9)</f>
        <v>0</v>
      </c>
      <c r="U483" s="4">
        <f>SUMIFS(super1[Qtde],super1[Item],tab_alimentos[[#This Row],[Item]],super1[Bairro],mercado10)+SUMIFS(supercb[Qtde],supercb[Item],tab_alimentos[[#This Row],[Item]],supercb[Bairro],mercado10)</f>
        <v>0</v>
      </c>
      <c r="V483" s="4">
        <f>SUMIFS(super1[Qtde],super1[Item],tab_alimentos[[#This Row],[Item]],super1[Bairro],mercado11)+SUMIFS(supercb[Qtde],supercb[Item],tab_alimentos[[#This Row],[Item]],supercb[Bairro],mercado11)</f>
        <v>0</v>
      </c>
      <c r="W483" s="4">
        <f>SUMIFS(super1[Qtde],super1[Item],tab_alimentos[[#This Row],[Item]],super1[Bairro],mercado12)+SUMIFS(supercb[Qtde],supercb[Item],tab_alimentos[[#This Row],[Item]],supercb[Bairro],mercado12)</f>
        <v>0</v>
      </c>
      <c r="X483" s="4">
        <f>SUMIFS(super1[Qtde],super1[Item],tab_alimentos[[#This Row],[Item]],super1[Bairro],mercado13)+SUMIFS(supercb[Qtde],supercb[Item],tab_alimentos[[#This Row],[Item]],supercb[Bairro],mercado13)</f>
        <v>0</v>
      </c>
      <c r="Y483" s="4">
        <f>SUMIFS(super1[Qtde],super1[Item],tab_alimentos[[#This Row],[Item]],super1[Bairro],mercado14)+SUMIFS(supercb[Qtde],supercb[Item],tab_alimentos[[#This Row],[Item]],supercb[Bairro],mercado14)</f>
        <v>0</v>
      </c>
      <c r="Z483" s="4">
        <f>SUMIFS(super1[Qtde],super1[Item],tab_alimentos[[#This Row],[Item]],super1[Bairro],mercado15)+SUMIFS(supercb[Qtde],supercb[Item],tab_alimentos[[#This Row],[Item]],supercb[Bairro],mercado15)</f>
        <v>0</v>
      </c>
      <c r="AA483" s="4">
        <f>SUMIFS(super1[Qtde],super1[Item],tab_alimentos[[#This Row],[Item]],super1[Bairro],mercado16)+SUMIFS(supercb[Qtde],supercb[Item],tab_alimentos[[#This Row],[Item]],supercb[Bairro],mercado16)</f>
        <v>0</v>
      </c>
      <c r="AB483" s="4">
        <f>SUMIFS(super1[Qtde],super1[Item],tab_alimentos[[#This Row],[Item]],super1[Bairro],mercado17)+SUMIFS(supercb[Qtde],supercb[Item],tab_alimentos[[#This Row],[Item]],supercb[Bairro],mercado17)</f>
        <v>0</v>
      </c>
      <c r="AC483" s="4">
        <f>SUMIFS(super1[Qtde],super1[Item],tab_alimentos[[#This Row],[Item]],super1[Bairro],mercado18)+SUMIFS(supercb[Qtde],supercb[Item],tab_alimentos[[#This Row],[Item]],supercb[Bairro],mercado18)</f>
        <v>0</v>
      </c>
      <c r="AD483" s="4">
        <f>SUMIFS(super1[Qtde],super1[Item],tab_alimentos[[#This Row],[Item]],super1[Bairro],extras)+SUMIFS(supercb[Qtde],supercb[Item],tab_alimentos[[#This Row],[Item]],supercb[Bairro],extras)</f>
        <v>0</v>
      </c>
      <c r="AE483" s="4">
        <f t="shared" si="100"/>
        <v>0</v>
      </c>
      <c r="AF483" s="4">
        <f t="shared" si="101"/>
        <v>0</v>
      </c>
      <c r="AG483" s="6">
        <f t="shared" si="102"/>
        <v>0</v>
      </c>
    </row>
    <row r="484" spans="9:33" x14ac:dyDescent="0.25">
      <c r="I484" s="19" t="e">
        <f>alimentos[[#This Row],[Item]]</f>
        <v>#VALUE!</v>
      </c>
      <c r="J484" s="4">
        <f>IFERROR(alimentos[[#This Row],[kg/embalagem]],0)</f>
        <v>0</v>
      </c>
      <c r="K484" s="4">
        <f>IFERROR(alimentos[[#This Row],[Preço]],0)</f>
        <v>0</v>
      </c>
      <c r="L484" s="4">
        <f>SUMIFS(super1[Qtde],super1[Item],tab_alimentos[[#This Row],[Item]],super1[Bairro],mercado1)+SUMIFS(supercb[Qtde],supercb[Item],tab_alimentos[[#This Row],[Item]],supercb[Bairro],mercado1)</f>
        <v>0</v>
      </c>
      <c r="M484" s="4">
        <f>SUMIFS(super1[Qtde],super1[Item],tab_alimentos[[#This Row],[Item]],super1[Bairro],mercado2)+SUMIFS(supercb[Qtde],supercb[Item],tab_alimentos[[#This Row],[Item]],supercb[Bairro],mercado2)</f>
        <v>0</v>
      </c>
      <c r="N484" s="4">
        <f>SUMIFS(super1[Qtde],super1[Item],tab_alimentos[[#This Row],[Item]],super1[Bairro],mercado3)+SUMIFS(supercb[Qtde],supercb[Item],tab_alimentos[[#This Row],[Item]],supercb[Bairro],mercado3)</f>
        <v>0</v>
      </c>
      <c r="O484" s="4">
        <f>SUMIFS(super1[Qtde],super1[Item],tab_alimentos[[#This Row],[Item]],super1[Bairro],mercado4)+SUMIFS(supercb[Qtde],supercb[Item],tab_alimentos[[#This Row],[Item]],supercb[Bairro],mercado4)</f>
        <v>0</v>
      </c>
      <c r="P484" s="4">
        <f>SUMIFS(super1[Qtde],super1[Item],tab_alimentos[[#This Row],[Item]],super1[Bairro],mercado5)+SUMIFS(supercb[Qtde],supercb[Item],tab_alimentos[[#This Row],[Item]],supercb[Bairro],mercado5)</f>
        <v>0</v>
      </c>
      <c r="Q484" s="4">
        <f>SUMIFS(super1[Qtde],super1[Item],tab_alimentos[[#This Row],[Item]],super1[Bairro],mercado6)+SUMIFS(supercb[Qtde],supercb[Item],tab_alimentos[[#This Row],[Item]],supercb[Bairro],mercado6)</f>
        <v>0</v>
      </c>
      <c r="R484" s="4">
        <f>SUMIFS(super1[Qtde],super1[Item],tab_alimentos[[#This Row],[Item]],super1[Bairro],mercado7)+SUMIFS(supercb[Qtde],supercb[Item],tab_alimentos[[#This Row],[Item]],supercb[Bairro],mercado7)</f>
        <v>0</v>
      </c>
      <c r="S484" s="4">
        <f>SUMIFS(super1[Qtde],super1[Item],tab_alimentos[[#This Row],[Item]],super1[Bairro],mercado8)+SUMIFS(supercb[Qtde],supercb[Item],tab_alimentos[[#This Row],[Item]],supercb[Bairro],mercado8)</f>
        <v>0</v>
      </c>
      <c r="T484" s="4">
        <f>SUMIFS(super1[Qtde],super1[Item],tab_alimentos[[#This Row],[Item]],super1[Bairro],mercado9)+SUMIFS(supercb[Qtde],supercb[Item],tab_alimentos[[#This Row],[Item]],supercb[Bairro],mercado9)</f>
        <v>0</v>
      </c>
      <c r="U484" s="4">
        <f>SUMIFS(super1[Qtde],super1[Item],tab_alimentos[[#This Row],[Item]],super1[Bairro],mercado10)+SUMIFS(supercb[Qtde],supercb[Item],tab_alimentos[[#This Row],[Item]],supercb[Bairro],mercado10)</f>
        <v>0</v>
      </c>
      <c r="V484" s="4">
        <f>SUMIFS(super1[Qtde],super1[Item],tab_alimentos[[#This Row],[Item]],super1[Bairro],mercado11)+SUMIFS(supercb[Qtde],supercb[Item],tab_alimentos[[#This Row],[Item]],supercb[Bairro],mercado11)</f>
        <v>0</v>
      </c>
      <c r="W484" s="4">
        <f>SUMIFS(super1[Qtde],super1[Item],tab_alimentos[[#This Row],[Item]],super1[Bairro],mercado12)+SUMIFS(supercb[Qtde],supercb[Item],tab_alimentos[[#This Row],[Item]],supercb[Bairro],mercado12)</f>
        <v>0</v>
      </c>
      <c r="X484" s="4">
        <f>SUMIFS(super1[Qtde],super1[Item],tab_alimentos[[#This Row],[Item]],super1[Bairro],mercado13)+SUMIFS(supercb[Qtde],supercb[Item],tab_alimentos[[#This Row],[Item]],supercb[Bairro],mercado13)</f>
        <v>0</v>
      </c>
      <c r="Y484" s="4">
        <f>SUMIFS(super1[Qtde],super1[Item],tab_alimentos[[#This Row],[Item]],super1[Bairro],mercado14)+SUMIFS(supercb[Qtde],supercb[Item],tab_alimentos[[#This Row],[Item]],supercb[Bairro],mercado14)</f>
        <v>0</v>
      </c>
      <c r="Z484" s="4">
        <f>SUMIFS(super1[Qtde],super1[Item],tab_alimentos[[#This Row],[Item]],super1[Bairro],mercado15)+SUMIFS(supercb[Qtde],supercb[Item],tab_alimentos[[#This Row],[Item]],supercb[Bairro],mercado15)</f>
        <v>0</v>
      </c>
      <c r="AA484" s="4">
        <f>SUMIFS(super1[Qtde],super1[Item],tab_alimentos[[#This Row],[Item]],super1[Bairro],mercado16)+SUMIFS(supercb[Qtde],supercb[Item],tab_alimentos[[#This Row],[Item]],supercb[Bairro],mercado16)</f>
        <v>0</v>
      </c>
      <c r="AB484" s="4">
        <f>SUMIFS(super1[Qtde],super1[Item],tab_alimentos[[#This Row],[Item]],super1[Bairro],mercado17)+SUMIFS(supercb[Qtde],supercb[Item],tab_alimentos[[#This Row],[Item]],supercb[Bairro],mercado17)</f>
        <v>0</v>
      </c>
      <c r="AC484" s="4">
        <f>SUMIFS(super1[Qtde],super1[Item],tab_alimentos[[#This Row],[Item]],super1[Bairro],mercado18)+SUMIFS(supercb[Qtde],supercb[Item],tab_alimentos[[#This Row],[Item]],supercb[Bairro],mercado18)</f>
        <v>0</v>
      </c>
      <c r="AD484" s="4">
        <f>SUMIFS(super1[Qtde],super1[Item],tab_alimentos[[#This Row],[Item]],super1[Bairro],extras)+SUMIFS(supercb[Qtde],supercb[Item],tab_alimentos[[#This Row],[Item]],supercb[Bairro],extras)</f>
        <v>0</v>
      </c>
      <c r="AE484" s="4">
        <f t="shared" si="100"/>
        <v>0</v>
      </c>
      <c r="AF484" s="4">
        <f t="shared" si="101"/>
        <v>0</v>
      </c>
      <c r="AG484" s="6">
        <f t="shared" si="102"/>
        <v>0</v>
      </c>
    </row>
    <row r="485" spans="9:33" x14ac:dyDescent="0.25">
      <c r="I485" s="19" t="e">
        <f>alimentos[[#This Row],[Item]]</f>
        <v>#VALUE!</v>
      </c>
      <c r="J485" s="4">
        <f>IFERROR(alimentos[[#This Row],[kg/embalagem]],0)</f>
        <v>0</v>
      </c>
      <c r="K485" s="4">
        <f>IFERROR(alimentos[[#This Row],[Preço]],0)</f>
        <v>0</v>
      </c>
      <c r="L485" s="4">
        <f>SUMIFS(super1[Qtde],super1[Item],tab_alimentos[[#This Row],[Item]],super1[Bairro],mercado1)+SUMIFS(supercb[Qtde],supercb[Item],tab_alimentos[[#This Row],[Item]],supercb[Bairro],mercado1)</f>
        <v>0</v>
      </c>
      <c r="M485" s="4">
        <f>SUMIFS(super1[Qtde],super1[Item],tab_alimentos[[#This Row],[Item]],super1[Bairro],mercado2)+SUMIFS(supercb[Qtde],supercb[Item],tab_alimentos[[#This Row],[Item]],supercb[Bairro],mercado2)</f>
        <v>0</v>
      </c>
      <c r="N485" s="4">
        <f>SUMIFS(super1[Qtde],super1[Item],tab_alimentos[[#This Row],[Item]],super1[Bairro],mercado3)+SUMIFS(supercb[Qtde],supercb[Item],tab_alimentos[[#This Row],[Item]],supercb[Bairro],mercado3)</f>
        <v>0</v>
      </c>
      <c r="O485" s="4">
        <f>SUMIFS(super1[Qtde],super1[Item],tab_alimentos[[#This Row],[Item]],super1[Bairro],mercado4)+SUMIFS(supercb[Qtde],supercb[Item],tab_alimentos[[#This Row],[Item]],supercb[Bairro],mercado4)</f>
        <v>0</v>
      </c>
      <c r="P485" s="4">
        <f>SUMIFS(super1[Qtde],super1[Item],tab_alimentos[[#This Row],[Item]],super1[Bairro],mercado5)+SUMIFS(supercb[Qtde],supercb[Item],tab_alimentos[[#This Row],[Item]],supercb[Bairro],mercado5)</f>
        <v>0</v>
      </c>
      <c r="Q485" s="4">
        <f>SUMIFS(super1[Qtde],super1[Item],tab_alimentos[[#This Row],[Item]],super1[Bairro],mercado6)+SUMIFS(supercb[Qtde],supercb[Item],tab_alimentos[[#This Row],[Item]],supercb[Bairro],mercado6)</f>
        <v>0</v>
      </c>
      <c r="R485" s="4">
        <f>SUMIFS(super1[Qtde],super1[Item],tab_alimentos[[#This Row],[Item]],super1[Bairro],mercado7)+SUMIFS(supercb[Qtde],supercb[Item],tab_alimentos[[#This Row],[Item]],supercb[Bairro],mercado7)</f>
        <v>0</v>
      </c>
      <c r="S485" s="4">
        <f>SUMIFS(super1[Qtde],super1[Item],tab_alimentos[[#This Row],[Item]],super1[Bairro],mercado8)+SUMIFS(supercb[Qtde],supercb[Item],tab_alimentos[[#This Row],[Item]],supercb[Bairro],mercado8)</f>
        <v>0</v>
      </c>
      <c r="T485" s="4">
        <f>SUMIFS(super1[Qtde],super1[Item],tab_alimentos[[#This Row],[Item]],super1[Bairro],mercado9)+SUMIFS(supercb[Qtde],supercb[Item],tab_alimentos[[#This Row],[Item]],supercb[Bairro],mercado9)</f>
        <v>0</v>
      </c>
      <c r="U485" s="4">
        <f>SUMIFS(super1[Qtde],super1[Item],tab_alimentos[[#This Row],[Item]],super1[Bairro],mercado10)+SUMIFS(supercb[Qtde],supercb[Item],tab_alimentos[[#This Row],[Item]],supercb[Bairro],mercado10)</f>
        <v>0</v>
      </c>
      <c r="V485" s="4">
        <f>SUMIFS(super1[Qtde],super1[Item],tab_alimentos[[#This Row],[Item]],super1[Bairro],mercado11)+SUMIFS(supercb[Qtde],supercb[Item],tab_alimentos[[#This Row],[Item]],supercb[Bairro],mercado11)</f>
        <v>0</v>
      </c>
      <c r="W485" s="4">
        <f>SUMIFS(super1[Qtde],super1[Item],tab_alimentos[[#This Row],[Item]],super1[Bairro],mercado12)+SUMIFS(supercb[Qtde],supercb[Item],tab_alimentos[[#This Row],[Item]],supercb[Bairro],mercado12)</f>
        <v>0</v>
      </c>
      <c r="X485" s="4">
        <f>SUMIFS(super1[Qtde],super1[Item],tab_alimentos[[#This Row],[Item]],super1[Bairro],mercado13)+SUMIFS(supercb[Qtde],supercb[Item],tab_alimentos[[#This Row],[Item]],supercb[Bairro],mercado13)</f>
        <v>0</v>
      </c>
      <c r="Y485" s="4">
        <f>SUMIFS(super1[Qtde],super1[Item],tab_alimentos[[#This Row],[Item]],super1[Bairro],mercado14)+SUMIFS(supercb[Qtde],supercb[Item],tab_alimentos[[#This Row],[Item]],supercb[Bairro],mercado14)</f>
        <v>0</v>
      </c>
      <c r="Z485" s="4">
        <f>SUMIFS(super1[Qtde],super1[Item],tab_alimentos[[#This Row],[Item]],super1[Bairro],mercado15)+SUMIFS(supercb[Qtde],supercb[Item],tab_alimentos[[#This Row],[Item]],supercb[Bairro],mercado15)</f>
        <v>0</v>
      </c>
      <c r="AA485" s="4">
        <f>SUMIFS(super1[Qtde],super1[Item],tab_alimentos[[#This Row],[Item]],super1[Bairro],mercado16)+SUMIFS(supercb[Qtde],supercb[Item],tab_alimentos[[#This Row],[Item]],supercb[Bairro],mercado16)</f>
        <v>0</v>
      </c>
      <c r="AB485" s="4">
        <f>SUMIFS(super1[Qtde],super1[Item],tab_alimentos[[#This Row],[Item]],super1[Bairro],mercado17)+SUMIFS(supercb[Qtde],supercb[Item],tab_alimentos[[#This Row],[Item]],supercb[Bairro],mercado17)</f>
        <v>0</v>
      </c>
      <c r="AC485" s="4">
        <f>SUMIFS(super1[Qtde],super1[Item],tab_alimentos[[#This Row],[Item]],super1[Bairro],mercado18)+SUMIFS(supercb[Qtde],supercb[Item],tab_alimentos[[#This Row],[Item]],supercb[Bairro],mercado18)</f>
        <v>0</v>
      </c>
      <c r="AD485" s="4">
        <f>SUMIFS(super1[Qtde],super1[Item],tab_alimentos[[#This Row],[Item]],super1[Bairro],extras)+SUMIFS(supercb[Qtde],supercb[Item],tab_alimentos[[#This Row],[Item]],supercb[Bairro],extras)</f>
        <v>0</v>
      </c>
      <c r="AE485" s="4">
        <f t="shared" si="100"/>
        <v>0</v>
      </c>
      <c r="AF485" s="4">
        <f t="shared" si="101"/>
        <v>0</v>
      </c>
      <c r="AG485" s="6">
        <f t="shared" si="102"/>
        <v>0</v>
      </c>
    </row>
    <row r="486" spans="9:33" x14ac:dyDescent="0.25">
      <c r="I486" s="19" t="e">
        <f>alimentos[[#This Row],[Item]]</f>
        <v>#VALUE!</v>
      </c>
      <c r="J486" s="4">
        <f>IFERROR(alimentos[[#This Row],[kg/embalagem]],0)</f>
        <v>0</v>
      </c>
      <c r="K486" s="4">
        <f>IFERROR(alimentos[[#This Row],[Preço]],0)</f>
        <v>0</v>
      </c>
      <c r="L486" s="4">
        <f>SUMIFS(super1[Qtde],super1[Item],tab_alimentos[[#This Row],[Item]],super1[Bairro],mercado1)+SUMIFS(supercb[Qtde],supercb[Item],tab_alimentos[[#This Row],[Item]],supercb[Bairro],mercado1)</f>
        <v>0</v>
      </c>
      <c r="M486" s="4">
        <f>SUMIFS(super1[Qtde],super1[Item],tab_alimentos[[#This Row],[Item]],super1[Bairro],mercado2)+SUMIFS(supercb[Qtde],supercb[Item],tab_alimentos[[#This Row],[Item]],supercb[Bairro],mercado2)</f>
        <v>0</v>
      </c>
      <c r="N486" s="4">
        <f>SUMIFS(super1[Qtde],super1[Item],tab_alimentos[[#This Row],[Item]],super1[Bairro],mercado3)+SUMIFS(supercb[Qtde],supercb[Item],tab_alimentos[[#This Row],[Item]],supercb[Bairro],mercado3)</f>
        <v>0</v>
      </c>
      <c r="O486" s="4">
        <f>SUMIFS(super1[Qtde],super1[Item],tab_alimentos[[#This Row],[Item]],super1[Bairro],mercado4)+SUMIFS(supercb[Qtde],supercb[Item],tab_alimentos[[#This Row],[Item]],supercb[Bairro],mercado4)</f>
        <v>0</v>
      </c>
      <c r="P486" s="4">
        <f>SUMIFS(super1[Qtde],super1[Item],tab_alimentos[[#This Row],[Item]],super1[Bairro],mercado5)+SUMIFS(supercb[Qtde],supercb[Item],tab_alimentos[[#This Row],[Item]],supercb[Bairro],mercado5)</f>
        <v>0</v>
      </c>
      <c r="Q486" s="4">
        <f>SUMIFS(super1[Qtde],super1[Item],tab_alimentos[[#This Row],[Item]],super1[Bairro],mercado6)+SUMIFS(supercb[Qtde],supercb[Item],tab_alimentos[[#This Row],[Item]],supercb[Bairro],mercado6)</f>
        <v>0</v>
      </c>
      <c r="R486" s="4">
        <f>SUMIFS(super1[Qtde],super1[Item],tab_alimentos[[#This Row],[Item]],super1[Bairro],mercado7)+SUMIFS(supercb[Qtde],supercb[Item],tab_alimentos[[#This Row],[Item]],supercb[Bairro],mercado7)</f>
        <v>0</v>
      </c>
      <c r="S486" s="4">
        <f>SUMIFS(super1[Qtde],super1[Item],tab_alimentos[[#This Row],[Item]],super1[Bairro],mercado8)+SUMIFS(supercb[Qtde],supercb[Item],tab_alimentos[[#This Row],[Item]],supercb[Bairro],mercado8)</f>
        <v>0</v>
      </c>
      <c r="T486" s="4">
        <f>SUMIFS(super1[Qtde],super1[Item],tab_alimentos[[#This Row],[Item]],super1[Bairro],mercado9)+SUMIFS(supercb[Qtde],supercb[Item],tab_alimentos[[#This Row],[Item]],supercb[Bairro],mercado9)</f>
        <v>0</v>
      </c>
      <c r="U486" s="4">
        <f>SUMIFS(super1[Qtde],super1[Item],tab_alimentos[[#This Row],[Item]],super1[Bairro],mercado10)+SUMIFS(supercb[Qtde],supercb[Item],tab_alimentos[[#This Row],[Item]],supercb[Bairro],mercado10)</f>
        <v>0</v>
      </c>
      <c r="V486" s="4">
        <f>SUMIFS(super1[Qtde],super1[Item],tab_alimentos[[#This Row],[Item]],super1[Bairro],mercado11)+SUMIFS(supercb[Qtde],supercb[Item],tab_alimentos[[#This Row],[Item]],supercb[Bairro],mercado11)</f>
        <v>0</v>
      </c>
      <c r="W486" s="4">
        <f>SUMIFS(super1[Qtde],super1[Item],tab_alimentos[[#This Row],[Item]],super1[Bairro],mercado12)+SUMIFS(supercb[Qtde],supercb[Item],tab_alimentos[[#This Row],[Item]],supercb[Bairro],mercado12)</f>
        <v>0</v>
      </c>
      <c r="X486" s="4">
        <f>SUMIFS(super1[Qtde],super1[Item],tab_alimentos[[#This Row],[Item]],super1[Bairro],mercado13)+SUMIFS(supercb[Qtde],supercb[Item],tab_alimentos[[#This Row],[Item]],supercb[Bairro],mercado13)</f>
        <v>0</v>
      </c>
      <c r="Y486" s="4">
        <f>SUMIFS(super1[Qtde],super1[Item],tab_alimentos[[#This Row],[Item]],super1[Bairro],mercado14)+SUMIFS(supercb[Qtde],supercb[Item],tab_alimentos[[#This Row],[Item]],supercb[Bairro],mercado14)</f>
        <v>0</v>
      </c>
      <c r="Z486" s="4">
        <f>SUMIFS(super1[Qtde],super1[Item],tab_alimentos[[#This Row],[Item]],super1[Bairro],mercado15)+SUMIFS(supercb[Qtde],supercb[Item],tab_alimentos[[#This Row],[Item]],supercb[Bairro],mercado15)</f>
        <v>0</v>
      </c>
      <c r="AA486" s="4">
        <f>SUMIFS(super1[Qtde],super1[Item],tab_alimentos[[#This Row],[Item]],super1[Bairro],mercado16)+SUMIFS(supercb[Qtde],supercb[Item],tab_alimentos[[#This Row],[Item]],supercb[Bairro],mercado16)</f>
        <v>0</v>
      </c>
      <c r="AB486" s="4">
        <f>SUMIFS(super1[Qtde],super1[Item],tab_alimentos[[#This Row],[Item]],super1[Bairro],mercado17)+SUMIFS(supercb[Qtde],supercb[Item],tab_alimentos[[#This Row],[Item]],supercb[Bairro],mercado17)</f>
        <v>0</v>
      </c>
      <c r="AC486" s="4">
        <f>SUMIFS(super1[Qtde],super1[Item],tab_alimentos[[#This Row],[Item]],super1[Bairro],mercado18)+SUMIFS(supercb[Qtde],supercb[Item],tab_alimentos[[#This Row],[Item]],supercb[Bairro],mercado18)</f>
        <v>0</v>
      </c>
      <c r="AD486" s="4">
        <f>SUMIFS(super1[Qtde],super1[Item],tab_alimentos[[#This Row],[Item]],super1[Bairro],extras)+SUMIFS(supercb[Qtde],supercb[Item],tab_alimentos[[#This Row],[Item]],supercb[Bairro],extras)</f>
        <v>0</v>
      </c>
      <c r="AE486" s="4">
        <f t="shared" si="100"/>
        <v>0</v>
      </c>
      <c r="AF486" s="4">
        <f t="shared" si="101"/>
        <v>0</v>
      </c>
      <c r="AG486" s="6">
        <f t="shared" si="102"/>
        <v>0</v>
      </c>
    </row>
    <row r="487" spans="9:33" x14ac:dyDescent="0.25">
      <c r="I487" s="19" t="e">
        <f>alimentos[[#This Row],[Item]]</f>
        <v>#VALUE!</v>
      </c>
      <c r="J487" s="4">
        <f>IFERROR(alimentos[[#This Row],[kg/embalagem]],0)</f>
        <v>0</v>
      </c>
      <c r="K487" s="4">
        <f>IFERROR(alimentos[[#This Row],[Preço]],0)</f>
        <v>0</v>
      </c>
      <c r="L487" s="4">
        <f>SUMIFS(super1[Qtde],super1[Item],tab_alimentos[[#This Row],[Item]],super1[Bairro],mercado1)+SUMIFS(supercb[Qtde],supercb[Item],tab_alimentos[[#This Row],[Item]],supercb[Bairro],mercado1)</f>
        <v>0</v>
      </c>
      <c r="M487" s="4">
        <f>SUMIFS(super1[Qtde],super1[Item],tab_alimentos[[#This Row],[Item]],super1[Bairro],mercado2)+SUMIFS(supercb[Qtde],supercb[Item],tab_alimentos[[#This Row],[Item]],supercb[Bairro],mercado2)</f>
        <v>0</v>
      </c>
      <c r="N487" s="4">
        <f>SUMIFS(super1[Qtde],super1[Item],tab_alimentos[[#This Row],[Item]],super1[Bairro],mercado3)+SUMIFS(supercb[Qtde],supercb[Item],tab_alimentos[[#This Row],[Item]],supercb[Bairro],mercado3)</f>
        <v>0</v>
      </c>
      <c r="O487" s="4">
        <f>SUMIFS(super1[Qtde],super1[Item],tab_alimentos[[#This Row],[Item]],super1[Bairro],mercado4)+SUMIFS(supercb[Qtde],supercb[Item],tab_alimentos[[#This Row],[Item]],supercb[Bairro],mercado4)</f>
        <v>0</v>
      </c>
      <c r="P487" s="4">
        <f>SUMIFS(super1[Qtde],super1[Item],tab_alimentos[[#This Row],[Item]],super1[Bairro],mercado5)+SUMIFS(supercb[Qtde],supercb[Item],tab_alimentos[[#This Row],[Item]],supercb[Bairro],mercado5)</f>
        <v>0</v>
      </c>
      <c r="Q487" s="4">
        <f>SUMIFS(super1[Qtde],super1[Item],tab_alimentos[[#This Row],[Item]],super1[Bairro],mercado6)+SUMIFS(supercb[Qtde],supercb[Item],tab_alimentos[[#This Row],[Item]],supercb[Bairro],mercado6)</f>
        <v>0</v>
      </c>
      <c r="R487" s="4">
        <f>SUMIFS(super1[Qtde],super1[Item],tab_alimentos[[#This Row],[Item]],super1[Bairro],mercado7)+SUMIFS(supercb[Qtde],supercb[Item],tab_alimentos[[#This Row],[Item]],supercb[Bairro],mercado7)</f>
        <v>0</v>
      </c>
      <c r="S487" s="4">
        <f>SUMIFS(super1[Qtde],super1[Item],tab_alimentos[[#This Row],[Item]],super1[Bairro],mercado8)+SUMIFS(supercb[Qtde],supercb[Item],tab_alimentos[[#This Row],[Item]],supercb[Bairro],mercado8)</f>
        <v>0</v>
      </c>
      <c r="T487" s="4">
        <f>SUMIFS(super1[Qtde],super1[Item],tab_alimentos[[#This Row],[Item]],super1[Bairro],mercado9)+SUMIFS(supercb[Qtde],supercb[Item],tab_alimentos[[#This Row],[Item]],supercb[Bairro],mercado9)</f>
        <v>0</v>
      </c>
      <c r="U487" s="4">
        <f>SUMIFS(super1[Qtde],super1[Item],tab_alimentos[[#This Row],[Item]],super1[Bairro],mercado10)+SUMIFS(supercb[Qtde],supercb[Item],tab_alimentos[[#This Row],[Item]],supercb[Bairro],mercado10)</f>
        <v>0</v>
      </c>
      <c r="V487" s="4">
        <f>SUMIFS(super1[Qtde],super1[Item],tab_alimentos[[#This Row],[Item]],super1[Bairro],mercado11)+SUMIFS(supercb[Qtde],supercb[Item],tab_alimentos[[#This Row],[Item]],supercb[Bairro],mercado11)</f>
        <v>0</v>
      </c>
      <c r="W487" s="4">
        <f>SUMIFS(super1[Qtde],super1[Item],tab_alimentos[[#This Row],[Item]],super1[Bairro],mercado12)+SUMIFS(supercb[Qtde],supercb[Item],tab_alimentos[[#This Row],[Item]],supercb[Bairro],mercado12)</f>
        <v>0</v>
      </c>
      <c r="X487" s="4">
        <f>SUMIFS(super1[Qtde],super1[Item],tab_alimentos[[#This Row],[Item]],super1[Bairro],mercado13)+SUMIFS(supercb[Qtde],supercb[Item],tab_alimentos[[#This Row],[Item]],supercb[Bairro],mercado13)</f>
        <v>0</v>
      </c>
      <c r="Y487" s="4">
        <f>SUMIFS(super1[Qtde],super1[Item],tab_alimentos[[#This Row],[Item]],super1[Bairro],mercado14)+SUMIFS(supercb[Qtde],supercb[Item],tab_alimentos[[#This Row],[Item]],supercb[Bairro],mercado14)</f>
        <v>0</v>
      </c>
      <c r="Z487" s="4">
        <f>SUMIFS(super1[Qtde],super1[Item],tab_alimentos[[#This Row],[Item]],super1[Bairro],mercado15)+SUMIFS(supercb[Qtde],supercb[Item],tab_alimentos[[#This Row],[Item]],supercb[Bairro],mercado15)</f>
        <v>0</v>
      </c>
      <c r="AA487" s="4">
        <f>SUMIFS(super1[Qtde],super1[Item],tab_alimentos[[#This Row],[Item]],super1[Bairro],mercado16)+SUMIFS(supercb[Qtde],supercb[Item],tab_alimentos[[#This Row],[Item]],supercb[Bairro],mercado16)</f>
        <v>0</v>
      </c>
      <c r="AB487" s="4">
        <f>SUMIFS(super1[Qtde],super1[Item],tab_alimentos[[#This Row],[Item]],super1[Bairro],mercado17)+SUMIFS(supercb[Qtde],supercb[Item],tab_alimentos[[#This Row],[Item]],supercb[Bairro],mercado17)</f>
        <v>0</v>
      </c>
      <c r="AC487" s="4">
        <f>SUMIFS(super1[Qtde],super1[Item],tab_alimentos[[#This Row],[Item]],super1[Bairro],mercado18)+SUMIFS(supercb[Qtde],supercb[Item],tab_alimentos[[#This Row],[Item]],supercb[Bairro],mercado18)</f>
        <v>0</v>
      </c>
      <c r="AD487" s="4">
        <f>SUMIFS(super1[Qtde],super1[Item],tab_alimentos[[#This Row],[Item]],super1[Bairro],extras)+SUMIFS(supercb[Qtde],supercb[Item],tab_alimentos[[#This Row],[Item]],supercb[Bairro],extras)</f>
        <v>0</v>
      </c>
      <c r="AE487" s="4">
        <f t="shared" si="100"/>
        <v>0</v>
      </c>
      <c r="AF487" s="4">
        <f t="shared" si="101"/>
        <v>0</v>
      </c>
      <c r="AG487" s="6">
        <f t="shared" si="102"/>
        <v>0</v>
      </c>
    </row>
    <row r="488" spans="9:33" x14ac:dyDescent="0.25">
      <c r="I488" s="19" t="e">
        <f>alimentos[[#This Row],[Item]]</f>
        <v>#VALUE!</v>
      </c>
      <c r="J488" s="4">
        <f>IFERROR(alimentos[[#This Row],[kg/embalagem]],0)</f>
        <v>0</v>
      </c>
      <c r="K488" s="4">
        <f>IFERROR(alimentos[[#This Row],[Preço]],0)</f>
        <v>0</v>
      </c>
      <c r="L488" s="4">
        <f>SUMIFS(super1[Qtde],super1[Item],tab_alimentos[[#This Row],[Item]],super1[Bairro],mercado1)+SUMIFS(supercb[Qtde],supercb[Item],tab_alimentos[[#This Row],[Item]],supercb[Bairro],mercado1)</f>
        <v>0</v>
      </c>
      <c r="M488" s="4">
        <f>SUMIFS(super1[Qtde],super1[Item],tab_alimentos[[#This Row],[Item]],super1[Bairro],mercado2)+SUMIFS(supercb[Qtde],supercb[Item],tab_alimentos[[#This Row],[Item]],supercb[Bairro],mercado2)</f>
        <v>0</v>
      </c>
      <c r="N488" s="4">
        <f>SUMIFS(super1[Qtde],super1[Item],tab_alimentos[[#This Row],[Item]],super1[Bairro],mercado3)+SUMIFS(supercb[Qtde],supercb[Item],tab_alimentos[[#This Row],[Item]],supercb[Bairro],mercado3)</f>
        <v>0</v>
      </c>
      <c r="O488" s="4">
        <f>SUMIFS(super1[Qtde],super1[Item],tab_alimentos[[#This Row],[Item]],super1[Bairro],mercado4)+SUMIFS(supercb[Qtde],supercb[Item],tab_alimentos[[#This Row],[Item]],supercb[Bairro],mercado4)</f>
        <v>0</v>
      </c>
      <c r="P488" s="4">
        <f>SUMIFS(super1[Qtde],super1[Item],tab_alimentos[[#This Row],[Item]],super1[Bairro],mercado5)+SUMIFS(supercb[Qtde],supercb[Item],tab_alimentos[[#This Row],[Item]],supercb[Bairro],mercado5)</f>
        <v>0</v>
      </c>
      <c r="Q488" s="4">
        <f>SUMIFS(super1[Qtde],super1[Item],tab_alimentos[[#This Row],[Item]],super1[Bairro],mercado6)+SUMIFS(supercb[Qtde],supercb[Item],tab_alimentos[[#This Row],[Item]],supercb[Bairro],mercado6)</f>
        <v>0</v>
      </c>
      <c r="R488" s="4">
        <f>SUMIFS(super1[Qtde],super1[Item],tab_alimentos[[#This Row],[Item]],super1[Bairro],mercado7)+SUMIFS(supercb[Qtde],supercb[Item],tab_alimentos[[#This Row],[Item]],supercb[Bairro],mercado7)</f>
        <v>0</v>
      </c>
      <c r="S488" s="4">
        <f>SUMIFS(super1[Qtde],super1[Item],tab_alimentos[[#This Row],[Item]],super1[Bairro],mercado8)+SUMIFS(supercb[Qtde],supercb[Item],tab_alimentos[[#This Row],[Item]],supercb[Bairro],mercado8)</f>
        <v>0</v>
      </c>
      <c r="T488" s="4">
        <f>SUMIFS(super1[Qtde],super1[Item],tab_alimentos[[#This Row],[Item]],super1[Bairro],mercado9)+SUMIFS(supercb[Qtde],supercb[Item],tab_alimentos[[#This Row],[Item]],supercb[Bairro],mercado9)</f>
        <v>0</v>
      </c>
      <c r="U488" s="4">
        <f>SUMIFS(super1[Qtde],super1[Item],tab_alimentos[[#This Row],[Item]],super1[Bairro],mercado10)+SUMIFS(supercb[Qtde],supercb[Item],tab_alimentos[[#This Row],[Item]],supercb[Bairro],mercado10)</f>
        <v>0</v>
      </c>
      <c r="V488" s="4">
        <f>SUMIFS(super1[Qtde],super1[Item],tab_alimentos[[#This Row],[Item]],super1[Bairro],mercado11)+SUMIFS(supercb[Qtde],supercb[Item],tab_alimentos[[#This Row],[Item]],supercb[Bairro],mercado11)</f>
        <v>0</v>
      </c>
      <c r="W488" s="4">
        <f>SUMIFS(super1[Qtde],super1[Item],tab_alimentos[[#This Row],[Item]],super1[Bairro],mercado12)+SUMIFS(supercb[Qtde],supercb[Item],tab_alimentos[[#This Row],[Item]],supercb[Bairro],mercado12)</f>
        <v>0</v>
      </c>
      <c r="X488" s="4">
        <f>SUMIFS(super1[Qtde],super1[Item],tab_alimentos[[#This Row],[Item]],super1[Bairro],mercado13)+SUMIFS(supercb[Qtde],supercb[Item],tab_alimentos[[#This Row],[Item]],supercb[Bairro],mercado13)</f>
        <v>0</v>
      </c>
      <c r="Y488" s="4">
        <f>SUMIFS(super1[Qtde],super1[Item],tab_alimentos[[#This Row],[Item]],super1[Bairro],mercado14)+SUMIFS(supercb[Qtde],supercb[Item],tab_alimentos[[#This Row],[Item]],supercb[Bairro],mercado14)</f>
        <v>0</v>
      </c>
      <c r="Z488" s="4">
        <f>SUMIFS(super1[Qtde],super1[Item],tab_alimentos[[#This Row],[Item]],super1[Bairro],mercado15)+SUMIFS(supercb[Qtde],supercb[Item],tab_alimentos[[#This Row],[Item]],supercb[Bairro],mercado15)</f>
        <v>0</v>
      </c>
      <c r="AA488" s="4">
        <f>SUMIFS(super1[Qtde],super1[Item],tab_alimentos[[#This Row],[Item]],super1[Bairro],mercado16)+SUMIFS(supercb[Qtde],supercb[Item],tab_alimentos[[#This Row],[Item]],supercb[Bairro],mercado16)</f>
        <v>0</v>
      </c>
      <c r="AB488" s="4">
        <f>SUMIFS(super1[Qtde],super1[Item],tab_alimentos[[#This Row],[Item]],super1[Bairro],mercado17)+SUMIFS(supercb[Qtde],supercb[Item],tab_alimentos[[#This Row],[Item]],supercb[Bairro],mercado17)</f>
        <v>0</v>
      </c>
      <c r="AC488" s="4">
        <f>SUMIFS(super1[Qtde],super1[Item],tab_alimentos[[#This Row],[Item]],super1[Bairro],mercado18)+SUMIFS(supercb[Qtde],supercb[Item],tab_alimentos[[#This Row],[Item]],supercb[Bairro],mercado18)</f>
        <v>0</v>
      </c>
      <c r="AD488" s="4">
        <f>SUMIFS(super1[Qtde],super1[Item],tab_alimentos[[#This Row],[Item]],super1[Bairro],extras)+SUMIFS(supercb[Qtde],supercb[Item],tab_alimentos[[#This Row],[Item]],supercb[Bairro],extras)</f>
        <v>0</v>
      </c>
      <c r="AE488" s="4">
        <f t="shared" si="100"/>
        <v>0</v>
      </c>
      <c r="AF488" s="4">
        <f t="shared" si="101"/>
        <v>0</v>
      </c>
      <c r="AG488" s="6">
        <f t="shared" si="102"/>
        <v>0</v>
      </c>
    </row>
    <row r="489" spans="9:33" x14ac:dyDescent="0.25">
      <c r="I489" s="19" t="e">
        <f>alimentos[[#This Row],[Item]]</f>
        <v>#VALUE!</v>
      </c>
      <c r="J489" s="4">
        <f>IFERROR(alimentos[[#This Row],[kg/embalagem]],0)</f>
        <v>0</v>
      </c>
      <c r="K489" s="4">
        <f>IFERROR(alimentos[[#This Row],[Preço]],0)</f>
        <v>0</v>
      </c>
      <c r="L489" s="4">
        <f>SUMIFS(super1[Qtde],super1[Item],tab_alimentos[[#This Row],[Item]],super1[Bairro],mercado1)+SUMIFS(supercb[Qtde],supercb[Item],tab_alimentos[[#This Row],[Item]],supercb[Bairro],mercado1)</f>
        <v>0</v>
      </c>
      <c r="M489" s="4">
        <f>SUMIFS(super1[Qtde],super1[Item],tab_alimentos[[#This Row],[Item]],super1[Bairro],mercado2)+SUMIFS(supercb[Qtde],supercb[Item],tab_alimentos[[#This Row],[Item]],supercb[Bairro],mercado2)</f>
        <v>0</v>
      </c>
      <c r="N489" s="4">
        <f>SUMIFS(super1[Qtde],super1[Item],tab_alimentos[[#This Row],[Item]],super1[Bairro],mercado3)+SUMIFS(supercb[Qtde],supercb[Item],tab_alimentos[[#This Row],[Item]],supercb[Bairro],mercado3)</f>
        <v>0</v>
      </c>
      <c r="O489" s="4">
        <f>SUMIFS(super1[Qtde],super1[Item],tab_alimentos[[#This Row],[Item]],super1[Bairro],mercado4)+SUMIFS(supercb[Qtde],supercb[Item],tab_alimentos[[#This Row],[Item]],supercb[Bairro],mercado4)</f>
        <v>0</v>
      </c>
      <c r="P489" s="4">
        <f>SUMIFS(super1[Qtde],super1[Item],tab_alimentos[[#This Row],[Item]],super1[Bairro],mercado5)+SUMIFS(supercb[Qtde],supercb[Item],tab_alimentos[[#This Row],[Item]],supercb[Bairro],mercado5)</f>
        <v>0</v>
      </c>
      <c r="Q489" s="4">
        <f>SUMIFS(super1[Qtde],super1[Item],tab_alimentos[[#This Row],[Item]],super1[Bairro],mercado6)+SUMIFS(supercb[Qtde],supercb[Item],tab_alimentos[[#This Row],[Item]],supercb[Bairro],mercado6)</f>
        <v>0</v>
      </c>
      <c r="R489" s="4">
        <f>SUMIFS(super1[Qtde],super1[Item],tab_alimentos[[#This Row],[Item]],super1[Bairro],mercado7)+SUMIFS(supercb[Qtde],supercb[Item],tab_alimentos[[#This Row],[Item]],supercb[Bairro],mercado7)</f>
        <v>0</v>
      </c>
      <c r="S489" s="4">
        <f>SUMIFS(super1[Qtde],super1[Item],tab_alimentos[[#This Row],[Item]],super1[Bairro],mercado8)+SUMIFS(supercb[Qtde],supercb[Item],tab_alimentos[[#This Row],[Item]],supercb[Bairro],mercado8)</f>
        <v>0</v>
      </c>
      <c r="T489" s="4">
        <f>SUMIFS(super1[Qtde],super1[Item],tab_alimentos[[#This Row],[Item]],super1[Bairro],mercado9)+SUMIFS(supercb[Qtde],supercb[Item],tab_alimentos[[#This Row],[Item]],supercb[Bairro],mercado9)</f>
        <v>0</v>
      </c>
      <c r="U489" s="4">
        <f>SUMIFS(super1[Qtde],super1[Item],tab_alimentos[[#This Row],[Item]],super1[Bairro],mercado10)+SUMIFS(supercb[Qtde],supercb[Item],tab_alimentos[[#This Row],[Item]],supercb[Bairro],mercado10)</f>
        <v>0</v>
      </c>
      <c r="V489" s="4">
        <f>SUMIFS(super1[Qtde],super1[Item],tab_alimentos[[#This Row],[Item]],super1[Bairro],mercado11)+SUMIFS(supercb[Qtde],supercb[Item],tab_alimentos[[#This Row],[Item]],supercb[Bairro],mercado11)</f>
        <v>0</v>
      </c>
      <c r="W489" s="4">
        <f>SUMIFS(super1[Qtde],super1[Item],tab_alimentos[[#This Row],[Item]],super1[Bairro],mercado12)+SUMIFS(supercb[Qtde],supercb[Item],tab_alimentos[[#This Row],[Item]],supercb[Bairro],mercado12)</f>
        <v>0</v>
      </c>
      <c r="X489" s="4">
        <f>SUMIFS(super1[Qtde],super1[Item],tab_alimentos[[#This Row],[Item]],super1[Bairro],mercado13)+SUMIFS(supercb[Qtde],supercb[Item],tab_alimentos[[#This Row],[Item]],supercb[Bairro],mercado13)</f>
        <v>0</v>
      </c>
      <c r="Y489" s="4">
        <f>SUMIFS(super1[Qtde],super1[Item],tab_alimentos[[#This Row],[Item]],super1[Bairro],mercado14)+SUMIFS(supercb[Qtde],supercb[Item],tab_alimentos[[#This Row],[Item]],supercb[Bairro],mercado14)</f>
        <v>0</v>
      </c>
      <c r="Z489" s="4">
        <f>SUMIFS(super1[Qtde],super1[Item],tab_alimentos[[#This Row],[Item]],super1[Bairro],mercado15)+SUMIFS(supercb[Qtde],supercb[Item],tab_alimentos[[#This Row],[Item]],supercb[Bairro],mercado15)</f>
        <v>0</v>
      </c>
      <c r="AA489" s="4">
        <f>SUMIFS(super1[Qtde],super1[Item],tab_alimentos[[#This Row],[Item]],super1[Bairro],mercado16)+SUMIFS(supercb[Qtde],supercb[Item],tab_alimentos[[#This Row],[Item]],supercb[Bairro],mercado16)</f>
        <v>0</v>
      </c>
      <c r="AB489" s="4">
        <f>SUMIFS(super1[Qtde],super1[Item],tab_alimentos[[#This Row],[Item]],super1[Bairro],mercado17)+SUMIFS(supercb[Qtde],supercb[Item],tab_alimentos[[#This Row],[Item]],supercb[Bairro],mercado17)</f>
        <v>0</v>
      </c>
      <c r="AC489" s="4">
        <f>SUMIFS(super1[Qtde],super1[Item],tab_alimentos[[#This Row],[Item]],super1[Bairro],mercado18)+SUMIFS(supercb[Qtde],supercb[Item],tab_alimentos[[#This Row],[Item]],supercb[Bairro],mercado18)</f>
        <v>0</v>
      </c>
      <c r="AD489" s="4">
        <f>SUMIFS(super1[Qtde],super1[Item],tab_alimentos[[#This Row],[Item]],super1[Bairro],extras)+SUMIFS(supercb[Qtde],supercb[Item],tab_alimentos[[#This Row],[Item]],supercb[Bairro],extras)</f>
        <v>0</v>
      </c>
      <c r="AE489" s="4">
        <f t="shared" si="100"/>
        <v>0</v>
      </c>
      <c r="AF489" s="4">
        <f t="shared" si="101"/>
        <v>0</v>
      </c>
      <c r="AG489" s="6">
        <f t="shared" si="102"/>
        <v>0</v>
      </c>
    </row>
    <row r="490" spans="9:33" x14ac:dyDescent="0.25">
      <c r="I490" s="19" t="e">
        <f>alimentos[[#This Row],[Item]]</f>
        <v>#VALUE!</v>
      </c>
      <c r="J490" s="4">
        <f>IFERROR(alimentos[[#This Row],[kg/embalagem]],0)</f>
        <v>0</v>
      </c>
      <c r="K490" s="4">
        <f>IFERROR(alimentos[[#This Row],[Preço]],0)</f>
        <v>0</v>
      </c>
      <c r="L490" s="4">
        <f>SUMIFS(super1[Qtde],super1[Item],tab_alimentos[[#This Row],[Item]],super1[Bairro],mercado1)+SUMIFS(supercb[Qtde],supercb[Item],tab_alimentos[[#This Row],[Item]],supercb[Bairro],mercado1)</f>
        <v>0</v>
      </c>
      <c r="M490" s="4">
        <f>SUMIFS(super1[Qtde],super1[Item],tab_alimentos[[#This Row],[Item]],super1[Bairro],mercado2)+SUMIFS(supercb[Qtde],supercb[Item],tab_alimentos[[#This Row],[Item]],supercb[Bairro],mercado2)</f>
        <v>0</v>
      </c>
      <c r="N490" s="4">
        <f>SUMIFS(super1[Qtde],super1[Item],tab_alimentos[[#This Row],[Item]],super1[Bairro],mercado3)+SUMIFS(supercb[Qtde],supercb[Item],tab_alimentos[[#This Row],[Item]],supercb[Bairro],mercado3)</f>
        <v>0</v>
      </c>
      <c r="O490" s="4">
        <f>SUMIFS(super1[Qtde],super1[Item],tab_alimentos[[#This Row],[Item]],super1[Bairro],mercado4)+SUMIFS(supercb[Qtde],supercb[Item],tab_alimentos[[#This Row],[Item]],supercb[Bairro],mercado4)</f>
        <v>0</v>
      </c>
      <c r="P490" s="4">
        <f>SUMIFS(super1[Qtde],super1[Item],tab_alimentos[[#This Row],[Item]],super1[Bairro],mercado5)+SUMIFS(supercb[Qtde],supercb[Item],tab_alimentos[[#This Row],[Item]],supercb[Bairro],mercado5)</f>
        <v>0</v>
      </c>
      <c r="Q490" s="4">
        <f>SUMIFS(super1[Qtde],super1[Item],tab_alimentos[[#This Row],[Item]],super1[Bairro],mercado6)+SUMIFS(supercb[Qtde],supercb[Item],tab_alimentos[[#This Row],[Item]],supercb[Bairro],mercado6)</f>
        <v>0</v>
      </c>
      <c r="R490" s="4">
        <f>SUMIFS(super1[Qtde],super1[Item],tab_alimentos[[#This Row],[Item]],super1[Bairro],mercado7)+SUMIFS(supercb[Qtde],supercb[Item],tab_alimentos[[#This Row],[Item]],supercb[Bairro],mercado7)</f>
        <v>0</v>
      </c>
      <c r="S490" s="4">
        <f>SUMIFS(super1[Qtde],super1[Item],tab_alimentos[[#This Row],[Item]],super1[Bairro],mercado8)+SUMIFS(supercb[Qtde],supercb[Item],tab_alimentos[[#This Row],[Item]],supercb[Bairro],mercado8)</f>
        <v>0</v>
      </c>
      <c r="T490" s="4">
        <f>SUMIFS(super1[Qtde],super1[Item],tab_alimentos[[#This Row],[Item]],super1[Bairro],mercado9)+SUMIFS(supercb[Qtde],supercb[Item],tab_alimentos[[#This Row],[Item]],supercb[Bairro],mercado9)</f>
        <v>0</v>
      </c>
      <c r="U490" s="4">
        <f>SUMIFS(super1[Qtde],super1[Item],tab_alimentos[[#This Row],[Item]],super1[Bairro],mercado10)+SUMIFS(supercb[Qtde],supercb[Item],tab_alimentos[[#This Row],[Item]],supercb[Bairro],mercado10)</f>
        <v>0</v>
      </c>
      <c r="V490" s="4">
        <f>SUMIFS(super1[Qtde],super1[Item],tab_alimentos[[#This Row],[Item]],super1[Bairro],mercado11)+SUMIFS(supercb[Qtde],supercb[Item],tab_alimentos[[#This Row],[Item]],supercb[Bairro],mercado11)</f>
        <v>0</v>
      </c>
      <c r="W490" s="4">
        <f>SUMIFS(super1[Qtde],super1[Item],tab_alimentos[[#This Row],[Item]],super1[Bairro],mercado12)+SUMIFS(supercb[Qtde],supercb[Item],tab_alimentos[[#This Row],[Item]],supercb[Bairro],mercado12)</f>
        <v>0</v>
      </c>
      <c r="X490" s="4">
        <f>SUMIFS(super1[Qtde],super1[Item],tab_alimentos[[#This Row],[Item]],super1[Bairro],mercado13)+SUMIFS(supercb[Qtde],supercb[Item],tab_alimentos[[#This Row],[Item]],supercb[Bairro],mercado13)</f>
        <v>0</v>
      </c>
      <c r="Y490" s="4">
        <f>SUMIFS(super1[Qtde],super1[Item],tab_alimentos[[#This Row],[Item]],super1[Bairro],mercado14)+SUMIFS(supercb[Qtde],supercb[Item],tab_alimentos[[#This Row],[Item]],supercb[Bairro],mercado14)</f>
        <v>0</v>
      </c>
      <c r="Z490" s="4">
        <f>SUMIFS(super1[Qtde],super1[Item],tab_alimentos[[#This Row],[Item]],super1[Bairro],mercado15)+SUMIFS(supercb[Qtde],supercb[Item],tab_alimentos[[#This Row],[Item]],supercb[Bairro],mercado15)</f>
        <v>0</v>
      </c>
      <c r="AA490" s="4">
        <f>SUMIFS(super1[Qtde],super1[Item],tab_alimentos[[#This Row],[Item]],super1[Bairro],mercado16)+SUMIFS(supercb[Qtde],supercb[Item],tab_alimentos[[#This Row],[Item]],supercb[Bairro],mercado16)</f>
        <v>0</v>
      </c>
      <c r="AB490" s="4">
        <f>SUMIFS(super1[Qtde],super1[Item],tab_alimentos[[#This Row],[Item]],super1[Bairro],mercado17)+SUMIFS(supercb[Qtde],supercb[Item],tab_alimentos[[#This Row],[Item]],supercb[Bairro],mercado17)</f>
        <v>0</v>
      </c>
      <c r="AC490" s="4">
        <f>SUMIFS(super1[Qtde],super1[Item],tab_alimentos[[#This Row],[Item]],super1[Bairro],mercado18)+SUMIFS(supercb[Qtde],supercb[Item],tab_alimentos[[#This Row],[Item]],supercb[Bairro],mercado18)</f>
        <v>0</v>
      </c>
      <c r="AD490" s="4">
        <f>SUMIFS(super1[Qtde],super1[Item],tab_alimentos[[#This Row],[Item]],super1[Bairro],extras)+SUMIFS(supercb[Qtde],supercb[Item],tab_alimentos[[#This Row],[Item]],supercb[Bairro],extras)</f>
        <v>0</v>
      </c>
      <c r="AE490" s="4">
        <f t="shared" si="100"/>
        <v>0</v>
      </c>
      <c r="AF490" s="4">
        <f t="shared" si="101"/>
        <v>0</v>
      </c>
      <c r="AG490" s="6">
        <f t="shared" si="102"/>
        <v>0</v>
      </c>
    </row>
    <row r="491" spans="9:33" x14ac:dyDescent="0.25">
      <c r="I491" s="19" t="e">
        <f>alimentos[[#This Row],[Item]]</f>
        <v>#VALUE!</v>
      </c>
      <c r="J491" s="4">
        <f>IFERROR(alimentos[[#This Row],[kg/embalagem]],0)</f>
        <v>0</v>
      </c>
      <c r="K491" s="4">
        <f>IFERROR(alimentos[[#This Row],[Preço]],0)</f>
        <v>0</v>
      </c>
      <c r="L491" s="4">
        <f>SUMIFS(super1[Qtde],super1[Item],tab_alimentos[[#This Row],[Item]],super1[Bairro],mercado1)+SUMIFS(supercb[Qtde],supercb[Item],tab_alimentos[[#This Row],[Item]],supercb[Bairro],mercado1)</f>
        <v>0</v>
      </c>
      <c r="M491" s="4">
        <f>SUMIFS(super1[Qtde],super1[Item],tab_alimentos[[#This Row],[Item]],super1[Bairro],mercado2)+SUMIFS(supercb[Qtde],supercb[Item],tab_alimentos[[#This Row],[Item]],supercb[Bairro],mercado2)</f>
        <v>0</v>
      </c>
      <c r="N491" s="4">
        <f>SUMIFS(super1[Qtde],super1[Item],tab_alimentos[[#This Row],[Item]],super1[Bairro],mercado3)+SUMIFS(supercb[Qtde],supercb[Item],tab_alimentos[[#This Row],[Item]],supercb[Bairro],mercado3)</f>
        <v>0</v>
      </c>
      <c r="O491" s="4">
        <f>SUMIFS(super1[Qtde],super1[Item],tab_alimentos[[#This Row],[Item]],super1[Bairro],mercado4)+SUMIFS(supercb[Qtde],supercb[Item],tab_alimentos[[#This Row],[Item]],supercb[Bairro],mercado4)</f>
        <v>0</v>
      </c>
      <c r="P491" s="4">
        <f>SUMIFS(super1[Qtde],super1[Item],tab_alimentos[[#This Row],[Item]],super1[Bairro],mercado5)+SUMIFS(supercb[Qtde],supercb[Item],tab_alimentos[[#This Row],[Item]],supercb[Bairro],mercado5)</f>
        <v>0</v>
      </c>
      <c r="Q491" s="4">
        <f>SUMIFS(super1[Qtde],super1[Item],tab_alimentos[[#This Row],[Item]],super1[Bairro],mercado6)+SUMIFS(supercb[Qtde],supercb[Item],tab_alimentos[[#This Row],[Item]],supercb[Bairro],mercado6)</f>
        <v>0</v>
      </c>
      <c r="R491" s="4">
        <f>SUMIFS(super1[Qtde],super1[Item],tab_alimentos[[#This Row],[Item]],super1[Bairro],mercado7)+SUMIFS(supercb[Qtde],supercb[Item],tab_alimentos[[#This Row],[Item]],supercb[Bairro],mercado7)</f>
        <v>0</v>
      </c>
      <c r="S491" s="4">
        <f>SUMIFS(super1[Qtde],super1[Item],tab_alimentos[[#This Row],[Item]],super1[Bairro],mercado8)+SUMIFS(supercb[Qtde],supercb[Item],tab_alimentos[[#This Row],[Item]],supercb[Bairro],mercado8)</f>
        <v>0</v>
      </c>
      <c r="T491" s="4">
        <f>SUMIFS(super1[Qtde],super1[Item],tab_alimentos[[#This Row],[Item]],super1[Bairro],mercado9)+SUMIFS(supercb[Qtde],supercb[Item],tab_alimentos[[#This Row],[Item]],supercb[Bairro],mercado9)</f>
        <v>0</v>
      </c>
      <c r="U491" s="4">
        <f>SUMIFS(super1[Qtde],super1[Item],tab_alimentos[[#This Row],[Item]],super1[Bairro],mercado10)+SUMIFS(supercb[Qtde],supercb[Item],tab_alimentos[[#This Row],[Item]],supercb[Bairro],mercado10)</f>
        <v>0</v>
      </c>
      <c r="V491" s="4">
        <f>SUMIFS(super1[Qtde],super1[Item],tab_alimentos[[#This Row],[Item]],super1[Bairro],mercado11)+SUMIFS(supercb[Qtde],supercb[Item],tab_alimentos[[#This Row],[Item]],supercb[Bairro],mercado11)</f>
        <v>0</v>
      </c>
      <c r="W491" s="4">
        <f>SUMIFS(super1[Qtde],super1[Item],tab_alimentos[[#This Row],[Item]],super1[Bairro],mercado12)+SUMIFS(supercb[Qtde],supercb[Item],tab_alimentos[[#This Row],[Item]],supercb[Bairro],mercado12)</f>
        <v>0</v>
      </c>
      <c r="X491" s="4">
        <f>SUMIFS(super1[Qtde],super1[Item],tab_alimentos[[#This Row],[Item]],super1[Bairro],mercado13)+SUMIFS(supercb[Qtde],supercb[Item],tab_alimentos[[#This Row],[Item]],supercb[Bairro],mercado13)</f>
        <v>0</v>
      </c>
      <c r="Y491" s="4">
        <f>SUMIFS(super1[Qtde],super1[Item],tab_alimentos[[#This Row],[Item]],super1[Bairro],mercado14)+SUMIFS(supercb[Qtde],supercb[Item],tab_alimentos[[#This Row],[Item]],supercb[Bairro],mercado14)</f>
        <v>0</v>
      </c>
      <c r="Z491" s="4">
        <f>SUMIFS(super1[Qtde],super1[Item],tab_alimentos[[#This Row],[Item]],super1[Bairro],mercado15)+SUMIFS(supercb[Qtde],supercb[Item],tab_alimentos[[#This Row],[Item]],supercb[Bairro],mercado15)</f>
        <v>0</v>
      </c>
      <c r="AA491" s="4">
        <f>SUMIFS(super1[Qtde],super1[Item],tab_alimentos[[#This Row],[Item]],super1[Bairro],mercado16)+SUMIFS(supercb[Qtde],supercb[Item],tab_alimentos[[#This Row],[Item]],supercb[Bairro],mercado16)</f>
        <v>0</v>
      </c>
      <c r="AB491" s="4">
        <f>SUMIFS(super1[Qtde],super1[Item],tab_alimentos[[#This Row],[Item]],super1[Bairro],mercado17)+SUMIFS(supercb[Qtde],supercb[Item],tab_alimentos[[#This Row],[Item]],supercb[Bairro],mercado17)</f>
        <v>0</v>
      </c>
      <c r="AC491" s="4">
        <f>SUMIFS(super1[Qtde],super1[Item],tab_alimentos[[#This Row],[Item]],super1[Bairro],mercado18)+SUMIFS(supercb[Qtde],supercb[Item],tab_alimentos[[#This Row],[Item]],supercb[Bairro],mercado18)</f>
        <v>0</v>
      </c>
      <c r="AD491" s="4">
        <f>SUMIFS(super1[Qtde],super1[Item],tab_alimentos[[#This Row],[Item]],super1[Bairro],extras)+SUMIFS(supercb[Qtde],supercb[Item],tab_alimentos[[#This Row],[Item]],supercb[Bairro],extras)</f>
        <v>0</v>
      </c>
      <c r="AE491" s="4">
        <f t="shared" si="100"/>
        <v>0</v>
      </c>
      <c r="AF491" s="4">
        <f t="shared" si="101"/>
        <v>0</v>
      </c>
      <c r="AG491" s="6">
        <f t="shared" si="102"/>
        <v>0</v>
      </c>
    </row>
    <row r="492" spans="9:33" x14ac:dyDescent="0.25">
      <c r="I492" s="19" t="e">
        <f>alimentos[[#This Row],[Item]]</f>
        <v>#VALUE!</v>
      </c>
      <c r="J492" s="4">
        <f>IFERROR(alimentos[[#This Row],[kg/embalagem]],0)</f>
        <v>0</v>
      </c>
      <c r="K492" s="4">
        <f>IFERROR(alimentos[[#This Row],[Preço]],0)</f>
        <v>0</v>
      </c>
      <c r="L492" s="4">
        <f>SUMIFS(super1[Qtde],super1[Item],tab_alimentos[[#This Row],[Item]],super1[Bairro],mercado1)+SUMIFS(supercb[Qtde],supercb[Item],tab_alimentos[[#This Row],[Item]],supercb[Bairro],mercado1)</f>
        <v>0</v>
      </c>
      <c r="M492" s="4">
        <f>SUMIFS(super1[Qtde],super1[Item],tab_alimentos[[#This Row],[Item]],super1[Bairro],mercado2)+SUMIFS(supercb[Qtde],supercb[Item],tab_alimentos[[#This Row],[Item]],supercb[Bairro],mercado2)</f>
        <v>0</v>
      </c>
      <c r="N492" s="4">
        <f>SUMIFS(super1[Qtde],super1[Item],tab_alimentos[[#This Row],[Item]],super1[Bairro],mercado3)+SUMIFS(supercb[Qtde],supercb[Item],tab_alimentos[[#This Row],[Item]],supercb[Bairro],mercado3)</f>
        <v>0</v>
      </c>
      <c r="O492" s="4">
        <f>SUMIFS(super1[Qtde],super1[Item],tab_alimentos[[#This Row],[Item]],super1[Bairro],mercado4)+SUMIFS(supercb[Qtde],supercb[Item],tab_alimentos[[#This Row],[Item]],supercb[Bairro],mercado4)</f>
        <v>0</v>
      </c>
      <c r="P492" s="4">
        <f>SUMIFS(super1[Qtde],super1[Item],tab_alimentos[[#This Row],[Item]],super1[Bairro],mercado5)+SUMIFS(supercb[Qtde],supercb[Item],tab_alimentos[[#This Row],[Item]],supercb[Bairro],mercado5)</f>
        <v>0</v>
      </c>
      <c r="Q492" s="4">
        <f>SUMIFS(super1[Qtde],super1[Item],tab_alimentos[[#This Row],[Item]],super1[Bairro],mercado6)+SUMIFS(supercb[Qtde],supercb[Item],tab_alimentos[[#This Row],[Item]],supercb[Bairro],mercado6)</f>
        <v>0</v>
      </c>
      <c r="R492" s="4">
        <f>SUMIFS(super1[Qtde],super1[Item],tab_alimentos[[#This Row],[Item]],super1[Bairro],mercado7)+SUMIFS(supercb[Qtde],supercb[Item],tab_alimentos[[#This Row],[Item]],supercb[Bairro],mercado7)</f>
        <v>0</v>
      </c>
      <c r="S492" s="4">
        <f>SUMIFS(super1[Qtde],super1[Item],tab_alimentos[[#This Row],[Item]],super1[Bairro],mercado8)+SUMIFS(supercb[Qtde],supercb[Item],tab_alimentos[[#This Row],[Item]],supercb[Bairro],mercado8)</f>
        <v>0</v>
      </c>
      <c r="T492" s="4">
        <f>SUMIFS(super1[Qtde],super1[Item],tab_alimentos[[#This Row],[Item]],super1[Bairro],mercado9)+SUMIFS(supercb[Qtde],supercb[Item],tab_alimentos[[#This Row],[Item]],supercb[Bairro],mercado9)</f>
        <v>0</v>
      </c>
      <c r="U492" s="4">
        <f>SUMIFS(super1[Qtde],super1[Item],tab_alimentos[[#This Row],[Item]],super1[Bairro],mercado10)+SUMIFS(supercb[Qtde],supercb[Item],tab_alimentos[[#This Row],[Item]],supercb[Bairro],mercado10)</f>
        <v>0</v>
      </c>
      <c r="V492" s="4">
        <f>SUMIFS(super1[Qtde],super1[Item],tab_alimentos[[#This Row],[Item]],super1[Bairro],mercado11)+SUMIFS(supercb[Qtde],supercb[Item],tab_alimentos[[#This Row],[Item]],supercb[Bairro],mercado11)</f>
        <v>0</v>
      </c>
      <c r="W492" s="4">
        <f>SUMIFS(super1[Qtde],super1[Item],tab_alimentos[[#This Row],[Item]],super1[Bairro],mercado12)+SUMIFS(supercb[Qtde],supercb[Item],tab_alimentos[[#This Row],[Item]],supercb[Bairro],mercado12)</f>
        <v>0</v>
      </c>
      <c r="X492" s="4">
        <f>SUMIFS(super1[Qtde],super1[Item],tab_alimentos[[#This Row],[Item]],super1[Bairro],mercado13)+SUMIFS(supercb[Qtde],supercb[Item],tab_alimentos[[#This Row],[Item]],supercb[Bairro],mercado13)</f>
        <v>0</v>
      </c>
      <c r="Y492" s="4">
        <f>SUMIFS(super1[Qtde],super1[Item],tab_alimentos[[#This Row],[Item]],super1[Bairro],mercado14)+SUMIFS(supercb[Qtde],supercb[Item],tab_alimentos[[#This Row],[Item]],supercb[Bairro],mercado14)</f>
        <v>0</v>
      </c>
      <c r="Z492" s="4">
        <f>SUMIFS(super1[Qtde],super1[Item],tab_alimentos[[#This Row],[Item]],super1[Bairro],mercado15)+SUMIFS(supercb[Qtde],supercb[Item],tab_alimentos[[#This Row],[Item]],supercb[Bairro],mercado15)</f>
        <v>0</v>
      </c>
      <c r="AA492" s="4">
        <f>SUMIFS(super1[Qtde],super1[Item],tab_alimentos[[#This Row],[Item]],super1[Bairro],mercado16)+SUMIFS(supercb[Qtde],supercb[Item],tab_alimentos[[#This Row],[Item]],supercb[Bairro],mercado16)</f>
        <v>0</v>
      </c>
      <c r="AB492" s="4">
        <f>SUMIFS(super1[Qtde],super1[Item],tab_alimentos[[#This Row],[Item]],super1[Bairro],mercado17)+SUMIFS(supercb[Qtde],supercb[Item],tab_alimentos[[#This Row],[Item]],supercb[Bairro],mercado17)</f>
        <v>0</v>
      </c>
      <c r="AC492" s="4">
        <f>SUMIFS(super1[Qtde],super1[Item],tab_alimentos[[#This Row],[Item]],super1[Bairro],mercado18)+SUMIFS(supercb[Qtde],supercb[Item],tab_alimentos[[#This Row],[Item]],supercb[Bairro],mercado18)</f>
        <v>0</v>
      </c>
      <c r="AD492" s="4">
        <f>SUMIFS(super1[Qtde],super1[Item],tab_alimentos[[#This Row],[Item]],super1[Bairro],extras)+SUMIFS(supercb[Qtde],supercb[Item],tab_alimentos[[#This Row],[Item]],supercb[Bairro],extras)</f>
        <v>0</v>
      </c>
      <c r="AE492" s="4">
        <f t="shared" si="100"/>
        <v>0</v>
      </c>
      <c r="AF492" s="4">
        <f t="shared" si="101"/>
        <v>0</v>
      </c>
      <c r="AG492" s="6">
        <f t="shared" si="102"/>
        <v>0</v>
      </c>
    </row>
    <row r="493" spans="9:33" x14ac:dyDescent="0.25">
      <c r="I493" s="19" t="e">
        <f>alimentos[[#This Row],[Item]]</f>
        <v>#VALUE!</v>
      </c>
      <c r="J493" s="4">
        <f>IFERROR(alimentos[[#This Row],[kg/embalagem]],0)</f>
        <v>0</v>
      </c>
      <c r="K493" s="4">
        <f>IFERROR(alimentos[[#This Row],[Preço]],0)</f>
        <v>0</v>
      </c>
      <c r="L493" s="4">
        <f>SUMIFS(super1[Qtde],super1[Item],tab_alimentos[[#This Row],[Item]],super1[Bairro],mercado1)+SUMIFS(supercb[Qtde],supercb[Item],tab_alimentos[[#This Row],[Item]],supercb[Bairro],mercado1)</f>
        <v>0</v>
      </c>
      <c r="M493" s="4">
        <f>SUMIFS(super1[Qtde],super1[Item],tab_alimentos[[#This Row],[Item]],super1[Bairro],mercado2)+SUMIFS(supercb[Qtde],supercb[Item],tab_alimentos[[#This Row],[Item]],supercb[Bairro],mercado2)</f>
        <v>0</v>
      </c>
      <c r="N493" s="4">
        <f>SUMIFS(super1[Qtde],super1[Item],tab_alimentos[[#This Row],[Item]],super1[Bairro],mercado3)+SUMIFS(supercb[Qtde],supercb[Item],tab_alimentos[[#This Row],[Item]],supercb[Bairro],mercado3)</f>
        <v>0</v>
      </c>
      <c r="O493" s="4">
        <f>SUMIFS(super1[Qtde],super1[Item],tab_alimentos[[#This Row],[Item]],super1[Bairro],mercado4)+SUMIFS(supercb[Qtde],supercb[Item],tab_alimentos[[#This Row],[Item]],supercb[Bairro],mercado4)</f>
        <v>0</v>
      </c>
      <c r="P493" s="4">
        <f>SUMIFS(super1[Qtde],super1[Item],tab_alimentos[[#This Row],[Item]],super1[Bairro],mercado5)+SUMIFS(supercb[Qtde],supercb[Item],tab_alimentos[[#This Row],[Item]],supercb[Bairro],mercado5)</f>
        <v>0</v>
      </c>
      <c r="Q493" s="4">
        <f>SUMIFS(super1[Qtde],super1[Item],tab_alimentos[[#This Row],[Item]],super1[Bairro],mercado6)+SUMIFS(supercb[Qtde],supercb[Item],tab_alimentos[[#This Row],[Item]],supercb[Bairro],mercado6)</f>
        <v>0</v>
      </c>
      <c r="R493" s="4">
        <f>SUMIFS(super1[Qtde],super1[Item],tab_alimentos[[#This Row],[Item]],super1[Bairro],mercado7)+SUMIFS(supercb[Qtde],supercb[Item],tab_alimentos[[#This Row],[Item]],supercb[Bairro],mercado7)</f>
        <v>0</v>
      </c>
      <c r="S493" s="4">
        <f>SUMIFS(super1[Qtde],super1[Item],tab_alimentos[[#This Row],[Item]],super1[Bairro],mercado8)+SUMIFS(supercb[Qtde],supercb[Item],tab_alimentos[[#This Row],[Item]],supercb[Bairro],mercado8)</f>
        <v>0</v>
      </c>
      <c r="T493" s="4">
        <f>SUMIFS(super1[Qtde],super1[Item],tab_alimentos[[#This Row],[Item]],super1[Bairro],mercado9)+SUMIFS(supercb[Qtde],supercb[Item],tab_alimentos[[#This Row],[Item]],supercb[Bairro],mercado9)</f>
        <v>0</v>
      </c>
      <c r="U493" s="4">
        <f>SUMIFS(super1[Qtde],super1[Item],tab_alimentos[[#This Row],[Item]],super1[Bairro],mercado10)+SUMIFS(supercb[Qtde],supercb[Item],tab_alimentos[[#This Row],[Item]],supercb[Bairro],mercado10)</f>
        <v>0</v>
      </c>
      <c r="V493" s="4">
        <f>SUMIFS(super1[Qtde],super1[Item],tab_alimentos[[#This Row],[Item]],super1[Bairro],mercado11)+SUMIFS(supercb[Qtde],supercb[Item],tab_alimentos[[#This Row],[Item]],supercb[Bairro],mercado11)</f>
        <v>0</v>
      </c>
      <c r="W493" s="4">
        <f>SUMIFS(super1[Qtde],super1[Item],tab_alimentos[[#This Row],[Item]],super1[Bairro],mercado12)+SUMIFS(supercb[Qtde],supercb[Item],tab_alimentos[[#This Row],[Item]],supercb[Bairro],mercado12)</f>
        <v>0</v>
      </c>
      <c r="X493" s="4">
        <f>SUMIFS(super1[Qtde],super1[Item],tab_alimentos[[#This Row],[Item]],super1[Bairro],mercado13)+SUMIFS(supercb[Qtde],supercb[Item],tab_alimentos[[#This Row],[Item]],supercb[Bairro],mercado13)</f>
        <v>0</v>
      </c>
      <c r="Y493" s="4">
        <f>SUMIFS(super1[Qtde],super1[Item],tab_alimentos[[#This Row],[Item]],super1[Bairro],mercado14)+SUMIFS(supercb[Qtde],supercb[Item],tab_alimentos[[#This Row],[Item]],supercb[Bairro],mercado14)</f>
        <v>0</v>
      </c>
      <c r="Z493" s="4">
        <f>SUMIFS(super1[Qtde],super1[Item],tab_alimentos[[#This Row],[Item]],super1[Bairro],mercado15)+SUMIFS(supercb[Qtde],supercb[Item],tab_alimentos[[#This Row],[Item]],supercb[Bairro],mercado15)</f>
        <v>0</v>
      </c>
      <c r="AA493" s="4">
        <f>SUMIFS(super1[Qtde],super1[Item],tab_alimentos[[#This Row],[Item]],super1[Bairro],mercado16)+SUMIFS(supercb[Qtde],supercb[Item],tab_alimentos[[#This Row],[Item]],supercb[Bairro],mercado16)</f>
        <v>0</v>
      </c>
      <c r="AB493" s="4">
        <f>SUMIFS(super1[Qtde],super1[Item],tab_alimentos[[#This Row],[Item]],super1[Bairro],mercado17)+SUMIFS(supercb[Qtde],supercb[Item],tab_alimentos[[#This Row],[Item]],supercb[Bairro],mercado17)</f>
        <v>0</v>
      </c>
      <c r="AC493" s="4">
        <f>SUMIFS(super1[Qtde],super1[Item],tab_alimentos[[#This Row],[Item]],super1[Bairro],mercado18)+SUMIFS(supercb[Qtde],supercb[Item],tab_alimentos[[#This Row],[Item]],supercb[Bairro],mercado18)</f>
        <v>0</v>
      </c>
      <c r="AD493" s="4">
        <f>SUMIFS(super1[Qtde],super1[Item],tab_alimentos[[#This Row],[Item]],super1[Bairro],extras)+SUMIFS(supercb[Qtde],supercb[Item],tab_alimentos[[#This Row],[Item]],supercb[Bairro],extras)</f>
        <v>0</v>
      </c>
      <c r="AE493" s="4">
        <f t="shared" si="100"/>
        <v>0</v>
      </c>
      <c r="AF493" s="4">
        <f t="shared" si="101"/>
        <v>0</v>
      </c>
      <c r="AG493" s="6">
        <f t="shared" si="102"/>
        <v>0</v>
      </c>
    </row>
    <row r="494" spans="9:33" x14ac:dyDescent="0.25">
      <c r="I494" s="19" t="e">
        <f>alimentos[[#This Row],[Item]]</f>
        <v>#VALUE!</v>
      </c>
      <c r="J494" s="4">
        <f>IFERROR(alimentos[[#This Row],[kg/embalagem]],0)</f>
        <v>0</v>
      </c>
      <c r="K494" s="4">
        <f>IFERROR(alimentos[[#This Row],[Preço]],0)</f>
        <v>0</v>
      </c>
      <c r="L494" s="4">
        <f>SUMIFS(super1[Qtde],super1[Item],tab_alimentos[[#This Row],[Item]],super1[Bairro],mercado1)+SUMIFS(supercb[Qtde],supercb[Item],tab_alimentos[[#This Row],[Item]],supercb[Bairro],mercado1)</f>
        <v>0</v>
      </c>
      <c r="M494" s="4">
        <f>SUMIFS(super1[Qtde],super1[Item],tab_alimentos[[#This Row],[Item]],super1[Bairro],mercado2)+SUMIFS(supercb[Qtde],supercb[Item],tab_alimentos[[#This Row],[Item]],supercb[Bairro],mercado2)</f>
        <v>0</v>
      </c>
      <c r="N494" s="4">
        <f>SUMIFS(super1[Qtde],super1[Item],tab_alimentos[[#This Row],[Item]],super1[Bairro],mercado3)+SUMIFS(supercb[Qtde],supercb[Item],tab_alimentos[[#This Row],[Item]],supercb[Bairro],mercado3)</f>
        <v>0</v>
      </c>
      <c r="O494" s="4">
        <f>SUMIFS(super1[Qtde],super1[Item],tab_alimentos[[#This Row],[Item]],super1[Bairro],mercado4)+SUMIFS(supercb[Qtde],supercb[Item],tab_alimentos[[#This Row],[Item]],supercb[Bairro],mercado4)</f>
        <v>0</v>
      </c>
      <c r="P494" s="4">
        <f>SUMIFS(super1[Qtde],super1[Item],tab_alimentos[[#This Row],[Item]],super1[Bairro],mercado5)+SUMIFS(supercb[Qtde],supercb[Item],tab_alimentos[[#This Row],[Item]],supercb[Bairro],mercado5)</f>
        <v>0</v>
      </c>
      <c r="Q494" s="4">
        <f>SUMIFS(super1[Qtde],super1[Item],tab_alimentos[[#This Row],[Item]],super1[Bairro],mercado6)+SUMIFS(supercb[Qtde],supercb[Item],tab_alimentos[[#This Row],[Item]],supercb[Bairro],mercado6)</f>
        <v>0</v>
      </c>
      <c r="R494" s="4">
        <f>SUMIFS(super1[Qtde],super1[Item],tab_alimentos[[#This Row],[Item]],super1[Bairro],mercado7)+SUMIFS(supercb[Qtde],supercb[Item],tab_alimentos[[#This Row],[Item]],supercb[Bairro],mercado7)</f>
        <v>0</v>
      </c>
      <c r="S494" s="4">
        <f>SUMIFS(super1[Qtde],super1[Item],tab_alimentos[[#This Row],[Item]],super1[Bairro],mercado8)+SUMIFS(supercb[Qtde],supercb[Item],tab_alimentos[[#This Row],[Item]],supercb[Bairro],mercado8)</f>
        <v>0</v>
      </c>
      <c r="T494" s="4">
        <f>SUMIFS(super1[Qtde],super1[Item],tab_alimentos[[#This Row],[Item]],super1[Bairro],mercado9)+SUMIFS(supercb[Qtde],supercb[Item],tab_alimentos[[#This Row],[Item]],supercb[Bairro],mercado9)</f>
        <v>0</v>
      </c>
      <c r="U494" s="4">
        <f>SUMIFS(super1[Qtde],super1[Item],tab_alimentos[[#This Row],[Item]],super1[Bairro],mercado10)+SUMIFS(supercb[Qtde],supercb[Item],tab_alimentos[[#This Row],[Item]],supercb[Bairro],mercado10)</f>
        <v>0</v>
      </c>
      <c r="V494" s="4">
        <f>SUMIFS(super1[Qtde],super1[Item],tab_alimentos[[#This Row],[Item]],super1[Bairro],mercado11)+SUMIFS(supercb[Qtde],supercb[Item],tab_alimentos[[#This Row],[Item]],supercb[Bairro],mercado11)</f>
        <v>0</v>
      </c>
      <c r="W494" s="4">
        <f>SUMIFS(super1[Qtde],super1[Item],tab_alimentos[[#This Row],[Item]],super1[Bairro],mercado12)+SUMIFS(supercb[Qtde],supercb[Item],tab_alimentos[[#This Row],[Item]],supercb[Bairro],mercado12)</f>
        <v>0</v>
      </c>
      <c r="X494" s="4">
        <f>SUMIFS(super1[Qtde],super1[Item],tab_alimentos[[#This Row],[Item]],super1[Bairro],mercado13)+SUMIFS(supercb[Qtde],supercb[Item],tab_alimentos[[#This Row],[Item]],supercb[Bairro],mercado13)</f>
        <v>0</v>
      </c>
      <c r="Y494" s="4">
        <f>SUMIFS(super1[Qtde],super1[Item],tab_alimentos[[#This Row],[Item]],super1[Bairro],mercado14)+SUMIFS(supercb[Qtde],supercb[Item],tab_alimentos[[#This Row],[Item]],supercb[Bairro],mercado14)</f>
        <v>0</v>
      </c>
      <c r="Z494" s="4">
        <f>SUMIFS(super1[Qtde],super1[Item],tab_alimentos[[#This Row],[Item]],super1[Bairro],mercado15)+SUMIFS(supercb[Qtde],supercb[Item],tab_alimentos[[#This Row],[Item]],supercb[Bairro],mercado15)</f>
        <v>0</v>
      </c>
      <c r="AA494" s="4">
        <f>SUMIFS(super1[Qtde],super1[Item],tab_alimentos[[#This Row],[Item]],super1[Bairro],mercado16)+SUMIFS(supercb[Qtde],supercb[Item],tab_alimentos[[#This Row],[Item]],supercb[Bairro],mercado16)</f>
        <v>0</v>
      </c>
      <c r="AB494" s="4">
        <f>SUMIFS(super1[Qtde],super1[Item],tab_alimentos[[#This Row],[Item]],super1[Bairro],mercado17)+SUMIFS(supercb[Qtde],supercb[Item],tab_alimentos[[#This Row],[Item]],supercb[Bairro],mercado17)</f>
        <v>0</v>
      </c>
      <c r="AC494" s="4">
        <f>SUMIFS(super1[Qtde],super1[Item],tab_alimentos[[#This Row],[Item]],super1[Bairro],mercado18)+SUMIFS(supercb[Qtde],supercb[Item],tab_alimentos[[#This Row],[Item]],supercb[Bairro],mercado18)</f>
        <v>0</v>
      </c>
      <c r="AD494" s="4">
        <f>SUMIFS(super1[Qtde],super1[Item],tab_alimentos[[#This Row],[Item]],super1[Bairro],extras)+SUMIFS(supercb[Qtde],supercb[Item],tab_alimentos[[#This Row],[Item]],supercb[Bairro],extras)</f>
        <v>0</v>
      </c>
      <c r="AE494" s="4">
        <f t="shared" si="100"/>
        <v>0</v>
      </c>
      <c r="AF494" s="4">
        <f t="shared" si="101"/>
        <v>0</v>
      </c>
      <c r="AG494" s="6">
        <f t="shared" si="102"/>
        <v>0</v>
      </c>
    </row>
    <row r="495" spans="9:33" x14ac:dyDescent="0.25">
      <c r="I495" s="19" t="e">
        <f>alimentos[[#This Row],[Item]]</f>
        <v>#VALUE!</v>
      </c>
      <c r="J495" s="4">
        <f>IFERROR(alimentos[[#This Row],[kg/embalagem]],0)</f>
        <v>0</v>
      </c>
      <c r="K495" s="4">
        <f>IFERROR(alimentos[[#This Row],[Preço]],0)</f>
        <v>0</v>
      </c>
      <c r="L495" s="4">
        <f>SUMIFS(super1[Qtde],super1[Item],tab_alimentos[[#This Row],[Item]],super1[Bairro],mercado1)+SUMIFS(supercb[Qtde],supercb[Item],tab_alimentos[[#This Row],[Item]],supercb[Bairro],mercado1)</f>
        <v>0</v>
      </c>
      <c r="M495" s="4">
        <f>SUMIFS(super1[Qtde],super1[Item],tab_alimentos[[#This Row],[Item]],super1[Bairro],mercado2)+SUMIFS(supercb[Qtde],supercb[Item],tab_alimentos[[#This Row],[Item]],supercb[Bairro],mercado2)</f>
        <v>0</v>
      </c>
      <c r="N495" s="4">
        <f>SUMIFS(super1[Qtde],super1[Item],tab_alimentos[[#This Row],[Item]],super1[Bairro],mercado3)+SUMIFS(supercb[Qtde],supercb[Item],tab_alimentos[[#This Row],[Item]],supercb[Bairro],mercado3)</f>
        <v>0</v>
      </c>
      <c r="O495" s="4">
        <f>SUMIFS(super1[Qtde],super1[Item],tab_alimentos[[#This Row],[Item]],super1[Bairro],mercado4)+SUMIFS(supercb[Qtde],supercb[Item],tab_alimentos[[#This Row],[Item]],supercb[Bairro],mercado4)</f>
        <v>0</v>
      </c>
      <c r="P495" s="4">
        <f>SUMIFS(super1[Qtde],super1[Item],tab_alimentos[[#This Row],[Item]],super1[Bairro],mercado5)+SUMIFS(supercb[Qtde],supercb[Item],tab_alimentos[[#This Row],[Item]],supercb[Bairro],mercado5)</f>
        <v>0</v>
      </c>
      <c r="Q495" s="4">
        <f>SUMIFS(super1[Qtde],super1[Item],tab_alimentos[[#This Row],[Item]],super1[Bairro],mercado6)+SUMIFS(supercb[Qtde],supercb[Item],tab_alimentos[[#This Row],[Item]],supercb[Bairro],mercado6)</f>
        <v>0</v>
      </c>
      <c r="R495" s="4">
        <f>SUMIFS(super1[Qtde],super1[Item],tab_alimentos[[#This Row],[Item]],super1[Bairro],mercado7)+SUMIFS(supercb[Qtde],supercb[Item],tab_alimentos[[#This Row],[Item]],supercb[Bairro],mercado7)</f>
        <v>0</v>
      </c>
      <c r="S495" s="4">
        <f>SUMIFS(super1[Qtde],super1[Item],tab_alimentos[[#This Row],[Item]],super1[Bairro],mercado8)+SUMIFS(supercb[Qtde],supercb[Item],tab_alimentos[[#This Row],[Item]],supercb[Bairro],mercado8)</f>
        <v>0</v>
      </c>
      <c r="T495" s="4">
        <f>SUMIFS(super1[Qtde],super1[Item],tab_alimentos[[#This Row],[Item]],super1[Bairro],mercado9)+SUMIFS(supercb[Qtde],supercb[Item],tab_alimentos[[#This Row],[Item]],supercb[Bairro],mercado9)</f>
        <v>0</v>
      </c>
      <c r="U495" s="4">
        <f>SUMIFS(super1[Qtde],super1[Item],tab_alimentos[[#This Row],[Item]],super1[Bairro],mercado10)+SUMIFS(supercb[Qtde],supercb[Item],tab_alimentos[[#This Row],[Item]],supercb[Bairro],mercado10)</f>
        <v>0</v>
      </c>
      <c r="V495" s="4">
        <f>SUMIFS(super1[Qtde],super1[Item],tab_alimentos[[#This Row],[Item]],super1[Bairro],mercado11)+SUMIFS(supercb[Qtde],supercb[Item],tab_alimentos[[#This Row],[Item]],supercb[Bairro],mercado11)</f>
        <v>0</v>
      </c>
      <c r="W495" s="4">
        <f>SUMIFS(super1[Qtde],super1[Item],tab_alimentos[[#This Row],[Item]],super1[Bairro],mercado12)+SUMIFS(supercb[Qtde],supercb[Item],tab_alimentos[[#This Row],[Item]],supercb[Bairro],mercado12)</f>
        <v>0</v>
      </c>
      <c r="X495" s="4">
        <f>SUMIFS(super1[Qtde],super1[Item],tab_alimentos[[#This Row],[Item]],super1[Bairro],mercado13)+SUMIFS(supercb[Qtde],supercb[Item],tab_alimentos[[#This Row],[Item]],supercb[Bairro],mercado13)</f>
        <v>0</v>
      </c>
      <c r="Y495" s="4">
        <f>SUMIFS(super1[Qtde],super1[Item],tab_alimentos[[#This Row],[Item]],super1[Bairro],mercado14)+SUMIFS(supercb[Qtde],supercb[Item],tab_alimentos[[#This Row],[Item]],supercb[Bairro],mercado14)</f>
        <v>0</v>
      </c>
      <c r="Z495" s="4">
        <f>SUMIFS(super1[Qtde],super1[Item],tab_alimentos[[#This Row],[Item]],super1[Bairro],mercado15)+SUMIFS(supercb[Qtde],supercb[Item],tab_alimentos[[#This Row],[Item]],supercb[Bairro],mercado15)</f>
        <v>0</v>
      </c>
      <c r="AA495" s="4">
        <f>SUMIFS(super1[Qtde],super1[Item],tab_alimentos[[#This Row],[Item]],super1[Bairro],mercado16)+SUMIFS(supercb[Qtde],supercb[Item],tab_alimentos[[#This Row],[Item]],supercb[Bairro],mercado16)</f>
        <v>0</v>
      </c>
      <c r="AB495" s="4">
        <f>SUMIFS(super1[Qtde],super1[Item],tab_alimentos[[#This Row],[Item]],super1[Bairro],mercado17)+SUMIFS(supercb[Qtde],supercb[Item],tab_alimentos[[#This Row],[Item]],supercb[Bairro],mercado17)</f>
        <v>0</v>
      </c>
      <c r="AC495" s="4">
        <f>SUMIFS(super1[Qtde],super1[Item],tab_alimentos[[#This Row],[Item]],super1[Bairro],mercado18)+SUMIFS(supercb[Qtde],supercb[Item],tab_alimentos[[#This Row],[Item]],supercb[Bairro],mercado18)</f>
        <v>0</v>
      </c>
      <c r="AD495" s="4">
        <f>SUMIFS(super1[Qtde],super1[Item],tab_alimentos[[#This Row],[Item]],super1[Bairro],extras)+SUMIFS(supercb[Qtde],supercb[Item],tab_alimentos[[#This Row],[Item]],supercb[Bairro],extras)</f>
        <v>0</v>
      </c>
      <c r="AE495" s="4">
        <f t="shared" si="100"/>
        <v>0</v>
      </c>
      <c r="AF495" s="4">
        <f t="shared" si="101"/>
        <v>0</v>
      </c>
      <c r="AG495" s="6">
        <f t="shared" si="102"/>
        <v>0</v>
      </c>
    </row>
    <row r="496" spans="9:33" x14ac:dyDescent="0.25">
      <c r="I496" s="19" t="e">
        <f>alimentos[[#This Row],[Item]]</f>
        <v>#VALUE!</v>
      </c>
      <c r="J496" s="4">
        <f>IFERROR(alimentos[[#This Row],[kg/embalagem]],0)</f>
        <v>0</v>
      </c>
      <c r="K496" s="4">
        <f>IFERROR(alimentos[[#This Row],[Preço]],0)</f>
        <v>0</v>
      </c>
      <c r="L496" s="4">
        <f>SUMIFS(super1[Qtde],super1[Item],tab_alimentos[[#This Row],[Item]],super1[Bairro],mercado1)+SUMIFS(supercb[Qtde],supercb[Item],tab_alimentos[[#This Row],[Item]],supercb[Bairro],mercado1)</f>
        <v>0</v>
      </c>
      <c r="M496" s="4">
        <f>SUMIFS(super1[Qtde],super1[Item],tab_alimentos[[#This Row],[Item]],super1[Bairro],mercado2)+SUMIFS(supercb[Qtde],supercb[Item],tab_alimentos[[#This Row],[Item]],supercb[Bairro],mercado2)</f>
        <v>0</v>
      </c>
      <c r="N496" s="4">
        <f>SUMIFS(super1[Qtde],super1[Item],tab_alimentos[[#This Row],[Item]],super1[Bairro],mercado3)+SUMIFS(supercb[Qtde],supercb[Item],tab_alimentos[[#This Row],[Item]],supercb[Bairro],mercado3)</f>
        <v>0</v>
      </c>
      <c r="O496" s="4">
        <f>SUMIFS(super1[Qtde],super1[Item],tab_alimentos[[#This Row],[Item]],super1[Bairro],mercado4)+SUMIFS(supercb[Qtde],supercb[Item],tab_alimentos[[#This Row],[Item]],supercb[Bairro],mercado4)</f>
        <v>0</v>
      </c>
      <c r="P496" s="4">
        <f>SUMIFS(super1[Qtde],super1[Item],tab_alimentos[[#This Row],[Item]],super1[Bairro],mercado5)+SUMIFS(supercb[Qtde],supercb[Item],tab_alimentos[[#This Row],[Item]],supercb[Bairro],mercado5)</f>
        <v>0</v>
      </c>
      <c r="Q496" s="4">
        <f>SUMIFS(super1[Qtde],super1[Item],tab_alimentos[[#This Row],[Item]],super1[Bairro],mercado6)+SUMIFS(supercb[Qtde],supercb[Item],tab_alimentos[[#This Row],[Item]],supercb[Bairro],mercado6)</f>
        <v>0</v>
      </c>
      <c r="R496" s="4">
        <f>SUMIFS(super1[Qtde],super1[Item],tab_alimentos[[#This Row],[Item]],super1[Bairro],mercado7)+SUMIFS(supercb[Qtde],supercb[Item],tab_alimentos[[#This Row],[Item]],supercb[Bairro],mercado7)</f>
        <v>0</v>
      </c>
      <c r="S496" s="4">
        <f>SUMIFS(super1[Qtde],super1[Item],tab_alimentos[[#This Row],[Item]],super1[Bairro],mercado8)+SUMIFS(supercb[Qtde],supercb[Item],tab_alimentos[[#This Row],[Item]],supercb[Bairro],mercado8)</f>
        <v>0</v>
      </c>
      <c r="T496" s="4">
        <f>SUMIFS(super1[Qtde],super1[Item],tab_alimentos[[#This Row],[Item]],super1[Bairro],mercado9)+SUMIFS(supercb[Qtde],supercb[Item],tab_alimentos[[#This Row],[Item]],supercb[Bairro],mercado9)</f>
        <v>0</v>
      </c>
      <c r="U496" s="4">
        <f>SUMIFS(super1[Qtde],super1[Item],tab_alimentos[[#This Row],[Item]],super1[Bairro],mercado10)+SUMIFS(supercb[Qtde],supercb[Item],tab_alimentos[[#This Row],[Item]],supercb[Bairro],mercado10)</f>
        <v>0</v>
      </c>
      <c r="V496" s="4">
        <f>SUMIFS(super1[Qtde],super1[Item],tab_alimentos[[#This Row],[Item]],super1[Bairro],mercado11)+SUMIFS(supercb[Qtde],supercb[Item],tab_alimentos[[#This Row],[Item]],supercb[Bairro],mercado11)</f>
        <v>0</v>
      </c>
      <c r="W496" s="4">
        <f>SUMIFS(super1[Qtde],super1[Item],tab_alimentos[[#This Row],[Item]],super1[Bairro],mercado12)+SUMIFS(supercb[Qtde],supercb[Item],tab_alimentos[[#This Row],[Item]],supercb[Bairro],mercado12)</f>
        <v>0</v>
      </c>
      <c r="X496" s="4">
        <f>SUMIFS(super1[Qtde],super1[Item],tab_alimentos[[#This Row],[Item]],super1[Bairro],mercado13)+SUMIFS(supercb[Qtde],supercb[Item],tab_alimentos[[#This Row],[Item]],supercb[Bairro],mercado13)</f>
        <v>0</v>
      </c>
      <c r="Y496" s="4">
        <f>SUMIFS(super1[Qtde],super1[Item],tab_alimentos[[#This Row],[Item]],super1[Bairro],mercado14)+SUMIFS(supercb[Qtde],supercb[Item],tab_alimentos[[#This Row],[Item]],supercb[Bairro],mercado14)</f>
        <v>0</v>
      </c>
      <c r="Z496" s="4">
        <f>SUMIFS(super1[Qtde],super1[Item],tab_alimentos[[#This Row],[Item]],super1[Bairro],mercado15)+SUMIFS(supercb[Qtde],supercb[Item],tab_alimentos[[#This Row],[Item]],supercb[Bairro],mercado15)</f>
        <v>0</v>
      </c>
      <c r="AA496" s="4">
        <f>SUMIFS(super1[Qtde],super1[Item],tab_alimentos[[#This Row],[Item]],super1[Bairro],mercado16)+SUMIFS(supercb[Qtde],supercb[Item],tab_alimentos[[#This Row],[Item]],supercb[Bairro],mercado16)</f>
        <v>0</v>
      </c>
      <c r="AB496" s="4">
        <f>SUMIFS(super1[Qtde],super1[Item],tab_alimentos[[#This Row],[Item]],super1[Bairro],mercado17)+SUMIFS(supercb[Qtde],supercb[Item],tab_alimentos[[#This Row],[Item]],supercb[Bairro],mercado17)</f>
        <v>0</v>
      </c>
      <c r="AC496" s="4">
        <f>SUMIFS(super1[Qtde],super1[Item],tab_alimentos[[#This Row],[Item]],super1[Bairro],mercado18)+SUMIFS(supercb[Qtde],supercb[Item],tab_alimentos[[#This Row],[Item]],supercb[Bairro],mercado18)</f>
        <v>0</v>
      </c>
      <c r="AD496" s="4">
        <f>SUMIFS(super1[Qtde],super1[Item],tab_alimentos[[#This Row],[Item]],super1[Bairro],extras)+SUMIFS(supercb[Qtde],supercb[Item],tab_alimentos[[#This Row],[Item]],supercb[Bairro],extras)</f>
        <v>0</v>
      </c>
      <c r="AE496" s="4">
        <f t="shared" si="100"/>
        <v>0</v>
      </c>
      <c r="AF496" s="4">
        <f t="shared" si="101"/>
        <v>0</v>
      </c>
      <c r="AG496" s="6">
        <f t="shared" si="102"/>
        <v>0</v>
      </c>
    </row>
    <row r="497" spans="9:33" x14ac:dyDescent="0.25">
      <c r="I497" s="19" t="e">
        <f>alimentos[[#This Row],[Item]]</f>
        <v>#VALUE!</v>
      </c>
      <c r="J497" s="4">
        <f>IFERROR(alimentos[[#This Row],[kg/embalagem]],0)</f>
        <v>0</v>
      </c>
      <c r="K497" s="4">
        <f>IFERROR(alimentos[[#This Row],[Preço]],0)</f>
        <v>0</v>
      </c>
      <c r="L497" s="4">
        <f>SUMIFS(super1[Qtde],super1[Item],tab_alimentos[[#This Row],[Item]],super1[Bairro],mercado1)+SUMIFS(supercb[Qtde],supercb[Item],tab_alimentos[[#This Row],[Item]],supercb[Bairro],mercado1)</f>
        <v>0</v>
      </c>
      <c r="M497" s="4">
        <f>SUMIFS(super1[Qtde],super1[Item],tab_alimentos[[#This Row],[Item]],super1[Bairro],mercado2)+SUMIFS(supercb[Qtde],supercb[Item],tab_alimentos[[#This Row],[Item]],supercb[Bairro],mercado2)</f>
        <v>0</v>
      </c>
      <c r="N497" s="4">
        <f>SUMIFS(super1[Qtde],super1[Item],tab_alimentos[[#This Row],[Item]],super1[Bairro],mercado3)+SUMIFS(supercb[Qtde],supercb[Item],tab_alimentos[[#This Row],[Item]],supercb[Bairro],mercado3)</f>
        <v>0</v>
      </c>
      <c r="O497" s="4">
        <f>SUMIFS(super1[Qtde],super1[Item],tab_alimentos[[#This Row],[Item]],super1[Bairro],mercado4)+SUMIFS(supercb[Qtde],supercb[Item],tab_alimentos[[#This Row],[Item]],supercb[Bairro],mercado4)</f>
        <v>0</v>
      </c>
      <c r="P497" s="4">
        <f>SUMIFS(super1[Qtde],super1[Item],tab_alimentos[[#This Row],[Item]],super1[Bairro],mercado5)+SUMIFS(supercb[Qtde],supercb[Item],tab_alimentos[[#This Row],[Item]],supercb[Bairro],mercado5)</f>
        <v>0</v>
      </c>
      <c r="Q497" s="4">
        <f>SUMIFS(super1[Qtde],super1[Item],tab_alimentos[[#This Row],[Item]],super1[Bairro],mercado6)+SUMIFS(supercb[Qtde],supercb[Item],tab_alimentos[[#This Row],[Item]],supercb[Bairro],mercado6)</f>
        <v>0</v>
      </c>
      <c r="R497" s="4">
        <f>SUMIFS(super1[Qtde],super1[Item],tab_alimentos[[#This Row],[Item]],super1[Bairro],mercado7)+SUMIFS(supercb[Qtde],supercb[Item],tab_alimentos[[#This Row],[Item]],supercb[Bairro],mercado7)</f>
        <v>0</v>
      </c>
      <c r="S497" s="4">
        <f>SUMIFS(super1[Qtde],super1[Item],tab_alimentos[[#This Row],[Item]],super1[Bairro],mercado8)+SUMIFS(supercb[Qtde],supercb[Item],tab_alimentos[[#This Row],[Item]],supercb[Bairro],mercado8)</f>
        <v>0</v>
      </c>
      <c r="T497" s="4">
        <f>SUMIFS(super1[Qtde],super1[Item],tab_alimentos[[#This Row],[Item]],super1[Bairro],mercado9)+SUMIFS(supercb[Qtde],supercb[Item],tab_alimentos[[#This Row],[Item]],supercb[Bairro],mercado9)</f>
        <v>0</v>
      </c>
      <c r="U497" s="4">
        <f>SUMIFS(super1[Qtde],super1[Item],tab_alimentos[[#This Row],[Item]],super1[Bairro],mercado10)+SUMIFS(supercb[Qtde],supercb[Item],tab_alimentos[[#This Row],[Item]],supercb[Bairro],mercado10)</f>
        <v>0</v>
      </c>
      <c r="V497" s="4">
        <f>SUMIFS(super1[Qtde],super1[Item],tab_alimentos[[#This Row],[Item]],super1[Bairro],mercado11)+SUMIFS(supercb[Qtde],supercb[Item],tab_alimentos[[#This Row],[Item]],supercb[Bairro],mercado11)</f>
        <v>0</v>
      </c>
      <c r="W497" s="4">
        <f>SUMIFS(super1[Qtde],super1[Item],tab_alimentos[[#This Row],[Item]],super1[Bairro],mercado12)+SUMIFS(supercb[Qtde],supercb[Item],tab_alimentos[[#This Row],[Item]],supercb[Bairro],mercado12)</f>
        <v>0</v>
      </c>
      <c r="X497" s="4">
        <f>SUMIFS(super1[Qtde],super1[Item],tab_alimentos[[#This Row],[Item]],super1[Bairro],mercado13)+SUMIFS(supercb[Qtde],supercb[Item],tab_alimentos[[#This Row],[Item]],supercb[Bairro],mercado13)</f>
        <v>0</v>
      </c>
      <c r="Y497" s="4">
        <f>SUMIFS(super1[Qtde],super1[Item],tab_alimentos[[#This Row],[Item]],super1[Bairro],mercado14)+SUMIFS(supercb[Qtde],supercb[Item],tab_alimentos[[#This Row],[Item]],supercb[Bairro],mercado14)</f>
        <v>0</v>
      </c>
      <c r="Z497" s="4">
        <f>SUMIFS(super1[Qtde],super1[Item],tab_alimentos[[#This Row],[Item]],super1[Bairro],mercado15)+SUMIFS(supercb[Qtde],supercb[Item],tab_alimentos[[#This Row],[Item]],supercb[Bairro],mercado15)</f>
        <v>0</v>
      </c>
      <c r="AA497" s="4">
        <f>SUMIFS(super1[Qtde],super1[Item],tab_alimentos[[#This Row],[Item]],super1[Bairro],mercado16)+SUMIFS(supercb[Qtde],supercb[Item],tab_alimentos[[#This Row],[Item]],supercb[Bairro],mercado16)</f>
        <v>0</v>
      </c>
      <c r="AB497" s="4">
        <f>SUMIFS(super1[Qtde],super1[Item],tab_alimentos[[#This Row],[Item]],super1[Bairro],mercado17)+SUMIFS(supercb[Qtde],supercb[Item],tab_alimentos[[#This Row],[Item]],supercb[Bairro],mercado17)</f>
        <v>0</v>
      </c>
      <c r="AC497" s="4">
        <f>SUMIFS(super1[Qtde],super1[Item],tab_alimentos[[#This Row],[Item]],super1[Bairro],mercado18)+SUMIFS(supercb[Qtde],supercb[Item],tab_alimentos[[#This Row],[Item]],supercb[Bairro],mercado18)</f>
        <v>0</v>
      </c>
      <c r="AD497" s="4">
        <f>SUMIFS(super1[Qtde],super1[Item],tab_alimentos[[#This Row],[Item]],super1[Bairro],extras)+SUMIFS(supercb[Qtde],supercb[Item],tab_alimentos[[#This Row],[Item]],supercb[Bairro],extras)</f>
        <v>0</v>
      </c>
      <c r="AE497" s="4">
        <f t="shared" si="100"/>
        <v>0</v>
      </c>
      <c r="AF497" s="4">
        <f t="shared" si="101"/>
        <v>0</v>
      </c>
      <c r="AG497" s="6">
        <f t="shared" si="102"/>
        <v>0</v>
      </c>
    </row>
    <row r="498" spans="9:33" x14ac:dyDescent="0.25">
      <c r="I498" s="19" t="e">
        <f>alimentos[[#This Row],[Item]]</f>
        <v>#VALUE!</v>
      </c>
      <c r="J498" s="4">
        <f>IFERROR(alimentos[[#This Row],[kg/embalagem]],0)</f>
        <v>0</v>
      </c>
      <c r="K498" s="4">
        <f>IFERROR(alimentos[[#This Row],[Preço]],0)</f>
        <v>0</v>
      </c>
      <c r="L498" s="4">
        <f>SUMIFS(super1[Qtde],super1[Item],tab_alimentos[[#This Row],[Item]],super1[Bairro],mercado1)+SUMIFS(supercb[Qtde],supercb[Item],tab_alimentos[[#This Row],[Item]],supercb[Bairro],mercado1)</f>
        <v>0</v>
      </c>
      <c r="M498" s="4">
        <f>SUMIFS(super1[Qtde],super1[Item],tab_alimentos[[#This Row],[Item]],super1[Bairro],mercado2)+SUMIFS(supercb[Qtde],supercb[Item],tab_alimentos[[#This Row],[Item]],supercb[Bairro],mercado2)</f>
        <v>0</v>
      </c>
      <c r="N498" s="4">
        <f>SUMIFS(super1[Qtde],super1[Item],tab_alimentos[[#This Row],[Item]],super1[Bairro],mercado3)+SUMIFS(supercb[Qtde],supercb[Item],tab_alimentos[[#This Row],[Item]],supercb[Bairro],mercado3)</f>
        <v>0</v>
      </c>
      <c r="O498" s="4">
        <f>SUMIFS(super1[Qtde],super1[Item],tab_alimentos[[#This Row],[Item]],super1[Bairro],mercado4)+SUMIFS(supercb[Qtde],supercb[Item],tab_alimentos[[#This Row],[Item]],supercb[Bairro],mercado4)</f>
        <v>0</v>
      </c>
      <c r="P498" s="4">
        <f>SUMIFS(super1[Qtde],super1[Item],tab_alimentos[[#This Row],[Item]],super1[Bairro],mercado5)+SUMIFS(supercb[Qtde],supercb[Item],tab_alimentos[[#This Row],[Item]],supercb[Bairro],mercado5)</f>
        <v>0</v>
      </c>
      <c r="Q498" s="4">
        <f>SUMIFS(super1[Qtde],super1[Item],tab_alimentos[[#This Row],[Item]],super1[Bairro],mercado6)+SUMIFS(supercb[Qtde],supercb[Item],tab_alimentos[[#This Row],[Item]],supercb[Bairro],mercado6)</f>
        <v>0</v>
      </c>
      <c r="R498" s="4">
        <f>SUMIFS(super1[Qtde],super1[Item],tab_alimentos[[#This Row],[Item]],super1[Bairro],mercado7)+SUMIFS(supercb[Qtde],supercb[Item],tab_alimentos[[#This Row],[Item]],supercb[Bairro],mercado7)</f>
        <v>0</v>
      </c>
      <c r="S498" s="4">
        <f>SUMIFS(super1[Qtde],super1[Item],tab_alimentos[[#This Row],[Item]],super1[Bairro],mercado8)+SUMIFS(supercb[Qtde],supercb[Item],tab_alimentos[[#This Row],[Item]],supercb[Bairro],mercado8)</f>
        <v>0</v>
      </c>
      <c r="T498" s="4">
        <f>SUMIFS(super1[Qtde],super1[Item],tab_alimentos[[#This Row],[Item]],super1[Bairro],mercado9)+SUMIFS(supercb[Qtde],supercb[Item],tab_alimentos[[#This Row],[Item]],supercb[Bairro],mercado9)</f>
        <v>0</v>
      </c>
      <c r="U498" s="4">
        <f>SUMIFS(super1[Qtde],super1[Item],tab_alimentos[[#This Row],[Item]],super1[Bairro],mercado10)+SUMIFS(supercb[Qtde],supercb[Item],tab_alimentos[[#This Row],[Item]],supercb[Bairro],mercado10)</f>
        <v>0</v>
      </c>
      <c r="V498" s="4">
        <f>SUMIFS(super1[Qtde],super1[Item],tab_alimentos[[#This Row],[Item]],super1[Bairro],mercado11)+SUMIFS(supercb[Qtde],supercb[Item],tab_alimentos[[#This Row],[Item]],supercb[Bairro],mercado11)</f>
        <v>0</v>
      </c>
      <c r="W498" s="4">
        <f>SUMIFS(super1[Qtde],super1[Item],tab_alimentos[[#This Row],[Item]],super1[Bairro],mercado12)+SUMIFS(supercb[Qtde],supercb[Item],tab_alimentos[[#This Row],[Item]],supercb[Bairro],mercado12)</f>
        <v>0</v>
      </c>
      <c r="X498" s="4">
        <f>SUMIFS(super1[Qtde],super1[Item],tab_alimentos[[#This Row],[Item]],super1[Bairro],mercado13)+SUMIFS(supercb[Qtde],supercb[Item],tab_alimentos[[#This Row],[Item]],supercb[Bairro],mercado13)</f>
        <v>0</v>
      </c>
      <c r="Y498" s="4">
        <f>SUMIFS(super1[Qtde],super1[Item],tab_alimentos[[#This Row],[Item]],super1[Bairro],mercado14)+SUMIFS(supercb[Qtde],supercb[Item],tab_alimentos[[#This Row],[Item]],supercb[Bairro],mercado14)</f>
        <v>0</v>
      </c>
      <c r="Z498" s="4">
        <f>SUMIFS(super1[Qtde],super1[Item],tab_alimentos[[#This Row],[Item]],super1[Bairro],mercado15)+SUMIFS(supercb[Qtde],supercb[Item],tab_alimentos[[#This Row],[Item]],supercb[Bairro],mercado15)</f>
        <v>0</v>
      </c>
      <c r="AA498" s="4">
        <f>SUMIFS(super1[Qtde],super1[Item],tab_alimentos[[#This Row],[Item]],super1[Bairro],mercado16)+SUMIFS(supercb[Qtde],supercb[Item],tab_alimentos[[#This Row],[Item]],supercb[Bairro],mercado16)</f>
        <v>0</v>
      </c>
      <c r="AB498" s="4">
        <f>SUMIFS(super1[Qtde],super1[Item],tab_alimentos[[#This Row],[Item]],super1[Bairro],mercado17)+SUMIFS(supercb[Qtde],supercb[Item],tab_alimentos[[#This Row],[Item]],supercb[Bairro],mercado17)</f>
        <v>0</v>
      </c>
      <c r="AC498" s="4">
        <f>SUMIFS(super1[Qtde],super1[Item],tab_alimentos[[#This Row],[Item]],super1[Bairro],mercado18)+SUMIFS(supercb[Qtde],supercb[Item],tab_alimentos[[#This Row],[Item]],supercb[Bairro],mercado18)</f>
        <v>0</v>
      </c>
      <c r="AD498" s="4">
        <f>SUMIFS(super1[Qtde],super1[Item],tab_alimentos[[#This Row],[Item]],super1[Bairro],extras)+SUMIFS(supercb[Qtde],supercb[Item],tab_alimentos[[#This Row],[Item]],supercb[Bairro],extras)</f>
        <v>0</v>
      </c>
      <c r="AE498" s="4">
        <f t="shared" si="100"/>
        <v>0</v>
      </c>
      <c r="AF498" s="4">
        <f t="shared" si="101"/>
        <v>0</v>
      </c>
      <c r="AG498" s="6">
        <f t="shared" si="102"/>
        <v>0</v>
      </c>
    </row>
    <row r="499" spans="9:33" x14ac:dyDescent="0.25">
      <c r="I499" s="19" t="e">
        <f>alimentos[[#This Row],[Item]]</f>
        <v>#VALUE!</v>
      </c>
      <c r="J499" s="4">
        <f>IFERROR(alimentos[[#This Row],[kg/embalagem]],0)</f>
        <v>0</v>
      </c>
      <c r="K499" s="4">
        <f>IFERROR(alimentos[[#This Row],[Preço]],0)</f>
        <v>0</v>
      </c>
      <c r="L499" s="4">
        <f>SUMIFS(super1[Qtde],super1[Item],tab_alimentos[[#This Row],[Item]],super1[Bairro],mercado1)+SUMIFS(supercb[Qtde],supercb[Item],tab_alimentos[[#This Row],[Item]],supercb[Bairro],mercado1)</f>
        <v>0</v>
      </c>
      <c r="M499" s="4">
        <f>SUMIFS(super1[Qtde],super1[Item],tab_alimentos[[#This Row],[Item]],super1[Bairro],mercado2)+SUMIFS(supercb[Qtde],supercb[Item],tab_alimentos[[#This Row],[Item]],supercb[Bairro],mercado2)</f>
        <v>0</v>
      </c>
      <c r="N499" s="4">
        <f>SUMIFS(super1[Qtde],super1[Item],tab_alimentos[[#This Row],[Item]],super1[Bairro],mercado3)+SUMIFS(supercb[Qtde],supercb[Item],tab_alimentos[[#This Row],[Item]],supercb[Bairro],mercado3)</f>
        <v>0</v>
      </c>
      <c r="O499" s="4">
        <f>SUMIFS(super1[Qtde],super1[Item],tab_alimentos[[#This Row],[Item]],super1[Bairro],mercado4)+SUMIFS(supercb[Qtde],supercb[Item],tab_alimentos[[#This Row],[Item]],supercb[Bairro],mercado4)</f>
        <v>0</v>
      </c>
      <c r="P499" s="4">
        <f>SUMIFS(super1[Qtde],super1[Item],tab_alimentos[[#This Row],[Item]],super1[Bairro],mercado5)+SUMIFS(supercb[Qtde],supercb[Item],tab_alimentos[[#This Row],[Item]],supercb[Bairro],mercado5)</f>
        <v>0</v>
      </c>
      <c r="Q499" s="4">
        <f>SUMIFS(super1[Qtde],super1[Item],tab_alimentos[[#This Row],[Item]],super1[Bairro],mercado6)+SUMIFS(supercb[Qtde],supercb[Item],tab_alimentos[[#This Row],[Item]],supercb[Bairro],mercado6)</f>
        <v>0</v>
      </c>
      <c r="R499" s="4">
        <f>SUMIFS(super1[Qtde],super1[Item],tab_alimentos[[#This Row],[Item]],super1[Bairro],mercado7)+SUMIFS(supercb[Qtde],supercb[Item],tab_alimentos[[#This Row],[Item]],supercb[Bairro],mercado7)</f>
        <v>0</v>
      </c>
      <c r="S499" s="4">
        <f>SUMIFS(super1[Qtde],super1[Item],tab_alimentos[[#This Row],[Item]],super1[Bairro],mercado8)+SUMIFS(supercb[Qtde],supercb[Item],tab_alimentos[[#This Row],[Item]],supercb[Bairro],mercado8)</f>
        <v>0</v>
      </c>
      <c r="T499" s="4">
        <f>SUMIFS(super1[Qtde],super1[Item],tab_alimentos[[#This Row],[Item]],super1[Bairro],mercado9)+SUMIFS(supercb[Qtde],supercb[Item],tab_alimentos[[#This Row],[Item]],supercb[Bairro],mercado9)</f>
        <v>0</v>
      </c>
      <c r="U499" s="4">
        <f>SUMIFS(super1[Qtde],super1[Item],tab_alimentos[[#This Row],[Item]],super1[Bairro],mercado10)+SUMIFS(supercb[Qtde],supercb[Item],tab_alimentos[[#This Row],[Item]],supercb[Bairro],mercado10)</f>
        <v>0</v>
      </c>
      <c r="V499" s="4">
        <f>SUMIFS(super1[Qtde],super1[Item],tab_alimentos[[#This Row],[Item]],super1[Bairro],mercado11)+SUMIFS(supercb[Qtde],supercb[Item],tab_alimentos[[#This Row],[Item]],supercb[Bairro],mercado11)</f>
        <v>0</v>
      </c>
      <c r="W499" s="4">
        <f>SUMIFS(super1[Qtde],super1[Item],tab_alimentos[[#This Row],[Item]],super1[Bairro],mercado12)+SUMIFS(supercb[Qtde],supercb[Item],tab_alimentos[[#This Row],[Item]],supercb[Bairro],mercado12)</f>
        <v>0</v>
      </c>
      <c r="X499" s="4">
        <f>SUMIFS(super1[Qtde],super1[Item],tab_alimentos[[#This Row],[Item]],super1[Bairro],mercado13)+SUMIFS(supercb[Qtde],supercb[Item],tab_alimentos[[#This Row],[Item]],supercb[Bairro],mercado13)</f>
        <v>0</v>
      </c>
      <c r="Y499" s="4">
        <f>SUMIFS(super1[Qtde],super1[Item],tab_alimentos[[#This Row],[Item]],super1[Bairro],mercado14)+SUMIFS(supercb[Qtde],supercb[Item],tab_alimentos[[#This Row],[Item]],supercb[Bairro],mercado14)</f>
        <v>0</v>
      </c>
      <c r="Z499" s="4">
        <f>SUMIFS(super1[Qtde],super1[Item],tab_alimentos[[#This Row],[Item]],super1[Bairro],mercado15)+SUMIFS(supercb[Qtde],supercb[Item],tab_alimentos[[#This Row],[Item]],supercb[Bairro],mercado15)</f>
        <v>0</v>
      </c>
      <c r="AA499" s="4">
        <f>SUMIFS(super1[Qtde],super1[Item],tab_alimentos[[#This Row],[Item]],super1[Bairro],mercado16)+SUMIFS(supercb[Qtde],supercb[Item],tab_alimentos[[#This Row],[Item]],supercb[Bairro],mercado16)</f>
        <v>0</v>
      </c>
      <c r="AB499" s="4">
        <f>SUMIFS(super1[Qtde],super1[Item],tab_alimentos[[#This Row],[Item]],super1[Bairro],mercado17)+SUMIFS(supercb[Qtde],supercb[Item],tab_alimentos[[#This Row],[Item]],supercb[Bairro],mercado17)</f>
        <v>0</v>
      </c>
      <c r="AC499" s="4">
        <f>SUMIFS(super1[Qtde],super1[Item],tab_alimentos[[#This Row],[Item]],super1[Bairro],mercado18)+SUMIFS(supercb[Qtde],supercb[Item],tab_alimentos[[#This Row],[Item]],supercb[Bairro],mercado18)</f>
        <v>0</v>
      </c>
      <c r="AD499" s="4">
        <f>SUMIFS(super1[Qtde],super1[Item],tab_alimentos[[#This Row],[Item]],super1[Bairro],extras)+SUMIFS(supercb[Qtde],supercb[Item],tab_alimentos[[#This Row],[Item]],supercb[Bairro],extras)</f>
        <v>0</v>
      </c>
      <c r="AE499" s="4">
        <f t="shared" si="100"/>
        <v>0</v>
      </c>
      <c r="AF499" s="4">
        <f t="shared" si="101"/>
        <v>0</v>
      </c>
      <c r="AG499" s="6">
        <f t="shared" si="102"/>
        <v>0</v>
      </c>
    </row>
    <row r="500" spans="9:33" x14ac:dyDescent="0.25">
      <c r="I500" s="19" t="e">
        <f>alimentos[[#This Row],[Item]]</f>
        <v>#VALUE!</v>
      </c>
      <c r="J500" s="4">
        <f>IFERROR(alimentos[[#This Row],[kg/embalagem]],0)</f>
        <v>0</v>
      </c>
      <c r="K500" s="4">
        <f>IFERROR(alimentos[[#This Row],[Preço]],0)</f>
        <v>0</v>
      </c>
      <c r="L500" s="4">
        <f>SUMIFS(super1[Qtde],super1[Item],tab_alimentos[[#This Row],[Item]],super1[Bairro],mercado1)+SUMIFS(supercb[Qtde],supercb[Item],tab_alimentos[[#This Row],[Item]],supercb[Bairro],mercado1)</f>
        <v>0</v>
      </c>
      <c r="M500" s="4">
        <f>SUMIFS(super1[Qtde],super1[Item],tab_alimentos[[#This Row],[Item]],super1[Bairro],mercado2)+SUMIFS(supercb[Qtde],supercb[Item],tab_alimentos[[#This Row],[Item]],supercb[Bairro],mercado2)</f>
        <v>0</v>
      </c>
      <c r="N500" s="4">
        <f>SUMIFS(super1[Qtde],super1[Item],tab_alimentos[[#This Row],[Item]],super1[Bairro],mercado3)+SUMIFS(supercb[Qtde],supercb[Item],tab_alimentos[[#This Row],[Item]],supercb[Bairro],mercado3)</f>
        <v>0</v>
      </c>
      <c r="O500" s="4">
        <f>SUMIFS(super1[Qtde],super1[Item],tab_alimentos[[#This Row],[Item]],super1[Bairro],mercado4)+SUMIFS(supercb[Qtde],supercb[Item],tab_alimentos[[#This Row],[Item]],supercb[Bairro],mercado4)</f>
        <v>0</v>
      </c>
      <c r="P500" s="4">
        <f>SUMIFS(super1[Qtde],super1[Item],tab_alimentos[[#This Row],[Item]],super1[Bairro],mercado5)+SUMIFS(supercb[Qtde],supercb[Item],tab_alimentos[[#This Row],[Item]],supercb[Bairro],mercado5)</f>
        <v>0</v>
      </c>
      <c r="Q500" s="4">
        <f>SUMIFS(super1[Qtde],super1[Item],tab_alimentos[[#This Row],[Item]],super1[Bairro],mercado6)+SUMIFS(supercb[Qtde],supercb[Item],tab_alimentos[[#This Row],[Item]],supercb[Bairro],mercado6)</f>
        <v>0</v>
      </c>
      <c r="R500" s="4">
        <f>SUMIFS(super1[Qtde],super1[Item],tab_alimentos[[#This Row],[Item]],super1[Bairro],mercado7)+SUMIFS(supercb[Qtde],supercb[Item],tab_alimentos[[#This Row],[Item]],supercb[Bairro],mercado7)</f>
        <v>0</v>
      </c>
      <c r="S500" s="4">
        <f>SUMIFS(super1[Qtde],super1[Item],tab_alimentos[[#This Row],[Item]],super1[Bairro],mercado8)+SUMIFS(supercb[Qtde],supercb[Item],tab_alimentos[[#This Row],[Item]],supercb[Bairro],mercado8)</f>
        <v>0</v>
      </c>
      <c r="T500" s="4">
        <f>SUMIFS(super1[Qtde],super1[Item],tab_alimentos[[#This Row],[Item]],super1[Bairro],mercado9)+SUMIFS(supercb[Qtde],supercb[Item],tab_alimentos[[#This Row],[Item]],supercb[Bairro],mercado9)</f>
        <v>0</v>
      </c>
      <c r="U500" s="4">
        <f>SUMIFS(super1[Qtde],super1[Item],tab_alimentos[[#This Row],[Item]],super1[Bairro],mercado10)+SUMIFS(supercb[Qtde],supercb[Item],tab_alimentos[[#This Row],[Item]],supercb[Bairro],mercado10)</f>
        <v>0</v>
      </c>
      <c r="V500" s="4">
        <f>SUMIFS(super1[Qtde],super1[Item],tab_alimentos[[#This Row],[Item]],super1[Bairro],mercado11)+SUMIFS(supercb[Qtde],supercb[Item],tab_alimentos[[#This Row],[Item]],supercb[Bairro],mercado11)</f>
        <v>0</v>
      </c>
      <c r="W500" s="4">
        <f>SUMIFS(super1[Qtde],super1[Item],tab_alimentos[[#This Row],[Item]],super1[Bairro],mercado12)+SUMIFS(supercb[Qtde],supercb[Item],tab_alimentos[[#This Row],[Item]],supercb[Bairro],mercado12)</f>
        <v>0</v>
      </c>
      <c r="X500" s="4">
        <f>SUMIFS(super1[Qtde],super1[Item],tab_alimentos[[#This Row],[Item]],super1[Bairro],mercado13)+SUMIFS(supercb[Qtde],supercb[Item],tab_alimentos[[#This Row],[Item]],supercb[Bairro],mercado13)</f>
        <v>0</v>
      </c>
      <c r="Y500" s="4">
        <f>SUMIFS(super1[Qtde],super1[Item],tab_alimentos[[#This Row],[Item]],super1[Bairro],mercado14)+SUMIFS(supercb[Qtde],supercb[Item],tab_alimentos[[#This Row],[Item]],supercb[Bairro],mercado14)</f>
        <v>0</v>
      </c>
      <c r="Z500" s="4">
        <f>SUMIFS(super1[Qtde],super1[Item],tab_alimentos[[#This Row],[Item]],super1[Bairro],mercado15)+SUMIFS(supercb[Qtde],supercb[Item],tab_alimentos[[#This Row],[Item]],supercb[Bairro],mercado15)</f>
        <v>0</v>
      </c>
      <c r="AA500" s="4">
        <f>SUMIFS(super1[Qtde],super1[Item],tab_alimentos[[#This Row],[Item]],super1[Bairro],mercado16)+SUMIFS(supercb[Qtde],supercb[Item],tab_alimentos[[#This Row],[Item]],supercb[Bairro],mercado16)</f>
        <v>0</v>
      </c>
      <c r="AB500" s="4">
        <f>SUMIFS(super1[Qtde],super1[Item],tab_alimentos[[#This Row],[Item]],super1[Bairro],mercado17)+SUMIFS(supercb[Qtde],supercb[Item],tab_alimentos[[#This Row],[Item]],supercb[Bairro],mercado17)</f>
        <v>0</v>
      </c>
      <c r="AC500" s="4">
        <f>SUMIFS(super1[Qtde],super1[Item],tab_alimentos[[#This Row],[Item]],super1[Bairro],mercado18)+SUMIFS(supercb[Qtde],supercb[Item],tab_alimentos[[#This Row],[Item]],supercb[Bairro],mercado18)</f>
        <v>0</v>
      </c>
      <c r="AD500" s="4">
        <f>SUMIFS(super1[Qtde],super1[Item],tab_alimentos[[#This Row],[Item]],super1[Bairro],extras)+SUMIFS(supercb[Qtde],supercb[Item],tab_alimentos[[#This Row],[Item]],supercb[Bairro],extras)</f>
        <v>0</v>
      </c>
      <c r="AE500" s="4">
        <f t="shared" si="100"/>
        <v>0</v>
      </c>
      <c r="AF500" s="4">
        <f t="shared" si="101"/>
        <v>0</v>
      </c>
      <c r="AG500" s="6">
        <f t="shared" si="102"/>
        <v>0</v>
      </c>
    </row>
    <row r="501" spans="9:33" x14ac:dyDescent="0.25">
      <c r="I501" s="19" t="e">
        <f>alimentos[[#This Row],[Item]]</f>
        <v>#VALUE!</v>
      </c>
      <c r="J501" s="4">
        <f>IFERROR(alimentos[[#This Row],[kg/embalagem]],0)</f>
        <v>0</v>
      </c>
      <c r="K501" s="4">
        <f>IFERROR(alimentos[[#This Row],[Preço]],0)</f>
        <v>0</v>
      </c>
      <c r="L501" s="4">
        <f>SUMIFS(super1[Qtde],super1[Item],tab_alimentos[[#This Row],[Item]],super1[Bairro],mercado1)+SUMIFS(supercb[Qtde],supercb[Item],tab_alimentos[[#This Row],[Item]],supercb[Bairro],mercado1)</f>
        <v>0</v>
      </c>
      <c r="M501" s="4">
        <f>SUMIFS(super1[Qtde],super1[Item],tab_alimentos[[#This Row],[Item]],super1[Bairro],mercado2)+SUMIFS(supercb[Qtde],supercb[Item],tab_alimentos[[#This Row],[Item]],supercb[Bairro],mercado2)</f>
        <v>0</v>
      </c>
      <c r="N501" s="4">
        <f>SUMIFS(super1[Qtde],super1[Item],tab_alimentos[[#This Row],[Item]],super1[Bairro],mercado3)+SUMIFS(supercb[Qtde],supercb[Item],tab_alimentos[[#This Row],[Item]],supercb[Bairro],mercado3)</f>
        <v>0</v>
      </c>
      <c r="O501" s="4">
        <f>SUMIFS(super1[Qtde],super1[Item],tab_alimentos[[#This Row],[Item]],super1[Bairro],mercado4)+SUMIFS(supercb[Qtde],supercb[Item],tab_alimentos[[#This Row],[Item]],supercb[Bairro],mercado4)</f>
        <v>0</v>
      </c>
      <c r="P501" s="4">
        <f>SUMIFS(super1[Qtde],super1[Item],tab_alimentos[[#This Row],[Item]],super1[Bairro],mercado5)+SUMIFS(supercb[Qtde],supercb[Item],tab_alimentos[[#This Row],[Item]],supercb[Bairro],mercado5)</f>
        <v>0</v>
      </c>
      <c r="Q501" s="4">
        <f>SUMIFS(super1[Qtde],super1[Item],tab_alimentos[[#This Row],[Item]],super1[Bairro],mercado6)+SUMIFS(supercb[Qtde],supercb[Item],tab_alimentos[[#This Row],[Item]],supercb[Bairro],mercado6)</f>
        <v>0</v>
      </c>
      <c r="R501" s="4">
        <f>SUMIFS(super1[Qtde],super1[Item],tab_alimentos[[#This Row],[Item]],super1[Bairro],mercado7)+SUMIFS(supercb[Qtde],supercb[Item],tab_alimentos[[#This Row],[Item]],supercb[Bairro],mercado7)</f>
        <v>0</v>
      </c>
      <c r="S501" s="4">
        <f>SUMIFS(super1[Qtde],super1[Item],tab_alimentos[[#This Row],[Item]],super1[Bairro],mercado8)+SUMIFS(supercb[Qtde],supercb[Item],tab_alimentos[[#This Row],[Item]],supercb[Bairro],mercado8)</f>
        <v>0</v>
      </c>
      <c r="T501" s="4">
        <f>SUMIFS(super1[Qtde],super1[Item],tab_alimentos[[#This Row],[Item]],super1[Bairro],mercado9)+SUMIFS(supercb[Qtde],supercb[Item],tab_alimentos[[#This Row],[Item]],supercb[Bairro],mercado9)</f>
        <v>0</v>
      </c>
      <c r="U501" s="4">
        <f>SUMIFS(super1[Qtde],super1[Item],tab_alimentos[[#This Row],[Item]],super1[Bairro],mercado10)+SUMIFS(supercb[Qtde],supercb[Item],tab_alimentos[[#This Row],[Item]],supercb[Bairro],mercado10)</f>
        <v>0</v>
      </c>
      <c r="V501" s="4">
        <f>SUMIFS(super1[Qtde],super1[Item],tab_alimentos[[#This Row],[Item]],super1[Bairro],mercado11)+SUMIFS(supercb[Qtde],supercb[Item],tab_alimentos[[#This Row],[Item]],supercb[Bairro],mercado11)</f>
        <v>0</v>
      </c>
      <c r="W501" s="4">
        <f>SUMIFS(super1[Qtde],super1[Item],tab_alimentos[[#This Row],[Item]],super1[Bairro],mercado12)+SUMIFS(supercb[Qtde],supercb[Item],tab_alimentos[[#This Row],[Item]],supercb[Bairro],mercado12)</f>
        <v>0</v>
      </c>
      <c r="X501" s="4">
        <f>SUMIFS(super1[Qtde],super1[Item],tab_alimentos[[#This Row],[Item]],super1[Bairro],mercado13)+SUMIFS(supercb[Qtde],supercb[Item],tab_alimentos[[#This Row],[Item]],supercb[Bairro],mercado13)</f>
        <v>0</v>
      </c>
      <c r="Y501" s="4">
        <f>SUMIFS(super1[Qtde],super1[Item],tab_alimentos[[#This Row],[Item]],super1[Bairro],mercado14)+SUMIFS(supercb[Qtde],supercb[Item],tab_alimentos[[#This Row],[Item]],supercb[Bairro],mercado14)</f>
        <v>0</v>
      </c>
      <c r="Z501" s="4">
        <f>SUMIFS(super1[Qtde],super1[Item],tab_alimentos[[#This Row],[Item]],super1[Bairro],mercado15)+SUMIFS(supercb[Qtde],supercb[Item],tab_alimentos[[#This Row],[Item]],supercb[Bairro],mercado15)</f>
        <v>0</v>
      </c>
      <c r="AA501" s="4">
        <f>SUMIFS(super1[Qtde],super1[Item],tab_alimentos[[#This Row],[Item]],super1[Bairro],mercado16)+SUMIFS(supercb[Qtde],supercb[Item],tab_alimentos[[#This Row],[Item]],supercb[Bairro],mercado16)</f>
        <v>0</v>
      </c>
      <c r="AB501" s="4">
        <f>SUMIFS(super1[Qtde],super1[Item],tab_alimentos[[#This Row],[Item]],super1[Bairro],mercado17)+SUMIFS(supercb[Qtde],supercb[Item],tab_alimentos[[#This Row],[Item]],supercb[Bairro],mercado17)</f>
        <v>0</v>
      </c>
      <c r="AC501" s="4">
        <f>SUMIFS(super1[Qtde],super1[Item],tab_alimentos[[#This Row],[Item]],super1[Bairro],mercado18)+SUMIFS(supercb[Qtde],supercb[Item],tab_alimentos[[#This Row],[Item]],supercb[Bairro],mercado18)</f>
        <v>0</v>
      </c>
      <c r="AD501" s="4">
        <f>SUMIFS(super1[Qtde],super1[Item],tab_alimentos[[#This Row],[Item]],super1[Bairro],extras)+SUMIFS(supercb[Qtde],supercb[Item],tab_alimentos[[#This Row],[Item]],supercb[Bairro],extras)</f>
        <v>0</v>
      </c>
      <c r="AE501" s="4">
        <f t="shared" si="100"/>
        <v>0</v>
      </c>
      <c r="AF501" s="4">
        <f t="shared" si="101"/>
        <v>0</v>
      </c>
      <c r="AG501" s="6">
        <f t="shared" si="102"/>
        <v>0</v>
      </c>
    </row>
    <row r="502" spans="9:33" x14ac:dyDescent="0.25">
      <c r="I502" s="19" t="e">
        <f>alimentos[[#This Row],[Item]]</f>
        <v>#VALUE!</v>
      </c>
      <c r="J502" s="4">
        <f>IFERROR(alimentos[[#This Row],[kg/embalagem]],0)</f>
        <v>0</v>
      </c>
      <c r="K502" s="4">
        <f>IFERROR(alimentos[[#This Row],[Preço]],0)</f>
        <v>0</v>
      </c>
      <c r="L502" s="4">
        <f>SUMIFS(super1[Qtde],super1[Item],tab_alimentos[[#This Row],[Item]],super1[Bairro],mercado1)+SUMIFS(supercb[Qtde],supercb[Item],tab_alimentos[[#This Row],[Item]],supercb[Bairro],mercado1)</f>
        <v>0</v>
      </c>
      <c r="M502" s="4">
        <f>SUMIFS(super1[Qtde],super1[Item],tab_alimentos[[#This Row],[Item]],super1[Bairro],mercado2)+SUMIFS(supercb[Qtde],supercb[Item],tab_alimentos[[#This Row],[Item]],supercb[Bairro],mercado2)</f>
        <v>0</v>
      </c>
      <c r="N502" s="4">
        <f>SUMIFS(super1[Qtde],super1[Item],tab_alimentos[[#This Row],[Item]],super1[Bairro],mercado3)+SUMIFS(supercb[Qtde],supercb[Item],tab_alimentos[[#This Row],[Item]],supercb[Bairro],mercado3)</f>
        <v>0</v>
      </c>
      <c r="O502" s="4">
        <f>SUMIFS(super1[Qtde],super1[Item],tab_alimentos[[#This Row],[Item]],super1[Bairro],mercado4)+SUMIFS(supercb[Qtde],supercb[Item],tab_alimentos[[#This Row],[Item]],supercb[Bairro],mercado4)</f>
        <v>0</v>
      </c>
      <c r="P502" s="4">
        <f>SUMIFS(super1[Qtde],super1[Item],tab_alimentos[[#This Row],[Item]],super1[Bairro],mercado5)+SUMIFS(supercb[Qtde],supercb[Item],tab_alimentos[[#This Row],[Item]],supercb[Bairro],mercado5)</f>
        <v>0</v>
      </c>
      <c r="Q502" s="4">
        <f>SUMIFS(super1[Qtde],super1[Item],tab_alimentos[[#This Row],[Item]],super1[Bairro],mercado6)+SUMIFS(supercb[Qtde],supercb[Item],tab_alimentos[[#This Row],[Item]],supercb[Bairro],mercado6)</f>
        <v>0</v>
      </c>
      <c r="R502" s="4">
        <f>SUMIFS(super1[Qtde],super1[Item],tab_alimentos[[#This Row],[Item]],super1[Bairro],mercado7)+SUMIFS(supercb[Qtde],supercb[Item],tab_alimentos[[#This Row],[Item]],supercb[Bairro],mercado7)</f>
        <v>0</v>
      </c>
      <c r="S502" s="4">
        <f>SUMIFS(super1[Qtde],super1[Item],tab_alimentos[[#This Row],[Item]],super1[Bairro],mercado8)+SUMIFS(supercb[Qtde],supercb[Item],tab_alimentos[[#This Row],[Item]],supercb[Bairro],mercado8)</f>
        <v>0</v>
      </c>
      <c r="T502" s="4">
        <f>SUMIFS(super1[Qtde],super1[Item],tab_alimentos[[#This Row],[Item]],super1[Bairro],mercado9)+SUMIFS(supercb[Qtde],supercb[Item],tab_alimentos[[#This Row],[Item]],supercb[Bairro],mercado9)</f>
        <v>0</v>
      </c>
      <c r="U502" s="4">
        <f>SUMIFS(super1[Qtde],super1[Item],tab_alimentos[[#This Row],[Item]],super1[Bairro],mercado10)+SUMIFS(supercb[Qtde],supercb[Item],tab_alimentos[[#This Row],[Item]],supercb[Bairro],mercado10)</f>
        <v>0</v>
      </c>
      <c r="V502" s="4">
        <f>SUMIFS(super1[Qtde],super1[Item],tab_alimentos[[#This Row],[Item]],super1[Bairro],mercado11)+SUMIFS(supercb[Qtde],supercb[Item],tab_alimentos[[#This Row],[Item]],supercb[Bairro],mercado11)</f>
        <v>0</v>
      </c>
      <c r="W502" s="4">
        <f>SUMIFS(super1[Qtde],super1[Item],tab_alimentos[[#This Row],[Item]],super1[Bairro],mercado12)+SUMIFS(supercb[Qtde],supercb[Item],tab_alimentos[[#This Row],[Item]],supercb[Bairro],mercado12)</f>
        <v>0</v>
      </c>
      <c r="X502" s="4">
        <f>SUMIFS(super1[Qtde],super1[Item],tab_alimentos[[#This Row],[Item]],super1[Bairro],mercado13)+SUMIFS(supercb[Qtde],supercb[Item],tab_alimentos[[#This Row],[Item]],supercb[Bairro],mercado13)</f>
        <v>0</v>
      </c>
      <c r="Y502" s="4">
        <f>SUMIFS(super1[Qtde],super1[Item],tab_alimentos[[#This Row],[Item]],super1[Bairro],mercado14)+SUMIFS(supercb[Qtde],supercb[Item],tab_alimentos[[#This Row],[Item]],supercb[Bairro],mercado14)</f>
        <v>0</v>
      </c>
      <c r="Z502" s="4">
        <f>SUMIFS(super1[Qtde],super1[Item],tab_alimentos[[#This Row],[Item]],super1[Bairro],mercado15)+SUMIFS(supercb[Qtde],supercb[Item],tab_alimentos[[#This Row],[Item]],supercb[Bairro],mercado15)</f>
        <v>0</v>
      </c>
      <c r="AA502" s="4">
        <f>SUMIFS(super1[Qtde],super1[Item],tab_alimentos[[#This Row],[Item]],super1[Bairro],mercado16)+SUMIFS(supercb[Qtde],supercb[Item],tab_alimentos[[#This Row],[Item]],supercb[Bairro],mercado16)</f>
        <v>0</v>
      </c>
      <c r="AB502" s="4">
        <f>SUMIFS(super1[Qtde],super1[Item],tab_alimentos[[#This Row],[Item]],super1[Bairro],mercado17)+SUMIFS(supercb[Qtde],supercb[Item],tab_alimentos[[#This Row],[Item]],supercb[Bairro],mercado17)</f>
        <v>0</v>
      </c>
      <c r="AC502" s="4">
        <f>SUMIFS(super1[Qtde],super1[Item],tab_alimentos[[#This Row],[Item]],super1[Bairro],mercado18)+SUMIFS(supercb[Qtde],supercb[Item],tab_alimentos[[#This Row],[Item]],supercb[Bairro],mercado18)</f>
        <v>0</v>
      </c>
      <c r="AD502" s="4">
        <f>SUMIFS(super1[Qtde],super1[Item],tab_alimentos[[#This Row],[Item]],super1[Bairro],extras)+SUMIFS(supercb[Qtde],supercb[Item],tab_alimentos[[#This Row],[Item]],supercb[Bairro],extras)</f>
        <v>0</v>
      </c>
      <c r="AE502" s="4">
        <f t="shared" si="100"/>
        <v>0</v>
      </c>
      <c r="AF502" s="4">
        <f t="shared" si="101"/>
        <v>0</v>
      </c>
      <c r="AG502" s="6">
        <f t="shared" si="102"/>
        <v>0</v>
      </c>
    </row>
    <row r="503" spans="9:33" x14ac:dyDescent="0.25">
      <c r="I503" s="19" t="e">
        <f>alimentos[[#This Row],[Item]]</f>
        <v>#VALUE!</v>
      </c>
      <c r="J503" s="4">
        <f>IFERROR(alimentos[[#This Row],[kg/embalagem]],0)</f>
        <v>0</v>
      </c>
      <c r="K503" s="4">
        <f>IFERROR(alimentos[[#This Row],[Preço]],0)</f>
        <v>0</v>
      </c>
      <c r="L503" s="4">
        <f>SUMIFS(super1[Qtde],super1[Item],tab_alimentos[[#This Row],[Item]],super1[Bairro],mercado1)+SUMIFS(supercb[Qtde],supercb[Item],tab_alimentos[[#This Row],[Item]],supercb[Bairro],mercado1)</f>
        <v>0</v>
      </c>
      <c r="M503" s="4">
        <f>SUMIFS(super1[Qtde],super1[Item],tab_alimentos[[#This Row],[Item]],super1[Bairro],mercado2)+SUMIFS(supercb[Qtde],supercb[Item],tab_alimentos[[#This Row],[Item]],supercb[Bairro],mercado2)</f>
        <v>0</v>
      </c>
      <c r="N503" s="4">
        <f>SUMIFS(super1[Qtde],super1[Item],tab_alimentos[[#This Row],[Item]],super1[Bairro],mercado3)+SUMIFS(supercb[Qtde],supercb[Item],tab_alimentos[[#This Row],[Item]],supercb[Bairro],mercado3)</f>
        <v>0</v>
      </c>
      <c r="O503" s="4">
        <f>SUMIFS(super1[Qtde],super1[Item],tab_alimentos[[#This Row],[Item]],super1[Bairro],mercado4)+SUMIFS(supercb[Qtde],supercb[Item],tab_alimentos[[#This Row],[Item]],supercb[Bairro],mercado4)</f>
        <v>0</v>
      </c>
      <c r="P503" s="4">
        <f>SUMIFS(super1[Qtde],super1[Item],tab_alimentos[[#This Row],[Item]],super1[Bairro],mercado5)+SUMIFS(supercb[Qtde],supercb[Item],tab_alimentos[[#This Row],[Item]],supercb[Bairro],mercado5)</f>
        <v>0</v>
      </c>
      <c r="Q503" s="4">
        <f>SUMIFS(super1[Qtde],super1[Item],tab_alimentos[[#This Row],[Item]],super1[Bairro],mercado6)+SUMIFS(supercb[Qtde],supercb[Item],tab_alimentos[[#This Row],[Item]],supercb[Bairro],mercado6)</f>
        <v>0</v>
      </c>
      <c r="R503" s="4">
        <f>SUMIFS(super1[Qtde],super1[Item],tab_alimentos[[#This Row],[Item]],super1[Bairro],mercado7)+SUMIFS(supercb[Qtde],supercb[Item],tab_alimentos[[#This Row],[Item]],supercb[Bairro],mercado7)</f>
        <v>0</v>
      </c>
      <c r="S503" s="4">
        <f>SUMIFS(super1[Qtde],super1[Item],tab_alimentos[[#This Row],[Item]],super1[Bairro],mercado8)+SUMIFS(supercb[Qtde],supercb[Item],tab_alimentos[[#This Row],[Item]],supercb[Bairro],mercado8)</f>
        <v>0</v>
      </c>
      <c r="T503" s="4">
        <f>SUMIFS(super1[Qtde],super1[Item],tab_alimentos[[#This Row],[Item]],super1[Bairro],mercado9)+SUMIFS(supercb[Qtde],supercb[Item],tab_alimentos[[#This Row],[Item]],supercb[Bairro],mercado9)</f>
        <v>0</v>
      </c>
      <c r="U503" s="4">
        <f>SUMIFS(super1[Qtde],super1[Item],tab_alimentos[[#This Row],[Item]],super1[Bairro],mercado10)+SUMIFS(supercb[Qtde],supercb[Item],tab_alimentos[[#This Row],[Item]],supercb[Bairro],mercado10)</f>
        <v>0</v>
      </c>
      <c r="V503" s="4">
        <f>SUMIFS(super1[Qtde],super1[Item],tab_alimentos[[#This Row],[Item]],super1[Bairro],mercado11)+SUMIFS(supercb[Qtde],supercb[Item],tab_alimentos[[#This Row],[Item]],supercb[Bairro],mercado11)</f>
        <v>0</v>
      </c>
      <c r="W503" s="4">
        <f>SUMIFS(super1[Qtde],super1[Item],tab_alimentos[[#This Row],[Item]],super1[Bairro],mercado12)+SUMIFS(supercb[Qtde],supercb[Item],tab_alimentos[[#This Row],[Item]],supercb[Bairro],mercado12)</f>
        <v>0</v>
      </c>
      <c r="X503" s="4">
        <f>SUMIFS(super1[Qtde],super1[Item],tab_alimentos[[#This Row],[Item]],super1[Bairro],mercado13)+SUMIFS(supercb[Qtde],supercb[Item],tab_alimentos[[#This Row],[Item]],supercb[Bairro],mercado13)</f>
        <v>0</v>
      </c>
      <c r="Y503" s="4">
        <f>SUMIFS(super1[Qtde],super1[Item],tab_alimentos[[#This Row],[Item]],super1[Bairro],mercado14)+SUMIFS(supercb[Qtde],supercb[Item],tab_alimentos[[#This Row],[Item]],supercb[Bairro],mercado14)</f>
        <v>0</v>
      </c>
      <c r="Z503" s="4">
        <f>SUMIFS(super1[Qtde],super1[Item],tab_alimentos[[#This Row],[Item]],super1[Bairro],mercado15)+SUMIFS(supercb[Qtde],supercb[Item],tab_alimentos[[#This Row],[Item]],supercb[Bairro],mercado15)</f>
        <v>0</v>
      </c>
      <c r="AA503" s="4">
        <f>SUMIFS(super1[Qtde],super1[Item],tab_alimentos[[#This Row],[Item]],super1[Bairro],mercado16)+SUMIFS(supercb[Qtde],supercb[Item],tab_alimentos[[#This Row],[Item]],supercb[Bairro],mercado16)</f>
        <v>0</v>
      </c>
      <c r="AB503" s="4">
        <f>SUMIFS(super1[Qtde],super1[Item],tab_alimentos[[#This Row],[Item]],super1[Bairro],mercado17)+SUMIFS(supercb[Qtde],supercb[Item],tab_alimentos[[#This Row],[Item]],supercb[Bairro],mercado17)</f>
        <v>0</v>
      </c>
      <c r="AC503" s="4">
        <f>SUMIFS(super1[Qtde],super1[Item],tab_alimentos[[#This Row],[Item]],super1[Bairro],mercado18)+SUMIFS(supercb[Qtde],supercb[Item],tab_alimentos[[#This Row],[Item]],supercb[Bairro],mercado18)</f>
        <v>0</v>
      </c>
      <c r="AD503" s="4">
        <f>SUMIFS(super1[Qtde],super1[Item],tab_alimentos[[#This Row],[Item]],super1[Bairro],extras)+SUMIFS(supercb[Qtde],supercb[Item],tab_alimentos[[#This Row],[Item]],supercb[Bairro],extras)</f>
        <v>0</v>
      </c>
      <c r="AE503" s="4">
        <f t="shared" si="100"/>
        <v>0</v>
      </c>
      <c r="AF503" s="4">
        <f t="shared" si="101"/>
        <v>0</v>
      </c>
      <c r="AG503" s="6">
        <f t="shared" si="102"/>
        <v>0</v>
      </c>
    </row>
    <row r="504" spans="9:33" x14ac:dyDescent="0.25">
      <c r="I504" s="19" t="e">
        <f>alimentos[[#This Row],[Item]]</f>
        <v>#VALUE!</v>
      </c>
      <c r="J504" s="4">
        <f>IFERROR(alimentos[[#This Row],[kg/embalagem]],0)</f>
        <v>0</v>
      </c>
      <c r="K504" s="4">
        <f>IFERROR(alimentos[[#This Row],[Preço]],0)</f>
        <v>0</v>
      </c>
      <c r="L504" s="4">
        <f>SUMIFS(super1[Qtde],super1[Item],tab_alimentos[[#This Row],[Item]],super1[Bairro],mercado1)+SUMIFS(supercb[Qtde],supercb[Item],tab_alimentos[[#This Row],[Item]],supercb[Bairro],mercado1)</f>
        <v>0</v>
      </c>
      <c r="M504" s="4">
        <f>SUMIFS(super1[Qtde],super1[Item],tab_alimentos[[#This Row],[Item]],super1[Bairro],mercado2)+SUMIFS(supercb[Qtde],supercb[Item],tab_alimentos[[#This Row],[Item]],supercb[Bairro],mercado2)</f>
        <v>0</v>
      </c>
      <c r="N504" s="4">
        <f>SUMIFS(super1[Qtde],super1[Item],tab_alimentos[[#This Row],[Item]],super1[Bairro],mercado3)+SUMIFS(supercb[Qtde],supercb[Item],tab_alimentos[[#This Row],[Item]],supercb[Bairro],mercado3)</f>
        <v>0</v>
      </c>
      <c r="O504" s="4">
        <f>SUMIFS(super1[Qtde],super1[Item],tab_alimentos[[#This Row],[Item]],super1[Bairro],mercado4)+SUMIFS(supercb[Qtde],supercb[Item],tab_alimentos[[#This Row],[Item]],supercb[Bairro],mercado4)</f>
        <v>0</v>
      </c>
      <c r="P504" s="4">
        <f>SUMIFS(super1[Qtde],super1[Item],tab_alimentos[[#This Row],[Item]],super1[Bairro],mercado5)+SUMIFS(supercb[Qtde],supercb[Item],tab_alimentos[[#This Row],[Item]],supercb[Bairro],mercado5)</f>
        <v>0</v>
      </c>
      <c r="Q504" s="4">
        <f>SUMIFS(super1[Qtde],super1[Item],tab_alimentos[[#This Row],[Item]],super1[Bairro],mercado6)+SUMIFS(supercb[Qtde],supercb[Item],tab_alimentos[[#This Row],[Item]],supercb[Bairro],mercado6)</f>
        <v>0</v>
      </c>
      <c r="R504" s="4">
        <f>SUMIFS(super1[Qtde],super1[Item],tab_alimentos[[#This Row],[Item]],super1[Bairro],mercado7)+SUMIFS(supercb[Qtde],supercb[Item],tab_alimentos[[#This Row],[Item]],supercb[Bairro],mercado7)</f>
        <v>0</v>
      </c>
      <c r="S504" s="4">
        <f>SUMIFS(super1[Qtde],super1[Item],tab_alimentos[[#This Row],[Item]],super1[Bairro],mercado8)+SUMIFS(supercb[Qtde],supercb[Item],tab_alimentos[[#This Row],[Item]],supercb[Bairro],mercado8)</f>
        <v>0</v>
      </c>
      <c r="T504" s="4">
        <f>SUMIFS(super1[Qtde],super1[Item],tab_alimentos[[#This Row],[Item]],super1[Bairro],mercado9)+SUMIFS(supercb[Qtde],supercb[Item],tab_alimentos[[#This Row],[Item]],supercb[Bairro],mercado9)</f>
        <v>0</v>
      </c>
      <c r="U504" s="4">
        <f>SUMIFS(super1[Qtde],super1[Item],tab_alimentos[[#This Row],[Item]],super1[Bairro],mercado10)+SUMIFS(supercb[Qtde],supercb[Item],tab_alimentos[[#This Row],[Item]],supercb[Bairro],mercado10)</f>
        <v>0</v>
      </c>
      <c r="V504" s="4">
        <f>SUMIFS(super1[Qtde],super1[Item],tab_alimentos[[#This Row],[Item]],super1[Bairro],mercado11)+SUMIFS(supercb[Qtde],supercb[Item],tab_alimentos[[#This Row],[Item]],supercb[Bairro],mercado11)</f>
        <v>0</v>
      </c>
      <c r="W504" s="4">
        <f>SUMIFS(super1[Qtde],super1[Item],tab_alimentos[[#This Row],[Item]],super1[Bairro],mercado12)+SUMIFS(supercb[Qtde],supercb[Item],tab_alimentos[[#This Row],[Item]],supercb[Bairro],mercado12)</f>
        <v>0</v>
      </c>
      <c r="X504" s="4">
        <f>SUMIFS(super1[Qtde],super1[Item],tab_alimentos[[#This Row],[Item]],super1[Bairro],mercado13)+SUMIFS(supercb[Qtde],supercb[Item],tab_alimentos[[#This Row],[Item]],supercb[Bairro],mercado13)</f>
        <v>0</v>
      </c>
      <c r="Y504" s="4">
        <f>SUMIFS(super1[Qtde],super1[Item],tab_alimentos[[#This Row],[Item]],super1[Bairro],mercado14)+SUMIFS(supercb[Qtde],supercb[Item],tab_alimentos[[#This Row],[Item]],supercb[Bairro],mercado14)</f>
        <v>0</v>
      </c>
      <c r="Z504" s="4">
        <f>SUMIFS(super1[Qtde],super1[Item],tab_alimentos[[#This Row],[Item]],super1[Bairro],mercado15)+SUMIFS(supercb[Qtde],supercb[Item],tab_alimentos[[#This Row],[Item]],supercb[Bairro],mercado15)</f>
        <v>0</v>
      </c>
      <c r="AA504" s="4">
        <f>SUMIFS(super1[Qtde],super1[Item],tab_alimentos[[#This Row],[Item]],super1[Bairro],mercado16)+SUMIFS(supercb[Qtde],supercb[Item],tab_alimentos[[#This Row],[Item]],supercb[Bairro],mercado16)</f>
        <v>0</v>
      </c>
      <c r="AB504" s="4">
        <f>SUMIFS(super1[Qtde],super1[Item],tab_alimentos[[#This Row],[Item]],super1[Bairro],mercado17)+SUMIFS(supercb[Qtde],supercb[Item],tab_alimentos[[#This Row],[Item]],supercb[Bairro],mercado17)</f>
        <v>0</v>
      </c>
      <c r="AC504" s="4">
        <f>SUMIFS(super1[Qtde],super1[Item],tab_alimentos[[#This Row],[Item]],super1[Bairro],mercado18)+SUMIFS(supercb[Qtde],supercb[Item],tab_alimentos[[#This Row],[Item]],supercb[Bairro],mercado18)</f>
        <v>0</v>
      </c>
      <c r="AD504" s="4">
        <f>SUMIFS(super1[Qtde],super1[Item],tab_alimentos[[#This Row],[Item]],super1[Bairro],extras)+SUMIFS(supercb[Qtde],supercb[Item],tab_alimentos[[#This Row],[Item]],supercb[Bairro],extras)</f>
        <v>0</v>
      </c>
      <c r="AE504" s="4">
        <f t="shared" ref="AE504:AE510" si="103">SUM(L504:AC504)</f>
        <v>0</v>
      </c>
      <c r="AF504" s="4">
        <f t="shared" ref="AF504:AF510" si="104">IFERROR(AE504*K504,0)</f>
        <v>0</v>
      </c>
      <c r="AG504" s="6">
        <f t="shared" ref="AG504:AG510" si="105">IFERROR(J504*AE504,0)</f>
        <v>0</v>
      </c>
    </row>
    <row r="505" spans="9:33" x14ac:dyDescent="0.25">
      <c r="I505" s="19" t="e">
        <f>alimentos[[#This Row],[Item]]</f>
        <v>#VALUE!</v>
      </c>
      <c r="J505" s="4">
        <f>IFERROR(alimentos[[#This Row],[kg/embalagem]],0)</f>
        <v>0</v>
      </c>
      <c r="K505" s="4">
        <f>IFERROR(alimentos[[#This Row],[Preço]],0)</f>
        <v>0</v>
      </c>
      <c r="L505" s="4">
        <f>SUMIFS(super1[Qtde],super1[Item],tab_alimentos[[#This Row],[Item]],super1[Bairro],mercado1)+SUMIFS(supercb[Qtde],supercb[Item],tab_alimentos[[#This Row],[Item]],supercb[Bairro],mercado1)</f>
        <v>0</v>
      </c>
      <c r="M505" s="4">
        <f>SUMIFS(super1[Qtde],super1[Item],tab_alimentos[[#This Row],[Item]],super1[Bairro],mercado2)+SUMIFS(supercb[Qtde],supercb[Item],tab_alimentos[[#This Row],[Item]],supercb[Bairro],mercado2)</f>
        <v>0</v>
      </c>
      <c r="N505" s="4">
        <f>SUMIFS(super1[Qtde],super1[Item],tab_alimentos[[#This Row],[Item]],super1[Bairro],mercado3)+SUMIFS(supercb[Qtde],supercb[Item],tab_alimentos[[#This Row],[Item]],supercb[Bairro],mercado3)</f>
        <v>0</v>
      </c>
      <c r="O505" s="4">
        <f>SUMIFS(super1[Qtde],super1[Item],tab_alimentos[[#This Row],[Item]],super1[Bairro],mercado4)+SUMIFS(supercb[Qtde],supercb[Item],tab_alimentos[[#This Row],[Item]],supercb[Bairro],mercado4)</f>
        <v>0</v>
      </c>
      <c r="P505" s="4">
        <f>SUMIFS(super1[Qtde],super1[Item],tab_alimentos[[#This Row],[Item]],super1[Bairro],mercado5)+SUMIFS(supercb[Qtde],supercb[Item],tab_alimentos[[#This Row],[Item]],supercb[Bairro],mercado5)</f>
        <v>0</v>
      </c>
      <c r="Q505" s="4">
        <f>SUMIFS(super1[Qtde],super1[Item],tab_alimentos[[#This Row],[Item]],super1[Bairro],mercado6)+SUMIFS(supercb[Qtde],supercb[Item],tab_alimentos[[#This Row],[Item]],supercb[Bairro],mercado6)</f>
        <v>0</v>
      </c>
      <c r="R505" s="4">
        <f>SUMIFS(super1[Qtde],super1[Item],tab_alimentos[[#This Row],[Item]],super1[Bairro],mercado7)+SUMIFS(supercb[Qtde],supercb[Item],tab_alimentos[[#This Row],[Item]],supercb[Bairro],mercado7)</f>
        <v>0</v>
      </c>
      <c r="S505" s="4">
        <f>SUMIFS(super1[Qtde],super1[Item],tab_alimentos[[#This Row],[Item]],super1[Bairro],mercado8)+SUMIFS(supercb[Qtde],supercb[Item],tab_alimentos[[#This Row],[Item]],supercb[Bairro],mercado8)</f>
        <v>0</v>
      </c>
      <c r="T505" s="4">
        <f>SUMIFS(super1[Qtde],super1[Item],tab_alimentos[[#This Row],[Item]],super1[Bairro],mercado9)+SUMIFS(supercb[Qtde],supercb[Item],tab_alimentos[[#This Row],[Item]],supercb[Bairro],mercado9)</f>
        <v>0</v>
      </c>
      <c r="U505" s="4">
        <f>SUMIFS(super1[Qtde],super1[Item],tab_alimentos[[#This Row],[Item]],super1[Bairro],mercado10)+SUMIFS(supercb[Qtde],supercb[Item],tab_alimentos[[#This Row],[Item]],supercb[Bairro],mercado10)</f>
        <v>0</v>
      </c>
      <c r="V505" s="4">
        <f>SUMIFS(super1[Qtde],super1[Item],tab_alimentos[[#This Row],[Item]],super1[Bairro],mercado11)+SUMIFS(supercb[Qtde],supercb[Item],tab_alimentos[[#This Row],[Item]],supercb[Bairro],mercado11)</f>
        <v>0</v>
      </c>
      <c r="W505" s="4">
        <f>SUMIFS(super1[Qtde],super1[Item],tab_alimentos[[#This Row],[Item]],super1[Bairro],mercado12)+SUMIFS(supercb[Qtde],supercb[Item],tab_alimentos[[#This Row],[Item]],supercb[Bairro],mercado12)</f>
        <v>0</v>
      </c>
      <c r="X505" s="4">
        <f>SUMIFS(super1[Qtde],super1[Item],tab_alimentos[[#This Row],[Item]],super1[Bairro],mercado13)+SUMIFS(supercb[Qtde],supercb[Item],tab_alimentos[[#This Row],[Item]],supercb[Bairro],mercado13)</f>
        <v>0</v>
      </c>
      <c r="Y505" s="4">
        <f>SUMIFS(super1[Qtde],super1[Item],tab_alimentos[[#This Row],[Item]],super1[Bairro],mercado14)+SUMIFS(supercb[Qtde],supercb[Item],tab_alimentos[[#This Row],[Item]],supercb[Bairro],mercado14)</f>
        <v>0</v>
      </c>
      <c r="Z505" s="4">
        <f>SUMIFS(super1[Qtde],super1[Item],tab_alimentos[[#This Row],[Item]],super1[Bairro],mercado15)+SUMIFS(supercb[Qtde],supercb[Item],tab_alimentos[[#This Row],[Item]],supercb[Bairro],mercado15)</f>
        <v>0</v>
      </c>
      <c r="AA505" s="4">
        <f>SUMIFS(super1[Qtde],super1[Item],tab_alimentos[[#This Row],[Item]],super1[Bairro],mercado16)+SUMIFS(supercb[Qtde],supercb[Item],tab_alimentos[[#This Row],[Item]],supercb[Bairro],mercado16)</f>
        <v>0</v>
      </c>
      <c r="AB505" s="4">
        <f>SUMIFS(super1[Qtde],super1[Item],tab_alimentos[[#This Row],[Item]],super1[Bairro],mercado17)+SUMIFS(supercb[Qtde],supercb[Item],tab_alimentos[[#This Row],[Item]],supercb[Bairro],mercado17)</f>
        <v>0</v>
      </c>
      <c r="AC505" s="4">
        <f>SUMIFS(super1[Qtde],super1[Item],tab_alimentos[[#This Row],[Item]],super1[Bairro],mercado18)+SUMIFS(supercb[Qtde],supercb[Item],tab_alimentos[[#This Row],[Item]],supercb[Bairro],mercado18)</f>
        <v>0</v>
      </c>
      <c r="AD505" s="4">
        <f>SUMIFS(super1[Qtde],super1[Item],tab_alimentos[[#This Row],[Item]],super1[Bairro],extras)+SUMIFS(supercb[Qtde],supercb[Item],tab_alimentos[[#This Row],[Item]],supercb[Bairro],extras)</f>
        <v>0</v>
      </c>
      <c r="AE505" s="4">
        <f t="shared" si="103"/>
        <v>0</v>
      </c>
      <c r="AF505" s="4">
        <f t="shared" si="104"/>
        <v>0</v>
      </c>
      <c r="AG505" s="6">
        <f t="shared" si="105"/>
        <v>0</v>
      </c>
    </row>
    <row r="506" spans="9:33" x14ac:dyDescent="0.25">
      <c r="I506" s="19" t="e">
        <f>alimentos[[#This Row],[Item]]</f>
        <v>#VALUE!</v>
      </c>
      <c r="J506" s="4">
        <f>IFERROR(alimentos[[#This Row],[kg/embalagem]],0)</f>
        <v>0</v>
      </c>
      <c r="K506" s="4">
        <f>IFERROR(alimentos[[#This Row],[Preço]],0)</f>
        <v>0</v>
      </c>
      <c r="L506" s="4">
        <f>SUMIFS(super1[Qtde],super1[Item],tab_alimentos[[#This Row],[Item]],super1[Bairro],mercado1)+SUMIFS(supercb[Qtde],supercb[Item],tab_alimentos[[#This Row],[Item]],supercb[Bairro],mercado1)</f>
        <v>0</v>
      </c>
      <c r="M506" s="4">
        <f>SUMIFS(super1[Qtde],super1[Item],tab_alimentos[[#This Row],[Item]],super1[Bairro],mercado2)+SUMIFS(supercb[Qtde],supercb[Item],tab_alimentos[[#This Row],[Item]],supercb[Bairro],mercado2)</f>
        <v>0</v>
      </c>
      <c r="N506" s="4">
        <f>SUMIFS(super1[Qtde],super1[Item],tab_alimentos[[#This Row],[Item]],super1[Bairro],mercado3)+SUMIFS(supercb[Qtde],supercb[Item],tab_alimentos[[#This Row],[Item]],supercb[Bairro],mercado3)</f>
        <v>0</v>
      </c>
      <c r="O506" s="4">
        <f>SUMIFS(super1[Qtde],super1[Item],tab_alimentos[[#This Row],[Item]],super1[Bairro],mercado4)+SUMIFS(supercb[Qtde],supercb[Item],tab_alimentos[[#This Row],[Item]],supercb[Bairro],mercado4)</f>
        <v>0</v>
      </c>
      <c r="P506" s="4">
        <f>SUMIFS(super1[Qtde],super1[Item],tab_alimentos[[#This Row],[Item]],super1[Bairro],mercado5)+SUMIFS(supercb[Qtde],supercb[Item],tab_alimentos[[#This Row],[Item]],supercb[Bairro],mercado5)</f>
        <v>0</v>
      </c>
      <c r="Q506" s="4">
        <f>SUMIFS(super1[Qtde],super1[Item],tab_alimentos[[#This Row],[Item]],super1[Bairro],mercado6)+SUMIFS(supercb[Qtde],supercb[Item],tab_alimentos[[#This Row],[Item]],supercb[Bairro],mercado6)</f>
        <v>0</v>
      </c>
      <c r="R506" s="4">
        <f>SUMIFS(super1[Qtde],super1[Item],tab_alimentos[[#This Row],[Item]],super1[Bairro],mercado7)+SUMIFS(supercb[Qtde],supercb[Item],tab_alimentos[[#This Row],[Item]],supercb[Bairro],mercado7)</f>
        <v>0</v>
      </c>
      <c r="S506" s="4">
        <f>SUMIFS(super1[Qtde],super1[Item],tab_alimentos[[#This Row],[Item]],super1[Bairro],mercado8)+SUMIFS(supercb[Qtde],supercb[Item],tab_alimentos[[#This Row],[Item]],supercb[Bairro],mercado8)</f>
        <v>0</v>
      </c>
      <c r="T506" s="4">
        <f>SUMIFS(super1[Qtde],super1[Item],tab_alimentos[[#This Row],[Item]],super1[Bairro],mercado9)+SUMIFS(supercb[Qtde],supercb[Item],tab_alimentos[[#This Row],[Item]],supercb[Bairro],mercado9)</f>
        <v>0</v>
      </c>
      <c r="U506" s="4">
        <f>SUMIFS(super1[Qtde],super1[Item],tab_alimentos[[#This Row],[Item]],super1[Bairro],mercado10)+SUMIFS(supercb[Qtde],supercb[Item],tab_alimentos[[#This Row],[Item]],supercb[Bairro],mercado10)</f>
        <v>0</v>
      </c>
      <c r="V506" s="4">
        <f>SUMIFS(super1[Qtde],super1[Item],tab_alimentos[[#This Row],[Item]],super1[Bairro],mercado11)+SUMIFS(supercb[Qtde],supercb[Item],tab_alimentos[[#This Row],[Item]],supercb[Bairro],mercado11)</f>
        <v>0</v>
      </c>
      <c r="W506" s="4">
        <f>SUMIFS(super1[Qtde],super1[Item],tab_alimentos[[#This Row],[Item]],super1[Bairro],mercado12)+SUMIFS(supercb[Qtde],supercb[Item],tab_alimentos[[#This Row],[Item]],supercb[Bairro],mercado12)</f>
        <v>0</v>
      </c>
      <c r="X506" s="4">
        <f>SUMIFS(super1[Qtde],super1[Item],tab_alimentos[[#This Row],[Item]],super1[Bairro],mercado13)+SUMIFS(supercb[Qtde],supercb[Item],tab_alimentos[[#This Row],[Item]],supercb[Bairro],mercado13)</f>
        <v>0</v>
      </c>
      <c r="Y506" s="4">
        <f>SUMIFS(super1[Qtde],super1[Item],tab_alimentos[[#This Row],[Item]],super1[Bairro],mercado14)+SUMIFS(supercb[Qtde],supercb[Item],tab_alimentos[[#This Row],[Item]],supercb[Bairro],mercado14)</f>
        <v>0</v>
      </c>
      <c r="Z506" s="4">
        <f>SUMIFS(super1[Qtde],super1[Item],tab_alimentos[[#This Row],[Item]],super1[Bairro],mercado15)+SUMIFS(supercb[Qtde],supercb[Item],tab_alimentos[[#This Row],[Item]],supercb[Bairro],mercado15)</f>
        <v>0</v>
      </c>
      <c r="AA506" s="4">
        <f>SUMIFS(super1[Qtde],super1[Item],tab_alimentos[[#This Row],[Item]],super1[Bairro],mercado16)+SUMIFS(supercb[Qtde],supercb[Item],tab_alimentos[[#This Row],[Item]],supercb[Bairro],mercado16)</f>
        <v>0</v>
      </c>
      <c r="AB506" s="4">
        <f>SUMIFS(super1[Qtde],super1[Item],tab_alimentos[[#This Row],[Item]],super1[Bairro],mercado17)+SUMIFS(supercb[Qtde],supercb[Item],tab_alimentos[[#This Row],[Item]],supercb[Bairro],mercado17)</f>
        <v>0</v>
      </c>
      <c r="AC506" s="4">
        <f>SUMIFS(super1[Qtde],super1[Item],tab_alimentos[[#This Row],[Item]],super1[Bairro],mercado18)+SUMIFS(supercb[Qtde],supercb[Item],tab_alimentos[[#This Row],[Item]],supercb[Bairro],mercado18)</f>
        <v>0</v>
      </c>
      <c r="AD506" s="4">
        <f>SUMIFS(super1[Qtde],super1[Item],tab_alimentos[[#This Row],[Item]],super1[Bairro],extras)+SUMIFS(supercb[Qtde],supercb[Item],tab_alimentos[[#This Row],[Item]],supercb[Bairro],extras)</f>
        <v>0</v>
      </c>
      <c r="AE506" s="4">
        <f t="shared" si="103"/>
        <v>0</v>
      </c>
      <c r="AF506" s="4">
        <f t="shared" si="104"/>
        <v>0</v>
      </c>
      <c r="AG506" s="6">
        <f t="shared" si="105"/>
        <v>0</v>
      </c>
    </row>
    <row r="507" spans="9:33" x14ac:dyDescent="0.25">
      <c r="I507" s="19" t="e">
        <f>alimentos[[#This Row],[Item]]</f>
        <v>#VALUE!</v>
      </c>
      <c r="J507" s="4">
        <f>IFERROR(alimentos[[#This Row],[kg/embalagem]],0)</f>
        <v>0</v>
      </c>
      <c r="K507" s="4">
        <f>IFERROR(alimentos[[#This Row],[Preço]],0)</f>
        <v>0</v>
      </c>
      <c r="L507" s="4">
        <f>SUMIFS(super1[Qtde],super1[Item],tab_alimentos[[#This Row],[Item]],super1[Bairro],mercado1)+SUMIFS(supercb[Qtde],supercb[Item],tab_alimentos[[#This Row],[Item]],supercb[Bairro],mercado1)</f>
        <v>0</v>
      </c>
      <c r="M507" s="4">
        <f>SUMIFS(super1[Qtde],super1[Item],tab_alimentos[[#This Row],[Item]],super1[Bairro],mercado2)+SUMIFS(supercb[Qtde],supercb[Item],tab_alimentos[[#This Row],[Item]],supercb[Bairro],mercado2)</f>
        <v>0</v>
      </c>
      <c r="N507" s="4">
        <f>SUMIFS(super1[Qtde],super1[Item],tab_alimentos[[#This Row],[Item]],super1[Bairro],mercado3)+SUMIFS(supercb[Qtde],supercb[Item],tab_alimentos[[#This Row],[Item]],supercb[Bairro],mercado3)</f>
        <v>0</v>
      </c>
      <c r="O507" s="4">
        <f>SUMIFS(super1[Qtde],super1[Item],tab_alimentos[[#This Row],[Item]],super1[Bairro],mercado4)+SUMIFS(supercb[Qtde],supercb[Item],tab_alimentos[[#This Row],[Item]],supercb[Bairro],mercado4)</f>
        <v>0</v>
      </c>
      <c r="P507" s="4">
        <f>SUMIFS(super1[Qtde],super1[Item],tab_alimentos[[#This Row],[Item]],super1[Bairro],mercado5)+SUMIFS(supercb[Qtde],supercb[Item],tab_alimentos[[#This Row],[Item]],supercb[Bairro],mercado5)</f>
        <v>0</v>
      </c>
      <c r="Q507" s="4">
        <f>SUMIFS(super1[Qtde],super1[Item],tab_alimentos[[#This Row],[Item]],super1[Bairro],mercado6)+SUMIFS(supercb[Qtde],supercb[Item],tab_alimentos[[#This Row],[Item]],supercb[Bairro],mercado6)</f>
        <v>0</v>
      </c>
      <c r="R507" s="4">
        <f>SUMIFS(super1[Qtde],super1[Item],tab_alimentos[[#This Row],[Item]],super1[Bairro],mercado7)+SUMIFS(supercb[Qtde],supercb[Item],tab_alimentos[[#This Row],[Item]],supercb[Bairro],mercado7)</f>
        <v>0</v>
      </c>
      <c r="S507" s="4">
        <f>SUMIFS(super1[Qtde],super1[Item],tab_alimentos[[#This Row],[Item]],super1[Bairro],mercado8)+SUMIFS(supercb[Qtde],supercb[Item],tab_alimentos[[#This Row],[Item]],supercb[Bairro],mercado8)</f>
        <v>0</v>
      </c>
      <c r="T507" s="4">
        <f>SUMIFS(super1[Qtde],super1[Item],tab_alimentos[[#This Row],[Item]],super1[Bairro],mercado9)+SUMIFS(supercb[Qtde],supercb[Item],tab_alimentos[[#This Row],[Item]],supercb[Bairro],mercado9)</f>
        <v>0</v>
      </c>
      <c r="U507" s="4">
        <f>SUMIFS(super1[Qtde],super1[Item],tab_alimentos[[#This Row],[Item]],super1[Bairro],mercado10)+SUMIFS(supercb[Qtde],supercb[Item],tab_alimentos[[#This Row],[Item]],supercb[Bairro],mercado10)</f>
        <v>0</v>
      </c>
      <c r="V507" s="4">
        <f>SUMIFS(super1[Qtde],super1[Item],tab_alimentos[[#This Row],[Item]],super1[Bairro],mercado11)+SUMIFS(supercb[Qtde],supercb[Item],tab_alimentos[[#This Row],[Item]],supercb[Bairro],mercado11)</f>
        <v>0</v>
      </c>
      <c r="W507" s="4">
        <f>SUMIFS(super1[Qtde],super1[Item],tab_alimentos[[#This Row],[Item]],super1[Bairro],mercado12)+SUMIFS(supercb[Qtde],supercb[Item],tab_alimentos[[#This Row],[Item]],supercb[Bairro],mercado12)</f>
        <v>0</v>
      </c>
      <c r="X507" s="4">
        <f>SUMIFS(super1[Qtde],super1[Item],tab_alimentos[[#This Row],[Item]],super1[Bairro],mercado13)+SUMIFS(supercb[Qtde],supercb[Item],tab_alimentos[[#This Row],[Item]],supercb[Bairro],mercado13)</f>
        <v>0</v>
      </c>
      <c r="Y507" s="4">
        <f>SUMIFS(super1[Qtde],super1[Item],tab_alimentos[[#This Row],[Item]],super1[Bairro],mercado14)+SUMIFS(supercb[Qtde],supercb[Item],tab_alimentos[[#This Row],[Item]],supercb[Bairro],mercado14)</f>
        <v>0</v>
      </c>
      <c r="Z507" s="4">
        <f>SUMIFS(super1[Qtde],super1[Item],tab_alimentos[[#This Row],[Item]],super1[Bairro],mercado15)+SUMIFS(supercb[Qtde],supercb[Item],tab_alimentos[[#This Row],[Item]],supercb[Bairro],mercado15)</f>
        <v>0</v>
      </c>
      <c r="AA507" s="4">
        <f>SUMIFS(super1[Qtde],super1[Item],tab_alimentos[[#This Row],[Item]],super1[Bairro],mercado16)+SUMIFS(supercb[Qtde],supercb[Item],tab_alimentos[[#This Row],[Item]],supercb[Bairro],mercado16)</f>
        <v>0</v>
      </c>
      <c r="AB507" s="4">
        <f>SUMIFS(super1[Qtde],super1[Item],tab_alimentos[[#This Row],[Item]],super1[Bairro],mercado17)+SUMIFS(supercb[Qtde],supercb[Item],tab_alimentos[[#This Row],[Item]],supercb[Bairro],mercado17)</f>
        <v>0</v>
      </c>
      <c r="AC507" s="4">
        <f>SUMIFS(super1[Qtde],super1[Item],tab_alimentos[[#This Row],[Item]],super1[Bairro],mercado18)+SUMIFS(supercb[Qtde],supercb[Item],tab_alimentos[[#This Row],[Item]],supercb[Bairro],mercado18)</f>
        <v>0</v>
      </c>
      <c r="AD507" s="4">
        <f>SUMIFS(super1[Qtde],super1[Item],tab_alimentos[[#This Row],[Item]],super1[Bairro],extras)+SUMIFS(supercb[Qtde],supercb[Item],tab_alimentos[[#This Row],[Item]],supercb[Bairro],extras)</f>
        <v>0</v>
      </c>
      <c r="AE507" s="4">
        <f t="shared" si="103"/>
        <v>0</v>
      </c>
      <c r="AF507" s="4">
        <f t="shared" si="104"/>
        <v>0</v>
      </c>
      <c r="AG507" s="6">
        <f t="shared" si="105"/>
        <v>0</v>
      </c>
    </row>
    <row r="508" spans="9:33" x14ac:dyDescent="0.25">
      <c r="I508" s="19" t="e">
        <f>alimentos[[#This Row],[Item]]</f>
        <v>#VALUE!</v>
      </c>
      <c r="J508" s="4">
        <f>IFERROR(alimentos[[#This Row],[kg/embalagem]],0)</f>
        <v>0</v>
      </c>
      <c r="K508" s="4">
        <f>IFERROR(alimentos[[#This Row],[Preço]],0)</f>
        <v>0</v>
      </c>
      <c r="L508" s="4">
        <f>SUMIFS(super1[Qtde],super1[Item],tab_alimentos[[#This Row],[Item]],super1[Bairro],mercado1)+SUMIFS(supercb[Qtde],supercb[Item],tab_alimentos[[#This Row],[Item]],supercb[Bairro],mercado1)</f>
        <v>0</v>
      </c>
      <c r="M508" s="4">
        <f>SUMIFS(super1[Qtde],super1[Item],tab_alimentos[[#This Row],[Item]],super1[Bairro],mercado2)+SUMIFS(supercb[Qtde],supercb[Item],tab_alimentos[[#This Row],[Item]],supercb[Bairro],mercado2)</f>
        <v>0</v>
      </c>
      <c r="N508" s="4">
        <f>SUMIFS(super1[Qtde],super1[Item],tab_alimentos[[#This Row],[Item]],super1[Bairro],mercado3)+SUMIFS(supercb[Qtde],supercb[Item],tab_alimentos[[#This Row],[Item]],supercb[Bairro],mercado3)</f>
        <v>0</v>
      </c>
      <c r="O508" s="4">
        <f>SUMIFS(super1[Qtde],super1[Item],tab_alimentos[[#This Row],[Item]],super1[Bairro],mercado4)+SUMIFS(supercb[Qtde],supercb[Item],tab_alimentos[[#This Row],[Item]],supercb[Bairro],mercado4)</f>
        <v>0</v>
      </c>
      <c r="P508" s="4">
        <f>SUMIFS(super1[Qtde],super1[Item],tab_alimentos[[#This Row],[Item]],super1[Bairro],mercado5)+SUMIFS(supercb[Qtde],supercb[Item],tab_alimentos[[#This Row],[Item]],supercb[Bairro],mercado5)</f>
        <v>0</v>
      </c>
      <c r="Q508" s="4">
        <f>SUMIFS(super1[Qtde],super1[Item],tab_alimentos[[#This Row],[Item]],super1[Bairro],mercado6)+SUMIFS(supercb[Qtde],supercb[Item],tab_alimentos[[#This Row],[Item]],supercb[Bairro],mercado6)</f>
        <v>0</v>
      </c>
      <c r="R508" s="4">
        <f>SUMIFS(super1[Qtde],super1[Item],tab_alimentos[[#This Row],[Item]],super1[Bairro],mercado7)+SUMIFS(supercb[Qtde],supercb[Item],tab_alimentos[[#This Row],[Item]],supercb[Bairro],mercado7)</f>
        <v>0</v>
      </c>
      <c r="S508" s="4">
        <f>SUMIFS(super1[Qtde],super1[Item],tab_alimentos[[#This Row],[Item]],super1[Bairro],mercado8)+SUMIFS(supercb[Qtde],supercb[Item],tab_alimentos[[#This Row],[Item]],supercb[Bairro],mercado8)</f>
        <v>0</v>
      </c>
      <c r="T508" s="4">
        <f>SUMIFS(super1[Qtde],super1[Item],tab_alimentos[[#This Row],[Item]],super1[Bairro],mercado9)+SUMIFS(supercb[Qtde],supercb[Item],tab_alimentos[[#This Row],[Item]],supercb[Bairro],mercado9)</f>
        <v>0</v>
      </c>
      <c r="U508" s="4">
        <f>SUMIFS(super1[Qtde],super1[Item],tab_alimentos[[#This Row],[Item]],super1[Bairro],mercado10)+SUMIFS(supercb[Qtde],supercb[Item],tab_alimentos[[#This Row],[Item]],supercb[Bairro],mercado10)</f>
        <v>0</v>
      </c>
      <c r="V508" s="4">
        <f>SUMIFS(super1[Qtde],super1[Item],tab_alimentos[[#This Row],[Item]],super1[Bairro],mercado11)+SUMIFS(supercb[Qtde],supercb[Item],tab_alimentos[[#This Row],[Item]],supercb[Bairro],mercado11)</f>
        <v>0</v>
      </c>
      <c r="W508" s="4">
        <f>SUMIFS(super1[Qtde],super1[Item],tab_alimentos[[#This Row],[Item]],super1[Bairro],mercado12)+SUMIFS(supercb[Qtde],supercb[Item],tab_alimentos[[#This Row],[Item]],supercb[Bairro],mercado12)</f>
        <v>0</v>
      </c>
      <c r="X508" s="4">
        <f>SUMIFS(super1[Qtde],super1[Item],tab_alimentos[[#This Row],[Item]],super1[Bairro],mercado13)+SUMIFS(supercb[Qtde],supercb[Item],tab_alimentos[[#This Row],[Item]],supercb[Bairro],mercado13)</f>
        <v>0</v>
      </c>
      <c r="Y508" s="4">
        <f>SUMIFS(super1[Qtde],super1[Item],tab_alimentos[[#This Row],[Item]],super1[Bairro],mercado14)+SUMIFS(supercb[Qtde],supercb[Item],tab_alimentos[[#This Row],[Item]],supercb[Bairro],mercado14)</f>
        <v>0</v>
      </c>
      <c r="Z508" s="4">
        <f>SUMIFS(super1[Qtde],super1[Item],tab_alimentos[[#This Row],[Item]],super1[Bairro],mercado15)+SUMIFS(supercb[Qtde],supercb[Item],tab_alimentos[[#This Row],[Item]],supercb[Bairro],mercado15)</f>
        <v>0</v>
      </c>
      <c r="AA508" s="4">
        <f>SUMIFS(super1[Qtde],super1[Item],tab_alimentos[[#This Row],[Item]],super1[Bairro],mercado16)+SUMIFS(supercb[Qtde],supercb[Item],tab_alimentos[[#This Row],[Item]],supercb[Bairro],mercado16)</f>
        <v>0</v>
      </c>
      <c r="AB508" s="4">
        <f>SUMIFS(super1[Qtde],super1[Item],tab_alimentos[[#This Row],[Item]],super1[Bairro],mercado17)+SUMIFS(supercb[Qtde],supercb[Item],tab_alimentos[[#This Row],[Item]],supercb[Bairro],mercado17)</f>
        <v>0</v>
      </c>
      <c r="AC508" s="4">
        <f>SUMIFS(super1[Qtde],super1[Item],tab_alimentos[[#This Row],[Item]],super1[Bairro],mercado18)+SUMIFS(supercb[Qtde],supercb[Item],tab_alimentos[[#This Row],[Item]],supercb[Bairro],mercado18)</f>
        <v>0</v>
      </c>
      <c r="AD508" s="4">
        <f>SUMIFS(super1[Qtde],super1[Item],tab_alimentos[[#This Row],[Item]],super1[Bairro],extras)+SUMIFS(supercb[Qtde],supercb[Item],tab_alimentos[[#This Row],[Item]],supercb[Bairro],extras)</f>
        <v>0</v>
      </c>
      <c r="AE508" s="4">
        <f t="shared" si="103"/>
        <v>0</v>
      </c>
      <c r="AF508" s="4">
        <f t="shared" si="104"/>
        <v>0</v>
      </c>
      <c r="AG508" s="6">
        <f t="shared" si="105"/>
        <v>0</v>
      </c>
    </row>
    <row r="509" spans="9:33" x14ac:dyDescent="0.25">
      <c r="I509" s="19" t="e">
        <f>alimentos[[#This Row],[Item]]</f>
        <v>#VALUE!</v>
      </c>
      <c r="J509" s="4">
        <f>IFERROR(alimentos[[#This Row],[kg/embalagem]],0)</f>
        <v>0</v>
      </c>
      <c r="K509" s="4">
        <f>IFERROR(alimentos[[#This Row],[Preço]],0)</f>
        <v>0</v>
      </c>
      <c r="L509" s="4">
        <f>SUMIFS(super1[Qtde],super1[Item],tab_alimentos[[#This Row],[Item]],super1[Bairro],mercado1)+SUMIFS(supercb[Qtde],supercb[Item],tab_alimentos[[#This Row],[Item]],supercb[Bairro],mercado1)</f>
        <v>0</v>
      </c>
      <c r="M509" s="4">
        <f>SUMIFS(super1[Qtde],super1[Item],tab_alimentos[[#This Row],[Item]],super1[Bairro],mercado2)+SUMIFS(supercb[Qtde],supercb[Item],tab_alimentos[[#This Row],[Item]],supercb[Bairro],mercado2)</f>
        <v>0</v>
      </c>
      <c r="N509" s="4">
        <f>SUMIFS(super1[Qtde],super1[Item],tab_alimentos[[#This Row],[Item]],super1[Bairro],mercado3)+SUMIFS(supercb[Qtde],supercb[Item],tab_alimentos[[#This Row],[Item]],supercb[Bairro],mercado3)</f>
        <v>0</v>
      </c>
      <c r="O509" s="4">
        <f>SUMIFS(super1[Qtde],super1[Item],tab_alimentos[[#This Row],[Item]],super1[Bairro],mercado4)+SUMIFS(supercb[Qtde],supercb[Item],tab_alimentos[[#This Row],[Item]],supercb[Bairro],mercado4)</f>
        <v>0</v>
      </c>
      <c r="P509" s="4">
        <f>SUMIFS(super1[Qtde],super1[Item],tab_alimentos[[#This Row],[Item]],super1[Bairro],mercado5)+SUMIFS(supercb[Qtde],supercb[Item],tab_alimentos[[#This Row],[Item]],supercb[Bairro],mercado5)</f>
        <v>0</v>
      </c>
      <c r="Q509" s="4">
        <f>SUMIFS(super1[Qtde],super1[Item],tab_alimentos[[#This Row],[Item]],super1[Bairro],mercado6)+SUMIFS(supercb[Qtde],supercb[Item],tab_alimentos[[#This Row],[Item]],supercb[Bairro],mercado6)</f>
        <v>0</v>
      </c>
      <c r="R509" s="4">
        <f>SUMIFS(super1[Qtde],super1[Item],tab_alimentos[[#This Row],[Item]],super1[Bairro],mercado7)+SUMIFS(supercb[Qtde],supercb[Item],tab_alimentos[[#This Row],[Item]],supercb[Bairro],mercado7)</f>
        <v>0</v>
      </c>
      <c r="S509" s="4">
        <f>SUMIFS(super1[Qtde],super1[Item],tab_alimentos[[#This Row],[Item]],super1[Bairro],mercado8)+SUMIFS(supercb[Qtde],supercb[Item],tab_alimentos[[#This Row],[Item]],supercb[Bairro],mercado8)</f>
        <v>0</v>
      </c>
      <c r="T509" s="4">
        <f>SUMIFS(super1[Qtde],super1[Item],tab_alimentos[[#This Row],[Item]],super1[Bairro],mercado9)+SUMIFS(supercb[Qtde],supercb[Item],tab_alimentos[[#This Row],[Item]],supercb[Bairro],mercado9)</f>
        <v>0</v>
      </c>
      <c r="U509" s="4">
        <f>SUMIFS(super1[Qtde],super1[Item],tab_alimentos[[#This Row],[Item]],super1[Bairro],mercado10)+SUMIFS(supercb[Qtde],supercb[Item],tab_alimentos[[#This Row],[Item]],supercb[Bairro],mercado10)</f>
        <v>0</v>
      </c>
      <c r="V509" s="4">
        <f>SUMIFS(super1[Qtde],super1[Item],tab_alimentos[[#This Row],[Item]],super1[Bairro],mercado11)+SUMIFS(supercb[Qtde],supercb[Item],tab_alimentos[[#This Row],[Item]],supercb[Bairro],mercado11)</f>
        <v>0</v>
      </c>
      <c r="W509" s="4">
        <f>SUMIFS(super1[Qtde],super1[Item],tab_alimentos[[#This Row],[Item]],super1[Bairro],mercado12)+SUMIFS(supercb[Qtde],supercb[Item],tab_alimentos[[#This Row],[Item]],supercb[Bairro],mercado12)</f>
        <v>0</v>
      </c>
      <c r="X509" s="4">
        <f>SUMIFS(super1[Qtde],super1[Item],tab_alimentos[[#This Row],[Item]],super1[Bairro],mercado13)+SUMIFS(supercb[Qtde],supercb[Item],tab_alimentos[[#This Row],[Item]],supercb[Bairro],mercado13)</f>
        <v>0</v>
      </c>
      <c r="Y509" s="4">
        <f>SUMIFS(super1[Qtde],super1[Item],tab_alimentos[[#This Row],[Item]],super1[Bairro],mercado14)+SUMIFS(supercb[Qtde],supercb[Item],tab_alimentos[[#This Row],[Item]],supercb[Bairro],mercado14)</f>
        <v>0</v>
      </c>
      <c r="Z509" s="4">
        <f>SUMIFS(super1[Qtde],super1[Item],tab_alimentos[[#This Row],[Item]],super1[Bairro],mercado15)+SUMIFS(supercb[Qtde],supercb[Item],tab_alimentos[[#This Row],[Item]],supercb[Bairro],mercado15)</f>
        <v>0</v>
      </c>
      <c r="AA509" s="4">
        <f>SUMIFS(super1[Qtde],super1[Item],tab_alimentos[[#This Row],[Item]],super1[Bairro],mercado16)+SUMIFS(supercb[Qtde],supercb[Item],tab_alimentos[[#This Row],[Item]],supercb[Bairro],mercado16)</f>
        <v>0</v>
      </c>
      <c r="AB509" s="4">
        <f>SUMIFS(super1[Qtde],super1[Item],tab_alimentos[[#This Row],[Item]],super1[Bairro],mercado17)+SUMIFS(supercb[Qtde],supercb[Item],tab_alimentos[[#This Row],[Item]],supercb[Bairro],mercado17)</f>
        <v>0</v>
      </c>
      <c r="AC509" s="4">
        <f>SUMIFS(super1[Qtde],super1[Item],tab_alimentos[[#This Row],[Item]],super1[Bairro],mercado18)+SUMIFS(supercb[Qtde],supercb[Item],tab_alimentos[[#This Row],[Item]],supercb[Bairro],mercado18)</f>
        <v>0</v>
      </c>
      <c r="AD509" s="4">
        <f>SUMIFS(super1[Qtde],super1[Item],tab_alimentos[[#This Row],[Item]],super1[Bairro],extras)+SUMIFS(supercb[Qtde],supercb[Item],tab_alimentos[[#This Row],[Item]],supercb[Bairro],extras)</f>
        <v>0</v>
      </c>
      <c r="AE509" s="4">
        <f t="shared" si="103"/>
        <v>0</v>
      </c>
      <c r="AF509" s="4">
        <f t="shared" si="104"/>
        <v>0</v>
      </c>
      <c r="AG509" s="6">
        <f t="shared" si="105"/>
        <v>0</v>
      </c>
    </row>
    <row r="510" spans="9:33" x14ac:dyDescent="0.25">
      <c r="I510" s="19" t="e">
        <f>alimentos[[#This Row],[Item]]</f>
        <v>#VALUE!</v>
      </c>
      <c r="J510" s="4">
        <f>IFERROR(alimentos[[#This Row],[kg/embalagem]],0)</f>
        <v>0</v>
      </c>
      <c r="K510" s="4">
        <f>IFERROR(alimentos[[#This Row],[Preço]],0)</f>
        <v>0</v>
      </c>
      <c r="L510" s="4">
        <f>SUMIFS(super1[Qtde],super1[Item],tab_alimentos[[#This Row],[Item]],super1[Bairro],mercado1)+SUMIFS(supercb[Qtde],supercb[Item],tab_alimentos[[#This Row],[Item]],supercb[Bairro],mercado1)</f>
        <v>0</v>
      </c>
      <c r="M510" s="4">
        <f>SUMIFS(super1[Qtde],super1[Item],tab_alimentos[[#This Row],[Item]],super1[Bairro],mercado2)+SUMIFS(supercb[Qtde],supercb[Item],tab_alimentos[[#This Row],[Item]],supercb[Bairro],mercado2)</f>
        <v>0</v>
      </c>
      <c r="N510" s="4">
        <f>SUMIFS(super1[Qtde],super1[Item],tab_alimentos[[#This Row],[Item]],super1[Bairro],mercado3)+SUMIFS(supercb[Qtde],supercb[Item],tab_alimentos[[#This Row],[Item]],supercb[Bairro],mercado3)</f>
        <v>0</v>
      </c>
      <c r="O510" s="4">
        <f>SUMIFS(super1[Qtde],super1[Item],tab_alimentos[[#This Row],[Item]],super1[Bairro],mercado4)+SUMIFS(supercb[Qtde],supercb[Item],tab_alimentos[[#This Row],[Item]],supercb[Bairro],mercado4)</f>
        <v>0</v>
      </c>
      <c r="P510" s="4">
        <f>SUMIFS(super1[Qtde],super1[Item],tab_alimentos[[#This Row],[Item]],super1[Bairro],mercado5)+SUMIFS(supercb[Qtde],supercb[Item],tab_alimentos[[#This Row],[Item]],supercb[Bairro],mercado5)</f>
        <v>0</v>
      </c>
      <c r="Q510" s="4">
        <f>SUMIFS(super1[Qtde],super1[Item],tab_alimentos[[#This Row],[Item]],super1[Bairro],mercado6)+SUMIFS(supercb[Qtde],supercb[Item],tab_alimentos[[#This Row],[Item]],supercb[Bairro],mercado6)</f>
        <v>0</v>
      </c>
      <c r="R510" s="4">
        <f>SUMIFS(super1[Qtde],super1[Item],tab_alimentos[[#This Row],[Item]],super1[Bairro],mercado7)+SUMIFS(supercb[Qtde],supercb[Item],tab_alimentos[[#This Row],[Item]],supercb[Bairro],mercado7)</f>
        <v>0</v>
      </c>
      <c r="S510" s="4">
        <f>SUMIFS(super1[Qtde],super1[Item],tab_alimentos[[#This Row],[Item]],super1[Bairro],mercado8)+SUMIFS(supercb[Qtde],supercb[Item],tab_alimentos[[#This Row],[Item]],supercb[Bairro],mercado8)</f>
        <v>0</v>
      </c>
      <c r="T510" s="4">
        <f>SUMIFS(super1[Qtde],super1[Item],tab_alimentos[[#This Row],[Item]],super1[Bairro],mercado9)+SUMIFS(supercb[Qtde],supercb[Item],tab_alimentos[[#This Row],[Item]],supercb[Bairro],mercado9)</f>
        <v>0</v>
      </c>
      <c r="U510" s="4">
        <f>SUMIFS(super1[Qtde],super1[Item],tab_alimentos[[#This Row],[Item]],super1[Bairro],mercado10)+SUMIFS(supercb[Qtde],supercb[Item],tab_alimentos[[#This Row],[Item]],supercb[Bairro],mercado10)</f>
        <v>0</v>
      </c>
      <c r="V510" s="4">
        <f>SUMIFS(super1[Qtde],super1[Item],tab_alimentos[[#This Row],[Item]],super1[Bairro],mercado11)+SUMIFS(supercb[Qtde],supercb[Item],tab_alimentos[[#This Row],[Item]],supercb[Bairro],mercado11)</f>
        <v>0</v>
      </c>
      <c r="W510" s="4">
        <f>SUMIFS(super1[Qtde],super1[Item],tab_alimentos[[#This Row],[Item]],super1[Bairro],mercado12)+SUMIFS(supercb[Qtde],supercb[Item],tab_alimentos[[#This Row],[Item]],supercb[Bairro],mercado12)</f>
        <v>0</v>
      </c>
      <c r="X510" s="4">
        <f>SUMIFS(super1[Qtde],super1[Item],tab_alimentos[[#This Row],[Item]],super1[Bairro],mercado13)+SUMIFS(supercb[Qtde],supercb[Item],tab_alimentos[[#This Row],[Item]],supercb[Bairro],mercado13)</f>
        <v>0</v>
      </c>
      <c r="Y510" s="4">
        <f>SUMIFS(super1[Qtde],super1[Item],tab_alimentos[[#This Row],[Item]],super1[Bairro],mercado14)+SUMIFS(supercb[Qtde],supercb[Item],tab_alimentos[[#This Row],[Item]],supercb[Bairro],mercado14)</f>
        <v>0</v>
      </c>
      <c r="Z510" s="4">
        <f>SUMIFS(super1[Qtde],super1[Item],tab_alimentos[[#This Row],[Item]],super1[Bairro],mercado15)+SUMIFS(supercb[Qtde],supercb[Item],tab_alimentos[[#This Row],[Item]],supercb[Bairro],mercado15)</f>
        <v>0</v>
      </c>
      <c r="AA510" s="4">
        <f>SUMIFS(super1[Qtde],super1[Item],tab_alimentos[[#This Row],[Item]],super1[Bairro],mercado16)+SUMIFS(supercb[Qtde],supercb[Item],tab_alimentos[[#This Row],[Item]],supercb[Bairro],mercado16)</f>
        <v>0</v>
      </c>
      <c r="AB510" s="4">
        <f>SUMIFS(super1[Qtde],super1[Item],tab_alimentos[[#This Row],[Item]],super1[Bairro],mercado17)+SUMIFS(supercb[Qtde],supercb[Item],tab_alimentos[[#This Row],[Item]],supercb[Bairro],mercado17)</f>
        <v>0</v>
      </c>
      <c r="AC510" s="4">
        <f>SUMIFS(super1[Qtde],super1[Item],tab_alimentos[[#This Row],[Item]],super1[Bairro],mercado18)+SUMIFS(supercb[Qtde],supercb[Item],tab_alimentos[[#This Row],[Item]],supercb[Bairro],mercado18)</f>
        <v>0</v>
      </c>
      <c r="AD510" s="4">
        <f>SUMIFS(super1[Qtde],super1[Item],tab_alimentos[[#This Row],[Item]],super1[Bairro],extras)+SUMIFS(supercb[Qtde],supercb[Item],tab_alimentos[[#This Row],[Item]],supercb[Bairro],extras)</f>
        <v>0</v>
      </c>
      <c r="AE510" s="4">
        <f t="shared" si="103"/>
        <v>0</v>
      </c>
      <c r="AF510" s="4">
        <f t="shared" si="104"/>
        <v>0</v>
      </c>
      <c r="AG510" s="6">
        <f t="shared" si="105"/>
        <v>0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A44:G45"/>
    <mergeCell ref="A31:G31"/>
    <mergeCell ref="A34:G34"/>
    <mergeCell ref="A37:G37"/>
    <mergeCell ref="A40:G40"/>
    <mergeCell ref="A43:G43"/>
    <mergeCell ref="A32:G33"/>
    <mergeCell ref="A35:G36"/>
    <mergeCell ref="A38:G39"/>
    <mergeCell ref="A41:G42"/>
    <mergeCell ref="BP3:BW3"/>
    <mergeCell ref="A3:G3"/>
    <mergeCell ref="B7:C7"/>
    <mergeCell ref="D7:E7"/>
    <mergeCell ref="F7:G7"/>
    <mergeCell ref="A7:A8"/>
    <mergeCell ref="A5:C5"/>
    <mergeCell ref="D5:G5"/>
    <mergeCell ref="AH3:BF3"/>
    <mergeCell ref="I3:AG3"/>
    <mergeCell ref="BI3:BN3"/>
  </mergeCells>
  <conditionalFormatting sqref="K5:AG510 AJ5:BF315">
    <cfRule type="cellIs" dxfId="84" priority="12" operator="greaterThan">
      <formula>0</formula>
    </cfRule>
  </conditionalFormatting>
  <conditionalFormatting sqref="A32">
    <cfRule type="cellIs" dxfId="83" priority="8" operator="greaterThan">
      <formula>0</formula>
    </cfRule>
  </conditionalFormatting>
  <conditionalFormatting sqref="A35">
    <cfRule type="cellIs" dxfId="82" priority="7" operator="greaterThan">
      <formula>0</formula>
    </cfRule>
  </conditionalFormatting>
  <conditionalFormatting sqref="A44">
    <cfRule type="cellIs" dxfId="81" priority="6" operator="greaterThan">
      <formula>0</formula>
    </cfRule>
  </conditionalFormatting>
  <conditionalFormatting sqref="A41">
    <cfRule type="cellIs" dxfId="80" priority="4" operator="greaterThan">
      <formula>0</formula>
    </cfRule>
  </conditionalFormatting>
  <conditionalFormatting sqref="A38">
    <cfRule type="cellIs" dxfId="79" priority="2" operator="greaterThan">
      <formula>0</formula>
    </cfRule>
  </conditionalFormatting>
  <hyperlinks>
    <hyperlink ref="I1" location="toporesumo" display="Topo" xr:uid="{00000000-0004-0000-0200-000000000000}"/>
    <hyperlink ref="A3" location="topocategorias" display="Categorias" xr:uid="{00000000-0004-0000-0200-000001000000}"/>
    <hyperlink ref="A5:C5" location="topo1" display="Cadastro" xr:uid="{00000000-0004-0000-0200-000002000000}"/>
    <hyperlink ref="D5:G5" location="topo_cb" display="CadastroCB" xr:uid="{00000000-0004-0000-0200-000003000000}"/>
  </hyperlinks>
  <pageMargins left="0.7" right="0.7" top="0.75" bottom="0.75" header="0.3" footer="0.3"/>
  <pageSetup paperSize="9"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Line="0" autoPict="0" macro="[0]!Duplicata_alimentio">
                <anchor moveWithCells="1" sizeWithCells="1">
                  <from>
                    <xdr:col>60</xdr:col>
                    <xdr:colOff>304800</xdr:colOff>
                    <xdr:row>0</xdr:row>
                    <xdr:rowOff>85725</xdr:rowOff>
                  </from>
                  <to>
                    <xdr:col>61</xdr:col>
                    <xdr:colOff>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Line="0" autoPict="0" macro="[0]!Duplicata_higiene">
                <anchor moveWithCells="1" sizeWithCells="1">
                  <from>
                    <xdr:col>67</xdr:col>
                    <xdr:colOff>304800</xdr:colOff>
                    <xdr:row>0</xdr:row>
                    <xdr:rowOff>85725</xdr:rowOff>
                  </from>
                  <to>
                    <xdr:col>68</xdr:col>
                    <xdr:colOff>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002060"/>
  </sheetPr>
  <dimension ref="A1:Q697"/>
  <sheetViews>
    <sheetView showGridLines="0" zoomScale="70" zoomScaleNormal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M12" sqref="M12"/>
    </sheetView>
  </sheetViews>
  <sheetFormatPr defaultColWidth="0" defaultRowHeight="15" x14ac:dyDescent="0.25"/>
  <cols>
    <col min="1" max="1" width="30.42578125" customWidth="1"/>
    <col min="2" max="2" width="2.5703125" customWidth="1"/>
    <col min="3" max="3" width="2.28515625" customWidth="1"/>
    <col min="4" max="4" width="41.28515625" customWidth="1"/>
    <col min="5" max="5" width="19" bestFit="1" customWidth="1"/>
    <col min="6" max="6" width="19" customWidth="1"/>
    <col min="7" max="7" width="3.140625" customWidth="1"/>
    <col min="8" max="8" width="40.7109375" bestFit="1" customWidth="1"/>
    <col min="9" max="9" width="19" bestFit="1" customWidth="1"/>
    <col min="10" max="11" width="19" customWidth="1"/>
    <col min="12" max="12" width="3.42578125" customWidth="1"/>
    <col min="13" max="13" width="30.42578125" customWidth="1"/>
    <col min="14" max="16" width="9.140625" hidden="1" customWidth="1"/>
    <col min="17" max="17" width="30.5703125" hidden="1" customWidth="1"/>
    <col min="18" max="16384" width="9.140625" hidden="1"/>
  </cols>
  <sheetData>
    <row r="1" spans="1:17" ht="21" customHeight="1" x14ac:dyDescent="0.25">
      <c r="D1" s="10" t="s">
        <v>82</v>
      </c>
    </row>
    <row r="3" spans="1:17" x14ac:dyDescent="0.25">
      <c r="A3" s="113" t="s">
        <v>81</v>
      </c>
      <c r="B3" s="113"/>
      <c r="D3" s="111" t="s">
        <v>0</v>
      </c>
      <c r="E3" s="112"/>
      <c r="F3" s="14"/>
      <c r="H3" s="111" t="s">
        <v>18</v>
      </c>
      <c r="I3" s="112"/>
      <c r="J3" s="14"/>
      <c r="K3" s="14"/>
    </row>
    <row r="4" spans="1:17" x14ac:dyDescent="0.25">
      <c r="A4" s="10"/>
      <c r="B4" s="10"/>
      <c r="D4" s="5" t="s">
        <v>19</v>
      </c>
      <c r="E4" s="5" t="s">
        <v>20</v>
      </c>
      <c r="F4" s="5" t="s">
        <v>135</v>
      </c>
      <c r="H4" s="36" t="s">
        <v>19</v>
      </c>
      <c r="I4" s="37" t="s">
        <v>164</v>
      </c>
      <c r="J4" s="37" t="s">
        <v>141</v>
      </c>
      <c r="K4" s="15" t="s">
        <v>142</v>
      </c>
      <c r="Q4" t="str">
        <f t="shared" ref="Q4" si="0">D5</f>
        <v>A</v>
      </c>
    </row>
    <row r="5" spans="1:17" x14ac:dyDescent="0.25">
      <c r="A5" s="10"/>
      <c r="B5" s="10"/>
      <c r="D5" s="38" t="s">
        <v>56</v>
      </c>
      <c r="E5" s="39"/>
      <c r="F5" s="40"/>
      <c r="H5" s="4" t="s">
        <v>56</v>
      </c>
      <c r="I5" s="6"/>
      <c r="J5" s="6" t="s">
        <v>1088</v>
      </c>
      <c r="K5" s="4">
        <f>IFERROR(higiene[[#This Row],[Preço por produto]]/PMA,0)</f>
        <v>0</v>
      </c>
      <c r="Q5" t="e">
        <f>#REF!</f>
        <v>#REF!</v>
      </c>
    </row>
    <row r="6" spans="1:17" x14ac:dyDescent="0.25">
      <c r="A6" s="113" t="s">
        <v>290</v>
      </c>
      <c r="B6" s="113"/>
      <c r="D6" s="69" t="s">
        <v>3834</v>
      </c>
      <c r="E6" s="39">
        <v>0.82</v>
      </c>
      <c r="F6" s="86">
        <v>17.79</v>
      </c>
      <c r="H6" s="4" t="s">
        <v>183</v>
      </c>
      <c r="I6" s="6">
        <v>8</v>
      </c>
      <c r="J6" s="88">
        <v>6.6</v>
      </c>
      <c r="K6" s="4">
        <f>IFERROR(higiene[[#This Row],[Preço por produto]]/PMA,0)</f>
        <v>0</v>
      </c>
      <c r="Q6" t="e">
        <f>#REF!</f>
        <v>#REF!</v>
      </c>
    </row>
    <row r="7" spans="1:17" x14ac:dyDescent="0.25">
      <c r="D7" s="69" t="s">
        <v>3835</v>
      </c>
      <c r="E7" s="39">
        <v>0.83</v>
      </c>
      <c r="F7" s="86">
        <v>32.99</v>
      </c>
      <c r="H7" s="4" t="s">
        <v>3649</v>
      </c>
      <c r="I7" s="6">
        <v>1</v>
      </c>
      <c r="J7" s="89">
        <v>7.48</v>
      </c>
      <c r="K7" s="4">
        <f>IFERROR(higiene[[#This Row],[Preço por produto]]/PMA,0)</f>
        <v>0</v>
      </c>
      <c r="Q7" t="e">
        <f>#REF!</f>
        <v>#REF!</v>
      </c>
    </row>
    <row r="8" spans="1:17" x14ac:dyDescent="0.25">
      <c r="D8" s="69" t="s">
        <v>2008</v>
      </c>
      <c r="E8" s="39">
        <v>1.1000000000000001</v>
      </c>
      <c r="F8" s="86">
        <v>10.5</v>
      </c>
      <c r="H8" s="4" t="s">
        <v>168</v>
      </c>
      <c r="I8" s="6">
        <v>15</v>
      </c>
      <c r="J8" s="88">
        <v>13.85</v>
      </c>
      <c r="K8" s="4">
        <f>IFERROR(higiene[[#This Row],[Preço por produto]]/PMA,0)</f>
        <v>0</v>
      </c>
      <c r="M8" t="s">
        <v>4089</v>
      </c>
      <c r="Q8" t="e">
        <f>#REF!</f>
        <v>#REF!</v>
      </c>
    </row>
    <row r="9" spans="1:17" x14ac:dyDescent="0.25">
      <c r="A9" s="113" t="s">
        <v>84</v>
      </c>
      <c r="B9" s="113"/>
      <c r="D9" s="69" t="s">
        <v>2010</v>
      </c>
      <c r="E9" s="39">
        <v>0.1</v>
      </c>
      <c r="F9" s="86">
        <v>2.1</v>
      </c>
      <c r="H9" s="4" t="s">
        <v>184</v>
      </c>
      <c r="I9" s="6">
        <v>16</v>
      </c>
      <c r="J9" s="89">
        <v>8.25</v>
      </c>
      <c r="K9" s="4">
        <f>IFERROR(higiene[[#This Row],[Preço por produto]]/PMA,0)</f>
        <v>0</v>
      </c>
      <c r="M9" s="30" t="s">
        <v>4179</v>
      </c>
      <c r="Q9" t="e">
        <f>#REF!</f>
        <v>#REF!</v>
      </c>
    </row>
    <row r="10" spans="1:17" x14ac:dyDescent="0.25">
      <c r="B10" s="12"/>
      <c r="D10" s="69" t="s">
        <v>260</v>
      </c>
      <c r="E10" s="39">
        <v>1</v>
      </c>
      <c r="F10" s="86">
        <v>15.99</v>
      </c>
      <c r="H10" s="4" t="s">
        <v>3922</v>
      </c>
      <c r="I10" s="6">
        <v>20</v>
      </c>
      <c r="J10" s="88">
        <v>9.89</v>
      </c>
      <c r="K10" s="4">
        <f>IFERROR(higiene[[#This Row],[Preço por produto]]/PMA,0)</f>
        <v>0</v>
      </c>
      <c r="M10" s="30" t="s">
        <v>4180</v>
      </c>
      <c r="Q10" t="e">
        <f>#REF!</f>
        <v>#REF!</v>
      </c>
    </row>
    <row r="11" spans="1:17" x14ac:dyDescent="0.25">
      <c r="D11" s="69" t="s">
        <v>3355</v>
      </c>
      <c r="E11" s="39">
        <v>1</v>
      </c>
      <c r="F11" s="86">
        <v>6.14</v>
      </c>
      <c r="H11" s="73" t="s">
        <v>4140</v>
      </c>
      <c r="I11" s="74">
        <v>30</v>
      </c>
      <c r="J11" s="90">
        <v>18.989999999999998</v>
      </c>
      <c r="K11" s="73">
        <f>IFERROR(higiene[[#This Row],[Preço por produto]]/PMA,0)</f>
        <v>0</v>
      </c>
      <c r="M11" s="30" t="s">
        <v>4181</v>
      </c>
      <c r="Q11" t="e">
        <f>#REF!</f>
        <v>#REF!</v>
      </c>
    </row>
    <row r="12" spans="1:17" x14ac:dyDescent="0.25">
      <c r="D12" s="69" t="s">
        <v>96</v>
      </c>
      <c r="E12" s="39">
        <v>0.2</v>
      </c>
      <c r="F12" s="86">
        <v>3.69</v>
      </c>
      <c r="H12" s="4" t="s">
        <v>185</v>
      </c>
      <c r="I12" s="6">
        <v>32</v>
      </c>
      <c r="J12" s="88">
        <v>21.59</v>
      </c>
      <c r="K12" s="4">
        <f>IFERROR(higiene[[#This Row],[Preço por produto]]/PMA,0)</f>
        <v>0</v>
      </c>
      <c r="M12" s="30" t="s">
        <v>4325</v>
      </c>
      <c r="Q12" t="e">
        <f>#REF!</f>
        <v>#REF!</v>
      </c>
    </row>
    <row r="13" spans="1:17" x14ac:dyDescent="0.25">
      <c r="D13" s="69" t="s">
        <v>1042</v>
      </c>
      <c r="E13" s="39">
        <v>0.3</v>
      </c>
      <c r="F13" s="86">
        <v>2.59</v>
      </c>
      <c r="H13" s="4" t="s">
        <v>272</v>
      </c>
      <c r="I13" s="6">
        <v>36</v>
      </c>
      <c r="J13" s="89">
        <v>8.9</v>
      </c>
      <c r="K13" s="4">
        <f>IFERROR(higiene[[#This Row],[Preço por produto]]/PMA,0)</f>
        <v>0</v>
      </c>
      <c r="M13" s="30" t="s">
        <v>4182</v>
      </c>
      <c r="Q13" t="e">
        <f>#REF!</f>
        <v>#REF!</v>
      </c>
    </row>
    <row r="14" spans="1:17" x14ac:dyDescent="0.25">
      <c r="D14" s="78" t="s">
        <v>4293</v>
      </c>
      <c r="E14" s="79">
        <v>0.37</v>
      </c>
      <c r="F14" s="80">
        <v>8.9499999999999993</v>
      </c>
      <c r="H14" s="4" t="s">
        <v>3923</v>
      </c>
      <c r="I14" s="6">
        <v>40</v>
      </c>
      <c r="J14" s="88">
        <v>13.07</v>
      </c>
      <c r="K14" s="4">
        <f>IFERROR(higiene[[#This Row],[Preço por produto]]/PMA,0)</f>
        <v>0</v>
      </c>
      <c r="M14" s="30"/>
      <c r="Q14" t="e">
        <f>#REF!</f>
        <v>#REF!</v>
      </c>
    </row>
    <row r="15" spans="1:17" x14ac:dyDescent="0.25">
      <c r="D15" s="69" t="s">
        <v>97</v>
      </c>
      <c r="E15" s="39">
        <v>0.4</v>
      </c>
      <c r="F15" s="86">
        <v>3.39</v>
      </c>
      <c r="H15" s="4" t="s">
        <v>186</v>
      </c>
      <c r="I15" s="6">
        <v>60</v>
      </c>
      <c r="J15" s="89">
        <v>33.9</v>
      </c>
      <c r="K15" s="4">
        <f>IFERROR(higiene[[#This Row],[Preço por produto]]/PMA,0)</f>
        <v>0</v>
      </c>
      <c r="M15" s="30"/>
      <c r="Q15" t="e">
        <f>#REF!</f>
        <v>#REF!</v>
      </c>
    </row>
    <row r="16" spans="1:17" x14ac:dyDescent="0.25">
      <c r="D16" s="69" t="s">
        <v>98</v>
      </c>
      <c r="E16" s="39">
        <v>0.5</v>
      </c>
      <c r="F16" s="86">
        <v>9.5500000000000007</v>
      </c>
      <c r="H16" s="4" t="s">
        <v>1089</v>
      </c>
      <c r="I16" s="6">
        <v>80</v>
      </c>
      <c r="J16" s="88">
        <v>1.89</v>
      </c>
      <c r="K16" s="4">
        <f>IFERROR(higiene[[#This Row],[Preço por produto]]/PMA,0)</f>
        <v>0</v>
      </c>
      <c r="M16" s="30"/>
      <c r="Q16" t="e">
        <f>#REF!</f>
        <v>#REF!</v>
      </c>
    </row>
    <row r="17" spans="4:17" x14ac:dyDescent="0.25">
      <c r="D17" s="69" t="s">
        <v>3660</v>
      </c>
      <c r="E17" s="39">
        <v>0.6</v>
      </c>
      <c r="F17" s="86">
        <v>19.899999999999999</v>
      </c>
      <c r="H17" s="4" t="s">
        <v>21</v>
      </c>
      <c r="I17" s="6">
        <v>1</v>
      </c>
      <c r="J17" s="89">
        <v>3.59</v>
      </c>
      <c r="K17" s="4">
        <f>IFERROR(higiene[[#This Row],[Preço por produto]]/PMA,0)</f>
        <v>0</v>
      </c>
      <c r="M17" s="30"/>
      <c r="Q17" t="e">
        <f>#REF!</f>
        <v>#REF!</v>
      </c>
    </row>
    <row r="18" spans="4:17" x14ac:dyDescent="0.25">
      <c r="D18" s="69" t="s">
        <v>264</v>
      </c>
      <c r="E18" s="39">
        <v>0.7</v>
      </c>
      <c r="F18" s="86">
        <v>14.19</v>
      </c>
      <c r="H18" s="4" t="s">
        <v>22</v>
      </c>
      <c r="I18" s="6">
        <v>2</v>
      </c>
      <c r="J18" s="88">
        <v>12.99</v>
      </c>
      <c r="K18" s="4">
        <f>IFERROR(higiene[[#This Row],[Preço por produto]]/PMA,0)</f>
        <v>0</v>
      </c>
      <c r="M18" s="30"/>
      <c r="Q18" t="e">
        <f>#REF!</f>
        <v>#REF!</v>
      </c>
    </row>
    <row r="19" spans="4:17" x14ac:dyDescent="0.25">
      <c r="D19" s="69" t="s">
        <v>99</v>
      </c>
      <c r="E19" s="39">
        <v>0.8</v>
      </c>
      <c r="F19" s="86">
        <v>19.5</v>
      </c>
      <c r="H19" s="4" t="s">
        <v>23</v>
      </c>
      <c r="I19" s="6">
        <v>5</v>
      </c>
      <c r="J19" s="89">
        <v>6.76</v>
      </c>
      <c r="K19" s="4">
        <f>IFERROR(higiene[[#This Row],[Preço por produto]]/PMA,0)</f>
        <v>0</v>
      </c>
      <c r="M19" s="30"/>
      <c r="Q19" t="e">
        <f>#REF!</f>
        <v>#REF!</v>
      </c>
    </row>
    <row r="20" spans="4:17" x14ac:dyDescent="0.25">
      <c r="D20" s="69" t="s">
        <v>3364</v>
      </c>
      <c r="E20" s="39">
        <v>0.9</v>
      </c>
      <c r="F20" s="86">
        <v>12.25</v>
      </c>
      <c r="H20" s="4" t="s">
        <v>3924</v>
      </c>
      <c r="I20" s="6">
        <v>1</v>
      </c>
      <c r="J20" s="88">
        <v>4.58</v>
      </c>
      <c r="K20" s="4">
        <f>IFERROR(higiene[[#This Row],[Preço por produto]]/PMA,0)</f>
        <v>0</v>
      </c>
      <c r="M20" s="30"/>
      <c r="Q20" t="e">
        <f>#REF!</f>
        <v>#REF!</v>
      </c>
    </row>
    <row r="21" spans="4:17" x14ac:dyDescent="0.25">
      <c r="D21" s="69" t="s">
        <v>100</v>
      </c>
      <c r="E21" s="39">
        <v>1</v>
      </c>
      <c r="F21" s="86">
        <v>4.2</v>
      </c>
      <c r="H21" s="4" t="s">
        <v>3925</v>
      </c>
      <c r="I21" s="6">
        <v>0.5</v>
      </c>
      <c r="J21" s="89">
        <v>17.98</v>
      </c>
      <c r="K21" s="4">
        <f>IFERROR(higiene[[#This Row],[Preço por produto]]/PMA,0)</f>
        <v>0</v>
      </c>
      <c r="M21" s="30"/>
      <c r="Q21" t="e">
        <f>#REF!</f>
        <v>#REF!</v>
      </c>
    </row>
    <row r="22" spans="4:17" x14ac:dyDescent="0.25">
      <c r="D22" s="69" t="s">
        <v>101</v>
      </c>
      <c r="E22" s="39">
        <v>2</v>
      </c>
      <c r="F22" s="86">
        <v>9.1999999999999993</v>
      </c>
      <c r="H22" s="4" t="s">
        <v>265</v>
      </c>
      <c r="I22" s="6">
        <v>1</v>
      </c>
      <c r="J22" s="88">
        <v>6.9</v>
      </c>
      <c r="K22" s="4">
        <f>IFERROR(higiene[[#This Row],[Preço por produto]]/PMA,0)</f>
        <v>0</v>
      </c>
      <c r="M22" s="30"/>
      <c r="Q22" t="e">
        <f>#REF!</f>
        <v>#REF!</v>
      </c>
    </row>
    <row r="23" spans="4:17" x14ac:dyDescent="0.25">
      <c r="D23" s="69" t="s">
        <v>3455</v>
      </c>
      <c r="E23" s="39">
        <v>0.3</v>
      </c>
      <c r="F23" s="86">
        <v>4.8099999999999996</v>
      </c>
      <c r="H23" s="4" t="s">
        <v>3926</v>
      </c>
      <c r="I23" s="6">
        <v>0.5</v>
      </c>
      <c r="J23" s="89">
        <v>2.99</v>
      </c>
      <c r="K23" s="4">
        <f>IFERROR(higiene[[#This Row],[Preço por produto]]/PMA,0)</f>
        <v>0</v>
      </c>
      <c r="M23" s="30"/>
      <c r="Q23" t="e">
        <f>#REF!</f>
        <v>#REF!</v>
      </c>
    </row>
    <row r="24" spans="4:17" x14ac:dyDescent="0.25">
      <c r="D24" s="69" t="s">
        <v>3836</v>
      </c>
      <c r="E24" s="39">
        <v>0.5</v>
      </c>
      <c r="F24" s="86">
        <v>3.89</v>
      </c>
      <c r="H24" s="4" t="s">
        <v>1052</v>
      </c>
      <c r="I24" s="6">
        <v>2.5000000000000001E-2</v>
      </c>
      <c r="J24" s="88">
        <v>4.99</v>
      </c>
      <c r="K24" s="4">
        <f>IFERROR(higiene[[#This Row],[Preço por produto]]/PMA,0)</f>
        <v>0</v>
      </c>
      <c r="M24" s="30"/>
      <c r="Q24" t="e">
        <f>#REF!</f>
        <v>#REF!</v>
      </c>
    </row>
    <row r="25" spans="4:17" x14ac:dyDescent="0.25">
      <c r="D25" s="69" t="s">
        <v>102</v>
      </c>
      <c r="E25" s="39">
        <v>5</v>
      </c>
      <c r="F25" s="86">
        <v>18.899999999999999</v>
      </c>
      <c r="H25" s="4" t="s">
        <v>144</v>
      </c>
      <c r="I25" s="6">
        <v>0.05</v>
      </c>
      <c r="J25" s="89">
        <v>3.49</v>
      </c>
      <c r="K25" s="4">
        <f>IFERROR(higiene[[#This Row],[Preço por produto]]/PMA,0)</f>
        <v>0</v>
      </c>
      <c r="M25" s="30"/>
      <c r="Q25" t="e">
        <f>#REF!</f>
        <v>#REF!</v>
      </c>
    </row>
    <row r="26" spans="4:17" x14ac:dyDescent="0.25">
      <c r="D26" s="69" t="s">
        <v>3788</v>
      </c>
      <c r="E26" s="39">
        <v>0.1</v>
      </c>
      <c r="F26" s="86">
        <v>5.99</v>
      </c>
      <c r="H26" s="4" t="s">
        <v>24</v>
      </c>
      <c r="I26" s="6">
        <v>1</v>
      </c>
      <c r="J26" s="88">
        <v>3.49</v>
      </c>
      <c r="K26" s="4">
        <f>IFERROR(higiene[[#This Row],[Preço por produto]]/PMA,0)</f>
        <v>0</v>
      </c>
      <c r="Q26" t="e">
        <f>#REF!</f>
        <v>#REF!</v>
      </c>
    </row>
    <row r="27" spans="4:17" x14ac:dyDescent="0.25">
      <c r="D27" s="69" t="s">
        <v>1015</v>
      </c>
      <c r="E27" s="39">
        <v>2</v>
      </c>
      <c r="F27" s="86">
        <v>10.79</v>
      </c>
      <c r="H27" s="4" t="s">
        <v>25</v>
      </c>
      <c r="I27" s="6">
        <v>2</v>
      </c>
      <c r="J27" s="89">
        <v>12.9</v>
      </c>
      <c r="K27" s="4">
        <f>IFERROR(higiene[[#This Row],[Preço por produto]]/PMA,0)</f>
        <v>0</v>
      </c>
      <c r="Q27" t="e">
        <f>#REF!</f>
        <v>#REF!</v>
      </c>
    </row>
    <row r="28" spans="4:17" x14ac:dyDescent="0.25">
      <c r="D28" s="69" t="s">
        <v>3789</v>
      </c>
      <c r="E28" s="39">
        <v>0.23699999999999999</v>
      </c>
      <c r="F28" s="86">
        <v>2.4900000000000002</v>
      </c>
      <c r="H28" s="4" t="s">
        <v>1090</v>
      </c>
      <c r="I28" s="6">
        <v>0.5</v>
      </c>
      <c r="J28" s="88">
        <v>10.99</v>
      </c>
      <c r="K28" s="4">
        <f>IFERROR(higiene[[#This Row],[Preço por produto]]/PMA,0)</f>
        <v>0</v>
      </c>
      <c r="Q28" t="e">
        <f>#REF!</f>
        <v>#REF!</v>
      </c>
    </row>
    <row r="29" spans="4:17" x14ac:dyDescent="0.25">
      <c r="D29" s="69" t="s">
        <v>2058</v>
      </c>
      <c r="E29" s="39">
        <v>2.7E-2</v>
      </c>
      <c r="F29" s="86">
        <v>1.19</v>
      </c>
      <c r="H29" s="4" t="s">
        <v>4039</v>
      </c>
      <c r="I29" s="6"/>
      <c r="J29" s="89">
        <v>7.59</v>
      </c>
      <c r="K29" s="4">
        <f>IFERROR(higiene[[#This Row],[Preço por produto]]/PMA,0)</f>
        <v>0</v>
      </c>
      <c r="Q29" t="e">
        <f>#REF!</f>
        <v>#REF!</v>
      </c>
    </row>
    <row r="30" spans="4:17" x14ac:dyDescent="0.25">
      <c r="D30" s="69" t="s">
        <v>3648</v>
      </c>
      <c r="E30" s="39">
        <v>0.5</v>
      </c>
      <c r="F30" s="86">
        <v>13.2</v>
      </c>
      <c r="H30" s="4" t="s">
        <v>26</v>
      </c>
      <c r="I30" s="6">
        <v>2</v>
      </c>
      <c r="J30" s="88">
        <v>4.8499999999999996</v>
      </c>
      <c r="K30" s="4">
        <f>IFERROR(higiene[[#This Row],[Preço por produto]]/PMA,0)</f>
        <v>0</v>
      </c>
      <c r="Q30" t="e">
        <f>#REF!</f>
        <v>#REF!</v>
      </c>
    </row>
    <row r="31" spans="4:17" x14ac:dyDescent="0.25">
      <c r="D31" s="69" t="s">
        <v>3451</v>
      </c>
      <c r="E31" s="39">
        <v>0.15</v>
      </c>
      <c r="F31" s="86">
        <v>2.2000000000000002</v>
      </c>
      <c r="H31" s="4" t="s">
        <v>128</v>
      </c>
      <c r="I31" s="6">
        <v>5</v>
      </c>
      <c r="J31" s="89">
        <v>2.89</v>
      </c>
      <c r="K31" s="4">
        <f>IFERROR(higiene[[#This Row],[Preço por produto]]/PMA,0)</f>
        <v>0</v>
      </c>
      <c r="Q31" t="e">
        <f>#REF!</f>
        <v>#REF!</v>
      </c>
    </row>
    <row r="32" spans="4:17" x14ac:dyDescent="0.25">
      <c r="D32" s="69" t="s">
        <v>3837</v>
      </c>
      <c r="E32" s="39">
        <v>0.2</v>
      </c>
      <c r="F32" s="86">
        <v>2.2999999999999998</v>
      </c>
      <c r="H32" s="4" t="s">
        <v>27</v>
      </c>
      <c r="I32" s="6">
        <v>0.1</v>
      </c>
      <c r="J32" s="88">
        <v>15.98</v>
      </c>
      <c r="K32" s="4">
        <f>IFERROR(higiene[[#This Row],[Preço por produto]]/PMA,0)</f>
        <v>0</v>
      </c>
      <c r="Q32" t="e">
        <f>#REF!</f>
        <v>#REF!</v>
      </c>
    </row>
    <row r="33" spans="4:17" x14ac:dyDescent="0.25">
      <c r="D33" s="69" t="s">
        <v>2062</v>
      </c>
      <c r="E33" s="39">
        <v>0.5</v>
      </c>
      <c r="F33" s="86">
        <v>5.49</v>
      </c>
      <c r="H33" s="4" t="s">
        <v>3927</v>
      </c>
      <c r="I33" s="6">
        <v>2</v>
      </c>
      <c r="J33" s="89">
        <v>25.9</v>
      </c>
      <c r="K33" s="4">
        <f>IFERROR(higiene[[#This Row],[Preço por produto]]/PMA,0)</f>
        <v>0</v>
      </c>
      <c r="Q33" t="e">
        <f>#REF!</f>
        <v>#REF!</v>
      </c>
    </row>
    <row r="34" spans="4:17" x14ac:dyDescent="0.25">
      <c r="D34" s="69" t="s">
        <v>2</v>
      </c>
      <c r="E34" s="39">
        <v>1</v>
      </c>
      <c r="F34" s="86">
        <v>7.2</v>
      </c>
      <c r="H34" s="4" t="s">
        <v>3928</v>
      </c>
      <c r="I34" s="6">
        <v>1</v>
      </c>
      <c r="J34" s="88">
        <v>4.5599999999999996</v>
      </c>
      <c r="K34" s="4">
        <f>IFERROR(higiene[[#This Row],[Preço por produto]]/PMA,0)</f>
        <v>0</v>
      </c>
      <c r="Q34" t="e">
        <f>#REF!</f>
        <v>#REF!</v>
      </c>
    </row>
    <row r="35" spans="4:17" x14ac:dyDescent="0.25">
      <c r="D35" s="69" t="s">
        <v>3</v>
      </c>
      <c r="E35" s="39">
        <v>2</v>
      </c>
      <c r="F35" s="86">
        <v>11.8</v>
      </c>
      <c r="H35" s="4" t="s">
        <v>3929</v>
      </c>
      <c r="I35" s="6"/>
      <c r="J35" s="89">
        <v>11.98</v>
      </c>
      <c r="K35" s="4">
        <f>IFERROR(higiene[[#This Row],[Preço por produto]]/PMA,0)</f>
        <v>0</v>
      </c>
      <c r="Q35" t="e">
        <f>#REF!</f>
        <v>#REF!</v>
      </c>
    </row>
    <row r="36" spans="4:17" x14ac:dyDescent="0.25">
      <c r="D36" s="69" t="s">
        <v>4</v>
      </c>
      <c r="E36" s="39">
        <v>5</v>
      </c>
      <c r="F36" s="86">
        <v>24.99</v>
      </c>
      <c r="H36" s="73" t="s">
        <v>4233</v>
      </c>
      <c r="I36" s="74">
        <v>1</v>
      </c>
      <c r="J36" s="90">
        <v>6.99</v>
      </c>
      <c r="K36" s="73">
        <f>IFERROR(higiene[[#This Row],[Preço por produto]]/PMA,0)</f>
        <v>0</v>
      </c>
      <c r="Q36" t="e">
        <f>#REF!</f>
        <v>#REF!</v>
      </c>
    </row>
    <row r="37" spans="4:17" x14ac:dyDescent="0.25">
      <c r="D37" s="69" t="s">
        <v>2080</v>
      </c>
      <c r="E37" s="39">
        <v>0.17499999999999999</v>
      </c>
      <c r="F37" s="86">
        <v>10.8</v>
      </c>
      <c r="H37" s="4" t="s">
        <v>57</v>
      </c>
      <c r="I37" s="6"/>
      <c r="J37" s="6"/>
      <c r="K37" s="4">
        <f>IFERROR(higiene[[#This Row],[Preço por produto]]/PMA,0)</f>
        <v>0</v>
      </c>
      <c r="Q37" t="e">
        <f>#REF!</f>
        <v>#REF!</v>
      </c>
    </row>
    <row r="38" spans="4:17" x14ac:dyDescent="0.25">
      <c r="D38" s="69" t="s">
        <v>104</v>
      </c>
      <c r="E38" s="39">
        <v>1</v>
      </c>
      <c r="F38" s="86">
        <v>4.05</v>
      </c>
      <c r="H38" s="4" t="s">
        <v>1092</v>
      </c>
      <c r="I38" s="6">
        <v>1</v>
      </c>
      <c r="J38" s="88">
        <v>7.99</v>
      </c>
      <c r="K38" s="4">
        <f>IFERROR(higiene[[#This Row],[Preço por produto]]/PMA,0)</f>
        <v>0</v>
      </c>
      <c r="Q38" t="e">
        <f>#REF!</f>
        <v>#REF!</v>
      </c>
    </row>
    <row r="39" spans="4:17" x14ac:dyDescent="0.25">
      <c r="D39" s="69" t="s">
        <v>103</v>
      </c>
      <c r="E39" s="39">
        <v>0.5</v>
      </c>
      <c r="F39" s="86">
        <v>8.8000000000000007</v>
      </c>
      <c r="H39" s="4" t="s">
        <v>1093</v>
      </c>
      <c r="I39" s="6"/>
      <c r="J39" s="89">
        <v>15.99</v>
      </c>
      <c r="K39" s="4">
        <f>IFERROR(higiene[[#This Row],[Preço por produto]]/PMA,0)</f>
        <v>0</v>
      </c>
      <c r="Q39" t="e">
        <f>#REF!</f>
        <v>#REF!</v>
      </c>
    </row>
    <row r="40" spans="4:17" x14ac:dyDescent="0.25">
      <c r="D40" s="69" t="s">
        <v>148</v>
      </c>
      <c r="E40" s="39">
        <v>0.17</v>
      </c>
      <c r="F40" s="86">
        <v>6.18</v>
      </c>
      <c r="H40" s="4" t="s">
        <v>3930</v>
      </c>
      <c r="I40" s="6">
        <v>8</v>
      </c>
      <c r="J40" s="88">
        <v>15.6</v>
      </c>
      <c r="K40" s="4">
        <f>IFERROR(higiene[[#This Row],[Preço por produto]]/PMA,0)</f>
        <v>0</v>
      </c>
      <c r="Q40" t="e">
        <f>#REF!</f>
        <v>#REF!</v>
      </c>
    </row>
    <row r="41" spans="4:17" x14ac:dyDescent="0.25">
      <c r="D41" s="69" t="s">
        <v>138</v>
      </c>
      <c r="E41" s="39">
        <v>0.32500000000000001</v>
      </c>
      <c r="F41" s="86">
        <v>11.26</v>
      </c>
      <c r="H41" s="4" t="s">
        <v>1028</v>
      </c>
      <c r="I41" s="6">
        <v>0.5</v>
      </c>
      <c r="J41" s="89">
        <v>5.89</v>
      </c>
      <c r="K41" s="4">
        <f>IFERROR(higiene[[#This Row],[Preço por produto]]/PMA,0)</f>
        <v>0</v>
      </c>
      <c r="Q41" t="e">
        <f>#REF!</f>
        <v>#REF!</v>
      </c>
    </row>
    <row r="42" spans="4:17" x14ac:dyDescent="0.25">
      <c r="D42" s="78" t="s">
        <v>4162</v>
      </c>
      <c r="E42" s="79">
        <v>0.14000000000000001</v>
      </c>
      <c r="F42" s="87">
        <v>8.89</v>
      </c>
      <c r="H42" s="4" t="s">
        <v>1094</v>
      </c>
      <c r="I42" s="6">
        <v>1</v>
      </c>
      <c r="J42" s="88">
        <v>9.1</v>
      </c>
      <c r="K42" s="4">
        <f>IFERROR(higiene[[#This Row],[Preço por produto]]/PMA,0)</f>
        <v>0</v>
      </c>
      <c r="Q42" t="e">
        <f>#REF!</f>
        <v>#REF!</v>
      </c>
    </row>
    <row r="43" spans="4:17" x14ac:dyDescent="0.25">
      <c r="D43" s="69" t="s">
        <v>2093</v>
      </c>
      <c r="E43" s="39">
        <v>0.17</v>
      </c>
      <c r="F43" s="86">
        <v>6.39</v>
      </c>
      <c r="H43" s="4" t="s">
        <v>2140</v>
      </c>
      <c r="I43" s="6">
        <v>1</v>
      </c>
      <c r="J43" s="89">
        <v>6.59</v>
      </c>
      <c r="K43" s="4">
        <f>IFERROR(higiene[[#This Row],[Preço por produto]]/PMA,0)</f>
        <v>0</v>
      </c>
      <c r="Q43" t="e">
        <f>#REF!</f>
        <v>#REF!</v>
      </c>
    </row>
    <row r="44" spans="4:17" x14ac:dyDescent="0.25">
      <c r="D44" s="69" t="s">
        <v>149</v>
      </c>
      <c r="E44" s="39">
        <v>0.2</v>
      </c>
      <c r="F44" s="86">
        <v>6.99</v>
      </c>
      <c r="H44" s="4" t="s">
        <v>58</v>
      </c>
      <c r="I44" s="6"/>
      <c r="J44" s="88"/>
      <c r="K44" s="4">
        <f>IFERROR(higiene[[#This Row],[Preço por produto]]/PMA,0)</f>
        <v>0</v>
      </c>
      <c r="Q44" t="e">
        <f>#REF!</f>
        <v>#REF!</v>
      </c>
    </row>
    <row r="45" spans="4:17" x14ac:dyDescent="0.25">
      <c r="D45" s="69" t="s">
        <v>1026</v>
      </c>
      <c r="E45" s="39">
        <v>0.5</v>
      </c>
      <c r="F45" s="86">
        <v>8.99</v>
      </c>
      <c r="H45" s="4" t="s">
        <v>3932</v>
      </c>
      <c r="I45" s="6">
        <v>0.3</v>
      </c>
      <c r="J45" s="89">
        <v>5.39</v>
      </c>
      <c r="K45" s="4">
        <f>IFERROR(higiene[[#This Row],[Preço por produto]]/PMA,0)</f>
        <v>0</v>
      </c>
      <c r="Q45" t="e">
        <f>#REF!</f>
        <v>#REF!</v>
      </c>
    </row>
    <row r="46" spans="4:17" x14ac:dyDescent="0.25">
      <c r="D46" s="69" t="s">
        <v>1039</v>
      </c>
      <c r="E46" s="39">
        <v>0.2</v>
      </c>
      <c r="F46" s="86">
        <v>16.899999999999999</v>
      </c>
      <c r="H46" s="4" t="s">
        <v>3931</v>
      </c>
      <c r="I46" s="6">
        <v>5</v>
      </c>
      <c r="J46" s="88">
        <v>17.57</v>
      </c>
      <c r="K46" s="4">
        <f>IFERROR(higiene[[#This Row],[Preço por produto]]/PMA,0)</f>
        <v>0</v>
      </c>
      <c r="Q46" t="e">
        <f>#REF!</f>
        <v>#REF!</v>
      </c>
    </row>
    <row r="47" spans="4:17" x14ac:dyDescent="0.25">
      <c r="D47" s="69" t="s">
        <v>192</v>
      </c>
      <c r="E47" s="39">
        <v>0.5</v>
      </c>
      <c r="F47" s="86">
        <v>22.9</v>
      </c>
      <c r="H47" s="4" t="s">
        <v>1095</v>
      </c>
      <c r="I47" s="6">
        <v>0.75</v>
      </c>
      <c r="J47" s="89">
        <v>29.99</v>
      </c>
      <c r="K47" s="4">
        <f>IFERROR(higiene[[#This Row],[Preço por produto]]/PMA,0)</f>
        <v>0</v>
      </c>
      <c r="Q47" t="e">
        <f>#REF!</f>
        <v>#REF!</v>
      </c>
    </row>
    <row r="48" spans="4:17" x14ac:dyDescent="0.25">
      <c r="D48" s="69" t="s">
        <v>1025</v>
      </c>
      <c r="E48" s="39">
        <v>0.1</v>
      </c>
      <c r="F48" s="86">
        <v>3.58</v>
      </c>
      <c r="H48" s="4" t="s">
        <v>3934</v>
      </c>
      <c r="I48" s="6">
        <v>0.5</v>
      </c>
      <c r="J48" s="88">
        <v>11.99</v>
      </c>
      <c r="K48" s="4">
        <f>IFERROR(higiene[[#This Row],[Preço por produto]]/PMA,0)</f>
        <v>0</v>
      </c>
      <c r="Q48" t="e">
        <f>#REF!</f>
        <v>#REF!</v>
      </c>
    </row>
    <row r="49" spans="4:17" x14ac:dyDescent="0.25">
      <c r="D49" s="69" t="s">
        <v>1059</v>
      </c>
      <c r="E49" s="39">
        <v>0.12</v>
      </c>
      <c r="F49" s="86">
        <v>6.4</v>
      </c>
      <c r="H49" s="4" t="s">
        <v>3933</v>
      </c>
      <c r="I49" s="6">
        <v>1</v>
      </c>
      <c r="J49" s="89">
        <v>39.99</v>
      </c>
      <c r="K49" s="4">
        <f>IFERROR(higiene[[#This Row],[Preço por produto]]/PMA,0)</f>
        <v>0</v>
      </c>
      <c r="Q49" t="e">
        <f>#REF!</f>
        <v>#REF!</v>
      </c>
    </row>
    <row r="50" spans="4:17" x14ac:dyDescent="0.25">
      <c r="D50" s="69" t="s">
        <v>1060</v>
      </c>
      <c r="E50" s="39">
        <v>0.15</v>
      </c>
      <c r="F50" s="86">
        <v>5.98</v>
      </c>
      <c r="H50" s="4" t="s">
        <v>1096</v>
      </c>
      <c r="I50" s="6">
        <v>1</v>
      </c>
      <c r="J50" s="88">
        <v>29.99</v>
      </c>
      <c r="K50" s="4">
        <f>IFERROR(higiene[[#This Row],[Preço por produto]]/PMA,0)</f>
        <v>0</v>
      </c>
      <c r="Q50" t="e">
        <f>#REF!</f>
        <v>#REF!</v>
      </c>
    </row>
    <row r="51" spans="4:17" x14ac:dyDescent="0.25">
      <c r="D51" s="69" t="s">
        <v>1057</v>
      </c>
      <c r="E51" s="39">
        <v>0.16</v>
      </c>
      <c r="F51" s="86">
        <v>11.8</v>
      </c>
      <c r="H51" s="73" t="s">
        <v>4253</v>
      </c>
      <c r="I51" s="74">
        <v>2</v>
      </c>
      <c r="J51" s="90">
        <v>7.99</v>
      </c>
      <c r="K51" s="73">
        <f>IFERROR(higiene[[#This Row],[Preço por produto]]/PMA,0)</f>
        <v>0</v>
      </c>
      <c r="Q51" t="e">
        <f>#REF!</f>
        <v>#REF!</v>
      </c>
    </row>
    <row r="52" spans="4:17" x14ac:dyDescent="0.25">
      <c r="D52" s="69" t="s">
        <v>1061</v>
      </c>
      <c r="E52" s="39">
        <v>1</v>
      </c>
      <c r="F52" s="86">
        <v>17</v>
      </c>
      <c r="H52" s="4" t="s">
        <v>3935</v>
      </c>
      <c r="I52" s="6">
        <v>1</v>
      </c>
      <c r="J52" s="88">
        <v>18.899999999999999</v>
      </c>
      <c r="K52" s="4">
        <f>IFERROR(higiene[[#This Row],[Preço por produto]]/PMA,0)</f>
        <v>0</v>
      </c>
      <c r="Q52" t="e">
        <f>#REF!</f>
        <v>#REF!</v>
      </c>
    </row>
    <row r="53" spans="4:17" x14ac:dyDescent="0.25">
      <c r="D53" s="69" t="s">
        <v>1050</v>
      </c>
      <c r="E53" s="39">
        <v>0.27</v>
      </c>
      <c r="F53" s="86">
        <v>21</v>
      </c>
      <c r="H53" s="4" t="s">
        <v>59</v>
      </c>
      <c r="I53" s="6"/>
      <c r="J53" s="6"/>
      <c r="K53" s="4">
        <f>IFERROR(higiene[[#This Row],[Preço por produto]]/PMA,0)</f>
        <v>0</v>
      </c>
      <c r="Q53" t="e">
        <f>#REF!</f>
        <v>#REF!</v>
      </c>
    </row>
    <row r="54" spans="4:17" x14ac:dyDescent="0.25">
      <c r="D54" s="78" t="s">
        <v>4169</v>
      </c>
      <c r="E54" s="79">
        <v>0.28000000000000003</v>
      </c>
      <c r="F54" s="87">
        <v>4.8899999999999997</v>
      </c>
      <c r="H54" s="4" t="s">
        <v>3936</v>
      </c>
      <c r="I54" s="6">
        <v>0.25</v>
      </c>
      <c r="J54" s="88">
        <v>17.98</v>
      </c>
      <c r="K54" s="4">
        <f>IFERROR(higiene[[#This Row],[Preço por produto]]/PMA,0)</f>
        <v>0</v>
      </c>
      <c r="Q54" t="e">
        <f>#REF!</f>
        <v>#REF!</v>
      </c>
    </row>
    <row r="55" spans="4:17" x14ac:dyDescent="0.25">
      <c r="D55" s="69" t="s">
        <v>2109</v>
      </c>
      <c r="E55" s="39">
        <v>0.05</v>
      </c>
      <c r="F55" s="86">
        <v>2.09</v>
      </c>
      <c r="H55" s="4" t="s">
        <v>3459</v>
      </c>
      <c r="I55" s="6">
        <v>1.75</v>
      </c>
      <c r="J55" s="89">
        <v>18.600000000000001</v>
      </c>
      <c r="K55" s="4">
        <f>IFERROR(higiene[[#This Row],[Preço por produto]]/PMA,0)</f>
        <v>0</v>
      </c>
      <c r="Q55" t="e">
        <f>#REF!</f>
        <v>#REF!</v>
      </c>
    </row>
    <row r="56" spans="4:17" x14ac:dyDescent="0.25">
      <c r="D56" s="69" t="s">
        <v>57</v>
      </c>
      <c r="E56" s="39"/>
      <c r="F56" s="40"/>
      <c r="H56" s="4" t="s">
        <v>29</v>
      </c>
      <c r="I56" s="6">
        <v>1</v>
      </c>
      <c r="J56" s="88">
        <v>18.989999999999998</v>
      </c>
      <c r="K56" s="4">
        <f>IFERROR(higiene[[#This Row],[Preço por produto]]/PMA,0)</f>
        <v>0</v>
      </c>
      <c r="Q56" t="e">
        <f>#REF!</f>
        <v>#REF!</v>
      </c>
    </row>
    <row r="57" spans="4:17" x14ac:dyDescent="0.25">
      <c r="D57" s="69" t="s">
        <v>3839</v>
      </c>
      <c r="E57" s="39">
        <v>0.02</v>
      </c>
      <c r="F57" s="86">
        <v>2.99</v>
      </c>
      <c r="H57" s="4" t="s">
        <v>131</v>
      </c>
      <c r="I57" s="6">
        <v>2</v>
      </c>
      <c r="J57" s="89">
        <v>5.99</v>
      </c>
      <c r="K57" s="4">
        <f>IFERROR(higiene[[#This Row],[Preço por produto]]/PMA,0)</f>
        <v>0</v>
      </c>
      <c r="Q57" t="e">
        <f>#REF!</f>
        <v>#REF!</v>
      </c>
    </row>
    <row r="58" spans="4:17" x14ac:dyDescent="0.25">
      <c r="D58" s="69" t="s">
        <v>3838</v>
      </c>
      <c r="E58" s="39">
        <v>0.15</v>
      </c>
      <c r="F58" s="86">
        <v>3.99</v>
      </c>
      <c r="H58" s="4" t="s">
        <v>136</v>
      </c>
      <c r="I58" s="6">
        <v>3</v>
      </c>
      <c r="J58" s="88">
        <v>7.96</v>
      </c>
      <c r="K58" s="4">
        <f>IFERROR(higiene[[#This Row],[Preço por produto]]/PMA,0)</f>
        <v>0</v>
      </c>
      <c r="Q58" t="e">
        <f>#REF!</f>
        <v>#REF!</v>
      </c>
    </row>
    <row r="59" spans="4:17" x14ac:dyDescent="0.25">
      <c r="D59" s="69" t="s">
        <v>3856</v>
      </c>
      <c r="E59" s="39">
        <v>0.2</v>
      </c>
      <c r="F59" s="86">
        <v>6.99</v>
      </c>
      <c r="H59" s="73" t="s">
        <v>4015</v>
      </c>
      <c r="I59" s="74">
        <v>1</v>
      </c>
      <c r="J59" s="90">
        <v>16.899999999999999</v>
      </c>
      <c r="K59" s="73">
        <f>IFERROR(higiene[[#This Row],[Preço por produto]]/PMA,0)</f>
        <v>0</v>
      </c>
      <c r="Q59" t="e">
        <f>#REF!</f>
        <v>#REF!</v>
      </c>
    </row>
    <row r="60" spans="4:17" x14ac:dyDescent="0.25">
      <c r="D60" s="69" t="s">
        <v>3857</v>
      </c>
      <c r="E60" s="39">
        <v>0.25</v>
      </c>
      <c r="F60" s="86">
        <v>12.9</v>
      </c>
      <c r="H60" s="84" t="s">
        <v>154</v>
      </c>
      <c r="I60" s="85">
        <v>1</v>
      </c>
      <c r="J60" s="88">
        <v>15</v>
      </c>
      <c r="K60" s="4">
        <f>IFERROR(higiene[[#This Row],[Preço por produto]]/PMA,0)</f>
        <v>0</v>
      </c>
      <c r="Q60" t="e">
        <f>#REF!</f>
        <v>#REF!</v>
      </c>
    </row>
    <row r="61" spans="4:17" x14ac:dyDescent="0.25">
      <c r="D61" s="69" t="s">
        <v>3858</v>
      </c>
      <c r="E61" s="39">
        <v>0.3</v>
      </c>
      <c r="F61" s="86">
        <v>5.9</v>
      </c>
      <c r="H61" s="4" t="s">
        <v>130</v>
      </c>
      <c r="I61" s="6">
        <v>3</v>
      </c>
      <c r="J61" s="89">
        <v>3.29</v>
      </c>
      <c r="K61" s="4">
        <f>IFERROR(higiene[[#This Row],[Preço por produto]]/PMA,0)</f>
        <v>0</v>
      </c>
      <c r="Q61" t="e">
        <f>#REF!</f>
        <v>#REF!</v>
      </c>
    </row>
    <row r="62" spans="4:17" x14ac:dyDescent="0.25">
      <c r="D62" s="40" t="s">
        <v>3901</v>
      </c>
      <c r="E62" s="39">
        <v>0.5</v>
      </c>
      <c r="F62" s="86">
        <v>7.13</v>
      </c>
      <c r="H62" s="73" t="s">
        <v>4249</v>
      </c>
      <c r="I62" s="74">
        <v>1</v>
      </c>
      <c r="J62" s="90">
        <v>4.7</v>
      </c>
      <c r="K62" s="73">
        <f>IFERROR(higiene[[#This Row],[Preço por produto]]/PMA,0)</f>
        <v>0</v>
      </c>
      <c r="Q62" t="e">
        <f>#REF!</f>
        <v>#REF!</v>
      </c>
    </row>
    <row r="63" spans="4:17" x14ac:dyDescent="0.25">
      <c r="D63" s="69" t="s">
        <v>3859</v>
      </c>
      <c r="E63" s="39">
        <v>0.6</v>
      </c>
      <c r="F63" s="86">
        <v>13.9</v>
      </c>
      <c r="H63" s="73" t="s">
        <v>4164</v>
      </c>
      <c r="I63" s="74">
        <v>1</v>
      </c>
      <c r="J63" s="90">
        <v>12.9</v>
      </c>
      <c r="K63" s="73">
        <f>IFERROR(higiene[[#This Row],[Preço por produto]]/PMA,0)</f>
        <v>0</v>
      </c>
      <c r="Q63" t="e">
        <f>#REF!</f>
        <v>#REF!</v>
      </c>
    </row>
    <row r="64" spans="4:17" x14ac:dyDescent="0.25">
      <c r="D64" s="69" t="s">
        <v>3860</v>
      </c>
      <c r="E64" s="39">
        <v>7.0000000000000007E-2</v>
      </c>
      <c r="F64" s="86">
        <v>2.9</v>
      </c>
      <c r="H64" s="4" t="s">
        <v>3937</v>
      </c>
      <c r="I64" s="6">
        <v>30</v>
      </c>
      <c r="J64" s="88">
        <v>4.5</v>
      </c>
      <c r="K64" s="4">
        <f>IFERROR(higiene[[#This Row],[Preço por produto]]/PMA,0)</f>
        <v>0</v>
      </c>
      <c r="Q64" t="e">
        <f>#REF!</f>
        <v>#REF!</v>
      </c>
    </row>
    <row r="65" spans="4:17" x14ac:dyDescent="0.25">
      <c r="D65" s="69" t="s">
        <v>2113</v>
      </c>
      <c r="E65" s="39">
        <v>2.5000000000000001E-2</v>
      </c>
      <c r="F65" s="86">
        <v>3.19</v>
      </c>
      <c r="H65" s="4" t="s">
        <v>3938</v>
      </c>
      <c r="I65" s="6">
        <v>0.05</v>
      </c>
      <c r="J65" s="89">
        <v>6.99</v>
      </c>
      <c r="K65" s="4">
        <f>IFERROR(higiene[[#This Row],[Preço por produto]]/PMA,0)</f>
        <v>0</v>
      </c>
      <c r="Q65" t="e">
        <f>#REF!</f>
        <v>#REF!</v>
      </c>
    </row>
    <row r="66" spans="4:17" x14ac:dyDescent="0.25">
      <c r="D66" s="69" t="s">
        <v>1246</v>
      </c>
      <c r="E66" s="39">
        <v>0.08</v>
      </c>
      <c r="F66" s="86">
        <v>5.19</v>
      </c>
      <c r="H66" s="4" t="s">
        <v>3939</v>
      </c>
      <c r="I66" s="6"/>
      <c r="J66" s="88">
        <v>5.69</v>
      </c>
      <c r="K66" s="4">
        <f>IFERROR(higiene[[#This Row],[Preço por produto]]/PMA,0)</f>
        <v>0</v>
      </c>
      <c r="Q66" t="e">
        <f>#REF!</f>
        <v>#REF!</v>
      </c>
    </row>
    <row r="67" spans="4:17" x14ac:dyDescent="0.25">
      <c r="D67" s="69" t="s">
        <v>3840</v>
      </c>
      <c r="E67" s="39">
        <v>0.08</v>
      </c>
      <c r="F67" s="86">
        <v>8.18</v>
      </c>
      <c r="H67" s="4" t="s">
        <v>2988</v>
      </c>
      <c r="I67" s="6">
        <v>2</v>
      </c>
      <c r="J67" s="89">
        <v>28.76</v>
      </c>
      <c r="K67" s="4">
        <f>IFERROR(higiene[[#This Row],[Preço por produto]]/PMA,0)</f>
        <v>0</v>
      </c>
      <c r="Q67" t="e">
        <f>#REF!</f>
        <v>#REF!</v>
      </c>
    </row>
    <row r="68" spans="4:17" x14ac:dyDescent="0.25">
      <c r="D68" s="69" t="s">
        <v>1053</v>
      </c>
      <c r="E68" s="39">
        <v>0.12</v>
      </c>
      <c r="F68" s="86">
        <v>8.39</v>
      </c>
      <c r="H68" s="4" t="s">
        <v>2231</v>
      </c>
      <c r="I68" s="6">
        <v>1</v>
      </c>
      <c r="J68" s="88">
        <v>8.99</v>
      </c>
      <c r="K68" s="4">
        <f>IFERROR(higiene[[#This Row],[Preço por produto]]/PMA,0)</f>
        <v>0</v>
      </c>
      <c r="Q68" t="e">
        <f>#REF!</f>
        <v>#REF!</v>
      </c>
    </row>
    <row r="69" spans="4:17" x14ac:dyDescent="0.25">
      <c r="D69" s="69" t="s">
        <v>3650</v>
      </c>
      <c r="E69" s="39">
        <v>0.14000000000000001</v>
      </c>
      <c r="F69" s="86">
        <v>7.58</v>
      </c>
      <c r="H69" s="4" t="s">
        <v>3940</v>
      </c>
      <c r="I69" s="6">
        <v>7</v>
      </c>
      <c r="J69" s="89">
        <v>2.09</v>
      </c>
      <c r="K69" s="4">
        <f>IFERROR(higiene[[#This Row],[Preço por produto]]/PMA,0)</f>
        <v>0</v>
      </c>
      <c r="Q69" t="e">
        <f>#REF!</f>
        <v>#REF!</v>
      </c>
    </row>
    <row r="70" spans="4:17" x14ac:dyDescent="0.25">
      <c r="D70" s="69" t="s">
        <v>3790</v>
      </c>
      <c r="E70" s="39">
        <v>1</v>
      </c>
      <c r="F70" s="86">
        <v>22.34</v>
      </c>
      <c r="H70" s="4" t="s">
        <v>1097</v>
      </c>
      <c r="I70" s="6">
        <v>0.2</v>
      </c>
      <c r="J70" s="88">
        <v>21.99</v>
      </c>
      <c r="K70" s="4">
        <f>IFERROR(higiene[[#This Row],[Preço por produto]]/PMA,0)</f>
        <v>0</v>
      </c>
      <c r="Q70" t="e">
        <f>#REF!</f>
        <v>#REF!</v>
      </c>
    </row>
    <row r="71" spans="4:17" x14ac:dyDescent="0.25">
      <c r="D71" s="69" t="s">
        <v>3361</v>
      </c>
      <c r="E71" s="39">
        <v>0.2</v>
      </c>
      <c r="F71" s="86">
        <v>6.9</v>
      </c>
      <c r="H71" s="4" t="s">
        <v>1098</v>
      </c>
      <c r="I71" s="6">
        <v>40</v>
      </c>
      <c r="J71" s="89">
        <v>13.45</v>
      </c>
      <c r="K71" s="4">
        <f>IFERROR(higiene[[#This Row],[Preço por produto]]/PMA,0)</f>
        <v>0</v>
      </c>
      <c r="Q71" t="e">
        <f>#REF!</f>
        <v>#REF!</v>
      </c>
    </row>
    <row r="72" spans="4:17" x14ac:dyDescent="0.25">
      <c r="D72" s="69" t="s">
        <v>2117</v>
      </c>
      <c r="E72" s="39">
        <v>0.4</v>
      </c>
      <c r="F72" s="86">
        <v>25.39</v>
      </c>
      <c r="H72" s="4" t="s">
        <v>3941</v>
      </c>
      <c r="I72" s="6">
        <v>0.41599999999999998</v>
      </c>
      <c r="J72" s="88">
        <v>6.89</v>
      </c>
      <c r="K72" s="4">
        <f>IFERROR(higiene[[#This Row],[Preço por produto]]/PMA,0)</f>
        <v>0</v>
      </c>
      <c r="Q72" t="e">
        <f>#REF!</f>
        <v>#REF!</v>
      </c>
    </row>
    <row r="73" spans="4:17" x14ac:dyDescent="0.25">
      <c r="D73" s="69" t="s">
        <v>3841</v>
      </c>
      <c r="E73" s="39">
        <v>0.2</v>
      </c>
      <c r="F73" s="86">
        <v>2.59</v>
      </c>
      <c r="H73" s="4" t="s">
        <v>60</v>
      </c>
      <c r="I73" s="6"/>
      <c r="J73" s="6"/>
      <c r="K73" s="4">
        <f>IFERROR(higiene[[#This Row],[Preço por produto]]/PMA,0)</f>
        <v>0</v>
      </c>
      <c r="Q73" t="e">
        <f>#REF!</f>
        <v>#REF!</v>
      </c>
    </row>
    <row r="74" spans="4:17" x14ac:dyDescent="0.25">
      <c r="D74" s="69" t="s">
        <v>152</v>
      </c>
      <c r="E74" s="39">
        <v>0.18</v>
      </c>
      <c r="F74" s="86">
        <v>1.88</v>
      </c>
      <c r="H74" s="4" t="s">
        <v>3942</v>
      </c>
      <c r="I74" s="6">
        <v>9</v>
      </c>
      <c r="J74" s="88">
        <v>5.49</v>
      </c>
      <c r="K74" s="4">
        <f>IFERROR(higiene[[#This Row],[Preço por produto]]/PMA,0)</f>
        <v>0</v>
      </c>
      <c r="Q74" t="e">
        <f>#REF!</f>
        <v>#REF!</v>
      </c>
    </row>
    <row r="75" spans="4:17" x14ac:dyDescent="0.25">
      <c r="D75" s="69" t="s">
        <v>3842</v>
      </c>
      <c r="E75" s="39">
        <v>1</v>
      </c>
      <c r="F75" s="86">
        <v>6.59</v>
      </c>
      <c r="H75" s="4" t="s">
        <v>3943</v>
      </c>
      <c r="I75" s="6">
        <v>10</v>
      </c>
      <c r="J75" s="89">
        <v>12.08</v>
      </c>
      <c r="K75" s="4">
        <f>IFERROR(higiene[[#This Row],[Preço por produto]]/PMA,0)</f>
        <v>0</v>
      </c>
      <c r="Q75" t="e">
        <f>#REF!</f>
        <v>#REF!</v>
      </c>
    </row>
    <row r="76" spans="4:17" x14ac:dyDescent="0.25">
      <c r="D76" s="69" t="s">
        <v>3791</v>
      </c>
      <c r="E76" s="39">
        <v>0.4</v>
      </c>
      <c r="F76" s="86">
        <v>15.69</v>
      </c>
      <c r="H76" s="4" t="s">
        <v>3944</v>
      </c>
      <c r="I76" s="6">
        <v>18</v>
      </c>
      <c r="J76" s="88">
        <v>14.34</v>
      </c>
      <c r="K76" s="4">
        <f>IFERROR(higiene[[#This Row],[Preço por produto]]/PMA,0)</f>
        <v>0</v>
      </c>
      <c r="Q76" t="e">
        <f>#REF!</f>
        <v>#REF!</v>
      </c>
    </row>
    <row r="77" spans="4:17" x14ac:dyDescent="0.25">
      <c r="D77" s="69" t="s">
        <v>4034</v>
      </c>
      <c r="E77" s="39">
        <v>0.1</v>
      </c>
      <c r="F77" s="86">
        <v>4.78</v>
      </c>
      <c r="H77" s="4" t="s">
        <v>3945</v>
      </c>
      <c r="I77" s="6">
        <v>20</v>
      </c>
      <c r="J77" s="89">
        <v>2.39</v>
      </c>
      <c r="K77" s="4">
        <f>IFERROR(higiene[[#This Row],[Preço por produto]]/PMA,0)</f>
        <v>0</v>
      </c>
      <c r="Q77" t="e">
        <f>#REF!</f>
        <v>#REF!</v>
      </c>
    </row>
    <row r="78" spans="4:17" x14ac:dyDescent="0.25">
      <c r="D78" s="69" t="s">
        <v>4036</v>
      </c>
      <c r="E78" s="39">
        <v>0.1</v>
      </c>
      <c r="F78" s="86">
        <v>3.71</v>
      </c>
      <c r="H78" s="4" t="s">
        <v>3946</v>
      </c>
      <c r="I78" s="6">
        <v>24</v>
      </c>
      <c r="J78" s="88">
        <v>11.99</v>
      </c>
      <c r="K78" s="4">
        <f>IFERROR(higiene[[#This Row],[Preço por produto]]/PMA,0)</f>
        <v>0</v>
      </c>
      <c r="Q78" t="e">
        <f>#REF!</f>
        <v>#REF!</v>
      </c>
    </row>
    <row r="79" spans="4:17" x14ac:dyDescent="0.25">
      <c r="D79" s="69" t="s">
        <v>4035</v>
      </c>
      <c r="E79" s="39">
        <v>0.3</v>
      </c>
      <c r="F79" s="86">
        <v>6.19</v>
      </c>
      <c r="H79" s="4" t="s">
        <v>3947</v>
      </c>
      <c r="I79" s="6">
        <v>30</v>
      </c>
      <c r="J79" s="89">
        <v>19.989999999999998</v>
      </c>
      <c r="K79" s="4">
        <f>IFERROR(higiene[[#This Row],[Preço por produto]]/PMA,0)</f>
        <v>0</v>
      </c>
      <c r="Q79" t="e">
        <f>#REF!</f>
        <v>#REF!</v>
      </c>
    </row>
    <row r="80" spans="4:17" x14ac:dyDescent="0.25">
      <c r="D80" s="69" t="s">
        <v>4037</v>
      </c>
      <c r="E80" s="39">
        <v>0.3</v>
      </c>
      <c r="F80" s="86">
        <v>7.59</v>
      </c>
      <c r="H80" s="4" t="s">
        <v>3948</v>
      </c>
      <c r="I80" s="6">
        <v>4</v>
      </c>
      <c r="J80" s="88">
        <v>36.49</v>
      </c>
      <c r="K80" s="4">
        <f>IFERROR(higiene[[#This Row],[Preço por produto]]/PMA,0)</f>
        <v>0</v>
      </c>
      <c r="Q80" t="e">
        <f>#REF!</f>
        <v>#REF!</v>
      </c>
    </row>
    <row r="81" spans="4:17" x14ac:dyDescent="0.25">
      <c r="D81" s="69" t="s">
        <v>4058</v>
      </c>
      <c r="E81" s="39">
        <v>0.14499999999999999</v>
      </c>
      <c r="F81" s="86">
        <v>4.59</v>
      </c>
      <c r="H81" s="4" t="s">
        <v>2772</v>
      </c>
      <c r="I81" s="6">
        <v>1</v>
      </c>
      <c r="J81" s="89">
        <v>28.99</v>
      </c>
      <c r="K81" s="4">
        <f>IFERROR(higiene[[#This Row],[Preço por produto]]/PMA,0)</f>
        <v>0</v>
      </c>
      <c r="Q81" t="e">
        <f>#REF!</f>
        <v>#REF!</v>
      </c>
    </row>
    <row r="82" spans="4:17" x14ac:dyDescent="0.25">
      <c r="D82" s="69" t="s">
        <v>4058</v>
      </c>
      <c r="E82" s="39">
        <v>0.15</v>
      </c>
      <c r="F82" s="86">
        <v>4.3899999999999997</v>
      </c>
      <c r="H82" s="4" t="s">
        <v>132</v>
      </c>
      <c r="I82" s="6">
        <v>14</v>
      </c>
      <c r="J82" s="88">
        <v>2.99</v>
      </c>
      <c r="K82" s="4">
        <f>IFERROR(higiene[[#This Row],[Preço por produto]]/PMA,0)</f>
        <v>0</v>
      </c>
      <c r="Q82" t="e">
        <f>#REF!</f>
        <v>#REF!</v>
      </c>
    </row>
    <row r="83" spans="4:17" x14ac:dyDescent="0.25">
      <c r="D83" s="69" t="s">
        <v>4059</v>
      </c>
      <c r="E83" s="39">
        <v>17</v>
      </c>
      <c r="F83" s="86">
        <v>3.69</v>
      </c>
      <c r="H83" s="4" t="s">
        <v>133</v>
      </c>
      <c r="I83" s="6">
        <v>16</v>
      </c>
      <c r="J83" s="89">
        <v>6</v>
      </c>
      <c r="K83" s="4">
        <f>IFERROR(higiene[[#This Row],[Preço por produto]]/PMA,0)</f>
        <v>0</v>
      </c>
      <c r="Q83" t="e">
        <f>#REF!</f>
        <v>#REF!</v>
      </c>
    </row>
    <row r="84" spans="4:17" x14ac:dyDescent="0.25">
      <c r="D84" s="69" t="s">
        <v>4060</v>
      </c>
      <c r="E84" s="39">
        <v>0.2</v>
      </c>
      <c r="F84" s="86">
        <v>3.99</v>
      </c>
      <c r="H84" s="4" t="s">
        <v>145</v>
      </c>
      <c r="I84" s="6">
        <v>18</v>
      </c>
      <c r="J84" s="88">
        <v>3.75</v>
      </c>
      <c r="K84" s="4">
        <f>IFERROR(higiene[[#This Row],[Preço por produto]]/PMA,0)</f>
        <v>0</v>
      </c>
      <c r="Q84" t="e">
        <f>#REF!</f>
        <v>#REF!</v>
      </c>
    </row>
    <row r="85" spans="4:17" x14ac:dyDescent="0.25">
      <c r="D85" s="69" t="s">
        <v>4068</v>
      </c>
      <c r="E85" s="39">
        <v>0.3</v>
      </c>
      <c r="F85" s="86">
        <v>10.49</v>
      </c>
      <c r="H85" s="91" t="s">
        <v>4327</v>
      </c>
      <c r="I85" s="92" t="s">
        <v>4328</v>
      </c>
      <c r="J85" s="92">
        <v>2</v>
      </c>
      <c r="K85" s="91">
        <f>IFERROR(higiene[[#This Row],[Preço por produto]]/PMA,0)</f>
        <v>0</v>
      </c>
      <c r="Q85" t="e">
        <f>#REF!</f>
        <v>#REF!</v>
      </c>
    </row>
    <row r="86" spans="4:17" x14ac:dyDescent="0.25">
      <c r="D86" s="69" t="s">
        <v>4061</v>
      </c>
      <c r="E86" s="39">
        <v>0.33</v>
      </c>
      <c r="F86" s="86">
        <v>6.9</v>
      </c>
      <c r="H86" s="4" t="s">
        <v>61</v>
      </c>
      <c r="I86" s="6"/>
      <c r="J86" s="6"/>
      <c r="K86" s="4">
        <f>IFERROR(higiene[[#This Row],[Preço por produto]]/PMA,0)</f>
        <v>0</v>
      </c>
      <c r="Q86" t="e">
        <f>#REF!</f>
        <v>#REF!</v>
      </c>
    </row>
    <row r="87" spans="4:17" x14ac:dyDescent="0.25">
      <c r="D87" s="78" t="s">
        <v>4109</v>
      </c>
      <c r="E87" s="79">
        <v>0.35</v>
      </c>
      <c r="F87" s="87">
        <v>6.29</v>
      </c>
      <c r="H87" s="4" t="s">
        <v>3879</v>
      </c>
      <c r="I87" s="6">
        <v>24</v>
      </c>
      <c r="J87" s="88">
        <v>3.49</v>
      </c>
      <c r="K87" s="4">
        <f>IFERROR(higiene[[#This Row],[Preço por produto]]/PMA,0)</f>
        <v>0</v>
      </c>
      <c r="Q87" t="e">
        <f>#REF!</f>
        <v>#REF!</v>
      </c>
    </row>
    <row r="88" spans="4:17" x14ac:dyDescent="0.25">
      <c r="D88" s="69" t="s">
        <v>4062</v>
      </c>
      <c r="E88" s="39">
        <v>0.36</v>
      </c>
      <c r="F88" s="86">
        <v>5.98</v>
      </c>
      <c r="H88" s="4" t="s">
        <v>1013</v>
      </c>
      <c r="I88" s="6">
        <v>26</v>
      </c>
      <c r="J88" s="89">
        <v>4.1900000000000004</v>
      </c>
      <c r="K88" s="4">
        <f>IFERROR(higiene[[#This Row],[Preço por produto]]/PMA,0)</f>
        <v>0</v>
      </c>
      <c r="Q88" t="e">
        <f>#REF!</f>
        <v>#REF!</v>
      </c>
    </row>
    <row r="89" spans="4:17" x14ac:dyDescent="0.25">
      <c r="D89" s="69" t="s">
        <v>4063</v>
      </c>
      <c r="E89" s="39">
        <v>0.375</v>
      </c>
      <c r="F89" s="86">
        <v>4.67</v>
      </c>
      <c r="H89" s="4" t="s">
        <v>3949</v>
      </c>
      <c r="I89" s="6">
        <v>34</v>
      </c>
      <c r="J89" s="88">
        <v>4.6500000000000004</v>
      </c>
      <c r="K89" s="4">
        <f>IFERROR(higiene[[#This Row],[Preço por produto]]/PMA,0)</f>
        <v>0</v>
      </c>
      <c r="Q89" t="e">
        <f>#REF!</f>
        <v>#REF!</v>
      </c>
    </row>
    <row r="90" spans="4:17" ht="15" customHeight="1" x14ac:dyDescent="0.25">
      <c r="D90" s="69" t="s">
        <v>4064</v>
      </c>
      <c r="E90" s="39">
        <v>0.4</v>
      </c>
      <c r="F90" s="86">
        <v>7.99</v>
      </c>
      <c r="H90" s="4" t="s">
        <v>1035</v>
      </c>
      <c r="I90" s="6">
        <v>40</v>
      </c>
      <c r="J90" s="89">
        <v>5.5</v>
      </c>
      <c r="K90" s="4">
        <f>IFERROR(higiene[[#This Row],[Preço por produto]]/PMA,0)</f>
        <v>0</v>
      </c>
      <c r="Q90" t="e">
        <f>#REF!</f>
        <v>#REF!</v>
      </c>
    </row>
    <row r="91" spans="4:17" ht="15" customHeight="1" x14ac:dyDescent="0.25">
      <c r="D91" s="69" t="s">
        <v>4065</v>
      </c>
      <c r="E91" s="39">
        <v>0.5</v>
      </c>
      <c r="F91" s="86">
        <v>8.99</v>
      </c>
      <c r="H91" s="4" t="s">
        <v>1099</v>
      </c>
      <c r="I91" s="6">
        <v>46</v>
      </c>
      <c r="J91" s="88">
        <v>2.29</v>
      </c>
      <c r="K91" s="4">
        <f>IFERROR(higiene[[#This Row],[Preço por produto]]/PMA,0)</f>
        <v>0</v>
      </c>
      <c r="Q91" t="e">
        <f>#REF!</f>
        <v>#REF!</v>
      </c>
    </row>
    <row r="92" spans="4:17" ht="15" customHeight="1" x14ac:dyDescent="0.25">
      <c r="D92" s="69" t="s">
        <v>4066</v>
      </c>
      <c r="E92" s="39">
        <v>0.06</v>
      </c>
      <c r="F92" s="86">
        <v>3.34</v>
      </c>
      <c r="H92" s="4" t="s">
        <v>3980</v>
      </c>
      <c r="I92" s="6">
        <v>32</v>
      </c>
      <c r="J92" s="89">
        <v>3.8</v>
      </c>
      <c r="K92" s="4">
        <f>IFERROR(higiene[[#This Row],[Preço por produto]]/PMA,0)</f>
        <v>0</v>
      </c>
      <c r="Q92" t="e">
        <f>#REF!</f>
        <v>#REF!</v>
      </c>
    </row>
    <row r="93" spans="4:17" ht="15" customHeight="1" x14ac:dyDescent="0.25">
      <c r="D93" s="69" t="s">
        <v>4067</v>
      </c>
      <c r="E93" s="39">
        <v>0.09</v>
      </c>
      <c r="F93" s="86">
        <v>2.68</v>
      </c>
      <c r="H93" s="4" t="s">
        <v>180</v>
      </c>
      <c r="I93" s="6"/>
      <c r="J93" s="88">
        <v>36.700000000000003</v>
      </c>
      <c r="K93" s="4">
        <f>IFERROR(higiene[[#This Row],[Preço por produto]]/PMA,0)</f>
        <v>0</v>
      </c>
      <c r="Q93" t="e">
        <f>#REF!</f>
        <v>#REF!</v>
      </c>
    </row>
    <row r="94" spans="4:17" ht="15" customHeight="1" x14ac:dyDescent="0.25">
      <c r="D94" s="78" t="s">
        <v>4203</v>
      </c>
      <c r="E94" s="79">
        <v>0.4</v>
      </c>
      <c r="F94" s="87">
        <v>6</v>
      </c>
      <c r="H94" s="4" t="s">
        <v>1590</v>
      </c>
      <c r="I94" s="6">
        <v>16</v>
      </c>
      <c r="J94" s="89">
        <v>51.9</v>
      </c>
      <c r="K94" s="4">
        <f>IFERROR(higiene[[#This Row],[Preço por produto]]/PMA,0)</f>
        <v>0</v>
      </c>
      <c r="Q94" t="e">
        <f>#REF!</f>
        <v>#REF!</v>
      </c>
    </row>
    <row r="95" spans="4:17" x14ac:dyDescent="0.25">
      <c r="D95" s="69" t="s">
        <v>4077</v>
      </c>
      <c r="E95" s="39">
        <v>0.1</v>
      </c>
      <c r="F95" s="86">
        <v>5.48</v>
      </c>
      <c r="H95" s="4" t="s">
        <v>181</v>
      </c>
      <c r="I95" s="6"/>
      <c r="J95" s="88">
        <v>56.9</v>
      </c>
      <c r="K95" s="4">
        <f>IFERROR(higiene[[#This Row],[Preço por produto]]/PMA,0)</f>
        <v>0</v>
      </c>
      <c r="Q95" t="e">
        <f>#REF!</f>
        <v>#REF!</v>
      </c>
    </row>
    <row r="96" spans="4:17" x14ac:dyDescent="0.25">
      <c r="D96" s="69" t="s">
        <v>4069</v>
      </c>
      <c r="E96" s="39">
        <v>0.11</v>
      </c>
      <c r="F96" s="86">
        <v>3.69</v>
      </c>
      <c r="H96" s="4" t="s">
        <v>32</v>
      </c>
      <c r="I96" s="6"/>
      <c r="J96" s="89">
        <v>56.9</v>
      </c>
      <c r="K96" s="4">
        <f>IFERROR(higiene[[#This Row],[Preço por produto]]/PMA,0)</f>
        <v>0</v>
      </c>
      <c r="Q96" t="e">
        <f>#REF!</f>
        <v>#REF!</v>
      </c>
    </row>
    <row r="97" spans="4:17" x14ac:dyDescent="0.25">
      <c r="D97" s="69" t="s">
        <v>4078</v>
      </c>
      <c r="E97" s="39">
        <v>0.126</v>
      </c>
      <c r="F97" s="86">
        <v>4.8899999999999997</v>
      </c>
      <c r="H97" s="4" t="s">
        <v>3950</v>
      </c>
      <c r="I97" s="6"/>
      <c r="J97" s="88">
        <v>49.9</v>
      </c>
      <c r="K97" s="4">
        <f>IFERROR(higiene[[#This Row],[Preço por produto]]/PMA,0)</f>
        <v>0</v>
      </c>
      <c r="Q97" t="e">
        <f>#REF!</f>
        <v>#REF!</v>
      </c>
    </row>
    <row r="98" spans="4:17" x14ac:dyDescent="0.25">
      <c r="D98" s="69" t="s">
        <v>4070</v>
      </c>
      <c r="E98" s="39">
        <v>0.14000000000000001</v>
      </c>
      <c r="F98" s="86">
        <v>3.19</v>
      </c>
      <c r="H98" s="4" t="s">
        <v>33</v>
      </c>
      <c r="I98" s="6">
        <v>1</v>
      </c>
      <c r="J98" s="89">
        <v>45.3</v>
      </c>
      <c r="K98" s="4">
        <f>IFERROR(higiene[[#This Row],[Preço por produto]]/PMA,0)</f>
        <v>0</v>
      </c>
      <c r="Q98" t="e">
        <f>#REF!</f>
        <v>#REF!</v>
      </c>
    </row>
    <row r="99" spans="4:17" x14ac:dyDescent="0.25">
      <c r="D99" s="69" t="s">
        <v>4071</v>
      </c>
      <c r="E99" s="39">
        <v>0.14499999999999999</v>
      </c>
      <c r="F99" s="86">
        <v>4.09</v>
      </c>
      <c r="H99" s="73" t="s">
        <v>4022</v>
      </c>
      <c r="I99" s="74">
        <v>7</v>
      </c>
      <c r="J99" s="90">
        <v>23.69</v>
      </c>
      <c r="K99" s="73">
        <f>IFERROR(higiene[[#This Row],[Preço por produto]]/PMA,0)</f>
        <v>0</v>
      </c>
      <c r="Q99" t="e">
        <f>#REF!</f>
        <v>#REF!</v>
      </c>
    </row>
    <row r="100" spans="4:17" x14ac:dyDescent="0.25">
      <c r="D100" s="69" t="s">
        <v>4079</v>
      </c>
      <c r="E100" s="39">
        <v>0.15</v>
      </c>
      <c r="F100" s="86">
        <v>8.1</v>
      </c>
      <c r="H100" s="4" t="s">
        <v>3953</v>
      </c>
      <c r="I100" s="6">
        <v>1</v>
      </c>
      <c r="J100" s="89">
        <v>31.98</v>
      </c>
      <c r="K100" s="4">
        <f>IFERROR(higiene[[#This Row],[Preço por produto]]/PMA,0)</f>
        <v>0</v>
      </c>
      <c r="Q100" t="e">
        <f>#REF!</f>
        <v>#REF!</v>
      </c>
    </row>
    <row r="101" spans="4:17" x14ac:dyDescent="0.25">
      <c r="D101" s="69" t="s">
        <v>4080</v>
      </c>
      <c r="E101" s="39">
        <v>0.16</v>
      </c>
      <c r="F101" s="86">
        <v>3.09</v>
      </c>
      <c r="H101" s="4" t="s">
        <v>1107</v>
      </c>
      <c r="I101" s="6">
        <v>12</v>
      </c>
      <c r="J101" s="88">
        <v>20.99</v>
      </c>
      <c r="K101" s="4">
        <f>IFERROR(higiene[[#This Row],[Preço por produto]]/PMA,0)</f>
        <v>0</v>
      </c>
      <c r="Q101" t="e">
        <f>#REF!</f>
        <v>#REF!</v>
      </c>
    </row>
    <row r="102" spans="4:17" x14ac:dyDescent="0.25">
      <c r="D102" s="69" t="s">
        <v>4081</v>
      </c>
      <c r="E102" s="39">
        <v>0.17</v>
      </c>
      <c r="F102" s="86">
        <v>3.62</v>
      </c>
      <c r="H102" s="4" t="s">
        <v>156</v>
      </c>
      <c r="I102" s="6">
        <v>2</v>
      </c>
      <c r="J102" s="89">
        <v>20.99</v>
      </c>
      <c r="K102" s="4">
        <f>IFERROR(higiene[[#This Row],[Preço por produto]]/PMA,0)</f>
        <v>0</v>
      </c>
      <c r="Q102" t="e">
        <f>#REF!</f>
        <v>#REF!</v>
      </c>
    </row>
    <row r="103" spans="4:17" x14ac:dyDescent="0.25">
      <c r="D103" s="69" t="s">
        <v>4082</v>
      </c>
      <c r="E103" s="39">
        <v>0.2</v>
      </c>
      <c r="F103" s="86">
        <v>3.38</v>
      </c>
      <c r="H103" s="4" t="s">
        <v>34</v>
      </c>
      <c r="I103" s="6">
        <v>4</v>
      </c>
      <c r="J103" s="88">
        <v>23.98</v>
      </c>
      <c r="K103" s="4">
        <f>IFERROR(higiene[[#This Row],[Preço por produto]]/PMA,0)</f>
        <v>0</v>
      </c>
      <c r="Q103" t="e">
        <f>#REF!</f>
        <v>#REF!</v>
      </c>
    </row>
    <row r="104" spans="4:17" x14ac:dyDescent="0.25">
      <c r="D104" s="69" t="s">
        <v>4083</v>
      </c>
      <c r="E104" s="39">
        <v>2.7E-2</v>
      </c>
      <c r="F104" s="86">
        <v>7.49</v>
      </c>
      <c r="H104" s="4" t="s">
        <v>3951</v>
      </c>
      <c r="I104" s="6">
        <v>5</v>
      </c>
      <c r="J104" s="89">
        <v>20.99</v>
      </c>
      <c r="K104" s="4">
        <f>IFERROR(higiene[[#This Row],[Preço por produto]]/PMA,0)</f>
        <v>0</v>
      </c>
      <c r="Q104" t="e">
        <f>#REF!</f>
        <v>#REF!</v>
      </c>
    </row>
    <row r="105" spans="4:17" x14ac:dyDescent="0.25">
      <c r="D105" s="69" t="s">
        <v>4084</v>
      </c>
      <c r="E105" s="39">
        <v>0.36</v>
      </c>
      <c r="F105" s="86">
        <v>5.98</v>
      </c>
      <c r="H105" s="4" t="s">
        <v>35</v>
      </c>
      <c r="I105" s="6">
        <v>7</v>
      </c>
      <c r="J105" s="88">
        <v>23.99</v>
      </c>
      <c r="K105" s="4">
        <f>IFERROR(higiene[[#This Row],[Preço por produto]]/PMA,0)</f>
        <v>0</v>
      </c>
      <c r="Q105" t="e">
        <f>#REF!</f>
        <v>#REF!</v>
      </c>
    </row>
    <row r="106" spans="4:17" x14ac:dyDescent="0.25">
      <c r="D106" s="69" t="s">
        <v>4085</v>
      </c>
      <c r="E106" s="39">
        <v>0.375</v>
      </c>
      <c r="F106" s="86">
        <v>5.57</v>
      </c>
      <c r="H106" s="4" t="s">
        <v>188</v>
      </c>
      <c r="I106" s="6">
        <v>8</v>
      </c>
      <c r="J106" s="89">
        <v>23.98</v>
      </c>
      <c r="K106" s="4">
        <f>IFERROR(higiene[[#This Row],[Preço por produto]]/PMA,0)</f>
        <v>0</v>
      </c>
      <c r="Q106" t="e">
        <f>#REF!</f>
        <v>#REF!</v>
      </c>
    </row>
    <row r="107" spans="4:17" x14ac:dyDescent="0.25">
      <c r="D107" s="69" t="s">
        <v>4086</v>
      </c>
      <c r="E107" s="39">
        <v>0.4</v>
      </c>
      <c r="F107" s="86">
        <v>8.99</v>
      </c>
      <c r="H107" s="4" t="s">
        <v>36</v>
      </c>
      <c r="I107" s="6">
        <v>2</v>
      </c>
      <c r="J107" s="88">
        <v>20.99</v>
      </c>
      <c r="K107" s="4">
        <f>IFERROR(higiene[[#This Row],[Preço por produto]]/PMA,0)</f>
        <v>0</v>
      </c>
      <c r="Q107" t="e">
        <f>#REF!</f>
        <v>#REF!</v>
      </c>
    </row>
    <row r="108" spans="4:17" x14ac:dyDescent="0.25">
      <c r="D108" s="69" t="s">
        <v>4087</v>
      </c>
      <c r="E108" s="39">
        <v>0.5</v>
      </c>
      <c r="F108" s="86">
        <v>8.99</v>
      </c>
      <c r="H108" s="4" t="s">
        <v>37</v>
      </c>
      <c r="I108" s="6">
        <v>5</v>
      </c>
      <c r="J108" s="89">
        <v>22.99</v>
      </c>
      <c r="K108" s="4">
        <f>IFERROR(higiene[[#This Row],[Preço por produto]]/PMA,0)</f>
        <v>0</v>
      </c>
      <c r="Q108" t="e">
        <f>#REF!</f>
        <v>#REF!</v>
      </c>
    </row>
    <row r="109" spans="4:17" x14ac:dyDescent="0.25">
      <c r="D109" s="69" t="s">
        <v>4072</v>
      </c>
      <c r="E109" s="39">
        <v>0.08</v>
      </c>
      <c r="F109" s="86">
        <v>4.8899999999999997</v>
      </c>
      <c r="H109" s="4" t="s">
        <v>1100</v>
      </c>
      <c r="I109" s="6">
        <v>1</v>
      </c>
      <c r="J109" s="88">
        <v>23.98</v>
      </c>
      <c r="K109" s="4">
        <f>IFERROR(higiene[[#This Row],[Preço por produto]]/PMA,0)</f>
        <v>0</v>
      </c>
      <c r="Q109" t="e">
        <f>#REF!</f>
        <v>#REF!</v>
      </c>
    </row>
    <row r="110" spans="4:17" x14ac:dyDescent="0.25">
      <c r="D110" s="69" t="s">
        <v>4088</v>
      </c>
      <c r="E110" s="39">
        <v>0.09</v>
      </c>
      <c r="F110" s="86">
        <v>5.35</v>
      </c>
      <c r="H110" s="4" t="s">
        <v>182</v>
      </c>
      <c r="I110" s="6">
        <v>1</v>
      </c>
      <c r="J110" s="89">
        <v>28.99</v>
      </c>
      <c r="K110" s="4">
        <f>IFERROR(higiene[[#This Row],[Preço por produto]]/PMA,0)</f>
        <v>0</v>
      </c>
      <c r="Q110" t="e">
        <f>#REF!</f>
        <v>#REF!</v>
      </c>
    </row>
    <row r="111" spans="4:17" x14ac:dyDescent="0.25">
      <c r="D111" s="69" t="s">
        <v>1201</v>
      </c>
      <c r="E111" s="39">
        <v>0.3</v>
      </c>
      <c r="F111" s="86">
        <v>5.78</v>
      </c>
      <c r="H111" s="4" t="s">
        <v>189</v>
      </c>
      <c r="I111" s="6"/>
      <c r="J111" s="88">
        <v>31.9</v>
      </c>
      <c r="K111" s="4">
        <f>IFERROR(higiene[[#This Row],[Preço por produto]]/PMA,0)</f>
        <v>0</v>
      </c>
      <c r="Q111" t="e">
        <f>#REF!</f>
        <v>#REF!</v>
      </c>
    </row>
    <row r="112" spans="4:17" x14ac:dyDescent="0.25">
      <c r="D112" s="78" t="s">
        <v>4300</v>
      </c>
      <c r="E112" s="79">
        <v>0.122</v>
      </c>
      <c r="F112" s="80">
        <v>3.68</v>
      </c>
      <c r="H112" s="4" t="s">
        <v>137</v>
      </c>
      <c r="I112" s="6">
        <v>1</v>
      </c>
      <c r="J112" s="89">
        <v>29.9</v>
      </c>
      <c r="K112" s="4">
        <f>IFERROR(higiene[[#This Row],[Preço por produto]]/PMA,0)</f>
        <v>0</v>
      </c>
      <c r="Q112" t="e">
        <f>#REF!</f>
        <v>#REF!</v>
      </c>
    </row>
    <row r="113" spans="4:17" x14ac:dyDescent="0.25">
      <c r="D113" s="69" t="s">
        <v>4041</v>
      </c>
      <c r="E113" s="39">
        <v>0.1</v>
      </c>
      <c r="F113" s="86">
        <v>1.74</v>
      </c>
      <c r="H113" s="4" t="s">
        <v>1252</v>
      </c>
      <c r="I113" s="6">
        <v>1</v>
      </c>
      <c r="J113" s="88">
        <v>31.9</v>
      </c>
      <c r="K113" s="4">
        <f>IFERROR(higiene[[#This Row],[Preço por produto]]/PMA,0)</f>
        <v>0</v>
      </c>
      <c r="Q113" t="e">
        <f>#REF!</f>
        <v>#REF!</v>
      </c>
    </row>
    <row r="114" spans="4:17" x14ac:dyDescent="0.25">
      <c r="D114" s="69" t="s">
        <v>4042</v>
      </c>
      <c r="E114" s="39">
        <v>0.11</v>
      </c>
      <c r="F114" s="86">
        <v>4.25</v>
      </c>
      <c r="H114" s="4" t="s">
        <v>1101</v>
      </c>
      <c r="I114" s="6">
        <v>0.2</v>
      </c>
      <c r="J114" s="89">
        <v>29.9</v>
      </c>
      <c r="K114" s="4">
        <f>IFERROR(higiene[[#This Row],[Preço por produto]]/PMA,0)</f>
        <v>0</v>
      </c>
      <c r="Q114" t="e">
        <f>#REF!</f>
        <v>#REF!</v>
      </c>
    </row>
    <row r="115" spans="4:17" x14ac:dyDescent="0.25">
      <c r="D115" s="69" t="s">
        <v>4043</v>
      </c>
      <c r="E115" s="39">
        <v>0.112</v>
      </c>
      <c r="F115" s="86">
        <v>2.38</v>
      </c>
      <c r="H115" s="4" t="s">
        <v>867</v>
      </c>
      <c r="I115" s="6">
        <v>0.5</v>
      </c>
      <c r="J115" s="88">
        <v>54.9</v>
      </c>
      <c r="K115" s="4">
        <f>IFERROR(higiene[[#This Row],[Preço por produto]]/PMA,0)</f>
        <v>0</v>
      </c>
      <c r="Q115" t="e">
        <f>#REF!</f>
        <v>#REF!</v>
      </c>
    </row>
    <row r="116" spans="4:17" x14ac:dyDescent="0.25">
      <c r="D116" s="69" t="s">
        <v>4044</v>
      </c>
      <c r="E116" s="39">
        <v>0.115</v>
      </c>
      <c r="F116" s="86">
        <v>3.25</v>
      </c>
      <c r="H116" s="4" t="s">
        <v>2942</v>
      </c>
      <c r="I116" s="6">
        <v>42</v>
      </c>
      <c r="J116" s="89">
        <v>58.9</v>
      </c>
      <c r="K116" s="4">
        <f>IFERROR(higiene[[#This Row],[Preço por produto]]/PMA,0)</f>
        <v>0</v>
      </c>
      <c r="Q116" t="e">
        <f>#REF!</f>
        <v>#REF!</v>
      </c>
    </row>
    <row r="117" spans="4:17" x14ac:dyDescent="0.25">
      <c r="D117" s="69" t="s">
        <v>4045</v>
      </c>
      <c r="E117" s="39">
        <v>0.12</v>
      </c>
      <c r="F117" s="86">
        <v>2.79</v>
      </c>
      <c r="H117" s="4" t="s">
        <v>1102</v>
      </c>
      <c r="I117" s="6">
        <v>0.75</v>
      </c>
      <c r="J117" s="88">
        <v>29.9</v>
      </c>
      <c r="K117" s="4">
        <f>IFERROR(higiene[[#This Row],[Preço por produto]]/PMA,0)</f>
        <v>0</v>
      </c>
      <c r="Q117" t="e">
        <f>#REF!</f>
        <v>#REF!</v>
      </c>
    </row>
    <row r="118" spans="4:17" x14ac:dyDescent="0.25">
      <c r="D118" s="69" t="s">
        <v>4046</v>
      </c>
      <c r="E118" s="39">
        <v>0.126</v>
      </c>
      <c r="F118" s="86">
        <v>3.22</v>
      </c>
      <c r="H118" s="4" t="s">
        <v>38</v>
      </c>
      <c r="I118" s="6">
        <v>3</v>
      </c>
      <c r="J118" s="89">
        <v>39.99</v>
      </c>
      <c r="K118" s="4">
        <f>IFERROR(higiene[[#This Row],[Preço por produto]]/PMA,0)</f>
        <v>0</v>
      </c>
      <c r="Q118" t="e">
        <f>#REF!</f>
        <v>#REF!</v>
      </c>
    </row>
    <row r="119" spans="4:17" x14ac:dyDescent="0.25">
      <c r="D119" s="69" t="s">
        <v>4047</v>
      </c>
      <c r="E119" s="39">
        <v>0.13</v>
      </c>
      <c r="F119" s="86">
        <v>3.22</v>
      </c>
      <c r="H119" s="4" t="s">
        <v>1103</v>
      </c>
      <c r="I119" s="6"/>
      <c r="J119" s="88">
        <v>31.9</v>
      </c>
      <c r="K119" s="4">
        <f>IFERROR(higiene[[#This Row],[Preço por produto]]/PMA,0)</f>
        <v>0</v>
      </c>
      <c r="Q119" t="e">
        <f>#REF!</f>
        <v>#REF!</v>
      </c>
    </row>
    <row r="120" spans="4:17" x14ac:dyDescent="0.25">
      <c r="D120" s="69" t="s">
        <v>4048</v>
      </c>
      <c r="E120" s="39">
        <v>0.13500000000000001</v>
      </c>
      <c r="F120" s="86">
        <v>2.59</v>
      </c>
      <c r="H120" s="4" t="s">
        <v>187</v>
      </c>
      <c r="I120" s="6"/>
      <c r="J120" s="89">
        <v>43.99</v>
      </c>
      <c r="K120" s="4">
        <f>IFERROR(higiene[[#This Row],[Preço por produto]]/PMA,0)</f>
        <v>0</v>
      </c>
      <c r="Q120" t="e">
        <f>#REF!</f>
        <v>#REF!</v>
      </c>
    </row>
    <row r="121" spans="4:17" x14ac:dyDescent="0.25">
      <c r="D121" s="69" t="s">
        <v>4049</v>
      </c>
      <c r="E121" s="39">
        <v>0.14000000000000001</v>
      </c>
      <c r="F121" s="86">
        <v>2.4</v>
      </c>
      <c r="H121" s="4" t="s">
        <v>1104</v>
      </c>
      <c r="I121" s="6"/>
      <c r="J121" s="88">
        <v>85.9</v>
      </c>
      <c r="K121" s="4">
        <f>IFERROR(higiene[[#This Row],[Preço por produto]]/PMA,0)</f>
        <v>0</v>
      </c>
      <c r="Q121" t="e">
        <f>#REF!</f>
        <v>#REF!</v>
      </c>
    </row>
    <row r="122" spans="4:17" x14ac:dyDescent="0.25">
      <c r="D122" s="69" t="s">
        <v>4051</v>
      </c>
      <c r="E122" s="39">
        <v>0.14499999999999999</v>
      </c>
      <c r="F122" s="86">
        <v>6.39</v>
      </c>
      <c r="H122" s="4" t="s">
        <v>3017</v>
      </c>
      <c r="I122" s="6">
        <v>56</v>
      </c>
      <c r="J122" s="89">
        <v>79.900000000000006</v>
      </c>
      <c r="K122" s="4">
        <f>IFERROR(higiene[[#This Row],[Preço por produto]]/PMA,0)</f>
        <v>0</v>
      </c>
      <c r="Q122" t="e">
        <f>#REF!</f>
        <v>#REF!</v>
      </c>
    </row>
    <row r="123" spans="4:17" x14ac:dyDescent="0.25">
      <c r="D123" s="69" t="s">
        <v>4052</v>
      </c>
      <c r="E123" s="39">
        <v>0.15</v>
      </c>
      <c r="F123" s="86">
        <v>5.98</v>
      </c>
      <c r="H123" s="4" t="s">
        <v>1105</v>
      </c>
      <c r="I123" s="6">
        <v>4</v>
      </c>
      <c r="J123" s="88">
        <v>79.900000000000006</v>
      </c>
      <c r="K123" s="4">
        <f>IFERROR(higiene[[#This Row],[Preço por produto]]/PMA,0)</f>
        <v>0</v>
      </c>
      <c r="Q123" t="e">
        <f>#REF!</f>
        <v>#REF!</v>
      </c>
    </row>
    <row r="124" spans="4:17" x14ac:dyDescent="0.25">
      <c r="D124" s="69" t="s">
        <v>4053</v>
      </c>
      <c r="E124" s="39">
        <v>0.16</v>
      </c>
      <c r="F124" s="86">
        <v>5.46</v>
      </c>
      <c r="H124" s="4" t="s">
        <v>1106</v>
      </c>
      <c r="I124" s="6">
        <v>8</v>
      </c>
      <c r="J124" s="89">
        <v>79.900000000000006</v>
      </c>
      <c r="K124" s="4">
        <f>IFERROR(higiene[[#This Row],[Preço por produto]]/PMA,0)</f>
        <v>0</v>
      </c>
      <c r="Q124" t="e">
        <f>#REF!</f>
        <v>#REF!</v>
      </c>
    </row>
    <row r="125" spans="4:17" x14ac:dyDescent="0.25">
      <c r="D125" s="69" t="s">
        <v>4054</v>
      </c>
      <c r="E125" s="39">
        <v>0.25</v>
      </c>
      <c r="F125" s="86">
        <v>12.09</v>
      </c>
      <c r="H125" s="4" t="s">
        <v>3952</v>
      </c>
      <c r="I125" s="6">
        <v>70</v>
      </c>
      <c r="J125" s="88">
        <v>79.900000000000006</v>
      </c>
      <c r="K125" s="4">
        <f>IFERROR(higiene[[#This Row],[Preço por produto]]/PMA,0)</f>
        <v>0</v>
      </c>
      <c r="Q125" t="e">
        <f>#REF!</f>
        <v>#REF!</v>
      </c>
    </row>
    <row r="126" spans="4:17" x14ac:dyDescent="0.25">
      <c r="D126" s="69" t="s">
        <v>4055</v>
      </c>
      <c r="E126" s="39">
        <v>0.375</v>
      </c>
      <c r="F126" s="86">
        <v>6.99</v>
      </c>
      <c r="H126" s="4" t="s">
        <v>3457</v>
      </c>
      <c r="I126" s="6">
        <v>7</v>
      </c>
      <c r="J126" s="89">
        <v>16.899999999999999</v>
      </c>
      <c r="K126" s="4">
        <f>IFERROR(higiene[[#This Row],[Preço por produto]]/PMA,0)</f>
        <v>0</v>
      </c>
      <c r="Q126" t="e">
        <f>#REF!</f>
        <v>#REF!</v>
      </c>
    </row>
    <row r="127" spans="4:17" x14ac:dyDescent="0.25">
      <c r="D127" s="69" t="s">
        <v>4056</v>
      </c>
      <c r="E127" s="39">
        <v>0.08</v>
      </c>
      <c r="F127" s="86">
        <v>3.6</v>
      </c>
      <c r="H127" s="4" t="s">
        <v>2827</v>
      </c>
      <c r="I127" s="6">
        <v>1</v>
      </c>
      <c r="J127" s="88">
        <v>9.99</v>
      </c>
      <c r="K127" s="4">
        <f>IFERROR(higiene[[#This Row],[Preço por produto]]/PMA,0)</f>
        <v>0</v>
      </c>
      <c r="Q127" t="e">
        <f>#REF!</f>
        <v>#REF!</v>
      </c>
    </row>
    <row r="128" spans="4:17" x14ac:dyDescent="0.25">
      <c r="D128" s="69" t="s">
        <v>4057</v>
      </c>
      <c r="E128" s="39">
        <v>0.09</v>
      </c>
      <c r="F128" s="86">
        <v>2.68</v>
      </c>
      <c r="H128" s="4" t="s">
        <v>62</v>
      </c>
      <c r="I128" s="6"/>
      <c r="J128" s="6"/>
      <c r="K128" s="4">
        <f>IFERROR(higiene[[#This Row],[Preço por produto]]/PMA,0)</f>
        <v>0</v>
      </c>
      <c r="Q128" t="e">
        <f>#REF!</f>
        <v>#REF!</v>
      </c>
    </row>
    <row r="129" spans="4:17" x14ac:dyDescent="0.25">
      <c r="D129" s="69" t="s">
        <v>4057</v>
      </c>
      <c r="E129" s="39">
        <v>0.14000000000000001</v>
      </c>
      <c r="F129" s="86">
        <v>4.49</v>
      </c>
      <c r="H129" s="4" t="s">
        <v>2362</v>
      </c>
      <c r="I129" s="6">
        <v>1</v>
      </c>
      <c r="J129" s="88">
        <v>12.69</v>
      </c>
      <c r="K129" s="4">
        <f>IFERROR(higiene[[#This Row],[Preço por produto]]/PMA,0)</f>
        <v>0</v>
      </c>
      <c r="Q129" t="e">
        <f>#REF!</f>
        <v>#REF!</v>
      </c>
    </row>
    <row r="130" spans="4:17" x14ac:dyDescent="0.25">
      <c r="D130" s="78" t="s">
        <v>4173</v>
      </c>
      <c r="E130" s="79">
        <v>0.35</v>
      </c>
      <c r="F130" s="80">
        <v>3.98</v>
      </c>
      <c r="H130" s="4" t="s">
        <v>2379</v>
      </c>
      <c r="I130" s="6">
        <v>0.25</v>
      </c>
      <c r="J130" s="89">
        <v>10</v>
      </c>
      <c r="K130" s="4">
        <f>IFERROR(higiene[[#This Row],[Preço por produto]]/PMA,0)</f>
        <v>0</v>
      </c>
      <c r="Q130" t="e">
        <f>#REF!</f>
        <v>#REF!</v>
      </c>
    </row>
    <row r="131" spans="4:17" x14ac:dyDescent="0.25">
      <c r="D131" s="78" t="s">
        <v>4161</v>
      </c>
      <c r="E131" s="79">
        <v>0.14399999999999999</v>
      </c>
      <c r="F131" s="80">
        <v>4.47</v>
      </c>
      <c r="H131" s="4" t="s">
        <v>159</v>
      </c>
      <c r="I131" s="6">
        <v>24</v>
      </c>
      <c r="J131" s="88">
        <v>2.99</v>
      </c>
      <c r="K131" s="4">
        <f>IFERROR(higiene[[#This Row],[Preço por produto]]/PMA,0)</f>
        <v>0</v>
      </c>
      <c r="Q131" t="e">
        <f>#REF!</f>
        <v>#REF!</v>
      </c>
    </row>
    <row r="132" spans="4:17" x14ac:dyDescent="0.25">
      <c r="D132" s="69" t="s">
        <v>4050</v>
      </c>
      <c r="E132" s="39">
        <v>0.1</v>
      </c>
      <c r="F132" s="86">
        <v>4.49</v>
      </c>
      <c r="H132" s="4" t="s">
        <v>63</v>
      </c>
      <c r="I132" s="6"/>
      <c r="J132" s="6"/>
      <c r="K132" s="4">
        <f>IFERROR(higiene[[#This Row],[Preço por produto]]/PMA,0)</f>
        <v>0</v>
      </c>
      <c r="Q132" t="e">
        <f>#REF!</f>
        <v>#REF!</v>
      </c>
    </row>
    <row r="133" spans="4:17" x14ac:dyDescent="0.25">
      <c r="D133" s="69" t="s">
        <v>4073</v>
      </c>
      <c r="E133" s="39">
        <v>0.11</v>
      </c>
      <c r="F133" s="86">
        <v>3.79</v>
      </c>
      <c r="H133" s="73" t="s">
        <v>4176</v>
      </c>
      <c r="I133" s="74" t="s">
        <v>4177</v>
      </c>
      <c r="J133" s="90">
        <v>4.29</v>
      </c>
      <c r="K133" s="73">
        <f>IFERROR(higiene[[#This Row],[Preço por produto]]/PMA,0)</f>
        <v>0</v>
      </c>
      <c r="Q133" t="e">
        <f>#REF!</f>
        <v>#REF!</v>
      </c>
    </row>
    <row r="134" spans="4:17" x14ac:dyDescent="0.25">
      <c r="D134" s="69" t="s">
        <v>4074</v>
      </c>
      <c r="E134" s="39">
        <v>0.14000000000000001</v>
      </c>
      <c r="F134" s="86">
        <v>4.49</v>
      </c>
      <c r="H134" s="4" t="s">
        <v>3954</v>
      </c>
      <c r="I134" s="6">
        <v>0.15</v>
      </c>
      <c r="J134" s="89">
        <v>21.99</v>
      </c>
      <c r="K134" s="4">
        <f>IFERROR(higiene[[#This Row],[Preço por produto]]/PMA,0)</f>
        <v>0</v>
      </c>
      <c r="Q134" t="e">
        <f>#REF!</f>
        <v>#REF!</v>
      </c>
    </row>
    <row r="135" spans="4:17" x14ac:dyDescent="0.25">
      <c r="D135" s="69" t="s">
        <v>4075</v>
      </c>
      <c r="E135" s="39">
        <v>0.14499999999999999</v>
      </c>
      <c r="F135" s="86">
        <v>4.49</v>
      </c>
      <c r="H135" s="4" t="s">
        <v>2004</v>
      </c>
      <c r="I135" s="6">
        <v>0.2</v>
      </c>
      <c r="J135" s="88">
        <v>13.99</v>
      </c>
      <c r="K135" s="4">
        <f>IFERROR(higiene[[#This Row],[Preço por produto]]/PMA,0)</f>
        <v>0</v>
      </c>
      <c r="Q135" t="e">
        <f>#REF!</f>
        <v>#REF!</v>
      </c>
    </row>
    <row r="136" spans="4:17" x14ac:dyDescent="0.25">
      <c r="D136" s="69" t="s">
        <v>4076</v>
      </c>
      <c r="E136" s="39">
        <v>0.08</v>
      </c>
      <c r="F136" s="86">
        <v>4.49</v>
      </c>
      <c r="H136" s="4" t="s">
        <v>2407</v>
      </c>
      <c r="I136" s="6">
        <v>0.4</v>
      </c>
      <c r="J136" s="89">
        <v>12.9</v>
      </c>
      <c r="K136" s="4">
        <f>IFERROR(higiene[[#This Row],[Preço por produto]]/PMA,0)</f>
        <v>0</v>
      </c>
      <c r="Q136" t="e">
        <f>#REF!</f>
        <v>#REF!</v>
      </c>
    </row>
    <row r="137" spans="4:17" x14ac:dyDescent="0.25">
      <c r="D137" s="69" t="s">
        <v>2828</v>
      </c>
      <c r="E137" s="39">
        <v>3.5000000000000003E-2</v>
      </c>
      <c r="F137" s="86">
        <v>4.29</v>
      </c>
      <c r="H137" s="4" t="s">
        <v>3955</v>
      </c>
      <c r="I137" s="6">
        <v>0.5</v>
      </c>
      <c r="J137" s="88">
        <v>6.99</v>
      </c>
      <c r="K137" s="4">
        <f>IFERROR(higiene[[#This Row],[Preço por produto]]/PMA,0)</f>
        <v>0</v>
      </c>
      <c r="Q137" t="e">
        <f>#REF!</f>
        <v>#REF!</v>
      </c>
    </row>
    <row r="138" spans="4:17" x14ac:dyDescent="0.25">
      <c r="D138" s="69" t="s">
        <v>2128</v>
      </c>
      <c r="E138" s="39">
        <v>0.1</v>
      </c>
      <c r="F138" s="86">
        <v>2.99</v>
      </c>
      <c r="H138" s="4" t="s">
        <v>3956</v>
      </c>
      <c r="I138" s="6">
        <v>0.3</v>
      </c>
      <c r="J138" s="89">
        <v>8.99</v>
      </c>
      <c r="K138" s="4">
        <f>IFERROR(higiene[[#This Row],[Preço por produto]]/PMA,0)</f>
        <v>0</v>
      </c>
      <c r="Q138" t="e">
        <f>#REF!</f>
        <v>#REF!</v>
      </c>
    </row>
    <row r="139" spans="4:17" x14ac:dyDescent="0.25">
      <c r="D139" s="69" t="s">
        <v>3652</v>
      </c>
      <c r="E139" s="39">
        <v>0.3</v>
      </c>
      <c r="F139" s="86">
        <v>10.99</v>
      </c>
      <c r="H139" s="4" t="s">
        <v>64</v>
      </c>
      <c r="I139" s="6"/>
      <c r="J139" s="6"/>
      <c r="K139" s="4">
        <f>IFERROR(higiene[[#This Row],[Preço por produto]]/PMA,0)</f>
        <v>0</v>
      </c>
      <c r="Q139" t="e">
        <f>#REF!</f>
        <v>#REF!</v>
      </c>
    </row>
    <row r="140" spans="4:17" x14ac:dyDescent="0.25">
      <c r="D140" s="69" t="s">
        <v>2131</v>
      </c>
      <c r="E140" s="39">
        <v>0.38</v>
      </c>
      <c r="F140" s="86">
        <v>17.989999999999998</v>
      </c>
      <c r="H140" s="4" t="s">
        <v>65</v>
      </c>
      <c r="I140" s="6"/>
      <c r="J140" s="6"/>
      <c r="K140" s="4">
        <f>IFERROR(higiene[[#This Row],[Preço por produto]]/PMA,0)</f>
        <v>0</v>
      </c>
      <c r="Q140" t="e">
        <f>#REF!</f>
        <v>#REF!</v>
      </c>
    </row>
    <row r="141" spans="4:17" x14ac:dyDescent="0.25">
      <c r="D141" s="69" t="s">
        <v>1783</v>
      </c>
      <c r="E141" s="39">
        <v>0.4</v>
      </c>
      <c r="F141" s="86">
        <v>15.99</v>
      </c>
      <c r="H141" s="4" t="s">
        <v>3174</v>
      </c>
      <c r="I141" s="6">
        <v>1</v>
      </c>
      <c r="J141" s="88">
        <v>18.399999999999999</v>
      </c>
      <c r="K141" s="4">
        <f>IFERROR(higiene[[#This Row],[Preço por produto]]/PMA,0)</f>
        <v>0</v>
      </c>
      <c r="Q141" t="e">
        <f>#REF!</f>
        <v>#REF!</v>
      </c>
    </row>
    <row r="142" spans="4:17" x14ac:dyDescent="0.25">
      <c r="D142" s="69" t="s">
        <v>1583</v>
      </c>
      <c r="E142" s="39">
        <v>0.45</v>
      </c>
      <c r="F142" s="86">
        <v>6.88</v>
      </c>
      <c r="H142" s="4" t="s">
        <v>66</v>
      </c>
      <c r="I142" s="6"/>
      <c r="J142" s="6"/>
      <c r="K142" s="4">
        <f>IFERROR(higiene[[#This Row],[Preço por produto]]/PMA,0)</f>
        <v>0</v>
      </c>
      <c r="Q142" t="e">
        <f>#REF!</f>
        <v>#REF!</v>
      </c>
    </row>
    <row r="143" spans="4:17" x14ac:dyDescent="0.25">
      <c r="D143" s="69" t="s">
        <v>3844</v>
      </c>
      <c r="E143" s="39">
        <v>7.0000000000000007E-2</v>
      </c>
      <c r="F143" s="86">
        <v>4</v>
      </c>
      <c r="H143" s="4" t="s">
        <v>3957</v>
      </c>
      <c r="I143" s="6">
        <v>0.09</v>
      </c>
      <c r="J143" s="88">
        <v>14.2</v>
      </c>
      <c r="K143" s="4">
        <f>IFERROR(higiene[[#This Row],[Preço por produto]]/PMA,0)</f>
        <v>0</v>
      </c>
      <c r="Q143" t="e">
        <f>#REF!</f>
        <v>#REF!</v>
      </c>
    </row>
    <row r="144" spans="4:17" x14ac:dyDescent="0.25">
      <c r="D144" s="69" t="s">
        <v>3845</v>
      </c>
      <c r="E144" s="39">
        <v>0.25</v>
      </c>
      <c r="F144" s="86">
        <v>8.4</v>
      </c>
      <c r="H144" s="4" t="s">
        <v>3958</v>
      </c>
      <c r="I144" s="6">
        <v>0.1</v>
      </c>
      <c r="J144" s="89">
        <v>1.49</v>
      </c>
      <c r="K144" s="4">
        <f>IFERROR(higiene[[#This Row],[Preço por produto]]/PMA,0)</f>
        <v>0</v>
      </c>
      <c r="Q144" t="e">
        <f>#REF!</f>
        <v>#REF!</v>
      </c>
    </row>
    <row r="145" spans="4:17" x14ac:dyDescent="0.25">
      <c r="D145" s="69" t="s">
        <v>856</v>
      </c>
      <c r="E145" s="39">
        <v>9.4E-2</v>
      </c>
      <c r="F145" s="86">
        <v>5.59</v>
      </c>
      <c r="H145" s="4" t="s">
        <v>3959</v>
      </c>
      <c r="I145" s="6"/>
      <c r="J145" s="88">
        <v>3.21</v>
      </c>
      <c r="K145" s="4">
        <f>IFERROR(higiene[[#This Row],[Preço por produto]]/PMA,0)</f>
        <v>0</v>
      </c>
      <c r="Q145" t="e">
        <f>#REF!</f>
        <v>#REF!</v>
      </c>
    </row>
    <row r="146" spans="4:17" x14ac:dyDescent="0.25">
      <c r="D146" s="78" t="s">
        <v>4258</v>
      </c>
      <c r="E146" s="79">
        <v>0.25</v>
      </c>
      <c r="F146" s="80">
        <v>16.29</v>
      </c>
      <c r="H146" s="4" t="s">
        <v>3960</v>
      </c>
      <c r="I146" s="6">
        <v>0.9</v>
      </c>
      <c r="J146" s="89">
        <v>29.99</v>
      </c>
      <c r="K146" s="4">
        <f>IFERROR(higiene[[#This Row],[Preço por produto]]/PMA,0)</f>
        <v>0</v>
      </c>
      <c r="Q146" t="e">
        <f>#REF!</f>
        <v>#REF!</v>
      </c>
    </row>
    <row r="147" spans="4:17" x14ac:dyDescent="0.25">
      <c r="D147" s="69" t="s">
        <v>58</v>
      </c>
      <c r="E147" s="39"/>
      <c r="F147" s="40"/>
      <c r="H147" s="4" t="s">
        <v>161</v>
      </c>
      <c r="I147" s="6"/>
      <c r="J147" s="88">
        <v>5.19</v>
      </c>
      <c r="K147" s="4">
        <f>IFERROR(higiene[[#This Row],[Preço por produto]]/PMA,0)</f>
        <v>0</v>
      </c>
      <c r="Q147" t="e">
        <f>#REF!</f>
        <v>#REF!</v>
      </c>
    </row>
    <row r="148" spans="4:17" x14ac:dyDescent="0.25">
      <c r="D148" s="69" t="s">
        <v>6</v>
      </c>
      <c r="E148" s="39">
        <v>1</v>
      </c>
      <c r="F148" s="86">
        <v>68.900000000000006</v>
      </c>
      <c r="H148" s="4" t="s">
        <v>162</v>
      </c>
      <c r="I148" s="6">
        <v>0.45</v>
      </c>
      <c r="J148" s="89">
        <v>4.83</v>
      </c>
      <c r="K148" s="4">
        <f>IFERROR(higiene[[#This Row],[Preço por produto]]/PMA,0)</f>
        <v>0</v>
      </c>
      <c r="Q148" t="e">
        <f>#REF!</f>
        <v>#REF!</v>
      </c>
    </row>
    <row r="149" spans="4:17" x14ac:dyDescent="0.25">
      <c r="D149" s="69" t="s">
        <v>105</v>
      </c>
      <c r="E149" s="39">
        <v>0.25</v>
      </c>
      <c r="F149" s="86">
        <v>9.9</v>
      </c>
      <c r="H149" s="4" t="s">
        <v>3961</v>
      </c>
      <c r="I149" s="6"/>
      <c r="J149" s="88">
        <v>47.7</v>
      </c>
      <c r="K149" s="4">
        <f>IFERROR(higiene[[#This Row],[Preço por produto]]/PMA,0)</f>
        <v>0</v>
      </c>
      <c r="Q149" t="e">
        <f>#REF!</f>
        <v>#REF!</v>
      </c>
    </row>
    <row r="150" spans="4:17" x14ac:dyDescent="0.25">
      <c r="D150" s="69" t="s">
        <v>106</v>
      </c>
      <c r="E150" s="39">
        <v>0.5</v>
      </c>
      <c r="F150" s="86">
        <v>17.489999999999998</v>
      </c>
      <c r="H150" s="4" t="s">
        <v>3962</v>
      </c>
      <c r="I150" s="6">
        <v>1</v>
      </c>
      <c r="J150" s="89">
        <v>24.9</v>
      </c>
      <c r="K150" s="4">
        <f>IFERROR(higiene[[#This Row],[Preço por produto]]/PMA,0)</f>
        <v>0</v>
      </c>
      <c r="Q150" t="e">
        <f>#REF!</f>
        <v>#REF!</v>
      </c>
    </row>
    <row r="151" spans="4:17" x14ac:dyDescent="0.25">
      <c r="D151" s="69" t="s">
        <v>3846</v>
      </c>
      <c r="E151" s="39">
        <v>0.05</v>
      </c>
      <c r="F151" s="86">
        <v>4.6900000000000004</v>
      </c>
      <c r="H151" s="4" t="s">
        <v>3963</v>
      </c>
      <c r="I151" s="6">
        <v>5</v>
      </c>
      <c r="J151" s="88">
        <v>54.9</v>
      </c>
      <c r="K151" s="4">
        <f>IFERROR(higiene[[#This Row],[Preço por produto]]/PMA,0)</f>
        <v>0</v>
      </c>
      <c r="Q151" t="e">
        <f>#REF!</f>
        <v>#REF!</v>
      </c>
    </row>
    <row r="152" spans="4:17" x14ac:dyDescent="0.25">
      <c r="D152" s="69" t="s">
        <v>3792</v>
      </c>
      <c r="E152" s="39">
        <v>0.3</v>
      </c>
      <c r="F152" s="86">
        <v>11.99</v>
      </c>
      <c r="H152" s="4" t="s">
        <v>3964</v>
      </c>
      <c r="I152" s="6">
        <v>1</v>
      </c>
      <c r="J152" s="89">
        <v>5.19</v>
      </c>
      <c r="K152" s="4">
        <f>IFERROR(higiene[[#This Row],[Preço por produto]]/PMA,0)</f>
        <v>0</v>
      </c>
      <c r="Q152" t="e">
        <f>#REF!</f>
        <v>#REF!</v>
      </c>
    </row>
    <row r="153" spans="4:17" x14ac:dyDescent="0.25">
      <c r="D153" s="69" t="s">
        <v>3847</v>
      </c>
      <c r="E153" s="39">
        <v>1.9E-2</v>
      </c>
      <c r="F153" s="86">
        <v>1.1499999999999999</v>
      </c>
      <c r="H153" s="4" t="s">
        <v>3965</v>
      </c>
      <c r="I153" s="6">
        <v>1</v>
      </c>
      <c r="J153" s="88">
        <v>4.58</v>
      </c>
      <c r="K153" s="4">
        <f>IFERROR(higiene[[#This Row],[Preço por produto]]/PMA,0)</f>
        <v>0</v>
      </c>
      <c r="Q153" t="e">
        <f>#REF!</f>
        <v>#REF!</v>
      </c>
    </row>
    <row r="154" spans="4:17" x14ac:dyDescent="0.25">
      <c r="D154" s="69" t="s">
        <v>3456</v>
      </c>
      <c r="E154" s="39">
        <v>0.05</v>
      </c>
      <c r="F154" s="86">
        <v>1.49</v>
      </c>
      <c r="H154" s="73" t="s">
        <v>4189</v>
      </c>
      <c r="I154" s="74">
        <v>1</v>
      </c>
      <c r="J154" s="90">
        <v>11.99</v>
      </c>
      <c r="K154" s="73">
        <f>IFERROR(higiene[[#This Row],[Preço por produto]]/PMA,0)</f>
        <v>0</v>
      </c>
      <c r="Q154" t="e">
        <f>#REF!</f>
        <v>#REF!</v>
      </c>
    </row>
    <row r="155" spans="4:17" x14ac:dyDescent="0.25">
      <c r="D155" s="69" t="s">
        <v>3848</v>
      </c>
      <c r="E155" s="39">
        <v>0.114</v>
      </c>
      <c r="F155" s="86">
        <v>4.99</v>
      </c>
      <c r="H155" s="4" t="s">
        <v>3967</v>
      </c>
      <c r="I155" s="6">
        <v>1</v>
      </c>
      <c r="J155" s="88">
        <v>13.69</v>
      </c>
      <c r="K155" s="4">
        <f>IFERROR(higiene[[#This Row],[Preço por produto]]/PMA,0)</f>
        <v>0</v>
      </c>
      <c r="Q155" t="e">
        <f>#REF!</f>
        <v>#REF!</v>
      </c>
    </row>
    <row r="156" spans="4:17" x14ac:dyDescent="0.25">
      <c r="D156" s="69" t="s">
        <v>2161</v>
      </c>
      <c r="E156" s="39">
        <v>1.7000000000000001E-2</v>
      </c>
      <c r="F156" s="86">
        <v>1.99</v>
      </c>
      <c r="H156" s="4" t="s">
        <v>3966</v>
      </c>
      <c r="I156" s="6">
        <v>2.8</v>
      </c>
      <c r="J156" s="89">
        <v>5.99</v>
      </c>
      <c r="K156" s="4">
        <f>IFERROR(higiene[[#This Row],[Preço por produto]]/PMA,0)</f>
        <v>0</v>
      </c>
      <c r="Q156" t="e">
        <f>#REF!</f>
        <v>#REF!</v>
      </c>
    </row>
    <row r="157" spans="4:17" x14ac:dyDescent="0.25">
      <c r="D157" s="69" t="s">
        <v>1038</v>
      </c>
      <c r="E157" s="39">
        <v>0.5</v>
      </c>
      <c r="F157" s="86">
        <v>6.39</v>
      </c>
      <c r="H157" s="4" t="s">
        <v>3968</v>
      </c>
      <c r="I157" s="6">
        <v>2</v>
      </c>
      <c r="J157" s="88">
        <v>9.9</v>
      </c>
      <c r="K157" s="4">
        <f>IFERROR(higiene[[#This Row],[Preço por produto]]/PMA,0)</f>
        <v>0</v>
      </c>
      <c r="Q157" t="e">
        <f>#REF!</f>
        <v>#REF!</v>
      </c>
    </row>
    <row r="158" spans="4:17" x14ac:dyDescent="0.25">
      <c r="D158" s="69" t="s">
        <v>1062</v>
      </c>
      <c r="E158" s="39">
        <v>0.2</v>
      </c>
      <c r="F158" s="86">
        <v>12.3</v>
      </c>
      <c r="H158" s="73" t="s">
        <v>4305</v>
      </c>
      <c r="I158" s="74">
        <v>1</v>
      </c>
      <c r="J158" s="74">
        <v>5.99</v>
      </c>
      <c r="K158" s="73">
        <f>IFERROR(higiene[[#This Row],[Preço por produto]]/PMA,0)</f>
        <v>0</v>
      </c>
      <c r="Q158" t="e">
        <f>#REF!</f>
        <v>#REF!</v>
      </c>
    </row>
    <row r="159" spans="4:17" x14ac:dyDescent="0.25">
      <c r="D159" s="69" t="s">
        <v>1018</v>
      </c>
      <c r="E159" s="39">
        <v>0.02</v>
      </c>
      <c r="F159" s="86">
        <v>2.4900000000000002</v>
      </c>
      <c r="H159" s="4" t="s">
        <v>3180</v>
      </c>
      <c r="I159" s="6">
        <v>48</v>
      </c>
      <c r="J159" s="89">
        <v>26.9</v>
      </c>
      <c r="K159" s="4">
        <f>IFERROR(higiene[[#This Row],[Preço por produto]]/PMA,0)</f>
        <v>0</v>
      </c>
      <c r="Q159" t="e">
        <f>#REF!</f>
        <v>#REF!</v>
      </c>
    </row>
    <row r="160" spans="4:17" x14ac:dyDescent="0.25">
      <c r="D160" s="69" t="s">
        <v>1249</v>
      </c>
      <c r="E160" s="39">
        <v>0.12</v>
      </c>
      <c r="F160" s="86">
        <v>6.1</v>
      </c>
      <c r="H160" s="4" t="s">
        <v>3969</v>
      </c>
      <c r="I160" s="6">
        <v>75</v>
      </c>
      <c r="J160" s="88">
        <v>11.69</v>
      </c>
      <c r="K160" s="4">
        <f>IFERROR(higiene[[#This Row],[Preço por produto]]/PMA,0)</f>
        <v>0</v>
      </c>
      <c r="Q160" t="e">
        <f>#REF!</f>
        <v>#REF!</v>
      </c>
    </row>
    <row r="161" spans="4:17" x14ac:dyDescent="0.25">
      <c r="D161" s="69" t="s">
        <v>3849</v>
      </c>
      <c r="E161" s="39">
        <v>0.23</v>
      </c>
      <c r="F161" s="86">
        <v>5.49</v>
      </c>
      <c r="H161" s="73" t="s">
        <v>4090</v>
      </c>
      <c r="I161" s="74">
        <v>3</v>
      </c>
      <c r="J161" s="6"/>
      <c r="K161" s="73">
        <f>IFERROR(higiene[[#This Row],[Preço por produto]]/PMA,0)</f>
        <v>0</v>
      </c>
      <c r="Q161" t="e">
        <f>#REF!</f>
        <v>#REF!</v>
      </c>
    </row>
    <row r="162" spans="4:17" x14ac:dyDescent="0.25">
      <c r="D162" s="69" t="s">
        <v>3793</v>
      </c>
      <c r="E162" s="39">
        <v>0.5</v>
      </c>
      <c r="F162" s="86">
        <v>9.5</v>
      </c>
      <c r="H162" s="4" t="s">
        <v>3970</v>
      </c>
      <c r="I162" s="6">
        <v>1</v>
      </c>
      <c r="J162" s="88">
        <v>9.49</v>
      </c>
      <c r="K162" s="4">
        <f>IFERROR(higiene[[#This Row],[Preço por produto]]/PMA,0)</f>
        <v>0</v>
      </c>
      <c r="Q162" t="e">
        <f>#REF!</f>
        <v>#REF!</v>
      </c>
    </row>
    <row r="163" spans="4:17" x14ac:dyDescent="0.25">
      <c r="D163" s="78" t="s">
        <v>4315</v>
      </c>
      <c r="E163" s="79">
        <v>0.25</v>
      </c>
      <c r="F163" s="80">
        <v>6.7</v>
      </c>
      <c r="H163" s="4" t="s">
        <v>3971</v>
      </c>
      <c r="I163" s="6">
        <v>5</v>
      </c>
      <c r="J163" s="89">
        <v>19.899999999999999</v>
      </c>
      <c r="K163" s="4">
        <f>IFERROR(higiene[[#This Row],[Preço por produto]]/PMA,0)</f>
        <v>0</v>
      </c>
      <c r="Q163" t="e">
        <f>#REF!</f>
        <v>#REF!</v>
      </c>
    </row>
    <row r="164" spans="4:17" x14ac:dyDescent="0.25">
      <c r="D164" s="69" t="s">
        <v>1063</v>
      </c>
      <c r="E164" s="39">
        <v>0.1</v>
      </c>
      <c r="F164" s="86">
        <v>3.75</v>
      </c>
      <c r="H164" s="4" t="s">
        <v>3972</v>
      </c>
      <c r="I164" s="6">
        <v>1</v>
      </c>
      <c r="J164" s="88">
        <v>4.79</v>
      </c>
      <c r="K164" s="4">
        <f>IFERROR(higiene[[#This Row],[Preço por produto]]/PMA,0)</f>
        <v>0</v>
      </c>
      <c r="Q164" t="e">
        <f>#REF!</f>
        <v>#REF!</v>
      </c>
    </row>
    <row r="165" spans="4:17" x14ac:dyDescent="0.25">
      <c r="D165" s="69" t="s">
        <v>1030</v>
      </c>
      <c r="E165" s="39">
        <v>1.4999999999999999E-2</v>
      </c>
      <c r="F165" s="86">
        <v>3.85</v>
      </c>
      <c r="H165" s="4" t="s">
        <v>2451</v>
      </c>
      <c r="I165" s="6">
        <v>1</v>
      </c>
      <c r="J165" s="89">
        <v>39.99</v>
      </c>
      <c r="K165" s="4">
        <f>IFERROR(higiene[[#This Row],[Preço por produto]]/PMA,0)</f>
        <v>0</v>
      </c>
      <c r="Q165" t="e">
        <f>#REF!</f>
        <v>#REF!</v>
      </c>
    </row>
    <row r="166" spans="4:17" x14ac:dyDescent="0.25">
      <c r="D166" s="69" t="s">
        <v>1064</v>
      </c>
      <c r="E166" s="39">
        <v>1.2E-2</v>
      </c>
      <c r="F166" s="86">
        <v>2.29</v>
      </c>
      <c r="H166" s="4" t="s">
        <v>3973</v>
      </c>
      <c r="I166" s="6">
        <v>0.2</v>
      </c>
      <c r="J166" s="88">
        <v>2.2000000000000002</v>
      </c>
      <c r="K166" s="4">
        <f>IFERROR(higiene[[#This Row],[Preço por produto]]/PMA,0)</f>
        <v>0</v>
      </c>
      <c r="Q166" t="e">
        <f>#REF!</f>
        <v>#REF!</v>
      </c>
    </row>
    <row r="167" spans="4:17" x14ac:dyDescent="0.25">
      <c r="D167" s="69" t="s">
        <v>2174</v>
      </c>
      <c r="E167" s="39">
        <v>0.03</v>
      </c>
      <c r="F167" s="86">
        <v>13.4</v>
      </c>
      <c r="H167" s="4" t="s">
        <v>67</v>
      </c>
      <c r="I167" s="6"/>
      <c r="J167" s="6"/>
      <c r="K167" s="4">
        <f>IFERROR(higiene[[#This Row],[Preço por produto]]/PMA,0)</f>
        <v>0</v>
      </c>
      <c r="Q167" t="e">
        <f>#REF!</f>
        <v>#REF!</v>
      </c>
    </row>
    <row r="168" spans="4:17" x14ac:dyDescent="0.25">
      <c r="D168" s="69" t="s">
        <v>1065</v>
      </c>
      <c r="E168" s="39">
        <v>2.2499999999999999E-2</v>
      </c>
      <c r="F168" s="86">
        <v>11</v>
      </c>
      <c r="H168" s="4" t="s">
        <v>1108</v>
      </c>
      <c r="I168" s="6">
        <v>1</v>
      </c>
      <c r="J168" s="88">
        <v>11.2</v>
      </c>
      <c r="K168" s="4">
        <f>IFERROR(higiene[[#This Row],[Preço por produto]]/PMA,0)</f>
        <v>0</v>
      </c>
      <c r="Q168" t="e">
        <f>#REF!</f>
        <v>#REF!</v>
      </c>
    </row>
    <row r="169" spans="4:17" x14ac:dyDescent="0.25">
      <c r="D169" s="69" t="s">
        <v>2176</v>
      </c>
      <c r="E169" s="39">
        <v>0.25</v>
      </c>
      <c r="F169" s="86">
        <v>8.35</v>
      </c>
      <c r="H169" s="4" t="s">
        <v>1047</v>
      </c>
      <c r="I169" s="6">
        <v>4</v>
      </c>
      <c r="J169" s="89">
        <v>10.48</v>
      </c>
      <c r="K169" s="4">
        <f>IFERROR(higiene[[#This Row],[Preço por produto]]/PMA,0)</f>
        <v>0</v>
      </c>
      <c r="Q169" t="e">
        <f>#REF!</f>
        <v>#REF!</v>
      </c>
    </row>
    <row r="170" spans="4:17" x14ac:dyDescent="0.25">
      <c r="D170" s="69" t="s">
        <v>2965</v>
      </c>
      <c r="E170" s="39">
        <v>3.2000000000000001E-2</v>
      </c>
      <c r="F170" s="86">
        <v>4.29</v>
      </c>
      <c r="H170" s="4" t="s">
        <v>3974</v>
      </c>
      <c r="I170" s="6">
        <v>1</v>
      </c>
      <c r="J170" s="88">
        <v>13.99</v>
      </c>
      <c r="K170" s="4">
        <f>IFERROR(higiene[[#This Row],[Preço por produto]]/PMA,0)</f>
        <v>0</v>
      </c>
      <c r="Q170" t="e">
        <f>#REF!</f>
        <v>#REF!</v>
      </c>
    </row>
    <row r="171" spans="4:17" x14ac:dyDescent="0.25">
      <c r="D171" s="69" t="s">
        <v>2179</v>
      </c>
      <c r="E171" s="39">
        <v>0.04</v>
      </c>
      <c r="F171" s="86">
        <v>5.65</v>
      </c>
      <c r="H171" s="4" t="s">
        <v>190</v>
      </c>
      <c r="I171" s="6">
        <v>1</v>
      </c>
      <c r="J171" s="89">
        <v>4.5</v>
      </c>
      <c r="K171" s="4">
        <f>IFERROR(higiene[[#This Row],[Preço por produto]]/PMA,0)</f>
        <v>0</v>
      </c>
      <c r="Q171" t="e">
        <f>#REF!</f>
        <v>#REF!</v>
      </c>
    </row>
    <row r="172" spans="4:17" x14ac:dyDescent="0.25">
      <c r="D172" s="78" t="s">
        <v>4287</v>
      </c>
      <c r="E172" s="79">
        <v>0.5</v>
      </c>
      <c r="F172" s="80">
        <v>9.27</v>
      </c>
      <c r="H172" s="4" t="s">
        <v>266</v>
      </c>
      <c r="I172" s="6">
        <v>10</v>
      </c>
      <c r="J172" s="88">
        <v>6.78</v>
      </c>
      <c r="K172" s="4">
        <f>IFERROR(higiene[[#This Row],[Preço por produto]]/PMA,0)</f>
        <v>0</v>
      </c>
      <c r="Q172" t="e">
        <f>#REF!</f>
        <v>#REF!</v>
      </c>
    </row>
    <row r="173" spans="4:17" x14ac:dyDescent="0.25">
      <c r="D173" s="78" t="s">
        <v>4142</v>
      </c>
      <c r="E173" s="79">
        <v>0.126</v>
      </c>
      <c r="F173" s="80">
        <v>3.99</v>
      </c>
      <c r="H173" s="4" t="s">
        <v>3982</v>
      </c>
      <c r="I173" s="6">
        <v>1</v>
      </c>
      <c r="J173" s="90">
        <v>11.9</v>
      </c>
      <c r="K173" s="4">
        <f>IFERROR(higiene[[#This Row],[Preço por produto]]/PMA,0)</f>
        <v>0</v>
      </c>
      <c r="Q173" t="e">
        <f>#REF!</f>
        <v>#REF!</v>
      </c>
    </row>
    <row r="174" spans="4:17" x14ac:dyDescent="0.25">
      <c r="D174" s="69" t="s">
        <v>3850</v>
      </c>
      <c r="E174" s="39">
        <v>0.1</v>
      </c>
      <c r="F174" s="86">
        <v>14.8</v>
      </c>
      <c r="H174" s="4" t="s">
        <v>68</v>
      </c>
      <c r="I174" s="6"/>
      <c r="J174" s="6"/>
      <c r="K174" s="4">
        <f>IFERROR(higiene[[#This Row],[Preço por produto]]/PMA,0)</f>
        <v>0</v>
      </c>
      <c r="Q174" t="e">
        <f>#REF!</f>
        <v>#REF!</v>
      </c>
    </row>
    <row r="175" spans="4:17" x14ac:dyDescent="0.25">
      <c r="D175" s="69" t="s">
        <v>3851</v>
      </c>
      <c r="E175" s="39">
        <v>4.1500000000000002E-2</v>
      </c>
      <c r="F175" s="86">
        <v>5.9</v>
      </c>
      <c r="H175" s="4" t="s">
        <v>69</v>
      </c>
      <c r="I175" s="6"/>
      <c r="J175" s="6"/>
      <c r="K175" s="4">
        <f>IFERROR(higiene[[#This Row],[Preço por produto]]/PMA,0)</f>
        <v>0</v>
      </c>
      <c r="Q175" t="e">
        <f>#REF!</f>
        <v>#REF!</v>
      </c>
    </row>
    <row r="176" spans="4:17" x14ac:dyDescent="0.25">
      <c r="D176" s="69" t="s">
        <v>3843</v>
      </c>
      <c r="E176" s="39">
        <v>0.126</v>
      </c>
      <c r="F176" s="86">
        <v>6.59</v>
      </c>
      <c r="H176" s="4" t="s">
        <v>70</v>
      </c>
      <c r="I176" s="6"/>
      <c r="J176" s="6"/>
      <c r="K176" s="4">
        <f>IFERROR(higiene[[#This Row],[Preço por produto]]/PMA,0)</f>
        <v>0</v>
      </c>
      <c r="Q176" t="e">
        <f>#REF!</f>
        <v>#REF!</v>
      </c>
    </row>
    <row r="177" spans="4:17" x14ac:dyDescent="0.25">
      <c r="D177" s="69" t="s">
        <v>3318</v>
      </c>
      <c r="E177" s="39">
        <v>0.09</v>
      </c>
      <c r="F177" s="86">
        <v>5.5</v>
      </c>
      <c r="H177" s="4" t="s">
        <v>3975</v>
      </c>
      <c r="I177" s="6">
        <v>5</v>
      </c>
      <c r="J177" s="89">
        <v>10.14</v>
      </c>
      <c r="K177" s="4">
        <f>IFERROR(higiene[[#This Row],[Preço por produto]]/PMA,0)</f>
        <v>0</v>
      </c>
      <c r="Q177" t="e">
        <f>#REF!</f>
        <v>#REF!</v>
      </c>
    </row>
    <row r="178" spans="4:17" x14ac:dyDescent="0.25">
      <c r="D178" s="69" t="s">
        <v>3852</v>
      </c>
      <c r="E178" s="39">
        <v>2.4E-2</v>
      </c>
      <c r="F178" s="86">
        <v>4.6900000000000004</v>
      </c>
      <c r="H178" s="4" t="s">
        <v>39</v>
      </c>
      <c r="I178" s="6">
        <v>0.32500000000000001</v>
      </c>
      <c r="J178" s="88">
        <v>19.989999999999998</v>
      </c>
      <c r="K178" s="4">
        <f>IFERROR(higiene[[#This Row],[Preço por produto]]/PMA,0)</f>
        <v>0</v>
      </c>
      <c r="Q178" t="e">
        <f>#REF!</f>
        <v>#REF!</v>
      </c>
    </row>
    <row r="179" spans="4:17" x14ac:dyDescent="0.25">
      <c r="D179" s="69" t="s">
        <v>3853</v>
      </c>
      <c r="E179" s="39">
        <v>0.14000000000000001</v>
      </c>
      <c r="F179" s="86">
        <v>6.19</v>
      </c>
      <c r="H179" s="4" t="s">
        <v>40</v>
      </c>
      <c r="I179" s="6">
        <v>0.35</v>
      </c>
      <c r="J179" s="89">
        <v>14.79</v>
      </c>
      <c r="K179" s="4">
        <f>IFERROR(higiene[[#This Row],[Preço por produto]]/PMA,0)</f>
        <v>0</v>
      </c>
      <c r="Q179" t="e">
        <f>#REF!</f>
        <v>#REF!</v>
      </c>
    </row>
    <row r="180" spans="4:17" x14ac:dyDescent="0.25">
      <c r="D180" s="69" t="s">
        <v>3645</v>
      </c>
      <c r="E180" s="39">
        <v>0.3</v>
      </c>
      <c r="F180" s="86">
        <v>12.75</v>
      </c>
      <c r="H180" s="4" t="s">
        <v>41</v>
      </c>
      <c r="I180" s="6"/>
      <c r="J180" s="88">
        <v>38.979999999999997</v>
      </c>
      <c r="K180" s="4">
        <f>IFERROR(higiene[[#This Row],[Preço por produto]]/PMA,0)</f>
        <v>0</v>
      </c>
      <c r="Q180" t="e">
        <f>#REF!</f>
        <v>#REF!</v>
      </c>
    </row>
    <row r="181" spans="4:17" x14ac:dyDescent="0.25">
      <c r="D181" s="69" t="s">
        <v>1040</v>
      </c>
      <c r="E181" s="39">
        <v>0.1</v>
      </c>
      <c r="F181" s="86">
        <v>4.49</v>
      </c>
      <c r="H181" s="73" t="s">
        <v>4295</v>
      </c>
      <c r="I181" s="74">
        <v>44</v>
      </c>
      <c r="J181" s="74">
        <v>11.29</v>
      </c>
      <c r="K181" s="73">
        <f>IFERROR(higiene[[#This Row],[Preço por produto]]/PMA,0)</f>
        <v>0</v>
      </c>
      <c r="Q181" t="e">
        <f>#REF!</f>
        <v>#REF!</v>
      </c>
    </row>
    <row r="182" spans="4:17" x14ac:dyDescent="0.25">
      <c r="D182" s="69" t="s">
        <v>3854</v>
      </c>
      <c r="E182" s="39">
        <v>0.05</v>
      </c>
      <c r="F182" s="86">
        <v>1.98</v>
      </c>
      <c r="H182" s="4" t="s">
        <v>3976</v>
      </c>
      <c r="I182" s="6">
        <v>0.2</v>
      </c>
      <c r="J182" s="89">
        <v>2.94</v>
      </c>
      <c r="K182" s="4">
        <f>IFERROR(higiene[[#This Row],[Preço por produto]]/PMA,0)</f>
        <v>0</v>
      </c>
      <c r="Q182" t="e">
        <f>#REF!</f>
        <v>#REF!</v>
      </c>
    </row>
    <row r="183" spans="4:17" x14ac:dyDescent="0.25">
      <c r="D183" s="69" t="s">
        <v>1031</v>
      </c>
      <c r="E183" s="39">
        <v>0.4</v>
      </c>
      <c r="F183" s="86">
        <v>4.79</v>
      </c>
      <c r="H183" s="4" t="s">
        <v>3977</v>
      </c>
      <c r="I183" s="6">
        <v>0.4</v>
      </c>
      <c r="J183" s="88">
        <v>20.59</v>
      </c>
      <c r="K183" s="4">
        <f>IFERROR(higiene[[#This Row],[Preço por produto]]/PMA,0)</f>
        <v>0</v>
      </c>
      <c r="Q183" t="e">
        <f>#REF!</f>
        <v>#REF!</v>
      </c>
    </row>
    <row r="184" spans="4:17" x14ac:dyDescent="0.25">
      <c r="D184" s="69" t="s">
        <v>1029</v>
      </c>
      <c r="E184" s="39">
        <v>6.8000000000000005E-2</v>
      </c>
      <c r="F184" s="86">
        <v>6.79</v>
      </c>
      <c r="H184" s="4" t="s">
        <v>3978</v>
      </c>
      <c r="I184" s="6">
        <v>7.5</v>
      </c>
      <c r="J184" s="89">
        <v>7.29</v>
      </c>
      <c r="K184" s="4">
        <f>IFERROR(higiene[[#This Row],[Preço por produto]]/PMA,0)</f>
        <v>0</v>
      </c>
      <c r="Q184" t="e">
        <f>#REF!</f>
        <v>#REF!</v>
      </c>
    </row>
    <row r="185" spans="4:17" x14ac:dyDescent="0.25">
      <c r="D185" s="70" t="s">
        <v>3794</v>
      </c>
      <c r="E185" s="39">
        <v>0.2</v>
      </c>
      <c r="F185" s="86">
        <v>3.48</v>
      </c>
      <c r="H185" s="4" t="s">
        <v>1248</v>
      </c>
      <c r="I185" s="6">
        <v>12</v>
      </c>
      <c r="J185" s="88">
        <v>45.9</v>
      </c>
      <c r="K185" s="4">
        <f>IFERROR(higiene[[#This Row],[Preço por produto]]/PMA,0)</f>
        <v>0</v>
      </c>
      <c r="Q185" t="e">
        <f>#REF!</f>
        <v>#REF!</v>
      </c>
    </row>
    <row r="186" spans="4:17" x14ac:dyDescent="0.25">
      <c r="D186" s="69" t="s">
        <v>1014</v>
      </c>
      <c r="E186" s="39">
        <v>0.5</v>
      </c>
      <c r="F186" s="86">
        <v>1.69</v>
      </c>
      <c r="H186" s="4" t="s">
        <v>42</v>
      </c>
      <c r="I186" s="6">
        <v>0.1</v>
      </c>
      <c r="J186" s="89">
        <v>2.89</v>
      </c>
      <c r="K186" s="4">
        <f>IFERROR(higiene[[#This Row],[Preço por produto]]/PMA,0)</f>
        <v>0</v>
      </c>
      <c r="Q186" t="e">
        <f>#REF!</f>
        <v>#REF!</v>
      </c>
    </row>
    <row r="187" spans="4:17" x14ac:dyDescent="0.25">
      <c r="D187" s="69" t="s">
        <v>59</v>
      </c>
      <c r="E187" s="39"/>
      <c r="F187" s="86"/>
      <c r="H187" s="4" t="s">
        <v>3979</v>
      </c>
      <c r="I187" s="6">
        <v>1</v>
      </c>
      <c r="J187" s="88">
        <v>10.039999999999999</v>
      </c>
      <c r="K187" s="4">
        <f>IFERROR(higiene[[#This Row],[Preço por produto]]/PMA,0)</f>
        <v>0</v>
      </c>
      <c r="Q187" t="e">
        <f>#REF!</f>
        <v>#REF!</v>
      </c>
    </row>
    <row r="188" spans="4:17" x14ac:dyDescent="0.25">
      <c r="D188" s="69" t="s">
        <v>1066</v>
      </c>
      <c r="E188" s="39">
        <v>0.22</v>
      </c>
      <c r="F188" s="86">
        <v>8.6999999999999993</v>
      </c>
      <c r="H188" s="73" t="s">
        <v>4106</v>
      </c>
      <c r="I188" s="74">
        <v>1</v>
      </c>
      <c r="J188" s="90">
        <v>3.99</v>
      </c>
      <c r="K188" s="73">
        <f>IFERROR(higiene[[#This Row],[Preço por produto]]/PMA,0)</f>
        <v>0</v>
      </c>
      <c r="Q188" t="e">
        <f>#REF!</f>
        <v>#REF!</v>
      </c>
    </row>
    <row r="189" spans="4:17" x14ac:dyDescent="0.25">
      <c r="D189" s="69" t="s">
        <v>2234</v>
      </c>
      <c r="E189" s="39">
        <v>0.25</v>
      </c>
      <c r="F189" s="86">
        <v>11.9</v>
      </c>
      <c r="H189" s="4" t="s">
        <v>3176</v>
      </c>
      <c r="I189" s="6">
        <v>0.14000000000000001</v>
      </c>
      <c r="J189" s="88">
        <v>9.9700000000000006</v>
      </c>
      <c r="K189" s="4">
        <f>IFERROR(higiene[[#This Row],[Preço por produto]]/PMA,0)</f>
        <v>0</v>
      </c>
      <c r="Q189" t="e">
        <f>#REF!</f>
        <v>#REF!</v>
      </c>
    </row>
    <row r="190" spans="4:17" x14ac:dyDescent="0.25">
      <c r="D190" s="69" t="s">
        <v>2237</v>
      </c>
      <c r="E190" s="39">
        <v>0.3</v>
      </c>
      <c r="F190" s="86">
        <v>8.5</v>
      </c>
      <c r="H190" s="4" t="s">
        <v>43</v>
      </c>
      <c r="I190" s="6">
        <v>0.2</v>
      </c>
      <c r="J190" s="89">
        <v>4.47</v>
      </c>
      <c r="K190" s="4">
        <f>IFERROR(higiene[[#This Row],[Preço por produto]]/PMA,0)</f>
        <v>0</v>
      </c>
      <c r="Q190" t="e">
        <f>#REF!</f>
        <v>#REF!</v>
      </c>
    </row>
    <row r="191" spans="4:17" x14ac:dyDescent="0.25">
      <c r="D191" s="69" t="s">
        <v>3855</v>
      </c>
      <c r="E191" s="39">
        <v>0.4</v>
      </c>
      <c r="F191" s="86">
        <v>12.99</v>
      </c>
      <c r="H191" s="4" t="s">
        <v>3178</v>
      </c>
      <c r="I191" s="6">
        <v>0.03</v>
      </c>
      <c r="J191" s="88">
        <v>1.0900000000000001</v>
      </c>
      <c r="K191" s="4">
        <f>IFERROR(higiene[[#This Row],[Preço por produto]]/PMA,0)</f>
        <v>0</v>
      </c>
      <c r="Q191" t="e">
        <f>#REF!</f>
        <v>#REF!</v>
      </c>
    </row>
    <row r="192" spans="4:17" x14ac:dyDescent="0.25">
      <c r="D192" s="69" t="s">
        <v>60</v>
      </c>
      <c r="E192" s="39"/>
      <c r="F192" s="86"/>
      <c r="H192" s="4" t="s">
        <v>44</v>
      </c>
      <c r="I192" s="6">
        <v>0.45</v>
      </c>
      <c r="J192" s="89">
        <v>1.89</v>
      </c>
      <c r="K192" s="4">
        <f>IFERROR(higiene[[#This Row],[Preço por produto]]/PMA,0)</f>
        <v>0</v>
      </c>
      <c r="Q192" t="e">
        <f>#REF!</f>
        <v>#REF!</v>
      </c>
    </row>
    <row r="193" spans="4:17" x14ac:dyDescent="0.25">
      <c r="D193" s="69" t="s">
        <v>3795</v>
      </c>
      <c r="E193" s="39">
        <v>0.04</v>
      </c>
      <c r="F193" s="86">
        <v>6.99</v>
      </c>
      <c r="H193" s="4" t="s">
        <v>45</v>
      </c>
      <c r="I193" s="6"/>
      <c r="J193" s="88">
        <v>1.05</v>
      </c>
      <c r="K193" s="4">
        <f>IFERROR(higiene[[#This Row],[Preço por produto]]/PMA,0)</f>
        <v>0</v>
      </c>
      <c r="Q193" t="e">
        <f>#REF!</f>
        <v>#REF!</v>
      </c>
    </row>
    <row r="194" spans="4:17" x14ac:dyDescent="0.25">
      <c r="D194" s="78" t="s">
        <v>4268</v>
      </c>
      <c r="E194" s="79">
        <v>0.2</v>
      </c>
      <c r="F194" s="80">
        <v>2.69</v>
      </c>
      <c r="H194" s="4" t="s">
        <v>46</v>
      </c>
      <c r="I194" s="6"/>
      <c r="J194" s="89">
        <v>2.89</v>
      </c>
      <c r="K194" s="4">
        <f>IFERROR(higiene[[#This Row],[Preço por produto]]/PMA,0)</f>
        <v>0</v>
      </c>
      <c r="Q194" t="e">
        <f>#REF!</f>
        <v>#REF!</v>
      </c>
    </row>
    <row r="195" spans="4:17" x14ac:dyDescent="0.25">
      <c r="D195" s="78" t="s">
        <v>4145</v>
      </c>
      <c r="E195" s="79">
        <v>0.28000000000000003</v>
      </c>
      <c r="F195" s="80">
        <v>2.99</v>
      </c>
      <c r="H195" s="4" t="s">
        <v>3981</v>
      </c>
      <c r="I195" s="6">
        <v>3</v>
      </c>
      <c r="J195" s="88">
        <v>6.59</v>
      </c>
      <c r="K195" s="4">
        <f>IFERROR(higiene[[#This Row],[Preço por produto]]/PMA,0)</f>
        <v>0</v>
      </c>
      <c r="Q195" t="e">
        <f>#REF!</f>
        <v>#REF!</v>
      </c>
    </row>
    <row r="196" spans="4:17" x14ac:dyDescent="0.25">
      <c r="D196" s="69" t="s">
        <v>3797</v>
      </c>
      <c r="E196" s="39">
        <v>0.3</v>
      </c>
      <c r="F196" s="86">
        <v>3.97</v>
      </c>
      <c r="H196" s="4" t="s">
        <v>3983</v>
      </c>
      <c r="I196" s="6">
        <v>1</v>
      </c>
      <c r="J196" s="89">
        <v>38.700000000000003</v>
      </c>
      <c r="K196" s="4">
        <f>IFERROR(higiene[[#This Row],[Preço por produto]]/PMA,0)</f>
        <v>0</v>
      </c>
      <c r="Q196" t="e">
        <f>#REF!</f>
        <v>#REF!</v>
      </c>
    </row>
    <row r="197" spans="4:17" x14ac:dyDescent="0.25">
      <c r="D197" s="69" t="s">
        <v>3796</v>
      </c>
      <c r="E197" s="39">
        <v>0.3</v>
      </c>
      <c r="F197" s="86">
        <v>3.79</v>
      </c>
      <c r="H197" s="4" t="s">
        <v>3984</v>
      </c>
      <c r="I197" s="6">
        <v>0.5</v>
      </c>
      <c r="J197" s="88">
        <v>8.24</v>
      </c>
      <c r="K197" s="4">
        <f>IFERROR(higiene[[#This Row],[Preço por produto]]/PMA,0)</f>
        <v>0</v>
      </c>
      <c r="Q197" t="e">
        <f>#REF!</f>
        <v>#REF!</v>
      </c>
    </row>
    <row r="198" spans="4:17" x14ac:dyDescent="0.25">
      <c r="D198" s="69" t="s">
        <v>1024</v>
      </c>
      <c r="E198" s="39">
        <v>0.5</v>
      </c>
      <c r="F198" s="86">
        <v>7.79</v>
      </c>
      <c r="H198" s="4" t="s">
        <v>3985</v>
      </c>
      <c r="I198" s="6"/>
      <c r="J198" s="89">
        <v>14.9</v>
      </c>
      <c r="K198" s="4">
        <f>IFERROR(higiene[[#This Row],[Preço por produto]]/PMA,0)</f>
        <v>0</v>
      </c>
      <c r="Q198" t="e">
        <f>#REF!</f>
        <v>#REF!</v>
      </c>
    </row>
    <row r="199" spans="4:17" x14ac:dyDescent="0.25">
      <c r="D199" s="69" t="s">
        <v>3798</v>
      </c>
      <c r="E199" s="39">
        <v>0.66</v>
      </c>
      <c r="F199" s="86">
        <v>15.9</v>
      </c>
      <c r="H199" s="4" t="s">
        <v>2634</v>
      </c>
      <c r="I199" s="6">
        <v>10</v>
      </c>
      <c r="J199" s="88">
        <v>8.7899999999999991</v>
      </c>
      <c r="K199" s="4">
        <f>IFERROR(higiene[[#This Row],[Preço por produto]]/PMA,0)</f>
        <v>0</v>
      </c>
      <c r="Q199" t="e">
        <f>#REF!</f>
        <v>#REF!</v>
      </c>
    </row>
    <row r="200" spans="4:17" x14ac:dyDescent="0.25">
      <c r="D200" s="69" t="s">
        <v>3862</v>
      </c>
      <c r="E200" s="39">
        <v>0.13</v>
      </c>
      <c r="F200" s="86">
        <v>1.95</v>
      </c>
      <c r="H200" s="4" t="s">
        <v>3986</v>
      </c>
      <c r="I200" s="6">
        <v>0.4</v>
      </c>
      <c r="J200" s="89">
        <v>59.99</v>
      </c>
      <c r="K200" s="4">
        <f>IFERROR(higiene[[#This Row],[Preço por produto]]/PMA,0)</f>
        <v>0</v>
      </c>
      <c r="Q200" t="e">
        <f>#REF!</f>
        <v>#REF!</v>
      </c>
    </row>
    <row r="201" spans="4:17" x14ac:dyDescent="0.25">
      <c r="D201" s="69" t="s">
        <v>3861</v>
      </c>
      <c r="E201" s="39">
        <v>0.14000000000000001</v>
      </c>
      <c r="F201" s="86">
        <v>3.49</v>
      </c>
      <c r="H201" s="4" t="s">
        <v>71</v>
      </c>
      <c r="I201" s="6"/>
      <c r="J201" s="6"/>
      <c r="K201" s="4">
        <f>IFERROR(higiene[[#This Row],[Preço por produto]]/PMA,0)</f>
        <v>0</v>
      </c>
      <c r="Q201" t="e">
        <f>#REF!</f>
        <v>#REF!</v>
      </c>
    </row>
    <row r="202" spans="4:17" x14ac:dyDescent="0.25">
      <c r="D202" s="69" t="s">
        <v>2765</v>
      </c>
      <c r="E202" s="39">
        <v>0.19</v>
      </c>
      <c r="F202" s="86">
        <v>3.98</v>
      </c>
      <c r="H202" s="4" t="s">
        <v>3449</v>
      </c>
      <c r="I202" s="6">
        <v>1</v>
      </c>
      <c r="J202" s="89">
        <v>22.9</v>
      </c>
      <c r="K202" s="4">
        <f>IFERROR(higiene[[#This Row],[Preço por produto]]/PMA,0)</f>
        <v>0</v>
      </c>
      <c r="Q202" t="e">
        <f>#REF!</f>
        <v>#REF!</v>
      </c>
    </row>
    <row r="203" spans="4:17" x14ac:dyDescent="0.25">
      <c r="D203" s="69" t="s">
        <v>3863</v>
      </c>
      <c r="E203" s="39">
        <v>0.28000000000000003</v>
      </c>
      <c r="F203" s="86">
        <v>4.4800000000000004</v>
      </c>
      <c r="H203" s="4" t="s">
        <v>3987</v>
      </c>
      <c r="I203" s="6"/>
      <c r="J203" s="88">
        <v>11.9</v>
      </c>
      <c r="K203" s="4">
        <f>IFERROR(higiene[[#This Row],[Preço por produto]]/PMA,0)</f>
        <v>0</v>
      </c>
      <c r="Q203" t="e">
        <f>#REF!</f>
        <v>#REF!</v>
      </c>
    </row>
    <row r="204" spans="4:17" x14ac:dyDescent="0.25">
      <c r="D204" s="69" t="s">
        <v>3864</v>
      </c>
      <c r="E204" s="39">
        <v>0.32</v>
      </c>
      <c r="F204" s="86">
        <v>3.4</v>
      </c>
      <c r="H204" s="4" t="s">
        <v>3988</v>
      </c>
      <c r="I204" s="6"/>
      <c r="J204" s="89">
        <v>22.93</v>
      </c>
      <c r="K204" s="4">
        <f>IFERROR(higiene[[#This Row],[Preço por produto]]/PMA,0)</f>
        <v>0</v>
      </c>
      <c r="Q204" t="e">
        <f>#REF!</f>
        <v>#REF!</v>
      </c>
    </row>
    <row r="205" spans="4:17" x14ac:dyDescent="0.25">
      <c r="D205" s="69" t="s">
        <v>3865</v>
      </c>
      <c r="E205" s="39">
        <v>0.34</v>
      </c>
      <c r="F205" s="86">
        <v>5.63</v>
      </c>
      <c r="H205" s="4" t="s">
        <v>72</v>
      </c>
      <c r="I205" s="6"/>
      <c r="J205" s="88"/>
      <c r="K205" s="4">
        <f>IFERROR(higiene[[#This Row],[Preço por produto]]/PMA,0)</f>
        <v>0</v>
      </c>
      <c r="Q205" t="e">
        <f>#REF!</f>
        <v>#REF!</v>
      </c>
    </row>
    <row r="206" spans="4:17" x14ac:dyDescent="0.25">
      <c r="D206" s="69" t="s">
        <v>3866</v>
      </c>
      <c r="E206" s="39">
        <v>0.375</v>
      </c>
      <c r="F206" s="86">
        <v>11.98</v>
      </c>
      <c r="H206" s="4" t="s">
        <v>3989</v>
      </c>
      <c r="I206" s="6">
        <v>0</v>
      </c>
      <c r="J206" s="89">
        <v>39.99</v>
      </c>
      <c r="K206" s="4">
        <f>IFERROR(higiene[[#This Row],[Preço por produto]]/PMA,0)</f>
        <v>0</v>
      </c>
      <c r="Q206" t="e">
        <f>#REF!</f>
        <v>#REF!</v>
      </c>
    </row>
    <row r="207" spans="4:17" x14ac:dyDescent="0.25">
      <c r="D207" s="69" t="s">
        <v>3867</v>
      </c>
      <c r="E207" s="39">
        <v>0.4</v>
      </c>
      <c r="F207" s="86">
        <v>12.78</v>
      </c>
      <c r="H207" s="4" t="s">
        <v>73</v>
      </c>
      <c r="I207" s="6"/>
      <c r="J207" s="88"/>
      <c r="K207" s="4">
        <f>IFERROR(higiene[[#This Row],[Preço por produto]]/PMA,0)</f>
        <v>0</v>
      </c>
      <c r="Q207" t="e">
        <f>#REF!</f>
        <v>#REF!</v>
      </c>
    </row>
    <row r="208" spans="4:17" x14ac:dyDescent="0.25">
      <c r="D208" s="69" t="s">
        <v>3868</v>
      </c>
      <c r="E208" s="39">
        <v>0.52</v>
      </c>
      <c r="F208" s="86">
        <v>3.29</v>
      </c>
      <c r="H208" s="4" t="s">
        <v>47</v>
      </c>
      <c r="I208" s="6"/>
      <c r="J208" s="89">
        <v>3.99</v>
      </c>
      <c r="K208" s="4">
        <f>IFERROR(higiene[[#This Row],[Preço por produto]]/PMA,0)</f>
        <v>0</v>
      </c>
      <c r="Q208" t="e">
        <f>#REF!</f>
        <v>#REF!</v>
      </c>
    </row>
    <row r="209" spans="4:17" x14ac:dyDescent="0.25">
      <c r="D209" s="69" t="s">
        <v>61</v>
      </c>
      <c r="E209" s="39"/>
      <c r="F209" s="40"/>
      <c r="H209" s="4" t="s">
        <v>3990</v>
      </c>
      <c r="I209" s="6"/>
      <c r="J209" s="88">
        <v>11.99</v>
      </c>
      <c r="K209" s="4">
        <f>IFERROR(higiene[[#This Row],[Preço por produto]]/PMA,0)</f>
        <v>0</v>
      </c>
      <c r="Q209" t="e">
        <f>#REF!</f>
        <v>#REF!</v>
      </c>
    </row>
    <row r="210" spans="4:17" x14ac:dyDescent="0.25">
      <c r="D210" s="69" t="s">
        <v>3662</v>
      </c>
      <c r="E210" s="39">
        <v>1</v>
      </c>
      <c r="F210" s="86">
        <v>5.28</v>
      </c>
      <c r="H210" s="4" t="s">
        <v>3991</v>
      </c>
      <c r="I210" s="6">
        <v>1.6</v>
      </c>
      <c r="J210" s="89">
        <v>11.78</v>
      </c>
      <c r="K210" s="4">
        <f>IFERROR(higiene[[#This Row],[Preço por produto]]/PMA,0)</f>
        <v>0</v>
      </c>
      <c r="Q210" t="e">
        <f>#REF!</f>
        <v>#REF!</v>
      </c>
    </row>
    <row r="211" spans="4:17" x14ac:dyDescent="0.25">
      <c r="D211" s="69" t="s">
        <v>2277</v>
      </c>
      <c r="E211" s="39">
        <v>0.17</v>
      </c>
      <c r="F211" s="86">
        <v>12.69</v>
      </c>
      <c r="H211" s="4" t="s">
        <v>49</v>
      </c>
      <c r="I211" s="6"/>
      <c r="J211" s="88">
        <v>4.58</v>
      </c>
      <c r="K211" s="4">
        <f>IFERROR(higiene[[#This Row],[Preço por produto]]/PMA,0)</f>
        <v>0</v>
      </c>
      <c r="Q211" t="e">
        <f>#REF!</f>
        <v>#REF!</v>
      </c>
    </row>
    <row r="212" spans="4:17" x14ac:dyDescent="0.25">
      <c r="D212" s="69" t="s">
        <v>1067</v>
      </c>
      <c r="E212" s="39">
        <v>0.5</v>
      </c>
      <c r="F212" s="86">
        <v>6.19</v>
      </c>
      <c r="H212" s="4" t="s">
        <v>3992</v>
      </c>
      <c r="I212" s="6"/>
      <c r="J212" s="89">
        <v>24.69</v>
      </c>
      <c r="K212" s="4">
        <f>IFERROR(higiene[[#This Row],[Preço por produto]]/PMA,0)</f>
        <v>0</v>
      </c>
      <c r="Q212" t="e">
        <f>#REF!</f>
        <v>#REF!</v>
      </c>
    </row>
    <row r="213" spans="4:17" x14ac:dyDescent="0.25">
      <c r="D213" s="69" t="s">
        <v>1032</v>
      </c>
      <c r="E213" s="39">
        <v>1</v>
      </c>
      <c r="F213" s="86">
        <v>8.49</v>
      </c>
      <c r="H213" s="4" t="s">
        <v>50</v>
      </c>
      <c r="I213" s="6"/>
      <c r="J213" s="88">
        <v>15.99</v>
      </c>
      <c r="K213" s="4">
        <f>IFERROR(higiene[[#This Row],[Preço por produto]]/PMA,0)</f>
        <v>0</v>
      </c>
      <c r="Q213" t="e">
        <f>#REF!</f>
        <v>#REF!</v>
      </c>
    </row>
    <row r="214" spans="4:17" x14ac:dyDescent="0.25">
      <c r="D214" s="69" t="s">
        <v>3869</v>
      </c>
      <c r="E214" s="39">
        <v>0.3</v>
      </c>
      <c r="F214" s="86">
        <v>3.69</v>
      </c>
      <c r="H214" s="4" t="s">
        <v>51</v>
      </c>
      <c r="I214" s="6"/>
      <c r="J214" s="89">
        <v>11.6</v>
      </c>
      <c r="K214" s="4">
        <f>IFERROR(higiene[[#This Row],[Preço por produto]]/PMA,0)</f>
        <v>0</v>
      </c>
      <c r="Q214" t="e">
        <f>#REF!</f>
        <v>#REF!</v>
      </c>
    </row>
    <row r="215" spans="4:17" x14ac:dyDescent="0.25">
      <c r="D215" s="69" t="s">
        <v>3870</v>
      </c>
      <c r="E215" s="39">
        <v>0.5</v>
      </c>
      <c r="F215" s="86">
        <v>4.6900000000000004</v>
      </c>
      <c r="H215" s="4" t="s">
        <v>3993</v>
      </c>
      <c r="I215" s="6">
        <v>0.4</v>
      </c>
      <c r="J215" s="88">
        <v>16.690000000000001</v>
      </c>
      <c r="K215" s="4">
        <f>IFERROR(higiene[[#This Row],[Preço por produto]]/PMA,0)</f>
        <v>0</v>
      </c>
      <c r="Q215" t="e">
        <f>#REF!</f>
        <v>#REF!</v>
      </c>
    </row>
    <row r="216" spans="4:17" x14ac:dyDescent="0.25">
      <c r="D216" s="69" t="s">
        <v>2291</v>
      </c>
      <c r="E216" s="39">
        <v>0.45</v>
      </c>
      <c r="F216" s="86">
        <v>12.4</v>
      </c>
      <c r="H216" s="73" t="s">
        <v>4243</v>
      </c>
      <c r="I216" s="74">
        <v>1</v>
      </c>
      <c r="J216" s="90">
        <v>8.4499999999999993</v>
      </c>
      <c r="K216" s="73">
        <f>IFERROR(higiene[[#This Row],[Preço por produto]]/PMA,0)</f>
        <v>0</v>
      </c>
      <c r="Q216" t="e">
        <f>#REF!</f>
        <v>#REF!</v>
      </c>
    </row>
    <row r="217" spans="4:17" x14ac:dyDescent="0.25">
      <c r="D217" s="69" t="s">
        <v>3874</v>
      </c>
      <c r="E217" s="39">
        <v>0.5</v>
      </c>
      <c r="F217" s="86">
        <v>5.99</v>
      </c>
      <c r="H217" s="4" t="s">
        <v>3179</v>
      </c>
      <c r="I217" s="6">
        <v>0.8</v>
      </c>
      <c r="J217" s="88">
        <v>8</v>
      </c>
      <c r="K217" s="4">
        <f>IFERROR(higiene[[#This Row],[Preço por produto]]/PMA,0)</f>
        <v>0</v>
      </c>
      <c r="Q217" t="e">
        <f>#REF!</f>
        <v>#REF!</v>
      </c>
    </row>
    <row r="218" spans="4:17" x14ac:dyDescent="0.25">
      <c r="D218" s="69" t="s">
        <v>3285</v>
      </c>
      <c r="E218" s="39">
        <v>0.35</v>
      </c>
      <c r="F218" s="86">
        <v>6.59</v>
      </c>
      <c r="H218" s="4" t="s">
        <v>2819</v>
      </c>
      <c r="I218" s="6">
        <v>1</v>
      </c>
      <c r="J218" s="89">
        <v>1.29</v>
      </c>
      <c r="K218" s="4">
        <f>IFERROR(higiene[[#This Row],[Preço por produto]]/PMA,0)</f>
        <v>0</v>
      </c>
      <c r="Q218" t="e">
        <f>#REF!</f>
        <v>#REF!</v>
      </c>
    </row>
    <row r="219" spans="4:17" x14ac:dyDescent="0.25">
      <c r="D219" s="69" t="s">
        <v>3871</v>
      </c>
      <c r="E219" s="39">
        <v>0.5</v>
      </c>
      <c r="F219" s="86">
        <v>5.95</v>
      </c>
      <c r="H219" s="4" t="s">
        <v>48</v>
      </c>
      <c r="I219" s="6">
        <v>2</v>
      </c>
      <c r="J219" s="88">
        <v>15.99</v>
      </c>
      <c r="K219" s="4">
        <f>IFERROR(higiene[[#This Row],[Preço por produto]]/PMA,0)</f>
        <v>0</v>
      </c>
      <c r="Q219" t="e">
        <f>#REF!</f>
        <v>#REF!</v>
      </c>
    </row>
    <row r="220" spans="4:17" x14ac:dyDescent="0.25">
      <c r="D220" s="69" t="s">
        <v>3872</v>
      </c>
      <c r="E220" s="39">
        <v>1</v>
      </c>
      <c r="F220" s="86">
        <v>5.28</v>
      </c>
      <c r="H220" s="4" t="s">
        <v>48</v>
      </c>
      <c r="I220" s="6"/>
      <c r="J220" s="89">
        <v>15.99</v>
      </c>
      <c r="K220" s="4">
        <f>IFERROR(higiene[[#This Row],[Preço por produto]]/PMA,0)</f>
        <v>0</v>
      </c>
      <c r="Q220" t="e">
        <f>#REF!</f>
        <v>#REF!</v>
      </c>
    </row>
    <row r="221" spans="4:17" x14ac:dyDescent="0.25">
      <c r="D221" s="69" t="s">
        <v>3873</v>
      </c>
      <c r="E221" s="39">
        <v>0.21</v>
      </c>
      <c r="F221" s="86">
        <v>8.5299999999999994</v>
      </c>
      <c r="H221" s="4" t="s">
        <v>1109</v>
      </c>
      <c r="I221" s="6"/>
      <c r="J221" s="88">
        <v>18.170000000000002</v>
      </c>
      <c r="K221" s="4">
        <f>IFERROR(higiene[[#This Row],[Preço por produto]]/PMA,0)</f>
        <v>0</v>
      </c>
      <c r="Q221" t="e">
        <f>#REF!</f>
        <v>#REF!</v>
      </c>
    </row>
    <row r="222" spans="4:17" x14ac:dyDescent="0.25">
      <c r="D222" s="69" t="s">
        <v>2310</v>
      </c>
      <c r="E222" s="39">
        <v>0.23</v>
      </c>
      <c r="F222" s="86">
        <v>5.99</v>
      </c>
      <c r="H222" s="4" t="s">
        <v>1110</v>
      </c>
      <c r="I222" s="6"/>
      <c r="J222" s="89">
        <v>24.9</v>
      </c>
      <c r="K222" s="4">
        <f>IFERROR(higiene[[#This Row],[Preço por produto]]/PMA,0)</f>
        <v>0</v>
      </c>
      <c r="Q222" t="e">
        <f>#REF!</f>
        <v>#REF!</v>
      </c>
    </row>
    <row r="223" spans="4:17" x14ac:dyDescent="0.25">
      <c r="D223" s="69" t="s">
        <v>1051</v>
      </c>
      <c r="E223" s="39">
        <v>0.15</v>
      </c>
      <c r="F223" s="86">
        <v>3.59</v>
      </c>
      <c r="H223" s="4" t="s">
        <v>3994</v>
      </c>
      <c r="I223" s="6">
        <v>1</v>
      </c>
      <c r="J223" s="88">
        <v>9.98</v>
      </c>
      <c r="K223" s="4">
        <f>IFERROR(higiene[[#This Row],[Preço por produto]]/PMA,0)</f>
        <v>0</v>
      </c>
      <c r="Q223" t="e">
        <f>#REF!</f>
        <v>#REF!</v>
      </c>
    </row>
    <row r="224" spans="4:17" x14ac:dyDescent="0.25">
      <c r="D224" s="69" t="s">
        <v>3288</v>
      </c>
      <c r="E224" s="39">
        <v>0.2</v>
      </c>
      <c r="F224" s="86">
        <v>6.49</v>
      </c>
      <c r="H224" s="4" t="s">
        <v>1058</v>
      </c>
      <c r="I224" s="6"/>
      <c r="J224" s="89">
        <v>17</v>
      </c>
      <c r="K224" s="4">
        <f>IFERROR(higiene[[#This Row],[Preço por produto]]/PMA,0)</f>
        <v>0</v>
      </c>
      <c r="Q224" t="e">
        <f>#REF!</f>
        <v>#REF!</v>
      </c>
    </row>
    <row r="225" spans="4:17" x14ac:dyDescent="0.25">
      <c r="D225" s="69" t="s">
        <v>263</v>
      </c>
      <c r="E225" s="39">
        <v>0.25</v>
      </c>
      <c r="F225" s="86">
        <v>7.9</v>
      </c>
      <c r="H225" s="4" t="s">
        <v>3452</v>
      </c>
      <c r="I225" s="6">
        <v>0.1</v>
      </c>
      <c r="J225" s="88">
        <v>4.95</v>
      </c>
      <c r="K225" s="4">
        <f>IFERROR(higiene[[#This Row],[Preço por produto]]/PMA,0)</f>
        <v>0</v>
      </c>
      <c r="Q225" t="e">
        <f>#REF!</f>
        <v>#REF!</v>
      </c>
    </row>
    <row r="226" spans="4:17" x14ac:dyDescent="0.25">
      <c r="D226" s="69" t="s">
        <v>157</v>
      </c>
      <c r="E226" s="39">
        <v>0.3</v>
      </c>
      <c r="F226" s="86">
        <v>7.99</v>
      </c>
      <c r="H226" s="4" t="s">
        <v>268</v>
      </c>
      <c r="I226" s="6"/>
      <c r="J226" s="89">
        <v>3.79</v>
      </c>
      <c r="K226" s="4">
        <f>IFERROR(higiene[[#This Row],[Preço por produto]]/PMA,0)</f>
        <v>0</v>
      </c>
      <c r="Q226" t="e">
        <f>#REF!</f>
        <v>#REF!</v>
      </c>
    </row>
    <row r="227" spans="4:17" x14ac:dyDescent="0.25">
      <c r="D227" s="69" t="s">
        <v>1553</v>
      </c>
      <c r="E227" s="39">
        <v>0.4</v>
      </c>
      <c r="F227" s="86">
        <v>2.99</v>
      </c>
      <c r="H227" s="4" t="s">
        <v>2006</v>
      </c>
      <c r="I227" s="6"/>
      <c r="J227" s="88">
        <v>3.53</v>
      </c>
      <c r="K227" s="4">
        <f>IFERROR(higiene[[#This Row],[Preço por produto]]/PMA,0)</f>
        <v>0</v>
      </c>
      <c r="Q227" t="e">
        <f>#REF!</f>
        <v>#REF!</v>
      </c>
    </row>
    <row r="228" spans="4:17" x14ac:dyDescent="0.25">
      <c r="D228" s="69" t="s">
        <v>158</v>
      </c>
      <c r="E228" s="39">
        <v>0.5</v>
      </c>
      <c r="F228" s="86">
        <v>6.13</v>
      </c>
      <c r="H228" s="4" t="s">
        <v>3453</v>
      </c>
      <c r="I228" s="6">
        <v>0.18</v>
      </c>
      <c r="J228" s="89">
        <v>3.29</v>
      </c>
      <c r="K228" s="4">
        <f>IFERROR(higiene[[#This Row],[Preço por produto]]/PMA,0)</f>
        <v>0</v>
      </c>
      <c r="Q228" t="e">
        <f>#REF!</f>
        <v>#REF!</v>
      </c>
    </row>
    <row r="229" spans="4:17" x14ac:dyDescent="0.25">
      <c r="D229" s="69" t="s">
        <v>3875</v>
      </c>
      <c r="E229" s="39">
        <v>0.25</v>
      </c>
      <c r="F229" s="86">
        <v>4.0999999999999996</v>
      </c>
      <c r="H229" s="4" t="s">
        <v>3450</v>
      </c>
      <c r="I229" s="6">
        <v>1</v>
      </c>
      <c r="J229" s="88">
        <v>4.3</v>
      </c>
      <c r="K229" s="4">
        <f>IFERROR(higiene[[#This Row],[Preço por produto]]/PMA,0)</f>
        <v>0</v>
      </c>
      <c r="Q229" t="e">
        <f>#REF!</f>
        <v>#REF!</v>
      </c>
    </row>
    <row r="230" spans="4:17" x14ac:dyDescent="0.25">
      <c r="D230" s="69" t="s">
        <v>2321</v>
      </c>
      <c r="E230" s="39">
        <v>0.4</v>
      </c>
      <c r="F230" s="86">
        <v>8.99</v>
      </c>
      <c r="H230" s="4" t="s">
        <v>1111</v>
      </c>
      <c r="I230" s="6"/>
      <c r="J230" s="89">
        <v>16.989999999999998</v>
      </c>
      <c r="K230" s="4">
        <f>IFERROR(higiene[[#This Row],[Preço por produto]]/PMA,0)</f>
        <v>0</v>
      </c>
      <c r="Q230" t="e">
        <f>#REF!</f>
        <v>#REF!</v>
      </c>
    </row>
    <row r="231" spans="4:17" x14ac:dyDescent="0.25">
      <c r="D231" s="69" t="s">
        <v>8</v>
      </c>
      <c r="E231" s="39">
        <v>1</v>
      </c>
      <c r="F231" s="86">
        <v>7.99</v>
      </c>
      <c r="H231" s="4" t="s">
        <v>3995</v>
      </c>
      <c r="I231" s="6"/>
      <c r="J231" s="88">
        <v>18.920000000000002</v>
      </c>
      <c r="K231" s="4">
        <f>IFERROR(higiene[[#This Row],[Preço por produto]]/PMA,0)</f>
        <v>0</v>
      </c>
      <c r="Q231" t="e">
        <f>#REF!</f>
        <v>#REF!</v>
      </c>
    </row>
    <row r="232" spans="4:17" x14ac:dyDescent="0.25">
      <c r="D232" s="69" t="s">
        <v>9</v>
      </c>
      <c r="E232" s="39">
        <v>2</v>
      </c>
      <c r="F232" s="86">
        <v>13.86</v>
      </c>
      <c r="H232" s="4" t="s">
        <v>3996</v>
      </c>
      <c r="I232" s="6"/>
      <c r="J232" s="89">
        <v>16.59</v>
      </c>
      <c r="K232" s="4">
        <f>IFERROR(higiene[[#This Row],[Preço por produto]]/PMA,0)</f>
        <v>0</v>
      </c>
      <c r="Q232" t="e">
        <f>#REF!</f>
        <v>#REF!</v>
      </c>
    </row>
    <row r="233" spans="4:17" x14ac:dyDescent="0.25">
      <c r="D233" s="69" t="s">
        <v>146</v>
      </c>
      <c r="E233" s="39">
        <v>0.5</v>
      </c>
      <c r="F233" s="86">
        <v>6.28</v>
      </c>
      <c r="H233" s="4" t="s">
        <v>1579</v>
      </c>
      <c r="I233" s="6">
        <v>1</v>
      </c>
      <c r="J233" s="88">
        <v>2.59</v>
      </c>
      <c r="K233" s="4">
        <f>IFERROR(higiene[[#This Row],[Preço por produto]]/PMA,0)</f>
        <v>0</v>
      </c>
      <c r="Q233" t="e">
        <f>#REF!</f>
        <v>#REF!</v>
      </c>
    </row>
    <row r="234" spans="4:17" x14ac:dyDescent="0.25">
      <c r="D234" s="69" t="s">
        <v>3877</v>
      </c>
      <c r="E234" s="39">
        <v>0.38</v>
      </c>
      <c r="F234" s="86">
        <v>6.85</v>
      </c>
      <c r="H234" s="4" t="s">
        <v>3019</v>
      </c>
      <c r="I234" s="6">
        <v>4</v>
      </c>
      <c r="J234" s="89">
        <v>1.0900000000000001</v>
      </c>
      <c r="K234" s="4">
        <f>IFERROR(higiene[[#This Row],[Preço por produto]]/PMA,0)</f>
        <v>0</v>
      </c>
      <c r="Q234" t="e">
        <f>#REF!</f>
        <v>#REF!</v>
      </c>
    </row>
    <row r="235" spans="4:17" x14ac:dyDescent="0.25">
      <c r="D235" s="69" t="s">
        <v>3876</v>
      </c>
      <c r="E235" s="39">
        <v>0.49</v>
      </c>
      <c r="F235" s="86">
        <v>9.99</v>
      </c>
      <c r="H235" s="4" t="s">
        <v>269</v>
      </c>
      <c r="I235" s="6"/>
      <c r="J235" s="88">
        <v>1.69</v>
      </c>
      <c r="K235" s="4">
        <f>IFERROR(higiene[[#This Row],[Preço por produto]]/PMA,0)</f>
        <v>0</v>
      </c>
      <c r="Q235" t="e">
        <f>#REF!</f>
        <v>#REF!</v>
      </c>
    </row>
    <row r="236" spans="4:17" x14ac:dyDescent="0.25">
      <c r="D236" s="69" t="s">
        <v>2345</v>
      </c>
      <c r="E236" s="39">
        <v>0.43</v>
      </c>
      <c r="F236" s="86">
        <v>11.6</v>
      </c>
      <c r="H236" s="4" t="s">
        <v>1112</v>
      </c>
      <c r="I236" s="6"/>
      <c r="J236" s="89">
        <v>1.35</v>
      </c>
      <c r="K236" s="4">
        <f>IFERROR(higiene[[#This Row],[Preço por produto]]/PMA,0)</f>
        <v>0</v>
      </c>
      <c r="Q236" t="e">
        <f>#REF!</f>
        <v>#REF!</v>
      </c>
    </row>
    <row r="237" spans="4:17" x14ac:dyDescent="0.25">
      <c r="D237" s="69" t="s">
        <v>3878</v>
      </c>
      <c r="E237" s="39">
        <v>0.83</v>
      </c>
      <c r="F237" s="86">
        <v>22.7</v>
      </c>
      <c r="H237" s="4" t="s">
        <v>1251</v>
      </c>
      <c r="I237" s="6">
        <v>0.68</v>
      </c>
      <c r="J237" s="88">
        <v>16.09</v>
      </c>
      <c r="K237" s="4">
        <f>IFERROR(higiene[[#This Row],[Preço por produto]]/PMA,0)</f>
        <v>0</v>
      </c>
      <c r="Q237" t="e">
        <f>#REF!</f>
        <v>#REF!</v>
      </c>
    </row>
    <row r="238" spans="4:17" x14ac:dyDescent="0.25">
      <c r="D238" s="69" t="s">
        <v>1036</v>
      </c>
      <c r="E238" s="39">
        <v>0.1</v>
      </c>
      <c r="F238" s="86">
        <v>2.99</v>
      </c>
      <c r="H238" s="4" t="s">
        <v>2005</v>
      </c>
      <c r="I238" s="6"/>
      <c r="J238" s="89">
        <v>1.2</v>
      </c>
      <c r="K238" s="4">
        <f>IFERROR(higiene[[#This Row],[Preço por produto]]/PMA,0)</f>
        <v>0</v>
      </c>
      <c r="Q238" t="e">
        <f>#REF!</f>
        <v>#REF!</v>
      </c>
    </row>
    <row r="239" spans="4:17" x14ac:dyDescent="0.25">
      <c r="D239" s="69" t="s">
        <v>3605</v>
      </c>
      <c r="E239" s="39">
        <v>0.25</v>
      </c>
      <c r="F239" s="86">
        <v>8.1999999999999993</v>
      </c>
      <c r="H239" s="4" t="s">
        <v>3997</v>
      </c>
      <c r="I239" s="6">
        <v>0.2</v>
      </c>
      <c r="J239" s="88">
        <v>6.99</v>
      </c>
      <c r="K239" s="4">
        <f>IFERROR(higiene[[#This Row],[Preço por produto]]/PMA,0)</f>
        <v>0</v>
      </c>
      <c r="Q239" t="e">
        <f>#REF!</f>
        <v>#REF!</v>
      </c>
    </row>
    <row r="240" spans="4:17" x14ac:dyDescent="0.25">
      <c r="D240" s="69" t="s">
        <v>3880</v>
      </c>
      <c r="E240" s="39">
        <v>0.85</v>
      </c>
      <c r="F240" s="86">
        <v>7.95</v>
      </c>
      <c r="H240" s="4" t="s">
        <v>3998</v>
      </c>
      <c r="I240" s="6"/>
      <c r="J240" s="89">
        <v>8.59</v>
      </c>
      <c r="K240" s="4">
        <f>IFERROR(higiene[[#This Row],[Preço por produto]]/PMA,0)</f>
        <v>0</v>
      </c>
      <c r="Q240" t="e">
        <f>#REF!</f>
        <v>#REF!</v>
      </c>
    </row>
    <row r="241" spans="4:17" x14ac:dyDescent="0.25">
      <c r="D241" s="69" t="s">
        <v>3879</v>
      </c>
      <c r="E241" s="39">
        <v>0.01</v>
      </c>
      <c r="F241" s="86">
        <v>4.5</v>
      </c>
      <c r="H241" s="4" t="s">
        <v>3999</v>
      </c>
      <c r="I241" s="6">
        <v>0.5</v>
      </c>
      <c r="J241" s="88">
        <v>11.99</v>
      </c>
      <c r="K241" s="4">
        <f>IFERROR(higiene[[#This Row],[Preço por produto]]/PMA,0)</f>
        <v>0</v>
      </c>
      <c r="Q241" t="e">
        <f>#REF!</f>
        <v>#REF!</v>
      </c>
    </row>
    <row r="242" spans="4:17" x14ac:dyDescent="0.25">
      <c r="D242" s="69" t="s">
        <v>2349</v>
      </c>
      <c r="E242" s="39">
        <v>0.5</v>
      </c>
      <c r="F242" s="86">
        <v>10.59</v>
      </c>
      <c r="H242" s="4" t="s">
        <v>4002</v>
      </c>
      <c r="I242" s="6">
        <v>5</v>
      </c>
      <c r="J242" s="89">
        <v>9.49</v>
      </c>
      <c r="K242" s="4">
        <f>IFERROR(higiene[[#This Row],[Preço por produto]]/PMA,0)</f>
        <v>0</v>
      </c>
      <c r="Q242" t="e">
        <f>#REF!</f>
        <v>#REF!</v>
      </c>
    </row>
    <row r="243" spans="4:17" x14ac:dyDescent="0.25">
      <c r="D243" s="69" t="s">
        <v>3881</v>
      </c>
      <c r="E243" s="39">
        <v>0.5</v>
      </c>
      <c r="F243" s="86">
        <v>6.78</v>
      </c>
      <c r="H243" s="4" t="s">
        <v>4000</v>
      </c>
      <c r="I243" s="6">
        <v>3</v>
      </c>
      <c r="J243" s="88">
        <v>15.91</v>
      </c>
      <c r="K243" s="4">
        <f>IFERROR(higiene[[#This Row],[Preço por produto]]/PMA,0)</f>
        <v>0</v>
      </c>
      <c r="Q243" t="e">
        <f>#REF!</f>
        <v>#REF!</v>
      </c>
    </row>
    <row r="244" spans="4:17" x14ac:dyDescent="0.25">
      <c r="D244" s="69" t="s">
        <v>112</v>
      </c>
      <c r="E244" s="39">
        <v>1</v>
      </c>
      <c r="F244" s="86">
        <v>8.5</v>
      </c>
      <c r="H244" s="4" t="s">
        <v>4001</v>
      </c>
      <c r="I244" s="6"/>
      <c r="J244" s="89">
        <v>3.99</v>
      </c>
      <c r="K244" s="4">
        <f>IFERROR(higiene[[#This Row],[Preço por produto]]/PMA,0)</f>
        <v>0</v>
      </c>
      <c r="Q244" t="e">
        <f>#REF!</f>
        <v>#REF!</v>
      </c>
    </row>
    <row r="245" spans="4:17" x14ac:dyDescent="0.25">
      <c r="D245" s="69" t="s">
        <v>111</v>
      </c>
      <c r="E245" s="39">
        <v>0.5</v>
      </c>
      <c r="F245" s="86">
        <v>4.1900000000000004</v>
      </c>
      <c r="H245" s="4" t="s">
        <v>4003</v>
      </c>
      <c r="I245" s="6">
        <v>6</v>
      </c>
      <c r="J245" s="88">
        <v>3.99</v>
      </c>
      <c r="K245" s="4">
        <f>IFERROR(higiene[[#This Row],[Preço por produto]]/PMA,0)</f>
        <v>0</v>
      </c>
      <c r="Q245" t="e">
        <f>#REF!</f>
        <v>#REF!</v>
      </c>
    </row>
    <row r="246" spans="4:17" x14ac:dyDescent="0.25">
      <c r="D246" s="69" t="s">
        <v>3882</v>
      </c>
      <c r="E246" s="39">
        <v>5</v>
      </c>
      <c r="F246" s="86">
        <v>19.489999999999998</v>
      </c>
      <c r="H246" s="73" t="s">
        <v>4165</v>
      </c>
      <c r="I246" s="74">
        <v>50</v>
      </c>
      <c r="J246" s="90">
        <v>21.9</v>
      </c>
      <c r="K246" s="73">
        <f>IFERROR(higiene[[#This Row],[Preço por produto]]/PMA,0)</f>
        <v>0</v>
      </c>
      <c r="Q246" t="e">
        <f>#REF!</f>
        <v>#REF!</v>
      </c>
    </row>
    <row r="247" spans="4:17" x14ac:dyDescent="0.25">
      <c r="D247" s="69" t="s">
        <v>62</v>
      </c>
      <c r="E247" s="39"/>
      <c r="F247" s="40"/>
      <c r="H247" s="73" t="s">
        <v>4111</v>
      </c>
      <c r="I247" s="74">
        <v>10</v>
      </c>
      <c r="J247" s="90">
        <v>5.85</v>
      </c>
      <c r="K247" s="73">
        <f>IFERROR(higiene[[#This Row],[Preço por produto]]/PMA,0)</f>
        <v>0</v>
      </c>
      <c r="Q247" t="e">
        <f>#REF!</f>
        <v>#REF!</v>
      </c>
    </row>
    <row r="248" spans="4:17" x14ac:dyDescent="0.25">
      <c r="D248" s="69" t="s">
        <v>3799</v>
      </c>
      <c r="E248" s="39">
        <v>0.5</v>
      </c>
      <c r="F248" s="86">
        <v>4.99</v>
      </c>
      <c r="H248" s="4" t="s">
        <v>4004</v>
      </c>
      <c r="I248" s="6">
        <v>0.8</v>
      </c>
      <c r="J248" s="89">
        <v>9.99</v>
      </c>
      <c r="K248" s="4">
        <f>IFERROR(higiene[[#This Row],[Preço por produto]]/PMA,0)</f>
        <v>0</v>
      </c>
      <c r="Q248" t="e">
        <f>#REF!</f>
        <v>#REF!</v>
      </c>
    </row>
    <row r="249" spans="4:17" x14ac:dyDescent="0.25">
      <c r="D249" s="69" t="s">
        <v>3177</v>
      </c>
      <c r="E249" s="39">
        <v>1.2E-2</v>
      </c>
      <c r="F249" s="86">
        <v>2.8</v>
      </c>
      <c r="H249" s="4" t="s">
        <v>1049</v>
      </c>
      <c r="I249" s="6"/>
      <c r="J249" s="88">
        <v>12.9</v>
      </c>
      <c r="K249" s="4">
        <f>IFERROR(higiene[[#This Row],[Preço por produto]]/PMA,0)</f>
        <v>0</v>
      </c>
      <c r="Q249" t="e">
        <f>#REF!</f>
        <v>#REF!</v>
      </c>
    </row>
    <row r="250" spans="4:17" x14ac:dyDescent="0.25">
      <c r="D250" s="69" t="s">
        <v>2365</v>
      </c>
      <c r="E250" s="39">
        <v>0.02</v>
      </c>
      <c r="F250" s="86">
        <v>1.48</v>
      </c>
      <c r="H250" s="4" t="s">
        <v>2829</v>
      </c>
      <c r="I250" s="6">
        <v>1</v>
      </c>
      <c r="J250" s="89">
        <v>9.9</v>
      </c>
      <c r="K250" s="4">
        <f>IFERROR(higiene[[#This Row],[Preço por produto]]/PMA,0)</f>
        <v>0</v>
      </c>
      <c r="Q250" t="e">
        <f>#REF!</f>
        <v>#REF!</v>
      </c>
    </row>
    <row r="251" spans="4:17" x14ac:dyDescent="0.25">
      <c r="D251" s="78" t="s">
        <v>4154</v>
      </c>
      <c r="E251" s="79">
        <v>2.5000000000000001E-2</v>
      </c>
      <c r="F251" s="87">
        <v>1.79</v>
      </c>
      <c r="H251" s="4" t="s">
        <v>4005</v>
      </c>
      <c r="I251" s="6">
        <v>0.25</v>
      </c>
      <c r="J251" s="89">
        <v>13.49</v>
      </c>
      <c r="K251" s="4">
        <f>IFERROR(higiene[[#This Row],[Preço por produto]]/PMA,0)</f>
        <v>0</v>
      </c>
      <c r="Q251" t="e">
        <f>#REF!</f>
        <v>#REF!</v>
      </c>
    </row>
    <row r="252" spans="4:17" x14ac:dyDescent="0.25">
      <c r="D252" s="78" t="s">
        <v>4154</v>
      </c>
      <c r="E252" s="79">
        <v>2.5000000000000001E-2</v>
      </c>
      <c r="F252" s="87">
        <v>1.79</v>
      </c>
      <c r="H252" s="4" t="s">
        <v>4007</v>
      </c>
      <c r="I252" s="6">
        <v>0.3</v>
      </c>
      <c r="J252" s="88">
        <v>9.99</v>
      </c>
      <c r="K252" s="4">
        <f>IFERROR(higiene[[#This Row],[Preço por produto]]/PMA,0)</f>
        <v>0</v>
      </c>
      <c r="Q252" t="e">
        <f>#REF!</f>
        <v>#REF!</v>
      </c>
    </row>
    <row r="253" spans="4:17" x14ac:dyDescent="0.25">
      <c r="D253" s="69" t="s">
        <v>1068</v>
      </c>
      <c r="E253" s="39">
        <v>0.03</v>
      </c>
      <c r="F253" s="86">
        <v>0.99</v>
      </c>
      <c r="H253" s="4" t="s">
        <v>4006</v>
      </c>
      <c r="I253" s="6">
        <v>1</v>
      </c>
      <c r="J253" s="89">
        <v>7.99</v>
      </c>
      <c r="K253" s="4">
        <f>IFERROR(higiene[[#This Row],[Preço por produto]]/PMA,0)</f>
        <v>0</v>
      </c>
      <c r="Q253" t="e">
        <f>#REF!</f>
        <v>#REF!</v>
      </c>
    </row>
    <row r="254" spans="4:17" x14ac:dyDescent="0.25">
      <c r="D254" s="69" t="s">
        <v>139</v>
      </c>
      <c r="E254" s="39">
        <v>3.5000000000000003E-2</v>
      </c>
      <c r="F254" s="86">
        <v>1.19</v>
      </c>
      <c r="H254" s="73" t="s">
        <v>4211</v>
      </c>
      <c r="I254" s="74">
        <v>1</v>
      </c>
      <c r="J254" s="74">
        <v>6.99</v>
      </c>
      <c r="K254" s="73">
        <f>IFERROR(higiene[[#This Row],[Preço por produto]]/PMA,0)</f>
        <v>0</v>
      </c>
      <c r="Q254" t="e">
        <f>#REF!</f>
        <v>#REF!</v>
      </c>
    </row>
    <row r="255" spans="4:17" x14ac:dyDescent="0.25">
      <c r="D255" s="69" t="s">
        <v>3658</v>
      </c>
      <c r="E255" s="39">
        <v>0.05</v>
      </c>
      <c r="F255" s="86">
        <v>5.89</v>
      </c>
      <c r="H255" s="4" t="s">
        <v>1113</v>
      </c>
      <c r="I255" s="6"/>
      <c r="J255" s="6" t="s">
        <v>4091</v>
      </c>
      <c r="K255" s="4">
        <f>IFERROR(higiene[[#This Row],[Preço por produto]]/PMA,0)</f>
        <v>0</v>
      </c>
      <c r="Q255" t="e">
        <f>#REF!</f>
        <v>#REF!</v>
      </c>
    </row>
    <row r="256" spans="4:17" x14ac:dyDescent="0.25">
      <c r="D256" s="69" t="s">
        <v>3883</v>
      </c>
      <c r="E256" s="40">
        <v>0.23</v>
      </c>
      <c r="F256" s="86">
        <v>19.899999999999999</v>
      </c>
      <c r="H256" s="73" t="s">
        <v>4187</v>
      </c>
      <c r="I256" s="74">
        <v>1</v>
      </c>
      <c r="J256" s="74">
        <v>11.29</v>
      </c>
      <c r="K256" s="73">
        <f>IFERROR(higiene[[#This Row],[Preço por produto]]/PMA,0)</f>
        <v>0</v>
      </c>
      <c r="Q256" t="e">
        <f>#REF!</f>
        <v>#REF!</v>
      </c>
    </row>
    <row r="257" spans="4:17" x14ac:dyDescent="0.25">
      <c r="D257" s="69" t="s">
        <v>3884</v>
      </c>
      <c r="E257" s="40">
        <v>0.1</v>
      </c>
      <c r="F257" s="86">
        <v>4.58</v>
      </c>
      <c r="H257" s="4" t="s">
        <v>4008</v>
      </c>
      <c r="I257" s="6">
        <v>0.5</v>
      </c>
      <c r="J257" s="89">
        <v>7.29</v>
      </c>
      <c r="K257" s="4">
        <f>IFERROR(higiene[[#This Row],[Preço por produto]]/PMA,0)</f>
        <v>0</v>
      </c>
      <c r="Q257" t="e">
        <f>#REF!</f>
        <v>#REF!</v>
      </c>
    </row>
    <row r="258" spans="4:17" x14ac:dyDescent="0.25">
      <c r="D258" s="69" t="s">
        <v>2381</v>
      </c>
      <c r="E258" s="40">
        <v>0.2</v>
      </c>
      <c r="F258" s="86">
        <v>8.49</v>
      </c>
      <c r="H258" s="4" t="s">
        <v>4009</v>
      </c>
      <c r="I258" s="6">
        <v>1</v>
      </c>
      <c r="J258" s="88">
        <v>11.99</v>
      </c>
      <c r="K258" s="4">
        <f>IFERROR(higiene[[#This Row],[Preço por produto]]/PMA,0)</f>
        <v>0</v>
      </c>
      <c r="Q258" t="e">
        <f>#REF!</f>
        <v>#REF!</v>
      </c>
    </row>
    <row r="259" spans="4:17" x14ac:dyDescent="0.25">
      <c r="D259" s="69" t="s">
        <v>3363</v>
      </c>
      <c r="E259" s="39">
        <v>0.25</v>
      </c>
      <c r="F259" s="86">
        <v>11.1</v>
      </c>
      <c r="H259" s="4" t="s">
        <v>74</v>
      </c>
      <c r="I259" s="6"/>
      <c r="J259" s="6"/>
      <c r="K259" s="4">
        <f>IFERROR(higiene[[#This Row],[Preço por produto]]/PMA,0)</f>
        <v>0</v>
      </c>
      <c r="Q259" t="e">
        <f>#REF!</f>
        <v>#REF!</v>
      </c>
    </row>
    <row r="260" spans="4:17" x14ac:dyDescent="0.25">
      <c r="D260" s="69" t="s">
        <v>261</v>
      </c>
      <c r="E260" s="40">
        <v>0.3</v>
      </c>
      <c r="F260" s="86">
        <v>5.48</v>
      </c>
      <c r="H260" s="4" t="s">
        <v>150</v>
      </c>
      <c r="I260" s="6"/>
      <c r="J260" s="88">
        <v>9.99</v>
      </c>
      <c r="K260" s="4">
        <f>IFERROR(higiene[[#This Row],[Preço por produto]]/PMA,0)</f>
        <v>0</v>
      </c>
      <c r="Q260" t="e">
        <f>#REF!</f>
        <v>#REF!</v>
      </c>
    </row>
    <row r="261" spans="4:17" x14ac:dyDescent="0.25">
      <c r="D261" s="69" t="s">
        <v>160</v>
      </c>
      <c r="E261" s="39">
        <v>0.4</v>
      </c>
      <c r="F261" s="86">
        <v>9.48</v>
      </c>
      <c r="H261" s="4" t="s">
        <v>179</v>
      </c>
      <c r="I261" s="6"/>
      <c r="J261" s="89">
        <v>17.989999999999998</v>
      </c>
      <c r="K261" s="4">
        <f>IFERROR(higiene[[#This Row],[Preço por produto]]/PMA,0)</f>
        <v>0</v>
      </c>
      <c r="Q261" t="e">
        <f>#REF!</f>
        <v>#REF!</v>
      </c>
    </row>
    <row r="262" spans="4:17" x14ac:dyDescent="0.25">
      <c r="D262" s="69" t="s">
        <v>140</v>
      </c>
      <c r="E262" s="39">
        <v>0.5</v>
      </c>
      <c r="F262" s="86">
        <v>21.99</v>
      </c>
      <c r="H262" s="4" t="s">
        <v>4010</v>
      </c>
      <c r="I262" s="6"/>
      <c r="J262" s="88">
        <v>16.989999999999998</v>
      </c>
      <c r="K262" s="4">
        <f>IFERROR(higiene[[#This Row],[Preço por produto]]/PMA,0)</f>
        <v>0</v>
      </c>
      <c r="Q262" t="e">
        <f>#REF!</f>
        <v>#REF!</v>
      </c>
    </row>
    <row r="263" spans="4:17" x14ac:dyDescent="0.25">
      <c r="D263" s="69" t="s">
        <v>1019</v>
      </c>
      <c r="E263" s="39">
        <v>0.13</v>
      </c>
      <c r="F263" s="86">
        <v>5.8</v>
      </c>
      <c r="H263" s="4" t="s">
        <v>4011</v>
      </c>
      <c r="I263" s="6"/>
      <c r="J263" s="89">
        <v>16.59</v>
      </c>
      <c r="K263" s="4">
        <f>IFERROR(higiene[[#This Row],[Preço por produto]]/PMA,0)</f>
        <v>0</v>
      </c>
      <c r="Q263" t="e">
        <f>#REF!</f>
        <v>#REF!</v>
      </c>
    </row>
    <row r="264" spans="4:17" x14ac:dyDescent="0.25">
      <c r="D264" s="69" t="s">
        <v>1069</v>
      </c>
      <c r="E264" s="39">
        <v>0.15</v>
      </c>
      <c r="F264" s="86">
        <v>5.55</v>
      </c>
      <c r="H264" s="4" t="s">
        <v>75</v>
      </c>
      <c r="I264" s="6"/>
      <c r="J264" s="6"/>
      <c r="K264" s="4">
        <f>IFERROR(higiene[[#This Row],[Preço por produto]]/PMA,0)</f>
        <v>0</v>
      </c>
      <c r="Q264" t="e">
        <f>#REF!</f>
        <v>#REF!</v>
      </c>
    </row>
    <row r="265" spans="4:17" x14ac:dyDescent="0.25">
      <c r="D265" s="69" t="s">
        <v>1017</v>
      </c>
      <c r="E265" s="39">
        <v>1</v>
      </c>
      <c r="F265" s="86">
        <v>17.690000000000001</v>
      </c>
      <c r="H265" s="4" t="s">
        <v>76</v>
      </c>
      <c r="I265" s="6"/>
      <c r="J265" s="6"/>
      <c r="K265" s="4">
        <f>IFERROR(higiene[[#This Row],[Preço por produto]]/PMA,0)</f>
        <v>0</v>
      </c>
      <c r="Q265" t="e">
        <f>#REF!</f>
        <v>#REF!</v>
      </c>
    </row>
    <row r="266" spans="4:17" x14ac:dyDescent="0.25">
      <c r="D266" s="69" t="s">
        <v>1070</v>
      </c>
      <c r="E266" s="39">
        <v>0.5</v>
      </c>
      <c r="F266" s="86">
        <v>6.19</v>
      </c>
      <c r="H266" s="4" t="s">
        <v>2766</v>
      </c>
      <c r="I266" s="6">
        <v>0.4</v>
      </c>
      <c r="J266" s="88">
        <v>15.9</v>
      </c>
      <c r="K266" s="4">
        <f>IFERROR(higiene[[#This Row],[Preço por produto]]/PMA,0)</f>
        <v>0</v>
      </c>
      <c r="Q266" t="e">
        <f>#REF!</f>
        <v>#REF!</v>
      </c>
    </row>
    <row r="267" spans="4:17" x14ac:dyDescent="0.25">
      <c r="D267" s="69" t="s">
        <v>3654</v>
      </c>
      <c r="E267" s="39">
        <v>0.05</v>
      </c>
      <c r="F267" s="86">
        <v>1.78</v>
      </c>
      <c r="H267" s="4" t="s">
        <v>77</v>
      </c>
      <c r="I267" s="6"/>
      <c r="J267" s="6"/>
      <c r="K267" s="4">
        <f>IFERROR(higiene[[#This Row],[Preço por produto]]/PMA,0)</f>
        <v>0</v>
      </c>
      <c r="Q267" t="e">
        <f>#REF!</f>
        <v>#REF!</v>
      </c>
    </row>
    <row r="268" spans="4:17" x14ac:dyDescent="0.25">
      <c r="D268" s="69" t="s">
        <v>3800</v>
      </c>
      <c r="E268" s="39">
        <v>0.3</v>
      </c>
      <c r="F268" s="86">
        <v>3.09</v>
      </c>
      <c r="H268" s="4" t="s">
        <v>78</v>
      </c>
      <c r="I268" s="6"/>
      <c r="J268" s="6"/>
      <c r="K268" s="4">
        <f>IFERROR(higiene[[#This Row],[Preço por produto]]/PMA,0)</f>
        <v>0</v>
      </c>
      <c r="Q268" t="e">
        <f>#REF!</f>
        <v>#REF!</v>
      </c>
    </row>
    <row r="269" spans="4:17" x14ac:dyDescent="0.25">
      <c r="D269" s="69" t="s">
        <v>2393</v>
      </c>
      <c r="E269" s="40">
        <v>0.5</v>
      </c>
      <c r="F269" s="86">
        <v>8.98</v>
      </c>
      <c r="H269" s="4" t="s">
        <v>79</v>
      </c>
      <c r="I269" s="6"/>
      <c r="J269" s="6"/>
      <c r="K269" s="4">
        <f>IFERROR(higiene[[#This Row],[Preço por produto]]/PMA,0)</f>
        <v>0</v>
      </c>
      <c r="Q269" t="e">
        <f>#REF!</f>
        <v>#REF!</v>
      </c>
    </row>
    <row r="270" spans="4:17" x14ac:dyDescent="0.25">
      <c r="D270" s="69" t="s">
        <v>3885</v>
      </c>
      <c r="E270" s="39">
        <v>0.08</v>
      </c>
      <c r="F270" s="86">
        <v>0.96</v>
      </c>
      <c r="H270" s="4" t="s">
        <v>80</v>
      </c>
      <c r="I270" s="6"/>
      <c r="J270" s="6"/>
      <c r="K270" s="4">
        <f>IFERROR(higiene[[#This Row],[Preço por produto]]/PMA,0)</f>
        <v>0</v>
      </c>
      <c r="Q270" t="e">
        <f>#REF!</f>
        <v>#REF!</v>
      </c>
    </row>
    <row r="271" spans="4:17" x14ac:dyDescent="0.25">
      <c r="D271" s="69" t="s">
        <v>63</v>
      </c>
      <c r="E271" s="39"/>
      <c r="F271" s="40"/>
      <c r="Q271" t="e">
        <f>#REF!</f>
        <v>#REF!</v>
      </c>
    </row>
    <row r="272" spans="4:17" x14ac:dyDescent="0.25">
      <c r="D272" s="69" t="s">
        <v>64</v>
      </c>
      <c r="E272" s="39"/>
      <c r="F272" s="40"/>
      <c r="Q272" t="e">
        <f>#REF!</f>
        <v>#REF!</v>
      </c>
    </row>
    <row r="273" spans="4:17" x14ac:dyDescent="0.25">
      <c r="D273" s="69" t="s">
        <v>65</v>
      </c>
      <c r="E273" s="39"/>
      <c r="F273" s="40"/>
      <c r="Q273" t="e">
        <f>#REF!</f>
        <v>#REF!</v>
      </c>
    </row>
    <row r="274" spans="4:17" x14ac:dyDescent="0.25">
      <c r="D274" s="69" t="s">
        <v>1950</v>
      </c>
      <c r="E274" s="39">
        <v>0.5</v>
      </c>
      <c r="F274" s="86">
        <v>6.23</v>
      </c>
      <c r="Q274" t="e">
        <f>#REF!</f>
        <v>#REF!</v>
      </c>
    </row>
    <row r="275" spans="4:17" x14ac:dyDescent="0.25">
      <c r="D275" s="38" t="s">
        <v>4040</v>
      </c>
      <c r="E275" s="39"/>
      <c r="F275" s="86"/>
      <c r="Q275" t="e">
        <f>#REF!</f>
        <v>#REF!</v>
      </c>
    </row>
    <row r="276" spans="4:17" x14ac:dyDescent="0.25">
      <c r="D276" s="69" t="s">
        <v>3886</v>
      </c>
      <c r="E276" s="39">
        <v>1</v>
      </c>
      <c r="F276" s="86">
        <v>20.2</v>
      </c>
      <c r="Q276" t="e">
        <f>#REF!</f>
        <v>#REF!</v>
      </c>
    </row>
    <row r="277" spans="4:17" x14ac:dyDescent="0.25">
      <c r="D277" s="69" t="s">
        <v>829</v>
      </c>
      <c r="E277" s="39">
        <v>0.4</v>
      </c>
      <c r="F277" s="86">
        <v>6.7</v>
      </c>
      <c r="Q277" t="e">
        <f>#REF!</f>
        <v>#REF!</v>
      </c>
    </row>
    <row r="278" spans="4:17" x14ac:dyDescent="0.25">
      <c r="D278" s="69" t="s">
        <v>1012</v>
      </c>
      <c r="E278" s="39">
        <v>0.5</v>
      </c>
      <c r="F278" s="86">
        <v>18.989999999999998</v>
      </c>
      <c r="Q278" t="e">
        <f>#REF!</f>
        <v>#REF!</v>
      </c>
    </row>
    <row r="279" spans="4:17" x14ac:dyDescent="0.25">
      <c r="D279" s="69" t="s">
        <v>66</v>
      </c>
      <c r="E279" s="39"/>
      <c r="F279" s="86"/>
      <c r="Q279" t="e">
        <f>#REF!</f>
        <v>#REF!</v>
      </c>
    </row>
    <row r="280" spans="4:17" x14ac:dyDescent="0.25">
      <c r="D280" s="69" t="s">
        <v>3801</v>
      </c>
      <c r="E280" s="39">
        <v>12</v>
      </c>
      <c r="F280" s="86">
        <v>45</v>
      </c>
      <c r="Q280" t="e">
        <f>#REF!</f>
        <v>#REF!</v>
      </c>
    </row>
    <row r="281" spans="4:17" x14ac:dyDescent="0.25">
      <c r="D281" s="69" t="s">
        <v>3458</v>
      </c>
      <c r="E281" s="39">
        <v>1</v>
      </c>
      <c r="F281" s="86">
        <v>5.79</v>
      </c>
      <c r="Q281" t="e">
        <f>#REF!</f>
        <v>#REF!</v>
      </c>
    </row>
    <row r="282" spans="4:17" x14ac:dyDescent="0.25">
      <c r="D282" s="69" t="s">
        <v>1741</v>
      </c>
      <c r="E282" s="39">
        <v>6</v>
      </c>
      <c r="F282" s="86">
        <v>22.5</v>
      </c>
      <c r="Q282" t="e">
        <f>#REF!</f>
        <v>#REF!</v>
      </c>
    </row>
    <row r="283" spans="4:17" x14ac:dyDescent="0.25">
      <c r="D283" s="69" t="s">
        <v>3802</v>
      </c>
      <c r="E283" s="39">
        <v>0.4</v>
      </c>
      <c r="F283" s="86">
        <v>4.59</v>
      </c>
      <c r="Q283" t="e">
        <f>#REF!</f>
        <v>#REF!</v>
      </c>
    </row>
    <row r="284" spans="4:17" x14ac:dyDescent="0.25">
      <c r="D284" s="69" t="s">
        <v>1044</v>
      </c>
      <c r="E284" s="39">
        <v>0.2</v>
      </c>
      <c r="F284" s="86">
        <v>4.99</v>
      </c>
      <c r="Q284" t="e">
        <f>#REF!</f>
        <v>#REF!</v>
      </c>
    </row>
    <row r="285" spans="4:17" x14ac:dyDescent="0.25">
      <c r="D285" s="69" t="s">
        <v>3887</v>
      </c>
      <c r="E285" s="39">
        <v>1</v>
      </c>
      <c r="F285" s="86">
        <v>7.39</v>
      </c>
      <c r="Q285" t="e">
        <f>#REF!</f>
        <v>#REF!</v>
      </c>
    </row>
    <row r="286" spans="4:17" x14ac:dyDescent="0.25">
      <c r="D286" s="69" t="s">
        <v>3362</v>
      </c>
      <c r="E286" s="39">
        <v>1</v>
      </c>
      <c r="F286" s="86">
        <v>41.49</v>
      </c>
      <c r="Q286" t="e">
        <f>#REF!</f>
        <v>#REF!</v>
      </c>
    </row>
    <row r="287" spans="4:17" x14ac:dyDescent="0.25">
      <c r="D287" s="69" t="s">
        <v>1043</v>
      </c>
      <c r="E287" s="39">
        <v>0.2</v>
      </c>
      <c r="F287" s="86">
        <v>20.2</v>
      </c>
      <c r="Q287" t="e">
        <f>#REF!</f>
        <v>#REF!</v>
      </c>
    </row>
    <row r="288" spans="4:17" x14ac:dyDescent="0.25">
      <c r="D288" s="69" t="s">
        <v>3888</v>
      </c>
      <c r="E288" s="39">
        <v>0.28000000000000003</v>
      </c>
      <c r="F288" s="86">
        <v>24.2</v>
      </c>
      <c r="Q288" t="e">
        <f>#REF!</f>
        <v>#REF!</v>
      </c>
    </row>
    <row r="289" spans="4:17" x14ac:dyDescent="0.25">
      <c r="D289" s="69" t="s">
        <v>3889</v>
      </c>
      <c r="E289" s="39">
        <v>0.3</v>
      </c>
      <c r="F289" s="86">
        <v>12.9</v>
      </c>
      <c r="Q289" t="e">
        <f>#REF!</f>
        <v>#REF!</v>
      </c>
    </row>
    <row r="290" spans="4:17" x14ac:dyDescent="0.25">
      <c r="D290" s="78" t="s">
        <v>4229</v>
      </c>
      <c r="E290" s="79">
        <v>0.38</v>
      </c>
      <c r="F290" s="80">
        <v>17</v>
      </c>
      <c r="Q290" t="e">
        <f>#REF!</f>
        <v>#REF!</v>
      </c>
    </row>
    <row r="291" spans="4:17" x14ac:dyDescent="0.25">
      <c r="D291" s="69" t="s">
        <v>3890</v>
      </c>
      <c r="E291" s="39">
        <v>0.4</v>
      </c>
      <c r="F291" s="86">
        <v>17.8</v>
      </c>
      <c r="Q291" t="e">
        <f>#REF!</f>
        <v>#REF!</v>
      </c>
    </row>
    <row r="292" spans="4:17" x14ac:dyDescent="0.25">
      <c r="D292" s="69" t="s">
        <v>1071</v>
      </c>
      <c r="E292" s="39">
        <v>0.5</v>
      </c>
      <c r="F292" s="86">
        <v>41.89</v>
      </c>
      <c r="H292" s="3"/>
      <c r="I292" s="3"/>
      <c r="J292" s="3"/>
      <c r="Q292" t="e">
        <f>#REF!</f>
        <v>#REF!</v>
      </c>
    </row>
    <row r="293" spans="4:17" x14ac:dyDescent="0.25">
      <c r="D293" s="69" t="s">
        <v>3891</v>
      </c>
      <c r="E293" s="39">
        <v>0.8</v>
      </c>
      <c r="F293" s="86">
        <v>39.89</v>
      </c>
      <c r="Q293" t="e">
        <f>#REF!</f>
        <v>#REF!</v>
      </c>
    </row>
    <row r="294" spans="4:17" x14ac:dyDescent="0.25">
      <c r="D294" s="69" t="s">
        <v>10</v>
      </c>
      <c r="E294" s="39">
        <v>1</v>
      </c>
      <c r="F294" s="86">
        <v>11.9</v>
      </c>
      <c r="Q294" t="e">
        <f>#REF!</f>
        <v>#REF!</v>
      </c>
    </row>
    <row r="295" spans="4:17" x14ac:dyDescent="0.25">
      <c r="D295" s="69" t="s">
        <v>114</v>
      </c>
      <c r="E295" s="39">
        <v>0.2</v>
      </c>
      <c r="F295" s="86">
        <v>2.99</v>
      </c>
      <c r="Q295" t="e">
        <f>#REF!</f>
        <v>#REF!</v>
      </c>
    </row>
    <row r="296" spans="4:17" x14ac:dyDescent="0.25">
      <c r="D296" s="69" t="s">
        <v>2438</v>
      </c>
      <c r="E296" s="39">
        <v>0.3</v>
      </c>
      <c r="F296" s="86">
        <v>5.84</v>
      </c>
      <c r="Q296" t="e">
        <f>#REF!</f>
        <v>#REF!</v>
      </c>
    </row>
    <row r="297" spans="4:17" x14ac:dyDescent="0.25">
      <c r="D297" s="69" t="s">
        <v>3896</v>
      </c>
      <c r="E297" s="39">
        <v>0.38</v>
      </c>
      <c r="F297" s="86">
        <v>7.69</v>
      </c>
      <c r="Q297" t="e">
        <f>#REF!</f>
        <v>#REF!</v>
      </c>
    </row>
    <row r="298" spans="4:17" x14ac:dyDescent="0.25">
      <c r="D298" s="69" t="s">
        <v>262</v>
      </c>
      <c r="E298" s="39">
        <v>0.5</v>
      </c>
      <c r="F298" s="86">
        <v>11.8</v>
      </c>
      <c r="Q298" t="e">
        <f>#REF!</f>
        <v>#REF!</v>
      </c>
    </row>
    <row r="299" spans="4:17" x14ac:dyDescent="0.25">
      <c r="D299" s="69" t="s">
        <v>67</v>
      </c>
      <c r="E299" s="39"/>
      <c r="F299" s="86"/>
      <c r="Q299" t="e">
        <f>#REF!</f>
        <v>#REF!</v>
      </c>
    </row>
    <row r="300" spans="4:17" x14ac:dyDescent="0.25">
      <c r="D300" s="69" t="s">
        <v>3892</v>
      </c>
      <c r="E300" s="39">
        <v>4.4999999999999998E-2</v>
      </c>
      <c r="F300" s="86">
        <v>3.99</v>
      </c>
      <c r="Q300" t="e">
        <f>#REF!</f>
        <v>#REF!</v>
      </c>
    </row>
    <row r="301" spans="4:17" x14ac:dyDescent="0.25">
      <c r="D301" s="69" t="s">
        <v>191</v>
      </c>
      <c r="E301" s="39">
        <v>1</v>
      </c>
      <c r="F301" s="86">
        <v>18.38</v>
      </c>
      <c r="Q301" t="e">
        <f>#REF!</f>
        <v>#REF!</v>
      </c>
    </row>
    <row r="302" spans="4:17" x14ac:dyDescent="0.25">
      <c r="D302" s="69" t="s">
        <v>1072</v>
      </c>
      <c r="E302" s="39">
        <v>0.2</v>
      </c>
      <c r="F302" s="86">
        <v>5.2</v>
      </c>
      <c r="Q302" t="e">
        <f>#REF!</f>
        <v>#REF!</v>
      </c>
    </row>
    <row r="303" spans="4:17" x14ac:dyDescent="0.25">
      <c r="D303" s="69" t="s">
        <v>2830</v>
      </c>
      <c r="E303" s="39">
        <v>0.3</v>
      </c>
      <c r="F303" s="86">
        <v>4.8</v>
      </c>
      <c r="Q303" t="e">
        <f>#REF!</f>
        <v>#REF!</v>
      </c>
    </row>
    <row r="304" spans="4:17" x14ac:dyDescent="0.25">
      <c r="D304" s="69" t="s">
        <v>115</v>
      </c>
      <c r="E304" s="39">
        <v>0.5</v>
      </c>
      <c r="F304" s="86">
        <v>4.9000000000000004</v>
      </c>
      <c r="Q304" t="e">
        <f>#REF!</f>
        <v>#REF!</v>
      </c>
    </row>
    <row r="305" spans="4:17" x14ac:dyDescent="0.25">
      <c r="D305" s="69" t="s">
        <v>1073</v>
      </c>
      <c r="E305" s="39">
        <v>1</v>
      </c>
      <c r="F305" s="86">
        <v>4.99</v>
      </c>
      <c r="Q305" t="e">
        <f>#REF!</f>
        <v>#REF!</v>
      </c>
    </row>
    <row r="306" spans="4:17" x14ac:dyDescent="0.25">
      <c r="D306" s="69" t="s">
        <v>1020</v>
      </c>
      <c r="E306" s="39">
        <v>0.2</v>
      </c>
      <c r="F306" s="86">
        <v>3.18</v>
      </c>
      <c r="Q306" t="e">
        <f>#REF!</f>
        <v>#REF!</v>
      </c>
    </row>
    <row r="307" spans="4:17" x14ac:dyDescent="0.25">
      <c r="D307" s="69" t="s">
        <v>1027</v>
      </c>
      <c r="E307" s="39">
        <v>0.25</v>
      </c>
      <c r="F307" s="86">
        <v>3.98</v>
      </c>
      <c r="Q307" t="e">
        <f>#REF!</f>
        <v>#REF!</v>
      </c>
    </row>
    <row r="308" spans="4:17" x14ac:dyDescent="0.25">
      <c r="D308" s="69" t="s">
        <v>2480</v>
      </c>
      <c r="E308" s="39">
        <v>0.27</v>
      </c>
      <c r="F308" s="86">
        <v>5.53</v>
      </c>
      <c r="Q308" t="e">
        <f>#REF!</f>
        <v>#REF!</v>
      </c>
    </row>
    <row r="309" spans="4:17" x14ac:dyDescent="0.25">
      <c r="D309" s="69" t="s">
        <v>1022</v>
      </c>
      <c r="E309" s="39">
        <v>0.3</v>
      </c>
      <c r="F309" s="86">
        <v>8.99</v>
      </c>
      <c r="Q309" t="e">
        <f>#REF!</f>
        <v>#REF!</v>
      </c>
    </row>
    <row r="310" spans="4:17" x14ac:dyDescent="0.25">
      <c r="D310" s="69" t="s">
        <v>1041</v>
      </c>
      <c r="E310" s="39">
        <v>0.4</v>
      </c>
      <c r="F310" s="86">
        <v>15.9</v>
      </c>
      <c r="Q310" t="e">
        <f>#REF!</f>
        <v>#REF!</v>
      </c>
    </row>
    <row r="311" spans="4:17" x14ac:dyDescent="0.25">
      <c r="D311" s="69" t="s">
        <v>163</v>
      </c>
      <c r="E311" s="39">
        <v>0.5</v>
      </c>
      <c r="F311" s="86">
        <v>5.5</v>
      </c>
      <c r="Q311" t="e">
        <f>#REF!</f>
        <v>#REF!</v>
      </c>
    </row>
    <row r="312" spans="4:17" x14ac:dyDescent="0.25">
      <c r="D312" s="69" t="s">
        <v>1054</v>
      </c>
      <c r="E312" s="39">
        <v>0.7</v>
      </c>
      <c r="F312" s="86">
        <v>6.98</v>
      </c>
      <c r="Q312" t="e">
        <f>#REF!</f>
        <v>#REF!</v>
      </c>
    </row>
    <row r="313" spans="4:17" x14ac:dyDescent="0.25">
      <c r="D313" s="69" t="s">
        <v>11</v>
      </c>
      <c r="E313" s="39">
        <v>0.2</v>
      </c>
      <c r="F313" s="86">
        <v>10.65</v>
      </c>
      <c r="Q313" t="e">
        <f>#REF!</f>
        <v>#REF!</v>
      </c>
    </row>
    <row r="314" spans="4:17" x14ac:dyDescent="0.25">
      <c r="D314" s="69" t="s">
        <v>12</v>
      </c>
      <c r="E314" s="39">
        <v>0.5</v>
      </c>
      <c r="F314" s="86">
        <v>10.59</v>
      </c>
      <c r="Q314" t="e">
        <f>#REF!</f>
        <v>#REF!</v>
      </c>
    </row>
    <row r="315" spans="4:17" x14ac:dyDescent="0.25">
      <c r="D315" s="69" t="s">
        <v>1033</v>
      </c>
      <c r="E315" s="39">
        <v>0.05</v>
      </c>
      <c r="F315" s="86">
        <v>5.79</v>
      </c>
      <c r="Q315" t="e">
        <f>#REF!</f>
        <v>#REF!</v>
      </c>
    </row>
    <row r="316" spans="4:17" x14ac:dyDescent="0.25">
      <c r="D316" s="69" t="s">
        <v>3893</v>
      </c>
      <c r="E316" s="39">
        <v>0.2</v>
      </c>
      <c r="F316" s="86">
        <v>4.8499999999999996</v>
      </c>
      <c r="Q316" t="e">
        <f>#REF!</f>
        <v>#REF!</v>
      </c>
    </row>
    <row r="317" spans="4:17" x14ac:dyDescent="0.25">
      <c r="D317" s="69" t="s">
        <v>3894</v>
      </c>
      <c r="E317" s="39">
        <v>0.5</v>
      </c>
      <c r="F317" s="86">
        <v>6.98</v>
      </c>
      <c r="Q317" t="e">
        <f>#REF!</f>
        <v>#REF!</v>
      </c>
    </row>
    <row r="318" spans="4:17" x14ac:dyDescent="0.25">
      <c r="D318" s="69" t="s">
        <v>3895</v>
      </c>
      <c r="E318" s="39">
        <v>0.23</v>
      </c>
      <c r="F318" s="86">
        <v>2.68</v>
      </c>
      <c r="Q318" t="e">
        <f>#REF!</f>
        <v>#REF!</v>
      </c>
    </row>
    <row r="319" spans="4:17" x14ac:dyDescent="0.25">
      <c r="D319" s="69" t="s">
        <v>3804</v>
      </c>
      <c r="E319" s="39">
        <v>0.5</v>
      </c>
      <c r="F319" s="86">
        <v>1.8</v>
      </c>
      <c r="Q319" t="e">
        <f>#REF!</f>
        <v>#REF!</v>
      </c>
    </row>
    <row r="320" spans="4:17" x14ac:dyDescent="0.25">
      <c r="D320" s="69" t="s">
        <v>3454</v>
      </c>
      <c r="E320" s="39">
        <v>0.2</v>
      </c>
      <c r="F320" s="86">
        <v>4.99</v>
      </c>
      <c r="Q320" t="e">
        <f>#REF!</f>
        <v>#REF!</v>
      </c>
    </row>
    <row r="321" spans="4:17" x14ac:dyDescent="0.25">
      <c r="D321" s="69" t="s">
        <v>3805</v>
      </c>
      <c r="E321" s="39">
        <v>0.5</v>
      </c>
      <c r="F321" s="86">
        <v>6.99</v>
      </c>
      <c r="Q321" t="e">
        <f>#REF!</f>
        <v>#REF!</v>
      </c>
    </row>
    <row r="322" spans="4:17" x14ac:dyDescent="0.25">
      <c r="D322" s="69" t="s">
        <v>3803</v>
      </c>
      <c r="E322" s="39">
        <v>0.2</v>
      </c>
      <c r="F322" s="86">
        <v>2.89</v>
      </c>
      <c r="Q322" t="e">
        <f>#REF!</f>
        <v>#REF!</v>
      </c>
    </row>
    <row r="323" spans="4:17" x14ac:dyDescent="0.25">
      <c r="D323" s="69" t="s">
        <v>1037</v>
      </c>
      <c r="E323" s="39">
        <v>0.23</v>
      </c>
      <c r="F323" s="86">
        <v>3.69</v>
      </c>
      <c r="Q323" t="e">
        <f>#REF!</f>
        <v>#REF!</v>
      </c>
    </row>
    <row r="324" spans="4:17" x14ac:dyDescent="0.25">
      <c r="D324" s="69" t="s">
        <v>273</v>
      </c>
      <c r="E324" s="39">
        <v>0.5</v>
      </c>
      <c r="F324" s="86">
        <v>6.19</v>
      </c>
      <c r="Q324" t="e">
        <f>#REF!</f>
        <v>#REF!</v>
      </c>
    </row>
    <row r="325" spans="4:17" x14ac:dyDescent="0.25">
      <c r="D325" s="69" t="s">
        <v>275</v>
      </c>
      <c r="E325" s="39">
        <v>0.08</v>
      </c>
      <c r="F325" s="86">
        <v>1.78</v>
      </c>
      <c r="Q325" t="e">
        <f>#REF!</f>
        <v>#REF!</v>
      </c>
    </row>
    <row r="326" spans="4:17" x14ac:dyDescent="0.25">
      <c r="D326" s="69" t="s">
        <v>3807</v>
      </c>
      <c r="E326" s="39">
        <v>0.3</v>
      </c>
      <c r="F326" s="86">
        <v>4.99</v>
      </c>
      <c r="Q326" t="e">
        <f>#REF!</f>
        <v>#REF!</v>
      </c>
    </row>
    <row r="327" spans="4:17" x14ac:dyDescent="0.25">
      <c r="D327" s="69" t="s">
        <v>3808</v>
      </c>
      <c r="E327" s="39">
        <v>0.4</v>
      </c>
      <c r="F327" s="86">
        <v>5.2</v>
      </c>
      <c r="Q327" t="e">
        <f>#REF!</f>
        <v>#REF!</v>
      </c>
    </row>
    <row r="328" spans="4:17" x14ac:dyDescent="0.25">
      <c r="D328" s="69" t="s">
        <v>3806</v>
      </c>
      <c r="E328" s="39">
        <v>0.45</v>
      </c>
      <c r="F328" s="86">
        <v>4.9800000000000004</v>
      </c>
      <c r="Q328" t="e">
        <f>#REF!</f>
        <v>#REF!</v>
      </c>
    </row>
    <row r="329" spans="4:17" x14ac:dyDescent="0.25">
      <c r="D329" s="69" t="s">
        <v>3809</v>
      </c>
      <c r="E329" s="39">
        <v>0.3</v>
      </c>
      <c r="F329" s="86">
        <v>13.49</v>
      </c>
      <c r="Q329" t="e">
        <f>#REF!</f>
        <v>#REF!</v>
      </c>
    </row>
    <row r="330" spans="4:17" x14ac:dyDescent="0.25">
      <c r="D330" s="69" t="s">
        <v>2529</v>
      </c>
      <c r="E330" s="39">
        <v>0.3</v>
      </c>
      <c r="F330" s="86">
        <v>7.99</v>
      </c>
      <c r="Q330" t="e">
        <f>#REF!</f>
        <v>#REF!</v>
      </c>
    </row>
    <row r="331" spans="4:17" x14ac:dyDescent="0.25">
      <c r="D331" s="69" t="s">
        <v>3343</v>
      </c>
      <c r="E331" s="39">
        <v>0.21</v>
      </c>
      <c r="F331" s="86">
        <v>6.9</v>
      </c>
      <c r="Q331" t="e">
        <f>#REF!</f>
        <v>#REF!</v>
      </c>
    </row>
    <row r="332" spans="4:17" x14ac:dyDescent="0.25">
      <c r="D332" s="69" t="s">
        <v>3897</v>
      </c>
      <c r="E332" s="39">
        <v>0.15</v>
      </c>
      <c r="F332" s="86">
        <v>3.19</v>
      </c>
      <c r="Q332" t="e">
        <f>#REF!</f>
        <v>#REF!</v>
      </c>
    </row>
    <row r="333" spans="4:17" x14ac:dyDescent="0.25">
      <c r="D333" s="69" t="s">
        <v>3898</v>
      </c>
      <c r="E333" s="39">
        <v>0.2</v>
      </c>
      <c r="F333" s="86">
        <v>3.78</v>
      </c>
      <c r="Q333" t="e">
        <f>#REF!</f>
        <v>#REF!</v>
      </c>
    </row>
    <row r="334" spans="4:17" x14ac:dyDescent="0.25">
      <c r="D334" s="69" t="s">
        <v>3810</v>
      </c>
      <c r="E334" s="39">
        <v>0.13</v>
      </c>
      <c r="F334" s="86">
        <v>2.25</v>
      </c>
      <c r="Q334" t="e">
        <f>#REF!</f>
        <v>#REF!</v>
      </c>
    </row>
    <row r="335" spans="4:17" x14ac:dyDescent="0.25">
      <c r="D335" s="69" t="s">
        <v>3811</v>
      </c>
      <c r="E335" s="39">
        <v>0.19</v>
      </c>
      <c r="F335" s="86">
        <v>1.7</v>
      </c>
      <c r="Q335" t="e">
        <f>#REF!</f>
        <v>#REF!</v>
      </c>
    </row>
    <row r="336" spans="4:17" x14ac:dyDescent="0.25">
      <c r="D336" s="69" t="s">
        <v>1045</v>
      </c>
      <c r="E336" s="39">
        <v>0.26</v>
      </c>
      <c r="F336" s="86">
        <v>2.4900000000000002</v>
      </c>
      <c r="Q336" t="e">
        <f>#REF!</f>
        <v>#REF!</v>
      </c>
    </row>
    <row r="337" spans="4:17" x14ac:dyDescent="0.25">
      <c r="D337" s="69" t="s">
        <v>3815</v>
      </c>
      <c r="E337" s="39">
        <v>2</v>
      </c>
      <c r="F337" s="86">
        <v>7.09</v>
      </c>
      <c r="Q337" t="e">
        <f>#REF!</f>
        <v>#REF!</v>
      </c>
    </row>
    <row r="338" spans="4:17" x14ac:dyDescent="0.25">
      <c r="D338" s="69" t="s">
        <v>866</v>
      </c>
      <c r="E338" s="39">
        <v>0.3</v>
      </c>
      <c r="F338" s="86">
        <v>1.35</v>
      </c>
      <c r="Q338" t="e">
        <f>#REF!</f>
        <v>#REF!</v>
      </c>
    </row>
    <row r="339" spans="4:17" x14ac:dyDescent="0.25">
      <c r="D339" s="78" t="s">
        <v>4103</v>
      </c>
      <c r="E339" s="79">
        <v>0.32</v>
      </c>
      <c r="F339" s="87">
        <v>2.39</v>
      </c>
      <c r="Q339" t="e">
        <f>#REF!</f>
        <v>#REF!</v>
      </c>
    </row>
    <row r="340" spans="4:17" x14ac:dyDescent="0.25">
      <c r="D340" s="69" t="s">
        <v>119</v>
      </c>
      <c r="E340" s="39">
        <v>0.34</v>
      </c>
      <c r="F340" s="86">
        <v>1.0900000000000001</v>
      </c>
      <c r="Q340" t="e">
        <f>#REF!</f>
        <v>#REF!</v>
      </c>
    </row>
    <row r="341" spans="4:17" x14ac:dyDescent="0.25">
      <c r="D341" s="69" t="s">
        <v>3899</v>
      </c>
      <c r="E341" s="39">
        <v>0.39</v>
      </c>
      <c r="F341" s="86">
        <v>3.99</v>
      </c>
      <c r="Q341" t="e">
        <f>#REF!</f>
        <v>#REF!</v>
      </c>
    </row>
    <row r="342" spans="4:17" x14ac:dyDescent="0.25">
      <c r="D342" s="69" t="s">
        <v>3812</v>
      </c>
      <c r="E342" s="39">
        <v>0.4</v>
      </c>
      <c r="F342" s="86">
        <v>16.989999999999998</v>
      </c>
      <c r="Q342" t="e">
        <f>#REF!</f>
        <v>#REF!</v>
      </c>
    </row>
    <row r="343" spans="4:17" x14ac:dyDescent="0.25">
      <c r="D343" s="69" t="s">
        <v>147</v>
      </c>
      <c r="E343" s="39">
        <v>0.44</v>
      </c>
      <c r="F343" s="86">
        <v>11.79</v>
      </c>
      <c r="Q343" t="e">
        <f>#REF!</f>
        <v>#REF!</v>
      </c>
    </row>
    <row r="344" spans="4:17" x14ac:dyDescent="0.25">
      <c r="D344" s="69" t="s">
        <v>3813</v>
      </c>
      <c r="E344" s="39">
        <v>0.52</v>
      </c>
      <c r="F344" s="86">
        <v>4.55</v>
      </c>
      <c r="Q344" t="e">
        <f>#REF!</f>
        <v>#REF!</v>
      </c>
    </row>
    <row r="345" spans="4:17" x14ac:dyDescent="0.25">
      <c r="D345" s="69" t="s">
        <v>3814</v>
      </c>
      <c r="E345" s="39">
        <v>0.68</v>
      </c>
      <c r="F345" s="86">
        <v>10.99</v>
      </c>
      <c r="Q345" t="e">
        <f>#REF!</f>
        <v>#REF!</v>
      </c>
    </row>
    <row r="346" spans="4:17" x14ac:dyDescent="0.25">
      <c r="D346" s="69" t="s">
        <v>2553</v>
      </c>
      <c r="E346" s="39">
        <v>0.3</v>
      </c>
      <c r="F346" s="86">
        <v>4.47</v>
      </c>
      <c r="Q346" t="e">
        <f>#REF!</f>
        <v>#REF!</v>
      </c>
    </row>
    <row r="347" spans="4:17" x14ac:dyDescent="0.25">
      <c r="D347" s="69" t="s">
        <v>2555</v>
      </c>
      <c r="E347" s="39">
        <v>0.19</v>
      </c>
      <c r="F347" s="86">
        <v>3.75</v>
      </c>
      <c r="Q347" t="e">
        <f>#REF!</f>
        <v>#REF!</v>
      </c>
    </row>
    <row r="348" spans="4:17" x14ac:dyDescent="0.25">
      <c r="D348" s="69" t="s">
        <v>2557</v>
      </c>
      <c r="E348" s="39">
        <v>0.2</v>
      </c>
      <c r="F348" s="86">
        <v>4.1900000000000004</v>
      </c>
      <c r="Q348" t="e">
        <f>#REF!</f>
        <v>#REF!</v>
      </c>
    </row>
    <row r="349" spans="4:17" x14ac:dyDescent="0.25">
      <c r="D349" s="69" t="s">
        <v>68</v>
      </c>
      <c r="E349" s="39"/>
      <c r="F349" s="40"/>
      <c r="Q349" t="e">
        <f>#REF!</f>
        <v>#REF!</v>
      </c>
    </row>
    <row r="350" spans="4:17" x14ac:dyDescent="0.25">
      <c r="D350" s="69" t="s">
        <v>1074</v>
      </c>
      <c r="E350" s="39">
        <v>0.2</v>
      </c>
      <c r="F350" s="86">
        <v>18.899999999999999</v>
      </c>
      <c r="Q350" t="e">
        <f>#REF!</f>
        <v>#REF!</v>
      </c>
    </row>
    <row r="351" spans="4:17" x14ac:dyDescent="0.25">
      <c r="D351" s="69" t="s">
        <v>69</v>
      </c>
      <c r="E351" s="39"/>
      <c r="F351" s="86"/>
      <c r="Q351" t="e">
        <f>#REF!</f>
        <v>#REF!</v>
      </c>
    </row>
    <row r="352" spans="4:17" x14ac:dyDescent="0.25">
      <c r="D352" s="40" t="s">
        <v>3900</v>
      </c>
      <c r="E352" s="39">
        <v>0.2</v>
      </c>
      <c r="F352" s="86">
        <v>4.95</v>
      </c>
      <c r="Q352" t="e">
        <f>#REF!</f>
        <v>#REF!</v>
      </c>
    </row>
    <row r="353" spans="4:17" x14ac:dyDescent="0.25">
      <c r="D353" s="69" t="s">
        <v>3816</v>
      </c>
      <c r="E353" s="39">
        <v>0.9</v>
      </c>
      <c r="F353" s="86">
        <v>7.99</v>
      </c>
      <c r="Q353" t="e">
        <f>#REF!</f>
        <v>#REF!</v>
      </c>
    </row>
    <row r="354" spans="4:17" x14ac:dyDescent="0.25">
      <c r="D354" s="40" t="s">
        <v>1075</v>
      </c>
      <c r="E354" s="39">
        <v>0.01</v>
      </c>
      <c r="F354" s="86">
        <v>2.89</v>
      </c>
      <c r="Q354" t="e">
        <f>#REF!</f>
        <v>#REF!</v>
      </c>
    </row>
    <row r="355" spans="4:17" x14ac:dyDescent="0.25">
      <c r="D355" s="40" t="s">
        <v>70</v>
      </c>
      <c r="E355" s="39"/>
      <c r="F355" s="86"/>
      <c r="Q355" t="e">
        <f>#REF!</f>
        <v>#REF!</v>
      </c>
    </row>
    <row r="356" spans="4:17" x14ac:dyDescent="0.25">
      <c r="D356" s="40" t="s">
        <v>1076</v>
      </c>
      <c r="E356" s="39">
        <v>0.3</v>
      </c>
      <c r="F356" s="86">
        <v>11.2</v>
      </c>
      <c r="Q356" t="e">
        <f>#REF!</f>
        <v>#REF!</v>
      </c>
    </row>
    <row r="357" spans="4:17" x14ac:dyDescent="0.25">
      <c r="D357" s="40" t="s">
        <v>1077</v>
      </c>
      <c r="E357" s="39">
        <v>0.5</v>
      </c>
      <c r="F357" s="86">
        <v>27.99</v>
      </c>
      <c r="Q357" t="e">
        <f>#REF!</f>
        <v>#REF!</v>
      </c>
    </row>
    <row r="358" spans="4:17" x14ac:dyDescent="0.25">
      <c r="D358" s="40" t="s">
        <v>1078</v>
      </c>
      <c r="E358" s="39">
        <v>0.53</v>
      </c>
      <c r="F358" s="86">
        <v>28.99</v>
      </c>
      <c r="Q358" t="e">
        <f>#REF!</f>
        <v>#REF!</v>
      </c>
    </row>
    <row r="359" spans="4:17" x14ac:dyDescent="0.25">
      <c r="D359" s="40" t="s">
        <v>2002</v>
      </c>
      <c r="E359" s="39">
        <v>0.4</v>
      </c>
      <c r="F359" s="86">
        <v>13.99</v>
      </c>
      <c r="Q359" t="e">
        <f>#REF!</f>
        <v>#REF!</v>
      </c>
    </row>
    <row r="360" spans="4:17" x14ac:dyDescent="0.25">
      <c r="D360" s="40" t="s">
        <v>2003</v>
      </c>
      <c r="E360" s="39">
        <v>0.5</v>
      </c>
      <c r="F360" s="86">
        <v>21.99</v>
      </c>
      <c r="Q360" t="e">
        <f>#REF!</f>
        <v>#REF!</v>
      </c>
    </row>
    <row r="361" spans="4:17" x14ac:dyDescent="0.25">
      <c r="D361" s="40" t="s">
        <v>1079</v>
      </c>
      <c r="E361" s="39">
        <v>0.08</v>
      </c>
      <c r="F361" s="86">
        <v>6.79</v>
      </c>
      <c r="Q361" t="e">
        <f>#REF!</f>
        <v>#REF!</v>
      </c>
    </row>
    <row r="362" spans="4:17" x14ac:dyDescent="0.25">
      <c r="D362" s="40" t="s">
        <v>1250</v>
      </c>
      <c r="E362" s="39">
        <v>0.5</v>
      </c>
      <c r="F362" s="86">
        <v>11.7</v>
      </c>
      <c r="Q362" t="e">
        <f>#REF!</f>
        <v>#REF!</v>
      </c>
    </row>
    <row r="363" spans="4:17" x14ac:dyDescent="0.25">
      <c r="D363" s="40" t="s">
        <v>1080</v>
      </c>
      <c r="E363" s="39">
        <v>0.2</v>
      </c>
      <c r="F363" s="86">
        <v>10.5</v>
      </c>
      <c r="Q363" t="e">
        <f>#REF!</f>
        <v>#REF!</v>
      </c>
    </row>
    <row r="364" spans="4:17" x14ac:dyDescent="0.25">
      <c r="D364" s="40" t="s">
        <v>1055</v>
      </c>
      <c r="E364" s="39">
        <v>0.24</v>
      </c>
      <c r="F364" s="86">
        <v>12.2</v>
      </c>
      <c r="Q364" t="e">
        <f>#REF!</f>
        <v>#REF!</v>
      </c>
    </row>
    <row r="365" spans="4:17" x14ac:dyDescent="0.25">
      <c r="D365" s="40" t="s">
        <v>1247</v>
      </c>
      <c r="E365" s="39">
        <v>0.3</v>
      </c>
      <c r="F365" s="86">
        <v>14.99</v>
      </c>
      <c r="Q365" t="e">
        <f>#REF!</f>
        <v>#REF!</v>
      </c>
    </row>
    <row r="366" spans="4:17" x14ac:dyDescent="0.25">
      <c r="D366" s="40" t="s">
        <v>121</v>
      </c>
      <c r="E366" s="39">
        <v>0.5</v>
      </c>
      <c r="F366" s="86">
        <v>8.99</v>
      </c>
      <c r="Q366" t="e">
        <f>#REF!</f>
        <v>#REF!</v>
      </c>
    </row>
    <row r="367" spans="4:17" x14ac:dyDescent="0.25">
      <c r="D367" s="71" t="s">
        <v>3817</v>
      </c>
      <c r="E367" s="39">
        <v>0.1</v>
      </c>
      <c r="F367" s="86">
        <v>2.79</v>
      </c>
      <c r="Q367" t="e">
        <f>#REF!</f>
        <v>#REF!</v>
      </c>
    </row>
    <row r="368" spans="4:17" x14ac:dyDescent="0.25">
      <c r="D368" s="71" t="s">
        <v>3818</v>
      </c>
      <c r="E368" s="39">
        <v>0.1</v>
      </c>
      <c r="F368" s="86">
        <v>5.2</v>
      </c>
      <c r="Q368" t="e">
        <f>#REF!</f>
        <v>#REF!</v>
      </c>
    </row>
    <row r="369" spans="4:17" x14ac:dyDescent="0.25">
      <c r="D369" s="40" t="s">
        <v>2608</v>
      </c>
      <c r="E369" s="39">
        <v>0.1</v>
      </c>
      <c r="F369" s="86">
        <v>4.8899999999999997</v>
      </c>
      <c r="Q369" t="e">
        <f>#REF!</f>
        <v>#REF!</v>
      </c>
    </row>
    <row r="370" spans="4:17" x14ac:dyDescent="0.25">
      <c r="D370" s="40" t="s">
        <v>3902</v>
      </c>
      <c r="E370" s="39">
        <v>0.15</v>
      </c>
      <c r="F370" s="86">
        <v>9.34</v>
      </c>
      <c r="Q370" t="e">
        <f>#REF!</f>
        <v>#REF!</v>
      </c>
    </row>
    <row r="371" spans="4:17" x14ac:dyDescent="0.25">
      <c r="D371" s="71" t="s">
        <v>3819</v>
      </c>
      <c r="E371" s="39">
        <v>0.15</v>
      </c>
      <c r="F371" s="86">
        <v>7.49</v>
      </c>
      <c r="Q371" t="e">
        <f>#REF!</f>
        <v>#REF!</v>
      </c>
    </row>
    <row r="372" spans="4:17" x14ac:dyDescent="0.25">
      <c r="D372" s="71" t="s">
        <v>3820</v>
      </c>
      <c r="E372" s="39">
        <v>0.17</v>
      </c>
      <c r="F372" s="86">
        <v>5.99</v>
      </c>
      <c r="Q372" t="e">
        <f>#REF!</f>
        <v>#REF!</v>
      </c>
    </row>
    <row r="373" spans="4:17" x14ac:dyDescent="0.25">
      <c r="D373" s="71" t="s">
        <v>3821</v>
      </c>
      <c r="E373" s="39">
        <v>0.5</v>
      </c>
      <c r="F373" s="86">
        <v>11.5</v>
      </c>
      <c r="Q373" t="e">
        <f>#REF!</f>
        <v>#REF!</v>
      </c>
    </row>
    <row r="374" spans="4:17" x14ac:dyDescent="0.25">
      <c r="D374" s="71" t="s">
        <v>3822</v>
      </c>
      <c r="E374" s="39">
        <v>0.1</v>
      </c>
      <c r="F374" s="86">
        <v>4.49</v>
      </c>
      <c r="Q374" t="e">
        <f>#REF!</f>
        <v>#REF!</v>
      </c>
    </row>
    <row r="375" spans="4:17" x14ac:dyDescent="0.25">
      <c r="D375" s="71" t="s">
        <v>3823</v>
      </c>
      <c r="E375" s="39">
        <v>0.05</v>
      </c>
      <c r="F375" s="86">
        <v>3.19</v>
      </c>
      <c r="Q375" t="e">
        <f>#REF!</f>
        <v>#REF!</v>
      </c>
    </row>
    <row r="376" spans="4:17" x14ac:dyDescent="0.25">
      <c r="D376" s="71" t="s">
        <v>3824</v>
      </c>
      <c r="E376" s="39">
        <v>0.1</v>
      </c>
      <c r="F376" s="86">
        <v>3.39</v>
      </c>
      <c r="Q376" t="e">
        <f>#REF!</f>
        <v>#REF!</v>
      </c>
    </row>
    <row r="377" spans="4:17" x14ac:dyDescent="0.25">
      <c r="D377" s="40" t="s">
        <v>1081</v>
      </c>
      <c r="E377" s="39">
        <v>1</v>
      </c>
      <c r="F377" s="86">
        <v>20.9</v>
      </c>
      <c r="Q377" t="e">
        <f>#REF!</f>
        <v>#REF!</v>
      </c>
    </row>
    <row r="378" spans="4:17" x14ac:dyDescent="0.25">
      <c r="D378" s="40" t="s">
        <v>865</v>
      </c>
      <c r="E378" s="39">
        <v>0.5</v>
      </c>
      <c r="F378" s="86">
        <v>4.3899999999999997</v>
      </c>
      <c r="Q378" t="e">
        <f>#REF!</f>
        <v>#REF!</v>
      </c>
    </row>
    <row r="379" spans="4:17" x14ac:dyDescent="0.25">
      <c r="D379" s="40" t="s">
        <v>1082</v>
      </c>
      <c r="E379" s="39">
        <v>1</v>
      </c>
      <c r="F379" s="86">
        <v>13</v>
      </c>
      <c r="Q379" t="e">
        <f>#REF!</f>
        <v>#REF!</v>
      </c>
    </row>
    <row r="380" spans="4:17" x14ac:dyDescent="0.25">
      <c r="D380" s="40" t="s">
        <v>2625</v>
      </c>
      <c r="E380" s="39">
        <v>0.5</v>
      </c>
      <c r="F380" s="40" t="s">
        <v>4093</v>
      </c>
      <c r="Q380" t="e">
        <f>#REF!</f>
        <v>#REF!</v>
      </c>
    </row>
    <row r="381" spans="4:17" x14ac:dyDescent="0.25">
      <c r="D381" s="40" t="s">
        <v>3903</v>
      </c>
      <c r="E381" s="39">
        <v>0.5</v>
      </c>
      <c r="F381" s="40" t="s">
        <v>4092</v>
      </c>
      <c r="Q381" t="e">
        <f>#REF!</f>
        <v>#REF!</v>
      </c>
    </row>
    <row r="382" spans="4:17" x14ac:dyDescent="0.25">
      <c r="D382" s="71" t="s">
        <v>3825</v>
      </c>
      <c r="E382" s="39">
        <v>1</v>
      </c>
      <c r="F382" s="86">
        <v>13</v>
      </c>
      <c r="Q382" t="e">
        <f>#REF!</f>
        <v>#REF!</v>
      </c>
    </row>
    <row r="383" spans="4:17" x14ac:dyDescent="0.25">
      <c r="D383" s="40" t="s">
        <v>2632</v>
      </c>
      <c r="E383" s="39">
        <v>0.5</v>
      </c>
      <c r="F383" s="86">
        <v>6.2</v>
      </c>
      <c r="Q383" t="e">
        <f>#REF!</f>
        <v>#REF!</v>
      </c>
    </row>
    <row r="384" spans="4:17" x14ac:dyDescent="0.25">
      <c r="D384" s="71" t="s">
        <v>3826</v>
      </c>
      <c r="E384" s="39">
        <v>0.25</v>
      </c>
      <c r="F384" s="86">
        <v>4.96</v>
      </c>
      <c r="Q384" t="e">
        <f>#REF!</f>
        <v>#REF!</v>
      </c>
    </row>
    <row r="385" spans="4:17" x14ac:dyDescent="0.25">
      <c r="D385" s="40" t="s">
        <v>3563</v>
      </c>
      <c r="E385" s="39">
        <v>0.03</v>
      </c>
      <c r="F385" s="86">
        <v>2.75</v>
      </c>
      <c r="Q385" t="e">
        <f>#REF!</f>
        <v>#REF!</v>
      </c>
    </row>
    <row r="386" spans="4:17" x14ac:dyDescent="0.25">
      <c r="D386" s="40" t="s">
        <v>2637</v>
      </c>
      <c r="E386" s="39">
        <v>0.04</v>
      </c>
      <c r="F386" s="86">
        <v>4.0999999999999996</v>
      </c>
      <c r="Q386" t="e">
        <f>#REF!</f>
        <v>#REF!</v>
      </c>
    </row>
    <row r="387" spans="4:17" x14ac:dyDescent="0.25">
      <c r="D387" s="40" t="s">
        <v>3140</v>
      </c>
      <c r="E387" s="39">
        <v>0.05</v>
      </c>
      <c r="F387" s="86">
        <v>2.9</v>
      </c>
      <c r="Q387" t="e">
        <f>#REF!</f>
        <v>#REF!</v>
      </c>
    </row>
    <row r="388" spans="4:17" x14ac:dyDescent="0.25">
      <c r="D388" s="40" t="s">
        <v>71</v>
      </c>
      <c r="E388" s="39"/>
      <c r="F388" s="40"/>
      <c r="Q388" t="e">
        <f>#REF!</f>
        <v>#REF!</v>
      </c>
    </row>
    <row r="389" spans="4:17" x14ac:dyDescent="0.25">
      <c r="D389" s="40" t="s">
        <v>3904</v>
      </c>
      <c r="E389" s="39">
        <v>0.05</v>
      </c>
      <c r="F389" s="86">
        <v>5.89</v>
      </c>
      <c r="Q389" t="e">
        <f>#REF!</f>
        <v>#REF!</v>
      </c>
    </row>
    <row r="390" spans="4:17" x14ac:dyDescent="0.25">
      <c r="D390" s="40" t="s">
        <v>72</v>
      </c>
      <c r="E390" s="39"/>
      <c r="F390" s="40"/>
      <c r="Q390" t="e">
        <f>#REF!</f>
        <v>#REF!</v>
      </c>
    </row>
    <row r="391" spans="4:17" x14ac:dyDescent="0.25">
      <c r="D391" s="69" t="s">
        <v>3905</v>
      </c>
      <c r="E391" s="39">
        <v>1.5</v>
      </c>
      <c r="F391" s="86">
        <v>5.49</v>
      </c>
      <c r="Q391" t="e">
        <f>#REF!</f>
        <v>#REF!</v>
      </c>
    </row>
    <row r="392" spans="4:17" x14ac:dyDescent="0.25">
      <c r="D392" s="40" t="s">
        <v>1083</v>
      </c>
      <c r="E392" s="39">
        <v>1</v>
      </c>
      <c r="F392" s="86">
        <v>5.88</v>
      </c>
      <c r="Q392" t="e">
        <f>#REF!</f>
        <v>#REF!</v>
      </c>
    </row>
    <row r="393" spans="4:17" x14ac:dyDescent="0.25">
      <c r="D393" s="69" t="s">
        <v>3906</v>
      </c>
      <c r="E393" s="39">
        <v>2.5</v>
      </c>
      <c r="F393" s="86">
        <v>6.39</v>
      </c>
      <c r="Q393" t="e">
        <f>#REF!</f>
        <v>#REF!</v>
      </c>
    </row>
    <row r="394" spans="4:17" x14ac:dyDescent="0.25">
      <c r="D394" s="40" t="s">
        <v>271</v>
      </c>
      <c r="E394" s="39">
        <v>2</v>
      </c>
      <c r="F394" s="86">
        <v>7.29</v>
      </c>
      <c r="Q394" t="e">
        <f>#REF!</f>
        <v>#REF!</v>
      </c>
    </row>
    <row r="395" spans="4:17" x14ac:dyDescent="0.25">
      <c r="D395" s="69" t="s">
        <v>3907</v>
      </c>
      <c r="E395" s="39">
        <v>3</v>
      </c>
      <c r="F395" s="86">
        <v>11.81</v>
      </c>
      <c r="Q395" t="e">
        <f>#REF!</f>
        <v>#REF!</v>
      </c>
    </row>
    <row r="396" spans="4:17" x14ac:dyDescent="0.25">
      <c r="D396" s="71" t="s">
        <v>3908</v>
      </c>
      <c r="E396" s="39">
        <v>0.35</v>
      </c>
      <c r="F396" s="86">
        <v>2.4700000000000002</v>
      </c>
      <c r="Q396" t="e">
        <f>#REF!</f>
        <v>#REF!</v>
      </c>
    </row>
    <row r="397" spans="4:17" x14ac:dyDescent="0.25">
      <c r="D397" s="40" t="s">
        <v>73</v>
      </c>
      <c r="E397" s="39"/>
      <c r="F397" s="86"/>
      <c r="Q397" t="e">
        <f>#REF!</f>
        <v>#REF!</v>
      </c>
    </row>
    <row r="398" spans="4:17" x14ac:dyDescent="0.25">
      <c r="D398" s="40" t="s">
        <v>1084</v>
      </c>
      <c r="E398" s="39">
        <v>0.15</v>
      </c>
      <c r="F398" s="86">
        <v>9.4</v>
      </c>
      <c r="Q398" t="e">
        <f>#REF!</f>
        <v>#REF!</v>
      </c>
    </row>
    <row r="399" spans="4:17" x14ac:dyDescent="0.25">
      <c r="D399" s="40" t="s">
        <v>1085</v>
      </c>
      <c r="E399" s="39">
        <v>0.25</v>
      </c>
      <c r="F399" s="86">
        <v>10.59</v>
      </c>
      <c r="Q399" t="e">
        <f>#REF!</f>
        <v>#REF!</v>
      </c>
    </row>
    <row r="400" spans="4:17" x14ac:dyDescent="0.25">
      <c r="D400" s="40" t="s">
        <v>1086</v>
      </c>
      <c r="E400" s="39">
        <v>0.5</v>
      </c>
      <c r="F400" s="86">
        <v>11.9</v>
      </c>
      <c r="Q400" t="e">
        <f>#REF!</f>
        <v>#REF!</v>
      </c>
    </row>
    <row r="401" spans="4:17" x14ac:dyDescent="0.25">
      <c r="D401" s="40" t="s">
        <v>124</v>
      </c>
      <c r="E401" s="39">
        <v>1</v>
      </c>
      <c r="F401" s="86">
        <v>3.49</v>
      </c>
      <c r="Q401" t="e">
        <f>#REF!</f>
        <v>#REF!</v>
      </c>
    </row>
    <row r="402" spans="4:17" x14ac:dyDescent="0.25">
      <c r="D402" s="40" t="s">
        <v>123</v>
      </c>
      <c r="E402" s="39">
        <v>0.5</v>
      </c>
      <c r="F402" s="86">
        <v>5.3</v>
      </c>
      <c r="Q402" t="e">
        <f>#REF!</f>
        <v>#REF!</v>
      </c>
    </row>
    <row r="403" spans="4:17" x14ac:dyDescent="0.25">
      <c r="D403" s="40" t="s">
        <v>1056</v>
      </c>
      <c r="E403" s="39">
        <v>1</v>
      </c>
      <c r="F403" s="86">
        <v>2.89</v>
      </c>
      <c r="Q403" t="e">
        <f>#REF!</f>
        <v>#REF!</v>
      </c>
    </row>
    <row r="404" spans="4:17" x14ac:dyDescent="0.25">
      <c r="D404" s="40" t="s">
        <v>1016</v>
      </c>
      <c r="E404" s="39">
        <v>0.05</v>
      </c>
      <c r="F404" s="86">
        <v>1.69</v>
      </c>
      <c r="Q404" t="e">
        <f>#REF!</f>
        <v>#REF!</v>
      </c>
    </row>
    <row r="405" spans="4:17" x14ac:dyDescent="0.25">
      <c r="D405" s="78" t="s">
        <v>4097</v>
      </c>
      <c r="E405" s="79">
        <v>0.3</v>
      </c>
      <c r="F405" s="87">
        <v>8.9</v>
      </c>
      <c r="Q405" t="e">
        <f>#REF!</f>
        <v>#REF!</v>
      </c>
    </row>
    <row r="406" spans="4:17" x14ac:dyDescent="0.25">
      <c r="D406" s="71" t="s">
        <v>3827</v>
      </c>
      <c r="E406" s="39">
        <v>0.2</v>
      </c>
      <c r="F406" s="86">
        <v>4.3899999999999997</v>
      </c>
      <c r="Q406" t="e">
        <f>#REF!</f>
        <v>#REF!</v>
      </c>
    </row>
    <row r="407" spans="4:17" x14ac:dyDescent="0.25">
      <c r="D407" s="71" t="s">
        <v>3909</v>
      </c>
      <c r="E407" s="39">
        <v>0.2</v>
      </c>
      <c r="F407" s="86">
        <v>19.29</v>
      </c>
      <c r="Q407" t="e">
        <f>#REF!</f>
        <v>#REF!</v>
      </c>
    </row>
    <row r="408" spans="4:17" x14ac:dyDescent="0.25">
      <c r="D408" s="40" t="s">
        <v>1087</v>
      </c>
      <c r="E408" s="39">
        <v>0.125</v>
      </c>
      <c r="F408" s="86">
        <v>6.4</v>
      </c>
      <c r="Q408" t="e">
        <f>#REF!</f>
        <v>#REF!</v>
      </c>
    </row>
    <row r="409" spans="4:17" x14ac:dyDescent="0.25">
      <c r="D409" s="71" t="s">
        <v>3828</v>
      </c>
      <c r="E409" s="39">
        <v>0.16500000000000001</v>
      </c>
      <c r="F409" s="86">
        <v>7.79</v>
      </c>
      <c r="Q409" t="e">
        <f>#REF!</f>
        <v>#REF!</v>
      </c>
    </row>
    <row r="410" spans="4:17" x14ac:dyDescent="0.25">
      <c r="D410" s="40" t="s">
        <v>2688</v>
      </c>
      <c r="E410" s="39">
        <v>0.25</v>
      </c>
      <c r="F410" s="86">
        <v>11.9</v>
      </c>
      <c r="Q410" t="e">
        <f>#REF!</f>
        <v>#REF!</v>
      </c>
    </row>
    <row r="411" spans="4:17" x14ac:dyDescent="0.25">
      <c r="D411" s="40" t="s">
        <v>2693</v>
      </c>
      <c r="E411" s="39">
        <v>0.08</v>
      </c>
      <c r="F411" s="86">
        <v>4.1900000000000004</v>
      </c>
      <c r="Q411" t="e">
        <f>#REF!</f>
        <v>#REF!</v>
      </c>
    </row>
    <row r="412" spans="4:17" x14ac:dyDescent="0.25">
      <c r="D412" s="40" t="s">
        <v>3561</v>
      </c>
      <c r="E412" s="39">
        <v>3.6999999999999998E-2</v>
      </c>
      <c r="F412" s="86">
        <v>2.39</v>
      </c>
      <c r="Q412" t="e">
        <f>#REF!</f>
        <v>#REF!</v>
      </c>
    </row>
    <row r="413" spans="4:17" x14ac:dyDescent="0.25">
      <c r="D413" s="40" t="s">
        <v>1034</v>
      </c>
      <c r="E413" s="39">
        <v>0.06</v>
      </c>
      <c r="F413" s="86">
        <v>5.98</v>
      </c>
      <c r="Q413" t="e">
        <f>#REF!</f>
        <v>#REF!</v>
      </c>
    </row>
    <row r="414" spans="4:17" x14ac:dyDescent="0.25">
      <c r="D414" s="40" t="s">
        <v>3910</v>
      </c>
      <c r="E414" s="39">
        <v>0.2</v>
      </c>
      <c r="F414" s="86">
        <v>6.39</v>
      </c>
      <c r="Q414" t="e">
        <f>#REF!</f>
        <v>#REF!</v>
      </c>
    </row>
    <row r="415" spans="4:17" x14ac:dyDescent="0.25">
      <c r="D415" s="40" t="s">
        <v>3911</v>
      </c>
      <c r="E415" s="39">
        <v>0.28000000000000003</v>
      </c>
      <c r="F415" s="86">
        <v>6.85</v>
      </c>
      <c r="Q415" t="e">
        <f>#REF!</f>
        <v>#REF!</v>
      </c>
    </row>
    <row r="416" spans="4:17" x14ac:dyDescent="0.25">
      <c r="D416" s="40" t="s">
        <v>3912</v>
      </c>
      <c r="E416" s="39">
        <v>0.3</v>
      </c>
      <c r="F416" s="86">
        <v>5.79</v>
      </c>
      <c r="Q416" t="e">
        <f>#REF!</f>
        <v>#REF!</v>
      </c>
    </row>
    <row r="417" spans="4:17" x14ac:dyDescent="0.25">
      <c r="D417" s="40" t="s">
        <v>3914</v>
      </c>
      <c r="E417" s="39">
        <v>0.5</v>
      </c>
      <c r="F417" s="86">
        <v>5.29</v>
      </c>
      <c r="Q417" t="e">
        <f>#REF!</f>
        <v>#REF!</v>
      </c>
    </row>
    <row r="418" spans="4:17" x14ac:dyDescent="0.25">
      <c r="D418" s="40" t="s">
        <v>2707</v>
      </c>
      <c r="E418" s="39">
        <v>0.19600000000000001</v>
      </c>
      <c r="F418" s="86">
        <v>10.29</v>
      </c>
      <c r="Q418" t="e">
        <f>#REF!</f>
        <v>#REF!</v>
      </c>
    </row>
    <row r="419" spans="4:17" x14ac:dyDescent="0.25">
      <c r="D419" s="40" t="s">
        <v>1046</v>
      </c>
      <c r="E419" s="39">
        <v>3.7999999999999999E-2</v>
      </c>
      <c r="F419" s="86">
        <v>8.99</v>
      </c>
      <c r="Q419" t="e">
        <f>#REF!</f>
        <v>#REF!</v>
      </c>
    </row>
    <row r="420" spans="4:17" x14ac:dyDescent="0.25">
      <c r="D420" s="40" t="s">
        <v>3331</v>
      </c>
      <c r="E420" s="39">
        <v>0.2</v>
      </c>
      <c r="F420" s="86">
        <v>7.48</v>
      </c>
      <c r="Q420">
        <f>D457</f>
        <v>0</v>
      </c>
    </row>
    <row r="421" spans="4:17" x14ac:dyDescent="0.25">
      <c r="D421" s="40" t="s">
        <v>3913</v>
      </c>
      <c r="E421" s="39">
        <v>0.5</v>
      </c>
      <c r="F421" s="86">
        <v>11.9</v>
      </c>
      <c r="Q421">
        <f>D458</f>
        <v>0</v>
      </c>
    </row>
    <row r="422" spans="4:17" x14ac:dyDescent="0.25">
      <c r="D422" s="40" t="s">
        <v>3915</v>
      </c>
      <c r="E422" s="39">
        <v>1.7000000000000001E-2</v>
      </c>
      <c r="F422" s="86">
        <v>4.7</v>
      </c>
      <c r="Q422">
        <f>D459</f>
        <v>0</v>
      </c>
    </row>
    <row r="423" spans="4:17" x14ac:dyDescent="0.25">
      <c r="D423" s="40" t="s">
        <v>3651</v>
      </c>
      <c r="E423" s="39">
        <v>0.16</v>
      </c>
      <c r="F423" s="86">
        <v>8.39</v>
      </c>
      <c r="Q423" t="str">
        <f>H5</f>
        <v>A</v>
      </c>
    </row>
    <row r="424" spans="4:17" x14ac:dyDescent="0.25">
      <c r="D424" s="40" t="s">
        <v>151</v>
      </c>
      <c r="E424" s="39">
        <v>0.2</v>
      </c>
      <c r="F424" s="86">
        <v>10.99</v>
      </c>
      <c r="Q424" t="str">
        <f t="shared" ref="Q424:Q450" si="1">H6</f>
        <v>Absorvente (08un)</v>
      </c>
    </row>
    <row r="425" spans="4:17" x14ac:dyDescent="0.25">
      <c r="D425" s="40" t="s">
        <v>1245</v>
      </c>
      <c r="E425" s="39">
        <v>1.5</v>
      </c>
      <c r="F425" s="86">
        <v>4.8499999999999996</v>
      </c>
      <c r="Q425" t="str">
        <f t="shared" si="1"/>
        <v>Absorvente (10un)</v>
      </c>
    </row>
    <row r="426" spans="4:17" x14ac:dyDescent="0.25">
      <c r="D426" s="71" t="s">
        <v>3167</v>
      </c>
      <c r="E426" s="39">
        <v>1</v>
      </c>
      <c r="F426" s="86">
        <v>4.4800000000000004</v>
      </c>
      <c r="Q426" t="str">
        <f t="shared" si="1"/>
        <v>Absorvente (15un)</v>
      </c>
    </row>
    <row r="427" spans="4:17" x14ac:dyDescent="0.25">
      <c r="D427" s="40" t="s">
        <v>3916</v>
      </c>
      <c r="E427" s="39">
        <v>0.39</v>
      </c>
      <c r="F427" s="86">
        <v>2.6</v>
      </c>
      <c r="Q427" t="str">
        <f t="shared" si="1"/>
        <v>Absorvente (16un)</v>
      </c>
    </row>
    <row r="428" spans="4:17" x14ac:dyDescent="0.25">
      <c r="D428" s="40" t="s">
        <v>3175</v>
      </c>
      <c r="E428" s="39">
        <v>0.9</v>
      </c>
      <c r="F428" s="86">
        <v>9.99</v>
      </c>
      <c r="Q428" t="str">
        <f t="shared" si="1"/>
        <v>Absorvente (20un)</v>
      </c>
    </row>
    <row r="429" spans="4:17" x14ac:dyDescent="0.25">
      <c r="D429" s="71" t="s">
        <v>3829</v>
      </c>
      <c r="E429" s="39">
        <v>1</v>
      </c>
      <c r="F429" s="86">
        <v>6.59</v>
      </c>
      <c r="Q429" t="str">
        <f t="shared" si="1"/>
        <v>Absorvente (30un)</v>
      </c>
    </row>
    <row r="430" spans="4:17" x14ac:dyDescent="0.25">
      <c r="D430" s="71" t="s">
        <v>3830</v>
      </c>
      <c r="E430" s="39">
        <v>0.5</v>
      </c>
      <c r="F430" s="86">
        <v>3.53</v>
      </c>
      <c r="Q430" t="str">
        <f t="shared" si="1"/>
        <v>Absorvente (32un)</v>
      </c>
    </row>
    <row r="431" spans="4:17" x14ac:dyDescent="0.25">
      <c r="D431" s="71" t="s">
        <v>3917</v>
      </c>
      <c r="E431" s="39">
        <v>0.01</v>
      </c>
      <c r="F431" s="86">
        <v>0.75</v>
      </c>
      <c r="Q431" t="str">
        <f t="shared" si="1"/>
        <v>Absorvente (36un)</v>
      </c>
    </row>
    <row r="432" spans="4:17" x14ac:dyDescent="0.25">
      <c r="D432" s="78" t="s">
        <v>4095</v>
      </c>
      <c r="E432" s="79">
        <v>2.5000000000000001E-2</v>
      </c>
      <c r="F432" s="87">
        <v>1.0900000000000001</v>
      </c>
      <c r="Q432" t="str">
        <f t="shared" si="1"/>
        <v>Absorvente (40un)</v>
      </c>
    </row>
    <row r="433" spans="4:17" x14ac:dyDescent="0.25">
      <c r="D433" s="40" t="s">
        <v>3647</v>
      </c>
      <c r="E433" s="39">
        <v>7.0000000000000007E-2</v>
      </c>
      <c r="F433" s="86">
        <v>1.99</v>
      </c>
      <c r="Q433" t="str">
        <f t="shared" si="1"/>
        <v>Absorvente (60un)</v>
      </c>
    </row>
    <row r="434" spans="4:17" x14ac:dyDescent="0.25">
      <c r="D434" s="40" t="s">
        <v>74</v>
      </c>
      <c r="E434" s="39"/>
      <c r="F434" s="86"/>
      <c r="Q434" t="str">
        <f t="shared" si="1"/>
        <v>Absorvente (80un)</v>
      </c>
    </row>
    <row r="435" spans="4:17" x14ac:dyDescent="0.25">
      <c r="D435" s="40" t="s">
        <v>830</v>
      </c>
      <c r="E435" s="39">
        <v>1</v>
      </c>
      <c r="F435" s="86">
        <v>9.99</v>
      </c>
      <c r="Q435" t="str">
        <f t="shared" si="1"/>
        <v>Água Sanitária (1L)</v>
      </c>
    </row>
    <row r="436" spans="4:17" x14ac:dyDescent="0.25">
      <c r="D436" s="40" t="s">
        <v>1048</v>
      </c>
      <c r="E436" s="39">
        <v>0.5</v>
      </c>
      <c r="F436" s="86">
        <v>4.3600000000000003</v>
      </c>
      <c r="Q436" t="str">
        <f t="shared" si="1"/>
        <v>Água Sanitária (2L)</v>
      </c>
    </row>
    <row r="437" spans="4:17" x14ac:dyDescent="0.25">
      <c r="D437" s="71" t="s">
        <v>3832</v>
      </c>
      <c r="E437" s="39">
        <v>0.3</v>
      </c>
      <c r="F437" s="86">
        <v>4.59</v>
      </c>
      <c r="Q437" t="str">
        <f t="shared" si="1"/>
        <v>Água Sanitária (5L)</v>
      </c>
    </row>
    <row r="438" spans="4:17" x14ac:dyDescent="0.25">
      <c r="D438" s="71" t="s">
        <v>3831</v>
      </c>
      <c r="E438" s="39">
        <v>0.5</v>
      </c>
      <c r="F438" s="86">
        <v>4.59</v>
      </c>
      <c r="Q438" t="str">
        <f t="shared" si="1"/>
        <v>Álcool (1L)</v>
      </c>
    </row>
    <row r="439" spans="4:17" x14ac:dyDescent="0.25">
      <c r="D439" s="40" t="s">
        <v>3918</v>
      </c>
      <c r="E439" s="39">
        <v>0.06</v>
      </c>
      <c r="F439" s="86">
        <v>3.59</v>
      </c>
      <c r="Q439" t="str">
        <f t="shared" si="1"/>
        <v>Álcool (500mL)</v>
      </c>
    </row>
    <row r="440" spans="4:17" x14ac:dyDescent="0.25">
      <c r="D440" s="40" t="s">
        <v>16</v>
      </c>
      <c r="E440" s="39">
        <v>0.4</v>
      </c>
      <c r="F440" s="86">
        <v>6.43</v>
      </c>
      <c r="Q440" t="str">
        <f t="shared" si="1"/>
        <v>Álcool Gel (1L)</v>
      </c>
    </row>
    <row r="441" spans="4:17" x14ac:dyDescent="0.25">
      <c r="D441" s="71" t="s">
        <v>3833</v>
      </c>
      <c r="E441" s="39">
        <v>0.4</v>
      </c>
      <c r="F441" s="86">
        <v>9.4</v>
      </c>
      <c r="Q441" t="str">
        <f t="shared" si="1"/>
        <v>Álcool Gel (500mL)</v>
      </c>
    </row>
    <row r="442" spans="4:17" x14ac:dyDescent="0.25">
      <c r="D442" s="40" t="s">
        <v>2749</v>
      </c>
      <c r="E442" s="39">
        <v>0.1</v>
      </c>
      <c r="F442" s="86">
        <v>5.19</v>
      </c>
      <c r="Q442" t="str">
        <f t="shared" si="1"/>
        <v>Algodão (25g)</v>
      </c>
    </row>
    <row r="443" spans="4:17" x14ac:dyDescent="0.25">
      <c r="D443" s="40" t="s">
        <v>3018</v>
      </c>
      <c r="E443" s="39">
        <v>0.12</v>
      </c>
      <c r="F443" s="86">
        <v>4.3</v>
      </c>
      <c r="Q443" t="str">
        <f t="shared" si="1"/>
        <v>Algodão (50g)</v>
      </c>
    </row>
    <row r="444" spans="4:17" x14ac:dyDescent="0.25">
      <c r="D444" s="40" t="s">
        <v>3919</v>
      </c>
      <c r="E444" s="39">
        <v>0.14199999999999999</v>
      </c>
      <c r="F444" s="86">
        <v>5.15</v>
      </c>
      <c r="Q444" t="str">
        <f t="shared" si="1"/>
        <v>Alvejante (1L)</v>
      </c>
    </row>
    <row r="445" spans="4:17" x14ac:dyDescent="0.25">
      <c r="D445" s="40" t="s">
        <v>2751</v>
      </c>
      <c r="E445" s="39">
        <v>0.16</v>
      </c>
      <c r="F445" s="86">
        <v>6.3</v>
      </c>
      <c r="Q445" t="str">
        <f t="shared" si="1"/>
        <v>Alvejante (2L)</v>
      </c>
    </row>
    <row r="446" spans="4:17" x14ac:dyDescent="0.25">
      <c r="D446" s="40" t="s">
        <v>2754</v>
      </c>
      <c r="E446" s="39">
        <v>0.5</v>
      </c>
      <c r="F446" s="86">
        <v>5.99</v>
      </c>
      <c r="Q446" t="str">
        <f t="shared" si="1"/>
        <v>Alvejante (500mL)</v>
      </c>
    </row>
    <row r="447" spans="4:17" x14ac:dyDescent="0.25">
      <c r="D447" s="40" t="s">
        <v>75</v>
      </c>
      <c r="E447" s="39"/>
      <c r="F447" s="86"/>
      <c r="Q447" t="str">
        <f t="shared" si="1"/>
        <v>Amaciante (1L)</v>
      </c>
    </row>
    <row r="448" spans="4:17" x14ac:dyDescent="0.25">
      <c r="D448" s="40" t="s">
        <v>1023</v>
      </c>
      <c r="E448" s="39">
        <v>0.1</v>
      </c>
      <c r="F448" s="86">
        <v>7.98</v>
      </c>
      <c r="Q448" t="str">
        <f t="shared" si="1"/>
        <v>Amaciante (2L)</v>
      </c>
    </row>
    <row r="449" spans="4:17" x14ac:dyDescent="0.25">
      <c r="D449" s="40" t="s">
        <v>76</v>
      </c>
      <c r="E449" s="39"/>
      <c r="F449" s="86"/>
      <c r="Q449" t="str">
        <f t="shared" si="1"/>
        <v>Amaciante (500mL)</v>
      </c>
    </row>
    <row r="450" spans="4:17" x14ac:dyDescent="0.25">
      <c r="D450" s="40" t="s">
        <v>3920</v>
      </c>
      <c r="E450" s="39">
        <v>0.2</v>
      </c>
      <c r="F450" s="86">
        <v>12.99</v>
      </c>
      <c r="Q450" t="str">
        <f t="shared" si="1"/>
        <v>Amaciante (5L)</v>
      </c>
    </row>
    <row r="451" spans="4:17" x14ac:dyDescent="0.25">
      <c r="D451" s="78" t="s">
        <v>4191</v>
      </c>
      <c r="E451" s="79">
        <v>2</v>
      </c>
      <c r="F451" s="80">
        <v>11.8</v>
      </c>
      <c r="Q451" t="e">
        <f>#REF!</f>
        <v>#REF!</v>
      </c>
    </row>
    <row r="452" spans="4:17" x14ac:dyDescent="0.25">
      <c r="D452" s="40" t="s">
        <v>3921</v>
      </c>
      <c r="E452" s="39">
        <v>0.75</v>
      </c>
      <c r="F452" s="86">
        <v>4.09</v>
      </c>
      <c r="Q452" t="str">
        <f>H33</f>
        <v>Amaciante (900mL)</v>
      </c>
    </row>
    <row r="453" spans="4:17" x14ac:dyDescent="0.25">
      <c r="D453" s="40" t="s">
        <v>77</v>
      </c>
      <c r="E453" s="39"/>
      <c r="F453" s="40"/>
      <c r="Q453" t="str">
        <f>H34</f>
        <v>Antisséptico (100mL)</v>
      </c>
    </row>
    <row r="454" spans="4:17" x14ac:dyDescent="0.25">
      <c r="D454" s="40" t="s">
        <v>78</v>
      </c>
      <c r="E454" s="39"/>
      <c r="F454" s="40"/>
      <c r="Q454" t="str">
        <f>H35</f>
        <v>Antisséptico (440mL)</v>
      </c>
    </row>
    <row r="455" spans="4:17" x14ac:dyDescent="0.25">
      <c r="D455" s="38" t="s">
        <v>79</v>
      </c>
      <c r="E455" s="39"/>
      <c r="F455" s="40"/>
      <c r="Q455" t="e">
        <f>#REF!</f>
        <v>#REF!</v>
      </c>
    </row>
    <row r="456" spans="4:17" x14ac:dyDescent="0.25">
      <c r="D456" s="38" t="s">
        <v>80</v>
      </c>
      <c r="E456" s="39"/>
      <c r="F456" s="40"/>
      <c r="Q456" t="str">
        <f t="shared" ref="Q456:Q468" si="2">H36</f>
        <v>Aparelho Barbear (2un)</v>
      </c>
    </row>
    <row r="457" spans="4:17" x14ac:dyDescent="0.25">
      <c r="Q457" t="str">
        <f t="shared" si="2"/>
        <v>B</v>
      </c>
    </row>
    <row r="458" spans="4:17" x14ac:dyDescent="0.25">
      <c r="Q458" t="str">
        <f t="shared" si="2"/>
        <v>Band Aid (10un)</v>
      </c>
    </row>
    <row r="459" spans="4:17" x14ac:dyDescent="0.25">
      <c r="Q459" t="str">
        <f t="shared" si="2"/>
        <v>Band Aid (40un)</v>
      </c>
    </row>
    <row r="460" spans="4:17" x14ac:dyDescent="0.25">
      <c r="Q460" t="str">
        <f t="shared" si="2"/>
        <v>Bob (8un)</v>
      </c>
    </row>
    <row r="461" spans="4:17" x14ac:dyDescent="0.25">
      <c r="Q461" t="str">
        <f t="shared" si="2"/>
        <v>Brilho Alumínio (2L)</v>
      </c>
    </row>
    <row r="462" spans="4:17" x14ac:dyDescent="0.25">
      <c r="Q462" t="str">
        <f t="shared" si="2"/>
        <v>Brilho Alumínio (500mL)</v>
      </c>
    </row>
    <row r="463" spans="4:17" x14ac:dyDescent="0.25">
      <c r="Q463" t="str">
        <f t="shared" si="2"/>
        <v>Bucha (1un)</v>
      </c>
    </row>
    <row r="464" spans="4:17" x14ac:dyDescent="0.25">
      <c r="Q464" t="str">
        <f t="shared" si="2"/>
        <v>C</v>
      </c>
    </row>
    <row r="465" spans="17:17" x14ac:dyDescent="0.25">
      <c r="Q465" t="str">
        <f t="shared" si="2"/>
        <v>Cloro Ativo (500mL)</v>
      </c>
    </row>
    <row r="466" spans="17:17" x14ac:dyDescent="0.25">
      <c r="Q466" t="str">
        <f t="shared" si="2"/>
        <v>Cloro Ativo (5L)</v>
      </c>
    </row>
    <row r="467" spans="17:17" x14ac:dyDescent="0.25">
      <c r="Q467" t="str">
        <f t="shared" si="2"/>
        <v>Condicionador (200mL)</v>
      </c>
    </row>
    <row r="468" spans="17:17" x14ac:dyDescent="0.25">
      <c r="Q468" t="str">
        <f t="shared" si="2"/>
        <v>Condicionador (325mL)</v>
      </c>
    </row>
    <row r="469" spans="17:17" x14ac:dyDescent="0.25">
      <c r="Q469" t="e">
        <f>#REF!</f>
        <v>#REF!</v>
      </c>
    </row>
    <row r="470" spans="17:17" x14ac:dyDescent="0.25">
      <c r="Q470" t="str">
        <f>H49</f>
        <v>Condicionador (350mL)</v>
      </c>
    </row>
    <row r="471" spans="17:17" x14ac:dyDescent="0.25">
      <c r="Q471" t="e">
        <f>#REF!</f>
        <v>#REF!</v>
      </c>
    </row>
    <row r="472" spans="17:17" x14ac:dyDescent="0.25">
      <c r="Q472" t="str">
        <f>H50</f>
        <v>Condicionador (400mL)</v>
      </c>
    </row>
    <row r="473" spans="17:17" x14ac:dyDescent="0.25">
      <c r="Q473" t="e">
        <f>#REF!</f>
        <v>#REF!</v>
      </c>
    </row>
    <row r="474" spans="17:17" x14ac:dyDescent="0.25">
      <c r="Q474" t="str">
        <f>H51</f>
        <v>Condicionador (500mL)</v>
      </c>
    </row>
    <row r="475" spans="17:17" x14ac:dyDescent="0.25">
      <c r="Q475" t="str">
        <f>H52</f>
        <v>Creme (400mL)</v>
      </c>
    </row>
    <row r="476" spans="17:17" x14ac:dyDescent="0.25">
      <c r="Q476" t="e">
        <f>#REF!</f>
        <v>#REF!</v>
      </c>
    </row>
    <row r="477" spans="17:17" x14ac:dyDescent="0.25">
      <c r="Q477" t="str">
        <f t="shared" ref="Q477:Q482" si="3">H53</f>
        <v>D</v>
      </c>
    </row>
    <row r="478" spans="17:17" x14ac:dyDescent="0.25">
      <c r="Q478" t="str">
        <f t="shared" si="3"/>
        <v>Desengordurante (500mL)</v>
      </c>
    </row>
    <row r="479" spans="17:17" x14ac:dyDescent="0.25">
      <c r="Q479" t="str">
        <f t="shared" si="3"/>
        <v>Desinfetante (1,75L)</v>
      </c>
    </row>
    <row r="480" spans="17:17" x14ac:dyDescent="0.25">
      <c r="Q480" t="str">
        <f t="shared" si="3"/>
        <v>Desinfetante (1L)</v>
      </c>
    </row>
    <row r="481" spans="17:17" x14ac:dyDescent="0.25">
      <c r="Q481" t="str">
        <f t="shared" si="3"/>
        <v>Desinfetante (2L)</v>
      </c>
    </row>
    <row r="482" spans="17:17" x14ac:dyDescent="0.25">
      <c r="Q482" t="str">
        <f t="shared" si="3"/>
        <v>Desinfetante (300mL)</v>
      </c>
    </row>
    <row r="483" spans="17:17" x14ac:dyDescent="0.25">
      <c r="Q483" t="e">
        <f>#REF!</f>
        <v>#REF!</v>
      </c>
    </row>
    <row r="484" spans="17:17" x14ac:dyDescent="0.25">
      <c r="Q484" t="e">
        <f>#REF!</f>
        <v>#REF!</v>
      </c>
    </row>
    <row r="485" spans="17:17" x14ac:dyDescent="0.25">
      <c r="Q485" t="str">
        <f>H59</f>
        <v>Desinfetante (500mL)</v>
      </c>
    </row>
    <row r="486" spans="17:17" x14ac:dyDescent="0.25">
      <c r="Q486" t="e">
        <f>#REF!</f>
        <v>#REF!</v>
      </c>
    </row>
    <row r="487" spans="17:17" x14ac:dyDescent="0.25">
      <c r="Q487" t="str">
        <f>H60</f>
        <v>Desinfetante (5L)</v>
      </c>
    </row>
    <row r="488" spans="17:17" x14ac:dyDescent="0.25">
      <c r="Q488" t="str">
        <f t="shared" ref="Q488" si="4">H61</f>
        <v>Desinfetante (750mL)</v>
      </c>
    </row>
    <row r="489" spans="17:17" x14ac:dyDescent="0.25">
      <c r="Q489" t="e">
        <f>#REF!</f>
        <v>#REF!</v>
      </c>
    </row>
    <row r="490" spans="17:17" x14ac:dyDescent="0.25">
      <c r="Q490" t="e">
        <f>#REF!</f>
        <v>#REF!</v>
      </c>
    </row>
    <row r="491" spans="17:17" x14ac:dyDescent="0.25">
      <c r="Q491" t="str">
        <f>H62</f>
        <v>Desodorante (50g)</v>
      </c>
    </row>
    <row r="492" spans="17:17" x14ac:dyDescent="0.25">
      <c r="Q492" t="e">
        <f>#REF!</f>
        <v>#REF!</v>
      </c>
    </row>
    <row r="493" spans="17:17" x14ac:dyDescent="0.25">
      <c r="Q493" t="str">
        <f t="shared" ref="Q493:Q504" si="5">H63</f>
        <v>Desodorante (90g)</v>
      </c>
    </row>
    <row r="494" spans="17:17" x14ac:dyDescent="0.25">
      <c r="Q494" t="str">
        <f t="shared" si="5"/>
        <v>Desodorante Creme</v>
      </c>
    </row>
    <row r="495" spans="17:17" x14ac:dyDescent="0.25">
      <c r="Q495" t="str">
        <f t="shared" si="5"/>
        <v>Desodorante Rollon</v>
      </c>
    </row>
    <row r="496" spans="17:17" x14ac:dyDescent="0.25">
      <c r="Q496" t="str">
        <f t="shared" si="5"/>
        <v>Desodorante Spray</v>
      </c>
    </row>
    <row r="497" spans="17:17" x14ac:dyDescent="0.25">
      <c r="Q497" t="str">
        <f t="shared" si="5"/>
        <v>Desodorante Spray (02un)</v>
      </c>
    </row>
    <row r="498" spans="17:17" x14ac:dyDescent="0.25">
      <c r="Q498" t="str">
        <f t="shared" si="5"/>
        <v>Detergente (1L)</v>
      </c>
    </row>
    <row r="499" spans="17:17" x14ac:dyDescent="0.25">
      <c r="Q499" t="str">
        <f t="shared" si="5"/>
        <v>Detergente (500mL)</v>
      </c>
    </row>
    <row r="500" spans="17:17" x14ac:dyDescent="0.25">
      <c r="Q500" t="str">
        <f t="shared" si="5"/>
        <v>Detergente (5L)</v>
      </c>
    </row>
    <row r="501" spans="17:17" x14ac:dyDescent="0.25">
      <c r="Q501" t="str">
        <f t="shared" si="5"/>
        <v>Detergente (6un)</v>
      </c>
    </row>
    <row r="502" spans="17:17" x14ac:dyDescent="0.25">
      <c r="Q502" t="str">
        <f t="shared" si="5"/>
        <v xml:space="preserve">Detergente Concentrado </v>
      </c>
    </row>
    <row r="503" spans="17:17" x14ac:dyDescent="0.25">
      <c r="Q503" t="str">
        <f t="shared" si="5"/>
        <v>E</v>
      </c>
    </row>
    <row r="504" spans="17:17" x14ac:dyDescent="0.25">
      <c r="Q504" t="str">
        <f t="shared" si="5"/>
        <v>Enxaguante Bucal (250mL)</v>
      </c>
    </row>
    <row r="505" spans="17:17" x14ac:dyDescent="0.25">
      <c r="Q505" t="e">
        <f>#REF!</f>
        <v>#REF!</v>
      </c>
    </row>
    <row r="506" spans="17:17" x14ac:dyDescent="0.25">
      <c r="Q506" t="str">
        <f>H75</f>
        <v>Enxaguante Bucal (350mL)</v>
      </c>
    </row>
    <row r="507" spans="17:17" x14ac:dyDescent="0.25">
      <c r="Q507" t="str">
        <f>H76</f>
        <v>Enxaguante Bucal (500mL)</v>
      </c>
    </row>
    <row r="508" spans="17:17" x14ac:dyDescent="0.25">
      <c r="Q508" t="str">
        <f>H77</f>
        <v>Escova de Dente (1un)</v>
      </c>
    </row>
    <row r="509" spans="17:17" x14ac:dyDescent="0.25">
      <c r="Q509" t="str">
        <f>H78</f>
        <v>Escova de Dente (2un)</v>
      </c>
    </row>
    <row r="510" spans="17:17" x14ac:dyDescent="0.25">
      <c r="Q510" t="str">
        <f>H79</f>
        <v>Escova de Dente (3un)</v>
      </c>
    </row>
    <row r="511" spans="17:17" x14ac:dyDescent="0.25">
      <c r="Q511" t="e">
        <f>#REF!</f>
        <v>#REF!</v>
      </c>
    </row>
    <row r="512" spans="17:17" x14ac:dyDescent="0.25">
      <c r="Q512" t="str">
        <f>H80</f>
        <v>Escova de Dente (4un)</v>
      </c>
    </row>
    <row r="513" spans="17:17" x14ac:dyDescent="0.25">
      <c r="Q513" t="str">
        <f>H81</f>
        <v>Escova de Dente (5un)</v>
      </c>
    </row>
    <row r="514" spans="17:17" x14ac:dyDescent="0.25">
      <c r="Q514" t="str">
        <f>H82</f>
        <v>Esponja (1un)</v>
      </c>
    </row>
    <row r="515" spans="17:17" x14ac:dyDescent="0.25">
      <c r="Q515" t="e">
        <f>#REF!</f>
        <v>#REF!</v>
      </c>
    </row>
    <row r="516" spans="17:17" x14ac:dyDescent="0.25">
      <c r="Q516" t="str">
        <f>H83</f>
        <v>Esponja (3un)</v>
      </c>
    </row>
    <row r="517" spans="17:17" x14ac:dyDescent="0.25">
      <c r="Q517" t="str">
        <f>H84</f>
        <v>Esponja (4un)</v>
      </c>
    </row>
    <row r="518" spans="17:17" x14ac:dyDescent="0.25">
      <c r="Q518" t="str">
        <f>H85</f>
        <v>esponja lã de aço</v>
      </c>
    </row>
    <row r="519" spans="17:17" x14ac:dyDescent="0.25">
      <c r="Q519" t="str">
        <f>H86</f>
        <v>F</v>
      </c>
    </row>
    <row r="520" spans="17:17" x14ac:dyDescent="0.25">
      <c r="Q520" t="e">
        <f>#REF!</f>
        <v>#REF!</v>
      </c>
    </row>
    <row r="521" spans="17:17" x14ac:dyDescent="0.25">
      <c r="Q521" t="e">
        <f>#REF!</f>
        <v>#REF!</v>
      </c>
    </row>
    <row r="522" spans="17:17" x14ac:dyDescent="0.25">
      <c r="Q522" t="str">
        <f t="shared" ref="Q522:Q551" si="6">H87</f>
        <v>Filtro de Café (30un)</v>
      </c>
    </row>
    <row r="523" spans="17:17" x14ac:dyDescent="0.25">
      <c r="Q523" t="str">
        <f t="shared" si="6"/>
        <v>Fio Dental</v>
      </c>
    </row>
    <row r="524" spans="17:17" x14ac:dyDescent="0.25">
      <c r="Q524" t="str">
        <f t="shared" si="6"/>
        <v>Fósforo (200un)</v>
      </c>
    </row>
    <row r="525" spans="17:17" x14ac:dyDescent="0.25">
      <c r="Q525" t="str">
        <f t="shared" si="6"/>
        <v>Fósforo (40un)</v>
      </c>
    </row>
    <row r="526" spans="17:17" x14ac:dyDescent="0.25">
      <c r="Q526" t="str">
        <f t="shared" si="6"/>
        <v>Fósforo (50un)</v>
      </c>
    </row>
    <row r="527" spans="17:17" x14ac:dyDescent="0.25">
      <c r="Q527" t="str">
        <f t="shared" si="6"/>
        <v>Fósforo Pacote 10 Caixas (40un)</v>
      </c>
    </row>
    <row r="528" spans="17:17" x14ac:dyDescent="0.25">
      <c r="Q528" t="str">
        <f t="shared" si="6"/>
        <v>Fraldas Geriátricas (10un)</v>
      </c>
    </row>
    <row r="529" spans="17:17" x14ac:dyDescent="0.25">
      <c r="Q529" t="str">
        <f t="shared" si="6"/>
        <v>Fraldas Geriátricas (16un)</v>
      </c>
    </row>
    <row r="530" spans="17:17" x14ac:dyDescent="0.25">
      <c r="Q530" t="str">
        <f t="shared" si="6"/>
        <v>Fraldas Geriátricas (18un)</v>
      </c>
    </row>
    <row r="531" spans="17:17" x14ac:dyDescent="0.25">
      <c r="Q531" t="str">
        <f t="shared" si="6"/>
        <v>Fraldas Geriátricas (20un)</v>
      </c>
    </row>
    <row r="532" spans="17:17" x14ac:dyDescent="0.25">
      <c r="Q532" t="str">
        <f t="shared" si="6"/>
        <v>Fraldas Geriátricas (24un)</v>
      </c>
    </row>
    <row r="533" spans="17:17" x14ac:dyDescent="0.25">
      <c r="Q533" t="str">
        <f t="shared" si="6"/>
        <v>Fraldas Geriátricas (30un)</v>
      </c>
    </row>
    <row r="534" spans="17:17" x14ac:dyDescent="0.25">
      <c r="Q534" t="str">
        <f t="shared" si="6"/>
        <v>Fraldas Geriátricas (7un)</v>
      </c>
    </row>
    <row r="535" spans="17:17" x14ac:dyDescent="0.25">
      <c r="Q535" t="str">
        <f t="shared" si="6"/>
        <v>Fraldas Geriátricas (9un)</v>
      </c>
    </row>
    <row r="536" spans="17:17" x14ac:dyDescent="0.25">
      <c r="Q536" t="str">
        <f t="shared" si="6"/>
        <v>Fraldas Infantis (12un)</v>
      </c>
    </row>
    <row r="537" spans="17:17" x14ac:dyDescent="0.25">
      <c r="Q537" t="str">
        <f t="shared" si="6"/>
        <v>Fraldas Infantis (14un)</v>
      </c>
    </row>
    <row r="538" spans="17:17" x14ac:dyDescent="0.25">
      <c r="Q538" t="str">
        <f t="shared" si="6"/>
        <v>Fraldas Infantis (16un)</v>
      </c>
    </row>
    <row r="539" spans="17:17" x14ac:dyDescent="0.25">
      <c r="Q539" t="str">
        <f t="shared" si="6"/>
        <v>Fraldas Infantis (18un)</v>
      </c>
    </row>
    <row r="540" spans="17:17" x14ac:dyDescent="0.25">
      <c r="Q540" t="str">
        <f t="shared" si="6"/>
        <v>Fraldas Infantis (20un)</v>
      </c>
    </row>
    <row r="541" spans="17:17" x14ac:dyDescent="0.25">
      <c r="Q541" t="str">
        <f t="shared" si="6"/>
        <v>Fraldas Infantis (22un)</v>
      </c>
    </row>
    <row r="542" spans="17:17" x14ac:dyDescent="0.25">
      <c r="Q542" t="str">
        <f t="shared" si="6"/>
        <v>Fraldas Infantis (24un)</v>
      </c>
    </row>
    <row r="543" spans="17:17" x14ac:dyDescent="0.25">
      <c r="Q543" t="str">
        <f t="shared" si="6"/>
        <v>Fraldas Infantis (26un)</v>
      </c>
    </row>
    <row r="544" spans="17:17" x14ac:dyDescent="0.25">
      <c r="Q544" t="str">
        <f t="shared" si="6"/>
        <v>Fraldas Infantis (28un)</v>
      </c>
    </row>
    <row r="545" spans="17:17" x14ac:dyDescent="0.25">
      <c r="Q545" t="str">
        <f t="shared" si="6"/>
        <v>Fraldas Infantis (30un)</v>
      </c>
    </row>
    <row r="546" spans="17:17" x14ac:dyDescent="0.25">
      <c r="Q546" t="str">
        <f t="shared" si="6"/>
        <v>Fraldas Infantis (32un)</v>
      </c>
    </row>
    <row r="547" spans="17:17" x14ac:dyDescent="0.25">
      <c r="Q547" t="str">
        <f t="shared" si="6"/>
        <v>Fraldas Infantis (34un)</v>
      </c>
    </row>
    <row r="548" spans="17:17" x14ac:dyDescent="0.25">
      <c r="Q548" t="str">
        <f t="shared" si="6"/>
        <v>Fraldas Infantis (36un)</v>
      </c>
    </row>
    <row r="549" spans="17:17" x14ac:dyDescent="0.25">
      <c r="Q549" t="str">
        <f t="shared" si="6"/>
        <v>Fraldas Infantis (38un)</v>
      </c>
    </row>
    <row r="550" spans="17:17" x14ac:dyDescent="0.25">
      <c r="Q550" t="str">
        <f t="shared" si="6"/>
        <v>Fraldas Infantis (40un)</v>
      </c>
    </row>
    <row r="551" spans="17:17" x14ac:dyDescent="0.25">
      <c r="Q551" t="str">
        <f t="shared" si="6"/>
        <v>Fraldas Infantis (42un)</v>
      </c>
    </row>
    <row r="552" spans="17:17" x14ac:dyDescent="0.25">
      <c r="Q552" t="str">
        <f t="shared" ref="Q552" si="7">H117</f>
        <v>Fraldas Infantis (44un)</v>
      </c>
    </row>
    <row r="553" spans="17:17" x14ac:dyDescent="0.25">
      <c r="Q553" t="str">
        <f t="shared" ref="Q553:Q583" si="8">H118</f>
        <v>Fraldas Infantis (46un)</v>
      </c>
    </row>
    <row r="554" spans="17:17" x14ac:dyDescent="0.25">
      <c r="Q554" t="str">
        <f t="shared" si="8"/>
        <v>Fraldas Infantis (48un)</v>
      </c>
    </row>
    <row r="555" spans="17:17" x14ac:dyDescent="0.25">
      <c r="Q555" t="str">
        <f t="shared" si="8"/>
        <v>Fraldas Infantis (50un)</v>
      </c>
    </row>
    <row r="556" spans="17:17" x14ac:dyDescent="0.25">
      <c r="Q556" t="str">
        <f t="shared" si="8"/>
        <v>Fraldas Infantis (52un)</v>
      </c>
    </row>
    <row r="557" spans="17:17" x14ac:dyDescent="0.25">
      <c r="Q557" t="str">
        <f t="shared" si="8"/>
        <v>Fraldas Infantis (56un)</v>
      </c>
    </row>
    <row r="558" spans="17:17" x14ac:dyDescent="0.25">
      <c r="Q558" t="str">
        <f t="shared" si="8"/>
        <v>Fraldas Infantis (58un)</v>
      </c>
    </row>
    <row r="559" spans="17:17" x14ac:dyDescent="0.25">
      <c r="Q559" t="str">
        <f t="shared" si="8"/>
        <v>Fraldas Infantis (60un)</v>
      </c>
    </row>
    <row r="560" spans="17:17" x14ac:dyDescent="0.25">
      <c r="Q560" t="str">
        <f t="shared" si="8"/>
        <v>Fraldas Infantis (70un)</v>
      </c>
    </row>
    <row r="561" spans="17:17" x14ac:dyDescent="0.25">
      <c r="Q561" t="str">
        <f t="shared" si="8"/>
        <v>Fraldas Infantis (7un)</v>
      </c>
    </row>
    <row r="562" spans="17:17" x14ac:dyDescent="0.25">
      <c r="Q562" t="str">
        <f t="shared" si="8"/>
        <v>Fraldas Infantis (8un)</v>
      </c>
    </row>
    <row r="563" spans="17:17" x14ac:dyDescent="0.25">
      <c r="Q563" t="str">
        <f t="shared" si="8"/>
        <v>G</v>
      </c>
    </row>
    <row r="564" spans="17:17" x14ac:dyDescent="0.25">
      <c r="Q564" t="str">
        <f t="shared" si="8"/>
        <v>Gaze</v>
      </c>
    </row>
    <row r="565" spans="17:17" x14ac:dyDescent="0.25">
      <c r="Q565" t="str">
        <f t="shared" si="8"/>
        <v>Glicerina (250g)</v>
      </c>
    </row>
    <row r="566" spans="17:17" x14ac:dyDescent="0.25">
      <c r="Q566" t="str">
        <f t="shared" si="8"/>
        <v>Guardanapo</v>
      </c>
    </row>
    <row r="567" spans="17:17" x14ac:dyDescent="0.25">
      <c r="Q567" t="str">
        <f t="shared" si="8"/>
        <v>H</v>
      </c>
    </row>
    <row r="568" spans="17:17" x14ac:dyDescent="0.25">
      <c r="Q568" t="str">
        <f t="shared" si="8"/>
        <v>Hastes Flexíveis (75un)</v>
      </c>
    </row>
    <row r="569" spans="17:17" x14ac:dyDescent="0.25">
      <c r="Q569" t="str">
        <f t="shared" si="8"/>
        <v>Hidratante (150mL)</v>
      </c>
    </row>
    <row r="570" spans="17:17" x14ac:dyDescent="0.25">
      <c r="Q570" t="str">
        <f t="shared" si="8"/>
        <v>Hidratante (200mL)</v>
      </c>
    </row>
    <row r="571" spans="17:17" x14ac:dyDescent="0.25">
      <c r="Q571" t="str">
        <f t="shared" si="8"/>
        <v>Hidratante (400mL)</v>
      </c>
    </row>
    <row r="572" spans="17:17" x14ac:dyDescent="0.25">
      <c r="Q572" t="str">
        <f t="shared" si="8"/>
        <v>Hidratante (500mL)</v>
      </c>
    </row>
    <row r="573" spans="17:17" x14ac:dyDescent="0.25">
      <c r="Q573" t="str">
        <f t="shared" si="8"/>
        <v>Hidratante para Cabelo (300mL)</v>
      </c>
    </row>
    <row r="574" spans="17:17" x14ac:dyDescent="0.25">
      <c r="Q574" t="str">
        <f t="shared" si="8"/>
        <v>I</v>
      </c>
    </row>
    <row r="575" spans="17:17" x14ac:dyDescent="0.25">
      <c r="Q575" t="str">
        <f t="shared" si="8"/>
        <v>J</v>
      </c>
    </row>
    <row r="576" spans="17:17" x14ac:dyDescent="0.25">
      <c r="Q576" t="str">
        <f t="shared" si="8"/>
        <v>Kit Shampoo e Condicionador</v>
      </c>
    </row>
    <row r="577" spans="17:17" x14ac:dyDescent="0.25">
      <c r="Q577" t="str">
        <f t="shared" si="8"/>
        <v>L</v>
      </c>
    </row>
    <row r="578" spans="17:17" x14ac:dyDescent="0.25">
      <c r="Q578" t="str">
        <f t="shared" si="8"/>
        <v>Lâmina de Barbear (1un)</v>
      </c>
    </row>
    <row r="579" spans="17:17" x14ac:dyDescent="0.25">
      <c r="Q579" t="str">
        <f t="shared" si="8"/>
        <v>Lâmina de Barbear (2un)</v>
      </c>
    </row>
    <row r="580" spans="17:17" x14ac:dyDescent="0.25">
      <c r="Q580" t="str">
        <f t="shared" si="8"/>
        <v>Lâmina de Barbear (3un)</v>
      </c>
    </row>
    <row r="581" spans="17:17" x14ac:dyDescent="0.25">
      <c r="Q581" t="str">
        <f t="shared" si="8"/>
        <v>Lâmina de Barbear (4un)</v>
      </c>
    </row>
    <row r="582" spans="17:17" x14ac:dyDescent="0.25">
      <c r="Q582" t="str">
        <f t="shared" si="8"/>
        <v>Lâmina de Barbear (5un)</v>
      </c>
    </row>
    <row r="583" spans="17:17" x14ac:dyDescent="0.25">
      <c r="Q583" t="str">
        <f t="shared" si="8"/>
        <v>Lâmina de Barbear (7un)</v>
      </c>
    </row>
    <row r="584" spans="17:17" x14ac:dyDescent="0.25">
      <c r="Q584" t="e">
        <f>#REF!</f>
        <v>#REF!</v>
      </c>
    </row>
    <row r="585" spans="17:17" x14ac:dyDescent="0.25">
      <c r="Q585" t="str">
        <f t="shared" ref="Q585:Q591" si="9">H149</f>
        <v>Lâmina de Barbear (8un)</v>
      </c>
    </row>
    <row r="586" spans="17:17" x14ac:dyDescent="0.25">
      <c r="Q586" t="str">
        <f t="shared" si="9"/>
        <v>Lâmina Refil (2un)</v>
      </c>
    </row>
    <row r="587" spans="17:17" x14ac:dyDescent="0.25">
      <c r="Q587" t="str">
        <f t="shared" si="9"/>
        <v>Lâmina Refil (4un)</v>
      </c>
    </row>
    <row r="588" spans="17:17" x14ac:dyDescent="0.25">
      <c r="Q588" t="str">
        <f t="shared" si="9"/>
        <v>Lâmina Refil (5un)</v>
      </c>
    </row>
    <row r="589" spans="17:17" x14ac:dyDescent="0.25">
      <c r="Q589" t="str">
        <f t="shared" si="9"/>
        <v>Lava Roupas em Pó (1kg)</v>
      </c>
    </row>
    <row r="590" spans="17:17" x14ac:dyDescent="0.25">
      <c r="Q590" t="str">
        <f t="shared" si="9"/>
        <v>Lava Roupas em Pó (800g)</v>
      </c>
    </row>
    <row r="591" spans="17:17" x14ac:dyDescent="0.25">
      <c r="Q591" t="str">
        <f t="shared" si="9"/>
        <v>Lava Roupas Líquido (900mL)</v>
      </c>
    </row>
    <row r="592" spans="17:17" x14ac:dyDescent="0.25">
      <c r="Q592" t="e">
        <f>#REF!</f>
        <v>#REF!</v>
      </c>
    </row>
    <row r="593" spans="17:17" x14ac:dyDescent="0.25">
      <c r="Q593" t="str">
        <f t="shared" ref="Q593:Q613" si="10">H156</f>
        <v>Lenços de Papel (50un)</v>
      </c>
    </row>
    <row r="594" spans="17:17" x14ac:dyDescent="0.25">
      <c r="Q594" t="str">
        <f t="shared" si="10"/>
        <v>Lenços Papel (100un)</v>
      </c>
    </row>
    <row r="595" spans="17:17" x14ac:dyDescent="0.25">
      <c r="Q595" t="str">
        <f t="shared" si="10"/>
        <v>Lenços Umedecidos (40un)</v>
      </c>
    </row>
    <row r="596" spans="17:17" x14ac:dyDescent="0.25">
      <c r="Q596" t="str">
        <f t="shared" si="10"/>
        <v>Lenços Umedecidos (48 un)</v>
      </c>
    </row>
    <row r="597" spans="17:17" x14ac:dyDescent="0.25">
      <c r="Q597" t="str">
        <f t="shared" si="10"/>
        <v>Lenços Umedecidos (75un)</v>
      </c>
    </row>
    <row r="598" spans="17:17" x14ac:dyDescent="0.25">
      <c r="Q598" t="str">
        <f t="shared" si="10"/>
        <v>Limpa Vidros</v>
      </c>
    </row>
    <row r="599" spans="17:17" x14ac:dyDescent="0.25">
      <c r="Q599" t="str">
        <f t="shared" si="10"/>
        <v>Limpador (1L)</v>
      </c>
    </row>
    <row r="600" spans="17:17" x14ac:dyDescent="0.25">
      <c r="Q600" t="str">
        <f t="shared" si="10"/>
        <v>Limpador (2L)</v>
      </c>
    </row>
    <row r="601" spans="17:17" x14ac:dyDescent="0.25">
      <c r="Q601" t="str">
        <f t="shared" si="10"/>
        <v>Limpador (500mL)</v>
      </c>
    </row>
    <row r="602" spans="17:17" x14ac:dyDescent="0.25">
      <c r="Q602" t="str">
        <f t="shared" si="10"/>
        <v>Loção Pós-Barba</v>
      </c>
    </row>
    <row r="603" spans="17:17" x14ac:dyDescent="0.25">
      <c r="Q603" t="str">
        <f t="shared" si="10"/>
        <v>Lustra Móveis (200mL)</v>
      </c>
    </row>
    <row r="604" spans="17:17" x14ac:dyDescent="0.25">
      <c r="Q604" t="str">
        <f t="shared" si="10"/>
        <v>M</v>
      </c>
    </row>
    <row r="605" spans="17:17" x14ac:dyDescent="0.25">
      <c r="Q605" t="str">
        <f t="shared" si="10"/>
        <v>Multiuso (1L)</v>
      </c>
    </row>
    <row r="606" spans="17:17" x14ac:dyDescent="0.25">
      <c r="Q606" t="str">
        <f t="shared" si="10"/>
        <v>Multiuso (200ml)</v>
      </c>
    </row>
    <row r="607" spans="17:17" x14ac:dyDescent="0.25">
      <c r="Q607" t="str">
        <f t="shared" si="10"/>
        <v>Multiuso (450mL)</v>
      </c>
    </row>
    <row r="608" spans="17:17" x14ac:dyDescent="0.25">
      <c r="Q608" t="str">
        <f t="shared" si="10"/>
        <v>Multiuso (500mL)</v>
      </c>
    </row>
    <row r="609" spans="17:17" x14ac:dyDescent="0.25">
      <c r="Q609" t="str">
        <f t="shared" si="10"/>
        <v>Multiuso (750mL)</v>
      </c>
    </row>
    <row r="610" spans="17:17" x14ac:dyDescent="0.25">
      <c r="Q610" t="str">
        <f t="shared" si="10"/>
        <v>Multiuso Pacote 3 Unidades (500mL)</v>
      </c>
    </row>
    <row r="611" spans="17:17" x14ac:dyDescent="0.25">
      <c r="Q611" t="str">
        <f t="shared" si="10"/>
        <v>N</v>
      </c>
    </row>
    <row r="612" spans="17:17" x14ac:dyDescent="0.25">
      <c r="Q612" t="str">
        <f t="shared" si="10"/>
        <v>O</v>
      </c>
    </row>
    <row r="613" spans="17:17" x14ac:dyDescent="0.25">
      <c r="Q613" t="str">
        <f t="shared" si="10"/>
        <v>P</v>
      </c>
    </row>
    <row r="614" spans="17:17" x14ac:dyDescent="0.25">
      <c r="Q614" t="e">
        <f>#REF!</f>
        <v>#REF!</v>
      </c>
    </row>
    <row r="615" spans="17:17" x14ac:dyDescent="0.25">
      <c r="Q615" t="str">
        <f>H177</f>
        <v>Pano de Limpeza (5un)</v>
      </c>
    </row>
    <row r="616" spans="17:17" x14ac:dyDescent="0.25">
      <c r="Q616" t="e">
        <f>#REF!</f>
        <v>#REF!</v>
      </c>
    </row>
    <row r="617" spans="17:17" x14ac:dyDescent="0.25">
      <c r="Q617" t="e">
        <f>#REF!</f>
        <v>#REF!</v>
      </c>
    </row>
    <row r="618" spans="17:17" x14ac:dyDescent="0.25">
      <c r="Q618" t="str">
        <f t="shared" ref="Q618:Q631" si="11">H178</f>
        <v>Papel Higiênico (12un)</v>
      </c>
    </row>
    <row r="619" spans="17:17" x14ac:dyDescent="0.25">
      <c r="Q619" t="str">
        <f t="shared" si="11"/>
        <v>Papel Higiênico (16un)</v>
      </c>
    </row>
    <row r="620" spans="17:17" x14ac:dyDescent="0.25">
      <c r="Q620" t="str">
        <f t="shared" si="11"/>
        <v>Papel Higiênico (24un)</v>
      </c>
    </row>
    <row r="621" spans="17:17" x14ac:dyDescent="0.25">
      <c r="Q621" t="str">
        <f t="shared" si="11"/>
        <v>Papel Higiênico (44uni)</v>
      </c>
    </row>
    <row r="622" spans="17:17" x14ac:dyDescent="0.25">
      <c r="Q622" t="str">
        <f t="shared" si="11"/>
        <v>Papel Higiênico (4un)</v>
      </c>
    </row>
    <row r="623" spans="17:17" x14ac:dyDescent="0.25">
      <c r="Q623" t="str">
        <f t="shared" si="11"/>
        <v>Papel Higiênico (8un)</v>
      </c>
    </row>
    <row r="624" spans="17:17" x14ac:dyDescent="0.25">
      <c r="Q624" t="str">
        <f t="shared" si="11"/>
        <v>Papel Manteiga (7,5m)</v>
      </c>
    </row>
    <row r="625" spans="17:17" x14ac:dyDescent="0.25">
      <c r="Q625" t="str">
        <f t="shared" si="11"/>
        <v>Papel Toalha (12un)</v>
      </c>
    </row>
    <row r="626" spans="17:17" x14ac:dyDescent="0.25">
      <c r="Q626" t="str">
        <f t="shared" si="11"/>
        <v>Papel Toalha (2un)</v>
      </c>
    </row>
    <row r="627" spans="17:17" x14ac:dyDescent="0.25">
      <c r="Q627" t="str">
        <f t="shared" si="11"/>
        <v>Pasta de Dente (100g)</v>
      </c>
    </row>
    <row r="628" spans="17:17" x14ac:dyDescent="0.25">
      <c r="Q628" t="str">
        <f t="shared" si="11"/>
        <v>Pasta de Dente (120g)</v>
      </c>
    </row>
    <row r="629" spans="17:17" x14ac:dyDescent="0.25">
      <c r="Q629" t="str">
        <f t="shared" si="11"/>
        <v>Pasta de Dente (140g)</v>
      </c>
    </row>
    <row r="630" spans="17:17" x14ac:dyDescent="0.25">
      <c r="Q630" t="str">
        <f t="shared" si="11"/>
        <v>Pasta de Dente (180g)</v>
      </c>
    </row>
    <row r="631" spans="17:17" x14ac:dyDescent="0.25">
      <c r="Q631" t="str">
        <f t="shared" si="11"/>
        <v>Pasta de Dente (30g)</v>
      </c>
    </row>
    <row r="632" spans="17:17" x14ac:dyDescent="0.25">
      <c r="Q632" t="e">
        <f>#REF!</f>
        <v>#REF!</v>
      </c>
    </row>
    <row r="633" spans="17:17" x14ac:dyDescent="0.25">
      <c r="Q633" t="str">
        <f t="shared" ref="Q633:Q653" si="12">H192</f>
        <v>Pasta de Dente (50g)</v>
      </c>
    </row>
    <row r="634" spans="17:17" x14ac:dyDescent="0.25">
      <c r="Q634" t="str">
        <f t="shared" si="12"/>
        <v>Pasta de Dente (70g)</v>
      </c>
    </row>
    <row r="635" spans="17:17" x14ac:dyDescent="0.25">
      <c r="Q635" t="str">
        <f t="shared" si="12"/>
        <v>Pasta de Dente (90g)</v>
      </c>
    </row>
    <row r="636" spans="17:17" x14ac:dyDescent="0.25">
      <c r="Q636" t="str">
        <f t="shared" si="12"/>
        <v>Pasta de Dente Pacote 3 Unidades (70g)</v>
      </c>
    </row>
    <row r="637" spans="17:17" x14ac:dyDescent="0.25">
      <c r="Q637" t="str">
        <f t="shared" si="12"/>
        <v>Perfume (100mL)</v>
      </c>
    </row>
    <row r="638" spans="17:17" x14ac:dyDescent="0.25">
      <c r="Q638" t="str">
        <f t="shared" si="12"/>
        <v>Perfume de Bebê (500 mL)</v>
      </c>
    </row>
    <row r="639" spans="17:17" x14ac:dyDescent="0.25">
      <c r="Q639" t="str">
        <f t="shared" si="12"/>
        <v>Polvilho Antisséptico (100g)</v>
      </c>
    </row>
    <row r="640" spans="17:17" x14ac:dyDescent="0.25">
      <c r="Q640" t="str">
        <f t="shared" si="12"/>
        <v>Pregadores (10un)</v>
      </c>
    </row>
    <row r="641" spans="17:17" x14ac:dyDescent="0.25">
      <c r="Q641" t="str">
        <f t="shared" si="12"/>
        <v>Protetor Solar (400mL)</v>
      </c>
    </row>
    <row r="642" spans="17:17" x14ac:dyDescent="0.25">
      <c r="Q642" t="str">
        <f t="shared" si="12"/>
        <v>Q</v>
      </c>
    </row>
    <row r="643" spans="17:17" x14ac:dyDescent="0.25">
      <c r="Q643" t="str">
        <f t="shared" si="12"/>
        <v>Querosene (1L)</v>
      </c>
    </row>
    <row r="644" spans="17:17" x14ac:dyDescent="0.25">
      <c r="Q644" t="str">
        <f t="shared" si="12"/>
        <v>Querosene (500mL)</v>
      </c>
    </row>
    <row r="645" spans="17:17" x14ac:dyDescent="0.25">
      <c r="Q645" t="str">
        <f t="shared" si="12"/>
        <v>Querosene (900mL)</v>
      </c>
    </row>
    <row r="646" spans="17:17" x14ac:dyDescent="0.25">
      <c r="Q646" t="str">
        <f t="shared" si="12"/>
        <v>R</v>
      </c>
    </row>
    <row r="647" spans="17:17" x14ac:dyDescent="0.25">
      <c r="Q647" t="str">
        <f t="shared" si="12"/>
        <v>Roupa Íntima Descartável</v>
      </c>
    </row>
    <row r="648" spans="17:17" x14ac:dyDescent="0.25">
      <c r="Q648" t="str">
        <f t="shared" si="12"/>
        <v>S</v>
      </c>
    </row>
    <row r="649" spans="17:17" x14ac:dyDescent="0.25">
      <c r="Q649" t="str">
        <f t="shared" si="12"/>
        <v>Sabão em Barra (1un)</v>
      </c>
    </row>
    <row r="650" spans="17:17" x14ac:dyDescent="0.25">
      <c r="Q650" t="str">
        <f t="shared" si="12"/>
        <v>Sabão em Barra (5un)</v>
      </c>
    </row>
    <row r="651" spans="17:17" x14ac:dyDescent="0.25">
      <c r="Q651" t="str">
        <f t="shared" si="12"/>
        <v>Sabao em Pó (1,6kg)</v>
      </c>
    </row>
    <row r="652" spans="17:17" x14ac:dyDescent="0.25">
      <c r="Q652" t="str">
        <f t="shared" si="12"/>
        <v>Sabão em Pó (1kg)</v>
      </c>
    </row>
    <row r="653" spans="17:17" x14ac:dyDescent="0.25">
      <c r="Q653" t="str">
        <f t="shared" si="12"/>
        <v>Sabão em Pó (2,8kg)</v>
      </c>
    </row>
    <row r="654" spans="17:17" x14ac:dyDescent="0.25">
      <c r="Q654" t="e">
        <f>#REF!</f>
        <v>#REF!</v>
      </c>
    </row>
    <row r="655" spans="17:17" x14ac:dyDescent="0.25">
      <c r="Q655" t="str">
        <f>H213</f>
        <v>Sabão em Pó (2kg)</v>
      </c>
    </row>
    <row r="656" spans="17:17" x14ac:dyDescent="0.25">
      <c r="Q656" t="str">
        <f>H214</f>
        <v>Sabão em Pó (3kg)</v>
      </c>
    </row>
    <row r="657" spans="17:17" x14ac:dyDescent="0.25">
      <c r="Q657" t="str">
        <f>H215</f>
        <v>Sabão em Pó (400g)</v>
      </c>
    </row>
    <row r="658" spans="17:17" x14ac:dyDescent="0.25">
      <c r="Q658" t="str">
        <f>H216</f>
        <v>Sabão em Pó (420g)</v>
      </c>
    </row>
    <row r="659" spans="17:17" x14ac:dyDescent="0.25">
      <c r="Q659" t="str">
        <f>H217</f>
        <v>Sabão em Pó (800g)</v>
      </c>
    </row>
    <row r="660" spans="17:17" x14ac:dyDescent="0.25">
      <c r="Q660" t="str">
        <f t="shared" ref="Q660:Q665" si="13">H221</f>
        <v>Sabão Líquido (2L)</v>
      </c>
    </row>
    <row r="661" spans="17:17" x14ac:dyDescent="0.25">
      <c r="Q661" t="str">
        <f t="shared" si="13"/>
        <v>Sabão Líquido (3L)</v>
      </c>
    </row>
    <row r="662" spans="17:17" x14ac:dyDescent="0.25">
      <c r="Q662" t="str">
        <f t="shared" si="13"/>
        <v>Sabão Líquido (450mL)</v>
      </c>
    </row>
    <row r="663" spans="17:17" x14ac:dyDescent="0.25">
      <c r="Q663" t="str">
        <f t="shared" si="13"/>
        <v>Sabão Líquido (5L)</v>
      </c>
    </row>
    <row r="664" spans="17:17" x14ac:dyDescent="0.25">
      <c r="Q664" t="str">
        <f t="shared" si="13"/>
        <v>Sabonete (100g)</v>
      </c>
    </row>
    <row r="665" spans="17:17" x14ac:dyDescent="0.25">
      <c r="Q665" t="str">
        <f t="shared" si="13"/>
        <v>Sabonete (125g)</v>
      </c>
    </row>
    <row r="666" spans="17:17" x14ac:dyDescent="0.25">
      <c r="Q666" t="e">
        <f>#REF!</f>
        <v>#REF!</v>
      </c>
    </row>
    <row r="667" spans="17:17" x14ac:dyDescent="0.25">
      <c r="Q667" t="str">
        <f>H229</f>
        <v>Sabonete (200g)</v>
      </c>
    </row>
    <row r="668" spans="17:17" x14ac:dyDescent="0.25">
      <c r="Q668" t="e">
        <f>#REF!</f>
        <v>#REF!</v>
      </c>
    </row>
    <row r="669" spans="17:17" x14ac:dyDescent="0.25">
      <c r="Q669" t="str">
        <f>H230</f>
        <v>Sabonete (3un)</v>
      </c>
    </row>
    <row r="670" spans="17:17" x14ac:dyDescent="0.25">
      <c r="Q670" t="str">
        <f>H231</f>
        <v>Sabonete (4un)</v>
      </c>
    </row>
    <row r="671" spans="17:17" x14ac:dyDescent="0.25">
      <c r="Q671" t="str">
        <f>H232</f>
        <v>Sabonete (6un)</v>
      </c>
    </row>
    <row r="672" spans="17:17" x14ac:dyDescent="0.25">
      <c r="Q672" t="str">
        <f t="shared" ref="Q672:Q673" si="14">H235</f>
        <v>Sabonete (84g)</v>
      </c>
    </row>
    <row r="673" spans="17:17" x14ac:dyDescent="0.25">
      <c r="Q673" t="str">
        <f t="shared" si="14"/>
        <v>Sabonete (85g)</v>
      </c>
    </row>
    <row r="674" spans="17:17" x14ac:dyDescent="0.25">
      <c r="Q674" t="e">
        <f>#REF!</f>
        <v>#REF!</v>
      </c>
    </row>
    <row r="675" spans="17:17" x14ac:dyDescent="0.25">
      <c r="Q675" t="e">
        <f>#REF!</f>
        <v>#REF!</v>
      </c>
    </row>
    <row r="676" spans="17:17" x14ac:dyDescent="0.25">
      <c r="Q676" t="e">
        <f>#REF!</f>
        <v>#REF!</v>
      </c>
    </row>
    <row r="677" spans="17:17" x14ac:dyDescent="0.25">
      <c r="Q677" t="e">
        <f>#REF!</f>
        <v>#REF!</v>
      </c>
    </row>
    <row r="678" spans="17:17" x14ac:dyDescent="0.25">
      <c r="Q678" t="e">
        <f>#REF!</f>
        <v>#REF!</v>
      </c>
    </row>
    <row r="679" spans="17:17" x14ac:dyDescent="0.25">
      <c r="Q679" t="str">
        <f>H237</f>
        <v>Sabonete (8un)</v>
      </c>
    </row>
    <row r="680" spans="17:17" x14ac:dyDescent="0.25">
      <c r="Q680" t="str">
        <f t="shared" ref="Q680" si="15">H238</f>
        <v>Sabonete (90g)</v>
      </c>
    </row>
    <row r="681" spans="17:17" x14ac:dyDescent="0.25">
      <c r="Q681" t="e">
        <f>#REF!</f>
        <v>#REF!</v>
      </c>
    </row>
    <row r="682" spans="17:17" x14ac:dyDescent="0.25">
      <c r="Q682" t="e">
        <f>#REF!</f>
        <v>#REF!</v>
      </c>
    </row>
    <row r="683" spans="17:17" x14ac:dyDescent="0.25">
      <c r="Q683" t="str">
        <f t="shared" ref="Q683:Q694" si="16">H240</f>
        <v>Sabonete Líquido (250mL)</v>
      </c>
    </row>
    <row r="684" spans="17:17" x14ac:dyDescent="0.25">
      <c r="Q684" t="str">
        <f t="shared" si="16"/>
        <v>Sabonete Líquido (500mL)</v>
      </c>
    </row>
    <row r="685" spans="17:17" x14ac:dyDescent="0.25">
      <c r="Q685" t="str">
        <f t="shared" si="16"/>
        <v>Saco de Lixo 100L (5un)</v>
      </c>
    </row>
    <row r="686" spans="17:17" x14ac:dyDescent="0.25">
      <c r="Q686" t="str">
        <f t="shared" si="16"/>
        <v>Saco de Lixo 15L (100un)</v>
      </c>
    </row>
    <row r="687" spans="17:17" x14ac:dyDescent="0.25">
      <c r="Q687" t="str">
        <f t="shared" si="16"/>
        <v>Saco de Lixo 15L (20un)</v>
      </c>
    </row>
    <row r="688" spans="17:17" x14ac:dyDescent="0.25">
      <c r="Q688" t="str">
        <f t="shared" si="16"/>
        <v>Saco de Lixo 15L (6un)</v>
      </c>
    </row>
    <row r="689" spans="17:17" x14ac:dyDescent="0.25">
      <c r="Q689" t="str">
        <f t="shared" si="16"/>
        <v>Saco de Lixo 30L (50un)</v>
      </c>
    </row>
    <row r="690" spans="17:17" x14ac:dyDescent="0.25">
      <c r="Q690" t="str">
        <f t="shared" si="16"/>
        <v>Saco de Lixo 50L (10un)</v>
      </c>
    </row>
    <row r="691" spans="17:17" x14ac:dyDescent="0.25">
      <c r="Q691" t="str">
        <f t="shared" si="16"/>
        <v>Sanitizante para Tecidos e Roupas (800g)</v>
      </c>
    </row>
    <row r="692" spans="17:17" x14ac:dyDescent="0.25">
      <c r="Q692" t="str">
        <f t="shared" si="16"/>
        <v>SBP</v>
      </c>
    </row>
    <row r="693" spans="17:17" x14ac:dyDescent="0.25">
      <c r="Q693" t="str">
        <f t="shared" si="16"/>
        <v>Shampoo (175 mL)</v>
      </c>
    </row>
    <row r="694" spans="17:17" x14ac:dyDescent="0.25">
      <c r="Q694" t="str">
        <f t="shared" si="16"/>
        <v>Shampoo (250mL)</v>
      </c>
    </row>
    <row r="695" spans="17:17" x14ac:dyDescent="0.25">
      <c r="Q695">
        <f>H271</f>
        <v>0</v>
      </c>
    </row>
    <row r="696" spans="17:17" x14ac:dyDescent="0.25">
      <c r="Q696">
        <f>H272</f>
        <v>0</v>
      </c>
    </row>
    <row r="697" spans="17:17" x14ac:dyDescent="0.25">
      <c r="Q697">
        <f>H273</f>
        <v>0</v>
      </c>
    </row>
  </sheetData>
  <mergeCells count="5">
    <mergeCell ref="D3:E3"/>
    <mergeCell ref="H3:I3"/>
    <mergeCell ref="A3:B3"/>
    <mergeCell ref="A6:B6"/>
    <mergeCell ref="A9:B9"/>
  </mergeCells>
  <hyperlinks>
    <hyperlink ref="A3" location="Categorias!A1" display="Categorias" xr:uid="{00000000-0004-0000-0300-000000000000}"/>
    <hyperlink ref="A9:B9" location="'Resumo total'!A1" display="Resumo" xr:uid="{00000000-0004-0000-0300-000001000000}"/>
    <hyperlink ref="A6:B6" location="topo_cb" display="CadastroCB" xr:uid="{00000000-0004-0000-0300-000002000000}"/>
    <hyperlink ref="D1" location="topocategorias" display="Topo" xr:uid="{00000000-0004-0000-0300-000003000000}"/>
    <hyperlink ref="A3:B3" location="topocategorias" display="Categorias" xr:uid="{00000000-0004-0000-0300-000004000000}"/>
  </hyperlinks>
  <pageMargins left="0.7" right="0.7" top="0.75" bottom="0.75" header="0.3" footer="0.3"/>
  <pageSetup paperSize="9"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5" name="Button 2">
              <controlPr defaultSize="0" print="0" autoLine="0" autoPict="0" macro="[0]!Add_alimento">
                <anchor moveWithCells="1" sizeWithCells="1">
                  <from>
                    <xdr:col>3</xdr:col>
                    <xdr:colOff>1066800</xdr:colOff>
                    <xdr:row>0</xdr:row>
                    <xdr:rowOff>114300</xdr:rowOff>
                  </from>
                  <to>
                    <xdr:col>4</xdr:col>
                    <xdr:colOff>466725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Line="0" autoPict="0" macro="[0]!Add_higiene">
                <anchor moveWithCells="1" sizeWithCells="1">
                  <from>
                    <xdr:col>4</xdr:col>
                    <xdr:colOff>742950</xdr:colOff>
                    <xdr:row>0</xdr:row>
                    <xdr:rowOff>114300</xdr:rowOff>
                  </from>
                  <to>
                    <xdr:col>7</xdr:col>
                    <xdr:colOff>76200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002060"/>
  </sheetPr>
  <dimension ref="A1:F3742"/>
  <sheetViews>
    <sheetView showGridLines="0" workbookViewId="0">
      <pane xSplit="2" ySplit="2" topLeftCell="C1929" activePane="bottomRight" state="frozen"/>
      <selection pane="topRight" activeCell="C1" sqref="C1"/>
      <selection pane="bottomLeft" activeCell="A3" sqref="A3"/>
      <selection pane="bottomRight" activeCell="E1939" sqref="E1939"/>
    </sheetView>
  </sheetViews>
  <sheetFormatPr defaultColWidth="0" defaultRowHeight="15" x14ac:dyDescent="0.25"/>
  <cols>
    <col min="1" max="1" width="30.42578125" customWidth="1"/>
    <col min="2" max="2" width="2.5703125" customWidth="1"/>
    <col min="3" max="3" width="2.28515625" customWidth="1"/>
    <col min="4" max="4" width="14.140625" bestFit="1" customWidth="1"/>
    <col min="5" max="5" width="32.85546875" customWidth="1"/>
    <col min="6" max="6" width="23.42578125" customWidth="1"/>
    <col min="7" max="16384" width="9.140625" hidden="1"/>
  </cols>
  <sheetData>
    <row r="1" spans="1:6" ht="21" customHeight="1" x14ac:dyDescent="0.25">
      <c r="D1" s="10" t="s">
        <v>82</v>
      </c>
    </row>
    <row r="3" spans="1:6" x14ac:dyDescent="0.25">
      <c r="A3" s="113" t="s">
        <v>81</v>
      </c>
      <c r="B3" s="113"/>
    </row>
    <row r="4" spans="1:6" x14ac:dyDescent="0.25">
      <c r="A4" s="10"/>
      <c r="B4" s="10"/>
      <c r="D4" s="26" t="s">
        <v>286</v>
      </c>
      <c r="E4" t="s">
        <v>19</v>
      </c>
      <c r="F4" t="s">
        <v>288</v>
      </c>
    </row>
    <row r="5" spans="1:6" x14ac:dyDescent="0.25">
      <c r="A5" s="10"/>
      <c r="B5" s="10"/>
      <c r="D5" s="41" t="s">
        <v>500</v>
      </c>
      <c r="E5" s="42" t="s">
        <v>183</v>
      </c>
      <c r="F5" s="43" t="s">
        <v>501</v>
      </c>
    </row>
    <row r="6" spans="1:6" x14ac:dyDescent="0.25">
      <c r="A6" s="113" t="s">
        <v>290</v>
      </c>
      <c r="B6" s="113"/>
      <c r="D6" s="41" t="s">
        <v>502</v>
      </c>
      <c r="E6" s="42" t="s">
        <v>183</v>
      </c>
      <c r="F6" s="43" t="s">
        <v>501</v>
      </c>
    </row>
    <row r="7" spans="1:6" x14ac:dyDescent="0.25">
      <c r="D7" s="41" t="s">
        <v>926</v>
      </c>
      <c r="E7" s="42" t="s">
        <v>183</v>
      </c>
      <c r="F7" s="43" t="s">
        <v>747</v>
      </c>
    </row>
    <row r="8" spans="1:6" x14ac:dyDescent="0.25">
      <c r="D8" s="41" t="s">
        <v>1151</v>
      </c>
      <c r="E8" s="42" t="s">
        <v>183</v>
      </c>
      <c r="F8" s="43" t="s">
        <v>1152</v>
      </c>
    </row>
    <row r="9" spans="1:6" x14ac:dyDescent="0.25">
      <c r="A9" s="113" t="s">
        <v>84</v>
      </c>
      <c r="B9" s="113"/>
      <c r="D9" s="41" t="s">
        <v>1183</v>
      </c>
      <c r="E9" s="42" t="s">
        <v>183</v>
      </c>
      <c r="F9" s="43" t="s">
        <v>1139</v>
      </c>
    </row>
    <row r="10" spans="1:6" x14ac:dyDescent="0.25">
      <c r="D10" s="41" t="s">
        <v>1194</v>
      </c>
      <c r="E10" s="42" t="s">
        <v>183</v>
      </c>
      <c r="F10" s="43" t="s">
        <v>747</v>
      </c>
    </row>
    <row r="11" spans="1:6" x14ac:dyDescent="0.25">
      <c r="D11" s="41" t="s">
        <v>1412</v>
      </c>
      <c r="E11" s="42" t="s">
        <v>183</v>
      </c>
      <c r="F11" s="43" t="s">
        <v>747</v>
      </c>
    </row>
    <row r="12" spans="1:6" x14ac:dyDescent="0.25">
      <c r="D12" s="41" t="s">
        <v>1965</v>
      </c>
      <c r="E12" s="42" t="s">
        <v>183</v>
      </c>
      <c r="F12" s="43" t="s">
        <v>747</v>
      </c>
    </row>
    <row r="13" spans="1:6" x14ac:dyDescent="0.25">
      <c r="D13" s="41" t="s">
        <v>2812</v>
      </c>
      <c r="E13" s="42" t="s">
        <v>183</v>
      </c>
      <c r="F13" s="43"/>
    </row>
    <row r="14" spans="1:6" x14ac:dyDescent="0.25">
      <c r="D14" s="41" t="s">
        <v>2826</v>
      </c>
      <c r="E14" s="42" t="s">
        <v>183</v>
      </c>
      <c r="F14" s="43"/>
    </row>
    <row r="15" spans="1:6" x14ac:dyDescent="0.25">
      <c r="D15" s="41" t="s">
        <v>2956</v>
      </c>
      <c r="E15" s="42" t="s">
        <v>183</v>
      </c>
      <c r="F15" s="43" t="s">
        <v>747</v>
      </c>
    </row>
    <row r="16" spans="1:6" x14ac:dyDescent="0.25">
      <c r="D16" s="41" t="s">
        <v>3048</v>
      </c>
      <c r="E16" s="42" t="s">
        <v>183</v>
      </c>
      <c r="F16" s="43"/>
    </row>
    <row r="17" spans="4:6" x14ac:dyDescent="0.25">
      <c r="D17" s="41" t="s">
        <v>3057</v>
      </c>
      <c r="E17" s="42" t="s">
        <v>183</v>
      </c>
      <c r="F17" s="43" t="s">
        <v>3058</v>
      </c>
    </row>
    <row r="18" spans="4:6" x14ac:dyDescent="0.25">
      <c r="D18" s="41" t="s">
        <v>3217</v>
      </c>
      <c r="E18" s="42" t="s">
        <v>183</v>
      </c>
      <c r="F18" s="43" t="s">
        <v>3218</v>
      </c>
    </row>
    <row r="19" spans="4:6" x14ac:dyDescent="0.25">
      <c r="D19" s="41" t="s">
        <v>3252</v>
      </c>
      <c r="E19" s="42" t="s">
        <v>183</v>
      </c>
      <c r="F19" s="43" t="s">
        <v>2901</v>
      </c>
    </row>
    <row r="20" spans="4:6" x14ac:dyDescent="0.25">
      <c r="D20" s="41" t="s">
        <v>3712</v>
      </c>
      <c r="E20" s="42" t="s">
        <v>3649</v>
      </c>
      <c r="F20" s="43" t="s">
        <v>3649</v>
      </c>
    </row>
    <row r="21" spans="4:6" x14ac:dyDescent="0.25">
      <c r="D21" s="41" t="s">
        <v>1340</v>
      </c>
      <c r="E21" s="42" t="s">
        <v>168</v>
      </c>
      <c r="F21" s="43" t="s">
        <v>747</v>
      </c>
    </row>
    <row r="22" spans="4:6" x14ac:dyDescent="0.25">
      <c r="D22" s="41" t="s">
        <v>3158</v>
      </c>
      <c r="E22" s="42" t="s">
        <v>168</v>
      </c>
      <c r="F22" s="43"/>
    </row>
    <row r="23" spans="4:6" x14ac:dyDescent="0.25">
      <c r="D23" s="41" t="s">
        <v>1153</v>
      </c>
      <c r="E23" s="42" t="s">
        <v>184</v>
      </c>
      <c r="F23" s="43" t="s">
        <v>1139</v>
      </c>
    </row>
    <row r="24" spans="4:6" x14ac:dyDescent="0.25">
      <c r="D24" s="41" t="s">
        <v>1428</v>
      </c>
      <c r="E24" s="42" t="s">
        <v>184</v>
      </c>
      <c r="F24" s="43" t="s">
        <v>747</v>
      </c>
    </row>
    <row r="25" spans="4:6" x14ac:dyDescent="0.25">
      <c r="D25" s="41" t="s">
        <v>1550</v>
      </c>
      <c r="E25" s="42" t="s">
        <v>184</v>
      </c>
      <c r="F25" s="43" t="s">
        <v>1548</v>
      </c>
    </row>
    <row r="26" spans="4:6" x14ac:dyDescent="0.25">
      <c r="D26" s="41" t="s">
        <v>2990</v>
      </c>
      <c r="E26" s="42" t="s">
        <v>184</v>
      </c>
      <c r="F26" s="43" t="s">
        <v>747</v>
      </c>
    </row>
    <row r="27" spans="4:6" x14ac:dyDescent="0.25">
      <c r="D27" s="41" t="s">
        <v>3435</v>
      </c>
      <c r="E27" s="42" t="s">
        <v>184</v>
      </c>
      <c r="F27" s="43"/>
    </row>
    <row r="28" spans="4:6" x14ac:dyDescent="0.25">
      <c r="D28" s="41" t="s">
        <v>3095</v>
      </c>
      <c r="E28" s="42" t="s">
        <v>3922</v>
      </c>
      <c r="F28" s="43" t="s">
        <v>3096</v>
      </c>
    </row>
    <row r="29" spans="4:6" x14ac:dyDescent="0.25">
      <c r="D29" s="41" t="s">
        <v>496</v>
      </c>
      <c r="E29" s="42" t="s">
        <v>185</v>
      </c>
      <c r="F29" s="43" t="s">
        <v>497</v>
      </c>
    </row>
    <row r="30" spans="4:6" x14ac:dyDescent="0.25">
      <c r="D30" s="41" t="s">
        <v>1429</v>
      </c>
      <c r="E30" s="42" t="s">
        <v>185</v>
      </c>
      <c r="F30" s="43" t="s">
        <v>747</v>
      </c>
    </row>
    <row r="31" spans="4:6" x14ac:dyDescent="0.25">
      <c r="D31" s="41" t="s">
        <v>1734</v>
      </c>
      <c r="E31" s="42" t="s">
        <v>185</v>
      </c>
      <c r="F31" s="43" t="s">
        <v>1705</v>
      </c>
    </row>
    <row r="32" spans="4:6" x14ac:dyDescent="0.25">
      <c r="D32" s="41" t="s">
        <v>2900</v>
      </c>
      <c r="E32" s="42" t="s">
        <v>185</v>
      </c>
      <c r="F32" s="43" t="s">
        <v>2901</v>
      </c>
    </row>
    <row r="33" spans="4:6" x14ac:dyDescent="0.25">
      <c r="D33" s="41" t="s">
        <v>2813</v>
      </c>
      <c r="E33" s="42" t="s">
        <v>272</v>
      </c>
      <c r="F33" s="43"/>
    </row>
    <row r="34" spans="4:6" x14ac:dyDescent="0.25">
      <c r="D34" s="41" t="s">
        <v>3074</v>
      </c>
      <c r="E34" s="42" t="s">
        <v>272</v>
      </c>
      <c r="F34" s="43" t="s">
        <v>3075</v>
      </c>
    </row>
    <row r="35" spans="4:6" x14ac:dyDescent="0.25">
      <c r="D35" s="41" t="s">
        <v>2808</v>
      </c>
      <c r="E35" s="42" t="s">
        <v>3923</v>
      </c>
      <c r="F35" s="43"/>
    </row>
    <row r="36" spans="4:6" x14ac:dyDescent="0.25">
      <c r="D36" s="41" t="s">
        <v>3146</v>
      </c>
      <c r="E36" s="42" t="s">
        <v>3923</v>
      </c>
      <c r="F36" s="43"/>
    </row>
    <row r="37" spans="4:6" x14ac:dyDescent="0.25">
      <c r="D37" s="41" t="s">
        <v>2848</v>
      </c>
      <c r="E37" s="42" t="s">
        <v>1089</v>
      </c>
      <c r="F37" s="43" t="s">
        <v>2849</v>
      </c>
    </row>
    <row r="38" spans="4:6" x14ac:dyDescent="0.25">
      <c r="D38" s="41" t="s">
        <v>2007</v>
      </c>
      <c r="E38" s="42" t="s">
        <v>2008</v>
      </c>
      <c r="F38" s="43" t="s">
        <v>747</v>
      </c>
    </row>
    <row r="39" spans="4:6" x14ac:dyDescent="0.25">
      <c r="D39" s="41" t="s">
        <v>2009</v>
      </c>
      <c r="E39" s="42" t="s">
        <v>2010</v>
      </c>
      <c r="F39" s="43" t="s">
        <v>747</v>
      </c>
    </row>
    <row r="40" spans="4:6" x14ac:dyDescent="0.25">
      <c r="D40" s="41" t="s">
        <v>1130</v>
      </c>
      <c r="E40" s="42" t="s">
        <v>260</v>
      </c>
      <c r="F40" s="43" t="s">
        <v>1131</v>
      </c>
    </row>
    <row r="41" spans="4:6" x14ac:dyDescent="0.25">
      <c r="D41" s="41" t="s">
        <v>2011</v>
      </c>
      <c r="E41" s="42" t="s">
        <v>260</v>
      </c>
      <c r="F41" s="43" t="s">
        <v>486</v>
      </c>
    </row>
    <row r="42" spans="4:6" x14ac:dyDescent="0.25">
      <c r="D42" s="41" t="s">
        <v>2012</v>
      </c>
      <c r="E42" s="42" t="s">
        <v>260</v>
      </c>
      <c r="F42" s="43"/>
    </row>
    <row r="43" spans="4:6" x14ac:dyDescent="0.25">
      <c r="D43" s="44" t="s">
        <v>3348</v>
      </c>
      <c r="E43" s="45" t="s">
        <v>260</v>
      </c>
      <c r="F43" s="46" t="s">
        <v>3307</v>
      </c>
    </row>
    <row r="44" spans="4:6" x14ac:dyDescent="0.25">
      <c r="D44" s="41" t="s">
        <v>3497</v>
      </c>
      <c r="E44" s="42" t="s">
        <v>260</v>
      </c>
      <c r="F44" s="43"/>
    </row>
    <row r="45" spans="4:6" x14ac:dyDescent="0.25">
      <c r="D45" s="44" t="s">
        <v>3354</v>
      </c>
      <c r="E45" s="45" t="s">
        <v>3355</v>
      </c>
      <c r="F45" s="46" t="s">
        <v>3307</v>
      </c>
    </row>
    <row r="46" spans="4:6" x14ac:dyDescent="0.25">
      <c r="D46" s="41" t="s">
        <v>915</v>
      </c>
      <c r="E46" s="42" t="s">
        <v>96</v>
      </c>
      <c r="F46" s="43" t="s">
        <v>747</v>
      </c>
    </row>
    <row r="47" spans="4:6" x14ac:dyDescent="0.25">
      <c r="D47" s="41" t="s">
        <v>1881</v>
      </c>
      <c r="E47" s="42" t="s">
        <v>96</v>
      </c>
      <c r="F47" s="43" t="s">
        <v>1471</v>
      </c>
    </row>
    <row r="48" spans="4:6" x14ac:dyDescent="0.25">
      <c r="D48" s="41" t="s">
        <v>1883</v>
      </c>
      <c r="E48" s="42" t="s">
        <v>96</v>
      </c>
      <c r="F48" s="43" t="s">
        <v>1471</v>
      </c>
    </row>
    <row r="49" spans="4:6" x14ac:dyDescent="0.25">
      <c r="D49" s="41" t="s">
        <v>1903</v>
      </c>
      <c r="E49" s="42" t="s">
        <v>96</v>
      </c>
      <c r="F49" s="43"/>
    </row>
    <row r="50" spans="4:6" x14ac:dyDescent="0.25">
      <c r="D50" s="41" t="s">
        <v>2013</v>
      </c>
      <c r="E50" s="42" t="s">
        <v>96</v>
      </c>
      <c r="F50" s="43"/>
    </row>
    <row r="51" spans="4:6" x14ac:dyDescent="0.25">
      <c r="D51" s="41" t="s">
        <v>2014</v>
      </c>
      <c r="E51" s="42" t="s">
        <v>96</v>
      </c>
      <c r="F51" s="43"/>
    </row>
    <row r="52" spans="4:6" x14ac:dyDescent="0.25">
      <c r="D52" s="41" t="s">
        <v>2015</v>
      </c>
      <c r="E52" s="42" t="s">
        <v>96</v>
      </c>
      <c r="F52" s="43" t="s">
        <v>938</v>
      </c>
    </row>
    <row r="53" spans="4:6" x14ac:dyDescent="0.25">
      <c r="D53" s="41" t="s">
        <v>3722</v>
      </c>
      <c r="E53" s="42" t="s">
        <v>96</v>
      </c>
      <c r="F53" s="43"/>
    </row>
    <row r="54" spans="4:6" x14ac:dyDescent="0.25">
      <c r="D54" s="41" t="s">
        <v>2016</v>
      </c>
      <c r="E54" s="42" t="s">
        <v>1042</v>
      </c>
      <c r="F54" s="43"/>
    </row>
    <row r="55" spans="4:6" x14ac:dyDescent="0.25">
      <c r="D55" s="41" t="s">
        <v>2950</v>
      </c>
      <c r="E55" s="42" t="s">
        <v>1042</v>
      </c>
      <c r="F55" s="43" t="s">
        <v>747</v>
      </c>
    </row>
    <row r="56" spans="4:6" x14ac:dyDescent="0.25">
      <c r="D56" s="44" t="s">
        <v>3347</v>
      </c>
      <c r="E56" s="45" t="s">
        <v>1042</v>
      </c>
      <c r="F56" s="46" t="s">
        <v>3307</v>
      </c>
    </row>
    <row r="57" spans="4:6" x14ac:dyDescent="0.25">
      <c r="D57" s="41" t="s">
        <v>3496</v>
      </c>
      <c r="E57" s="42" t="s">
        <v>1042</v>
      </c>
      <c r="F57" s="43"/>
    </row>
    <row r="58" spans="4:6" x14ac:dyDescent="0.25">
      <c r="D58" s="41" t="s">
        <v>527</v>
      </c>
      <c r="E58" s="42" t="s">
        <v>97</v>
      </c>
      <c r="F58" s="43" t="s">
        <v>528</v>
      </c>
    </row>
    <row r="59" spans="4:6" x14ac:dyDescent="0.25">
      <c r="D59" s="41" t="s">
        <v>529</v>
      </c>
      <c r="E59" s="42" t="s">
        <v>97</v>
      </c>
      <c r="F59" s="43" t="s">
        <v>530</v>
      </c>
    </row>
    <row r="60" spans="4:6" x14ac:dyDescent="0.25">
      <c r="D60" s="41" t="s">
        <v>531</v>
      </c>
      <c r="E60" s="42" t="s">
        <v>97</v>
      </c>
      <c r="F60" s="43" t="s">
        <v>532</v>
      </c>
    </row>
    <row r="61" spans="4:6" x14ac:dyDescent="0.25">
      <c r="D61" s="41" t="s">
        <v>1126</v>
      </c>
      <c r="E61" s="42" t="s">
        <v>97</v>
      </c>
      <c r="F61" s="43" t="s">
        <v>1127</v>
      </c>
    </row>
    <row r="62" spans="4:6" x14ac:dyDescent="0.25">
      <c r="D62" s="41" t="s">
        <v>1135</v>
      </c>
      <c r="E62" s="42" t="s">
        <v>97</v>
      </c>
      <c r="F62" s="43" t="s">
        <v>532</v>
      </c>
    </row>
    <row r="63" spans="4:6" x14ac:dyDescent="0.25">
      <c r="D63" s="41" t="s">
        <v>1264</v>
      </c>
      <c r="E63" s="42" t="s">
        <v>97</v>
      </c>
      <c r="F63" s="43" t="s">
        <v>747</v>
      </c>
    </row>
    <row r="64" spans="4:6" x14ac:dyDescent="0.25">
      <c r="D64" s="41" t="s">
        <v>1339</v>
      </c>
      <c r="E64" s="42" t="s">
        <v>97</v>
      </c>
      <c r="F64" s="43" t="s">
        <v>747</v>
      </c>
    </row>
    <row r="65" spans="4:6" x14ac:dyDescent="0.25">
      <c r="D65" s="41" t="s">
        <v>1608</v>
      </c>
      <c r="E65" s="42" t="s">
        <v>97</v>
      </c>
      <c r="F65" s="43" t="s">
        <v>1493</v>
      </c>
    </row>
    <row r="66" spans="4:6" x14ac:dyDescent="0.25">
      <c r="D66" s="41" t="s">
        <v>1969</v>
      </c>
      <c r="E66" s="42" t="s">
        <v>97</v>
      </c>
      <c r="F66" s="43" t="s">
        <v>1574</v>
      </c>
    </row>
    <row r="67" spans="4:6" x14ac:dyDescent="0.25">
      <c r="D67" s="41" t="s">
        <v>2017</v>
      </c>
      <c r="E67" s="42" t="s">
        <v>97</v>
      </c>
      <c r="F67" s="43" t="s">
        <v>650</v>
      </c>
    </row>
    <row r="68" spans="4:6" x14ac:dyDescent="0.25">
      <c r="D68" s="41" t="s">
        <v>2018</v>
      </c>
      <c r="E68" s="42" t="s">
        <v>97</v>
      </c>
      <c r="F68" s="43"/>
    </row>
    <row r="69" spans="4:6" x14ac:dyDescent="0.25">
      <c r="D69" s="41" t="s">
        <v>2019</v>
      </c>
      <c r="E69" s="42" t="s">
        <v>97</v>
      </c>
      <c r="F69" s="43"/>
    </row>
    <row r="70" spans="4:6" x14ac:dyDescent="0.25">
      <c r="D70" s="41" t="s">
        <v>2985</v>
      </c>
      <c r="E70" s="42" t="s">
        <v>97</v>
      </c>
      <c r="F70" s="43"/>
    </row>
    <row r="71" spans="4:6" x14ac:dyDescent="0.25">
      <c r="D71" s="41" t="s">
        <v>3541</v>
      </c>
      <c r="E71" s="42" t="s">
        <v>97</v>
      </c>
      <c r="F71" s="43" t="s">
        <v>78</v>
      </c>
    </row>
    <row r="72" spans="4:6" x14ac:dyDescent="0.25">
      <c r="D72" s="41" t="s">
        <v>3577</v>
      </c>
      <c r="E72" s="42" t="s">
        <v>97</v>
      </c>
      <c r="F72" s="43"/>
    </row>
    <row r="73" spans="4:6" x14ac:dyDescent="0.25">
      <c r="D73" s="41" t="s">
        <v>3611</v>
      </c>
      <c r="E73" s="42" t="s">
        <v>97</v>
      </c>
      <c r="F73" s="43"/>
    </row>
    <row r="74" spans="4:6" x14ac:dyDescent="0.25">
      <c r="D74" s="41" t="s">
        <v>3673</v>
      </c>
      <c r="E74" s="42" t="s">
        <v>3660</v>
      </c>
      <c r="F74" s="43" t="s">
        <v>3660</v>
      </c>
    </row>
    <row r="75" spans="4:6" x14ac:dyDescent="0.25">
      <c r="D75" s="41" t="s">
        <v>1128</v>
      </c>
      <c r="E75" s="42" t="s">
        <v>264</v>
      </c>
      <c r="F75" s="43" t="s">
        <v>1129</v>
      </c>
    </row>
    <row r="76" spans="4:6" x14ac:dyDescent="0.25">
      <c r="D76" s="41" t="s">
        <v>1156</v>
      </c>
      <c r="E76" s="42" t="s">
        <v>264</v>
      </c>
      <c r="F76" s="43" t="s">
        <v>1139</v>
      </c>
    </row>
    <row r="77" spans="4:6" x14ac:dyDescent="0.25">
      <c r="D77" s="41" t="s">
        <v>1283</v>
      </c>
      <c r="E77" s="42" t="s">
        <v>264</v>
      </c>
      <c r="F77" s="43" t="s">
        <v>747</v>
      </c>
    </row>
    <row r="78" spans="4:6" x14ac:dyDescent="0.25">
      <c r="D78" s="44" t="s">
        <v>3353</v>
      </c>
      <c r="E78" s="45" t="s">
        <v>264</v>
      </c>
      <c r="F78" s="46" t="s">
        <v>3307</v>
      </c>
    </row>
    <row r="79" spans="4:6" x14ac:dyDescent="0.25">
      <c r="D79" s="41" t="s">
        <v>802</v>
      </c>
      <c r="E79" s="42" t="s">
        <v>99</v>
      </c>
      <c r="F79" s="43" t="s">
        <v>747</v>
      </c>
    </row>
    <row r="80" spans="4:6" x14ac:dyDescent="0.25">
      <c r="D80" s="41" t="s">
        <v>1238</v>
      </c>
      <c r="E80" s="42" t="s">
        <v>99</v>
      </c>
      <c r="F80" s="43" t="s">
        <v>1127</v>
      </c>
    </row>
    <row r="81" spans="4:6" x14ac:dyDescent="0.25">
      <c r="D81" s="41" t="s">
        <v>1294</v>
      </c>
      <c r="E81" s="42" t="s">
        <v>99</v>
      </c>
      <c r="F81" s="43" t="s">
        <v>747</v>
      </c>
    </row>
    <row r="82" spans="4:6" x14ac:dyDescent="0.25">
      <c r="D82" s="41" t="s">
        <v>1650</v>
      </c>
      <c r="E82" s="42" t="s">
        <v>99</v>
      </c>
      <c r="F82" s="43" t="s">
        <v>1651</v>
      </c>
    </row>
    <row r="83" spans="4:6" x14ac:dyDescent="0.25">
      <c r="D83" s="41" t="s">
        <v>1686</v>
      </c>
      <c r="E83" s="42" t="s">
        <v>99</v>
      </c>
      <c r="F83" s="43" t="s">
        <v>1687</v>
      </c>
    </row>
    <row r="84" spans="4:6" x14ac:dyDescent="0.25">
      <c r="D84" s="41" t="s">
        <v>2020</v>
      </c>
      <c r="E84" s="42" t="s">
        <v>99</v>
      </c>
      <c r="F84" s="43" t="s">
        <v>944</v>
      </c>
    </row>
    <row r="85" spans="4:6" x14ac:dyDescent="0.25">
      <c r="D85" s="41" t="s">
        <v>2021</v>
      </c>
      <c r="E85" s="42" t="s">
        <v>99</v>
      </c>
      <c r="F85" s="43" t="s">
        <v>938</v>
      </c>
    </row>
    <row r="86" spans="4:6" x14ac:dyDescent="0.25">
      <c r="D86" s="41" t="s">
        <v>3373</v>
      </c>
      <c r="E86" s="42" t="s">
        <v>3364</v>
      </c>
      <c r="F86" s="43" t="s">
        <v>938</v>
      </c>
    </row>
    <row r="87" spans="4:6" x14ac:dyDescent="0.25">
      <c r="D87" s="41" t="s">
        <v>292</v>
      </c>
      <c r="E87" s="42" t="s">
        <v>100</v>
      </c>
      <c r="F87" s="43" t="s">
        <v>293</v>
      </c>
    </row>
    <row r="88" spans="4:6" x14ac:dyDescent="0.25">
      <c r="D88" s="41" t="s">
        <v>483</v>
      </c>
      <c r="E88" s="42" t="s">
        <v>100</v>
      </c>
      <c r="F88" s="43" t="s">
        <v>484</v>
      </c>
    </row>
    <row r="89" spans="4:6" x14ac:dyDescent="0.25">
      <c r="D89" s="41" t="s">
        <v>485</v>
      </c>
      <c r="E89" s="42" t="s">
        <v>100</v>
      </c>
      <c r="F89" s="43" t="s">
        <v>486</v>
      </c>
    </row>
    <row r="90" spans="4:6" x14ac:dyDescent="0.25">
      <c r="D90" s="41" t="s">
        <v>561</v>
      </c>
      <c r="E90" s="42" t="s">
        <v>100</v>
      </c>
      <c r="F90" s="43" t="s">
        <v>562</v>
      </c>
    </row>
    <row r="91" spans="4:6" x14ac:dyDescent="0.25">
      <c r="D91" s="41" t="s">
        <v>563</v>
      </c>
      <c r="E91" s="42" t="s">
        <v>100</v>
      </c>
      <c r="F91" s="43" t="s">
        <v>564</v>
      </c>
    </row>
    <row r="92" spans="4:6" x14ac:dyDescent="0.25">
      <c r="D92" s="41" t="s">
        <v>642</v>
      </c>
      <c r="E92" s="42" t="s">
        <v>100</v>
      </c>
      <c r="F92" s="43" t="s">
        <v>643</v>
      </c>
    </row>
    <row r="93" spans="4:6" x14ac:dyDescent="0.25">
      <c r="D93" s="41" t="s">
        <v>1301</v>
      </c>
      <c r="E93" s="42" t="s">
        <v>100</v>
      </c>
      <c r="F93" s="43" t="s">
        <v>747</v>
      </c>
    </row>
    <row r="94" spans="4:6" x14ac:dyDescent="0.25">
      <c r="D94" s="41" t="s">
        <v>1624</v>
      </c>
      <c r="E94" s="42" t="s">
        <v>100</v>
      </c>
      <c r="F94" s="43" t="s">
        <v>1544</v>
      </c>
    </row>
    <row r="95" spans="4:6" x14ac:dyDescent="0.25">
      <c r="D95" s="41" t="s">
        <v>1652</v>
      </c>
      <c r="E95" s="42" t="s">
        <v>100</v>
      </c>
      <c r="F95" s="43" t="s">
        <v>1653</v>
      </c>
    </row>
    <row r="96" spans="4:6" x14ac:dyDescent="0.25">
      <c r="D96" s="41" t="s">
        <v>1722</v>
      </c>
      <c r="E96" s="42" t="s">
        <v>100</v>
      </c>
      <c r="F96" s="43" t="s">
        <v>1720</v>
      </c>
    </row>
    <row r="97" spans="4:6" x14ac:dyDescent="0.25">
      <c r="D97" s="41" t="s">
        <v>2022</v>
      </c>
      <c r="E97" s="42" t="s">
        <v>100</v>
      </c>
      <c r="F97" s="43" t="s">
        <v>78</v>
      </c>
    </row>
    <row r="98" spans="4:6" x14ac:dyDescent="0.25">
      <c r="D98" s="41" t="s">
        <v>2023</v>
      </c>
      <c r="E98" s="42" t="s">
        <v>100</v>
      </c>
      <c r="F98" s="43" t="s">
        <v>747</v>
      </c>
    </row>
    <row r="99" spans="4:6" x14ac:dyDescent="0.25">
      <c r="D99" s="41" t="s">
        <v>2024</v>
      </c>
      <c r="E99" s="42" t="s">
        <v>100</v>
      </c>
      <c r="F99" s="43"/>
    </row>
    <row r="100" spans="4:6" x14ac:dyDescent="0.25">
      <c r="D100" s="41" t="s">
        <v>2025</v>
      </c>
      <c r="E100" s="42" t="s">
        <v>100</v>
      </c>
      <c r="F100" s="43"/>
    </row>
    <row r="101" spans="4:6" x14ac:dyDescent="0.25">
      <c r="D101" s="41" t="s">
        <v>2026</v>
      </c>
      <c r="E101" s="42" t="s">
        <v>100</v>
      </c>
      <c r="F101" s="43"/>
    </row>
    <row r="102" spans="4:6" x14ac:dyDescent="0.25">
      <c r="D102" s="41" t="s">
        <v>2027</v>
      </c>
      <c r="E102" s="42" t="s">
        <v>100</v>
      </c>
      <c r="F102" s="43"/>
    </row>
    <row r="103" spans="4:6" x14ac:dyDescent="0.25">
      <c r="D103" s="41" t="s">
        <v>2028</v>
      </c>
      <c r="E103" s="42" t="s">
        <v>100</v>
      </c>
      <c r="F103" s="43"/>
    </row>
    <row r="104" spans="4:6" x14ac:dyDescent="0.25">
      <c r="D104" s="41" t="s">
        <v>2029</v>
      </c>
      <c r="E104" s="42" t="s">
        <v>100</v>
      </c>
      <c r="F104" s="43"/>
    </row>
    <row r="105" spans="4:6" x14ac:dyDescent="0.25">
      <c r="D105" s="41" t="s">
        <v>2904</v>
      </c>
      <c r="E105" s="42" t="s">
        <v>100</v>
      </c>
      <c r="F105" s="43" t="s">
        <v>938</v>
      </c>
    </row>
    <row r="106" spans="4:6" x14ac:dyDescent="0.25">
      <c r="D106" s="41" t="s">
        <v>3113</v>
      </c>
      <c r="E106" s="42" t="s">
        <v>100</v>
      </c>
      <c r="F106" s="43" t="s">
        <v>747</v>
      </c>
    </row>
    <row r="107" spans="4:6" x14ac:dyDescent="0.25">
      <c r="D107" s="41" t="s">
        <v>3202</v>
      </c>
      <c r="E107" s="42" t="s">
        <v>100</v>
      </c>
      <c r="F107" s="43"/>
    </row>
    <row r="108" spans="4:6" x14ac:dyDescent="0.25">
      <c r="D108" s="41" t="s">
        <v>3433</v>
      </c>
      <c r="E108" s="42" t="s">
        <v>100</v>
      </c>
      <c r="F108" s="43"/>
    </row>
    <row r="109" spans="4:6" x14ac:dyDescent="0.25">
      <c r="D109" s="41" t="s">
        <v>644</v>
      </c>
      <c r="E109" s="42" t="s">
        <v>101</v>
      </c>
      <c r="F109" s="43" t="s">
        <v>643</v>
      </c>
    </row>
    <row r="110" spans="4:6" x14ac:dyDescent="0.25">
      <c r="D110" s="41" t="s">
        <v>773</v>
      </c>
      <c r="E110" s="42" t="s">
        <v>101</v>
      </c>
      <c r="F110" s="43" t="s">
        <v>747</v>
      </c>
    </row>
    <row r="111" spans="4:6" x14ac:dyDescent="0.25">
      <c r="D111" s="41" t="s">
        <v>2030</v>
      </c>
      <c r="E111" s="42" t="s">
        <v>101</v>
      </c>
      <c r="F111" s="43" t="s">
        <v>747</v>
      </c>
    </row>
    <row r="112" spans="4:6" x14ac:dyDescent="0.25">
      <c r="D112" s="41" t="s">
        <v>2031</v>
      </c>
      <c r="E112" s="42" t="s">
        <v>101</v>
      </c>
      <c r="F112" s="43" t="s">
        <v>747</v>
      </c>
    </row>
    <row r="113" spans="4:6" x14ac:dyDescent="0.25">
      <c r="D113" s="41" t="s">
        <v>2032</v>
      </c>
      <c r="E113" s="42" t="s">
        <v>101</v>
      </c>
      <c r="F113" s="43"/>
    </row>
    <row r="114" spans="4:6" x14ac:dyDescent="0.25">
      <c r="D114" s="41" t="s">
        <v>2033</v>
      </c>
      <c r="E114" s="42" t="s">
        <v>101</v>
      </c>
      <c r="F114" s="43"/>
    </row>
    <row r="115" spans="4:6" x14ac:dyDescent="0.25">
      <c r="D115" s="41" t="s">
        <v>3182</v>
      </c>
      <c r="E115" s="42" t="s">
        <v>101</v>
      </c>
      <c r="F115" s="43" t="s">
        <v>78</v>
      </c>
    </row>
    <row r="116" spans="4:6" x14ac:dyDescent="0.25">
      <c r="D116" s="41" t="s">
        <v>3493</v>
      </c>
      <c r="E116" s="42" t="s">
        <v>101</v>
      </c>
      <c r="F116" s="43"/>
    </row>
    <row r="117" spans="4:6" x14ac:dyDescent="0.25">
      <c r="D117" s="41" t="s">
        <v>3519</v>
      </c>
      <c r="E117" s="42" t="s">
        <v>101</v>
      </c>
      <c r="F117" s="43" t="s">
        <v>1184</v>
      </c>
    </row>
    <row r="118" spans="4:6" x14ac:dyDescent="0.25">
      <c r="D118" s="41" t="s">
        <v>3708</v>
      </c>
      <c r="E118" s="42" t="s">
        <v>101</v>
      </c>
      <c r="F118" s="43"/>
    </row>
    <row r="119" spans="4:6" x14ac:dyDescent="0.25">
      <c r="D119" s="41" t="s">
        <v>3495</v>
      </c>
      <c r="E119" s="42" t="s">
        <v>3455</v>
      </c>
      <c r="F119" s="43" t="s">
        <v>747</v>
      </c>
    </row>
    <row r="120" spans="4:6" x14ac:dyDescent="0.25">
      <c r="D120" s="41" t="s">
        <v>3548</v>
      </c>
      <c r="E120" s="42" t="s">
        <v>3836</v>
      </c>
      <c r="F120" s="43"/>
    </row>
    <row r="121" spans="4:6" x14ac:dyDescent="0.25">
      <c r="D121" s="41" t="s">
        <v>645</v>
      </c>
      <c r="E121" s="42" t="s">
        <v>102</v>
      </c>
      <c r="F121" s="43" t="s">
        <v>643</v>
      </c>
    </row>
    <row r="122" spans="4:6" x14ac:dyDescent="0.25">
      <c r="D122" s="41" t="s">
        <v>646</v>
      </c>
      <c r="E122" s="42" t="s">
        <v>102</v>
      </c>
      <c r="F122" s="43" t="s">
        <v>564</v>
      </c>
    </row>
    <row r="123" spans="4:6" x14ac:dyDescent="0.25">
      <c r="D123" s="41" t="s">
        <v>678</v>
      </c>
      <c r="E123" s="42" t="s">
        <v>102</v>
      </c>
      <c r="F123" s="43" t="s">
        <v>679</v>
      </c>
    </row>
    <row r="124" spans="4:6" x14ac:dyDescent="0.25">
      <c r="D124" s="41" t="s">
        <v>1898</v>
      </c>
      <c r="E124" s="42" t="s">
        <v>102</v>
      </c>
      <c r="F124" s="43"/>
    </row>
    <row r="125" spans="4:6" x14ac:dyDescent="0.25">
      <c r="D125" s="41" t="s">
        <v>2034</v>
      </c>
      <c r="E125" s="42" t="s">
        <v>102</v>
      </c>
      <c r="F125" s="43"/>
    </row>
    <row r="126" spans="4:6" x14ac:dyDescent="0.25">
      <c r="D126" s="41" t="s">
        <v>2035</v>
      </c>
      <c r="E126" s="42" t="s">
        <v>102</v>
      </c>
      <c r="F126" s="43" t="s">
        <v>2036</v>
      </c>
    </row>
    <row r="127" spans="4:6" x14ac:dyDescent="0.25">
      <c r="D127" s="44" t="s">
        <v>3276</v>
      </c>
      <c r="E127" s="45" t="s">
        <v>102</v>
      </c>
      <c r="F127" s="46"/>
    </row>
    <row r="128" spans="4:6" x14ac:dyDescent="0.25">
      <c r="D128" s="41" t="s">
        <v>3365</v>
      </c>
      <c r="E128" s="42" t="s">
        <v>102</v>
      </c>
      <c r="F128" s="43"/>
    </row>
    <row r="129" spans="4:6" x14ac:dyDescent="0.25">
      <c r="D129" s="41" t="s">
        <v>3546</v>
      </c>
      <c r="E129" s="42" t="s">
        <v>102</v>
      </c>
      <c r="F129" s="43" t="s">
        <v>747</v>
      </c>
    </row>
    <row r="130" spans="4:6" x14ac:dyDescent="0.25">
      <c r="D130" s="41" t="s">
        <v>3709</v>
      </c>
      <c r="E130" s="42" t="s">
        <v>102</v>
      </c>
      <c r="F130" s="43"/>
    </row>
    <row r="131" spans="4:6" x14ac:dyDescent="0.25">
      <c r="D131" s="41" t="s">
        <v>3132</v>
      </c>
      <c r="E131" s="47" t="s">
        <v>3788</v>
      </c>
      <c r="F131" s="43" t="s">
        <v>747</v>
      </c>
    </row>
    <row r="132" spans="4:6" x14ac:dyDescent="0.25">
      <c r="D132" s="41" t="s">
        <v>594</v>
      </c>
      <c r="E132" s="42" t="s">
        <v>21</v>
      </c>
      <c r="F132" s="43" t="s">
        <v>553</v>
      </c>
    </row>
    <row r="133" spans="4:6" x14ac:dyDescent="0.25">
      <c r="D133" s="41" t="s">
        <v>805</v>
      </c>
      <c r="E133" s="42" t="s">
        <v>21</v>
      </c>
      <c r="F133" s="43" t="s">
        <v>747</v>
      </c>
    </row>
    <row r="134" spans="4:6" x14ac:dyDescent="0.25">
      <c r="D134" s="41" t="s">
        <v>1717</v>
      </c>
      <c r="E134" s="42" t="s">
        <v>21</v>
      </c>
      <c r="F134" s="43" t="s">
        <v>1718</v>
      </c>
    </row>
    <row r="135" spans="4:6" x14ac:dyDescent="0.25">
      <c r="D135" s="41" t="s">
        <v>1906</v>
      </c>
      <c r="E135" s="42" t="s">
        <v>21</v>
      </c>
      <c r="F135" s="43"/>
    </row>
    <row r="136" spans="4:6" x14ac:dyDescent="0.25">
      <c r="D136" s="41" t="s">
        <v>2037</v>
      </c>
      <c r="E136" s="42" t="s">
        <v>21</v>
      </c>
      <c r="F136" s="43"/>
    </row>
    <row r="137" spans="4:6" x14ac:dyDescent="0.25">
      <c r="D137" s="41" t="s">
        <v>2038</v>
      </c>
      <c r="E137" s="42" t="s">
        <v>21</v>
      </c>
      <c r="F137" s="43" t="s">
        <v>2039</v>
      </c>
    </row>
    <row r="138" spans="4:6" x14ac:dyDescent="0.25">
      <c r="D138" s="41" t="s">
        <v>2040</v>
      </c>
      <c r="E138" s="42" t="s">
        <v>21</v>
      </c>
      <c r="F138" s="43"/>
    </row>
    <row r="139" spans="4:6" x14ac:dyDescent="0.25">
      <c r="D139" s="41" t="s">
        <v>2041</v>
      </c>
      <c r="E139" s="42" t="s">
        <v>21</v>
      </c>
      <c r="F139" s="43" t="s">
        <v>581</v>
      </c>
    </row>
    <row r="140" spans="4:6" x14ac:dyDescent="0.25">
      <c r="D140" s="41" t="s">
        <v>2042</v>
      </c>
      <c r="E140" s="42" t="s">
        <v>21</v>
      </c>
      <c r="F140" s="43"/>
    </row>
    <row r="141" spans="4:6" x14ac:dyDescent="0.25">
      <c r="D141" s="41" t="s">
        <v>3423</v>
      </c>
      <c r="E141" s="42" t="s">
        <v>21</v>
      </c>
      <c r="F141" s="43"/>
    </row>
    <row r="142" spans="4:6" x14ac:dyDescent="0.25">
      <c r="D142" s="41" t="s">
        <v>3631</v>
      </c>
      <c r="E142" s="42" t="s">
        <v>21</v>
      </c>
      <c r="F142" s="43"/>
    </row>
    <row r="143" spans="4:6" x14ac:dyDescent="0.25">
      <c r="D143" s="41" t="s">
        <v>3775</v>
      </c>
      <c r="E143" s="42" t="s">
        <v>21</v>
      </c>
      <c r="F143" s="43" t="s">
        <v>747</v>
      </c>
    </row>
    <row r="144" spans="4:6" x14ac:dyDescent="0.25">
      <c r="D144" s="41" t="s">
        <v>552</v>
      </c>
      <c r="E144" s="42" t="s">
        <v>22</v>
      </c>
      <c r="F144" s="43" t="s">
        <v>553</v>
      </c>
    </row>
    <row r="145" spans="4:6" x14ac:dyDescent="0.25">
      <c r="D145" s="41" t="s">
        <v>556</v>
      </c>
      <c r="E145" s="42" t="s">
        <v>22</v>
      </c>
      <c r="F145" s="43" t="s">
        <v>468</v>
      </c>
    </row>
    <row r="146" spans="4:6" x14ac:dyDescent="0.25">
      <c r="D146" s="41" t="s">
        <v>590</v>
      </c>
      <c r="E146" s="42" t="s">
        <v>22</v>
      </c>
      <c r="F146" s="43" t="s">
        <v>581</v>
      </c>
    </row>
    <row r="147" spans="4:6" x14ac:dyDescent="0.25">
      <c r="D147" s="41" t="s">
        <v>591</v>
      </c>
      <c r="E147" s="42" t="s">
        <v>22</v>
      </c>
      <c r="F147" s="43" t="s">
        <v>592</v>
      </c>
    </row>
    <row r="148" spans="4:6" x14ac:dyDescent="0.25">
      <c r="D148" s="41" t="s">
        <v>593</v>
      </c>
      <c r="E148" s="42" t="s">
        <v>22</v>
      </c>
      <c r="F148" s="43" t="s">
        <v>470</v>
      </c>
    </row>
    <row r="149" spans="4:6" x14ac:dyDescent="0.25">
      <c r="D149" s="41" t="s">
        <v>806</v>
      </c>
      <c r="E149" s="42" t="s">
        <v>22</v>
      </c>
      <c r="F149" s="43" t="s">
        <v>747</v>
      </c>
    </row>
    <row r="150" spans="4:6" x14ac:dyDescent="0.25">
      <c r="D150" s="41" t="s">
        <v>900</v>
      </c>
      <c r="E150" s="42" t="s">
        <v>22</v>
      </c>
      <c r="F150" s="43" t="s">
        <v>747</v>
      </c>
    </row>
    <row r="151" spans="4:6" x14ac:dyDescent="0.25">
      <c r="D151" s="41" t="s">
        <v>931</v>
      </c>
      <c r="E151" s="42" t="s">
        <v>22</v>
      </c>
      <c r="F151" s="43" t="s">
        <v>747</v>
      </c>
    </row>
    <row r="152" spans="4:6" x14ac:dyDescent="0.25">
      <c r="D152" s="41" t="s">
        <v>1433</v>
      </c>
      <c r="E152" s="42" t="s">
        <v>22</v>
      </c>
      <c r="F152" s="43" t="s">
        <v>747</v>
      </c>
    </row>
    <row r="153" spans="4:6" x14ac:dyDescent="0.25">
      <c r="D153" s="41" t="s">
        <v>1515</v>
      </c>
      <c r="E153" s="42" t="s">
        <v>22</v>
      </c>
      <c r="F153" s="43"/>
    </row>
    <row r="154" spans="4:6" x14ac:dyDescent="0.25">
      <c r="D154" s="41" t="s">
        <v>1575</v>
      </c>
      <c r="E154" s="42" t="s">
        <v>22</v>
      </c>
      <c r="F154" s="43" t="s">
        <v>1576</v>
      </c>
    </row>
    <row r="155" spans="4:6" x14ac:dyDescent="0.25">
      <c r="D155" s="41" t="s">
        <v>1719</v>
      </c>
      <c r="E155" s="42" t="s">
        <v>22</v>
      </c>
      <c r="F155" s="43" t="s">
        <v>1720</v>
      </c>
    </row>
    <row r="156" spans="4:6" x14ac:dyDescent="0.25">
      <c r="D156" s="41" t="s">
        <v>1889</v>
      </c>
      <c r="E156" s="42" t="s">
        <v>22</v>
      </c>
      <c r="F156" s="43" t="s">
        <v>1558</v>
      </c>
    </row>
    <row r="157" spans="4:6" x14ac:dyDescent="0.25">
      <c r="D157" s="41" t="s">
        <v>2043</v>
      </c>
      <c r="E157" s="42" t="s">
        <v>22</v>
      </c>
      <c r="F157" s="43"/>
    </row>
    <row r="158" spans="4:6" x14ac:dyDescent="0.25">
      <c r="D158" s="41" t="s">
        <v>2044</v>
      </c>
      <c r="E158" s="42" t="s">
        <v>22</v>
      </c>
      <c r="F158" s="43"/>
    </row>
    <row r="159" spans="4:6" x14ac:dyDescent="0.25">
      <c r="D159" s="41" t="s">
        <v>929</v>
      </c>
      <c r="E159" s="42" t="s">
        <v>23</v>
      </c>
      <c r="F159" s="43" t="s">
        <v>747</v>
      </c>
    </row>
    <row r="160" spans="4:6" x14ac:dyDescent="0.25">
      <c r="D160" s="41" t="s">
        <v>937</v>
      </c>
      <c r="E160" s="42" t="s">
        <v>23</v>
      </c>
      <c r="F160" s="43" t="s">
        <v>938</v>
      </c>
    </row>
    <row r="161" spans="4:6" x14ac:dyDescent="0.25">
      <c r="D161" s="41" t="s">
        <v>1273</v>
      </c>
      <c r="E161" s="42" t="s">
        <v>23</v>
      </c>
      <c r="F161" s="43" t="s">
        <v>747</v>
      </c>
    </row>
    <row r="162" spans="4:6" x14ac:dyDescent="0.25">
      <c r="D162" s="41" t="s">
        <v>1491</v>
      </c>
      <c r="E162" s="42" t="s">
        <v>23</v>
      </c>
      <c r="F162" s="43" t="s">
        <v>1492</v>
      </c>
    </row>
    <row r="163" spans="4:6" x14ac:dyDescent="0.25">
      <c r="D163" s="41" t="s">
        <v>1756</v>
      </c>
      <c r="E163" s="42" t="s">
        <v>23</v>
      </c>
      <c r="F163" s="43" t="s">
        <v>1739</v>
      </c>
    </row>
    <row r="164" spans="4:6" x14ac:dyDescent="0.25">
      <c r="D164" s="41" t="s">
        <v>1870</v>
      </c>
      <c r="E164" s="42" t="s">
        <v>23</v>
      </c>
      <c r="F164" s="43" t="s">
        <v>1562</v>
      </c>
    </row>
    <row r="165" spans="4:6" x14ac:dyDescent="0.25">
      <c r="D165" s="41" t="s">
        <v>2045</v>
      </c>
      <c r="E165" s="42" t="s">
        <v>23</v>
      </c>
      <c r="F165" s="43"/>
    </row>
    <row r="166" spans="4:6" x14ac:dyDescent="0.25">
      <c r="D166" s="41" t="s">
        <v>3211</v>
      </c>
      <c r="E166" s="57" t="s">
        <v>3789</v>
      </c>
      <c r="F166" s="43" t="s">
        <v>3212</v>
      </c>
    </row>
    <row r="167" spans="4:6" x14ac:dyDescent="0.25">
      <c r="D167" s="41" t="s">
        <v>940</v>
      </c>
      <c r="E167" s="42" t="s">
        <v>3924</v>
      </c>
      <c r="F167" s="43" t="s">
        <v>941</v>
      </c>
    </row>
    <row r="168" spans="4:6" x14ac:dyDescent="0.25">
      <c r="D168" s="41" t="s">
        <v>1165</v>
      </c>
      <c r="E168" s="42" t="s">
        <v>3924</v>
      </c>
      <c r="F168" s="43" t="s">
        <v>941</v>
      </c>
    </row>
    <row r="169" spans="4:6" x14ac:dyDescent="0.25">
      <c r="D169" s="41" t="s">
        <v>1944</v>
      </c>
      <c r="E169" s="42" t="s">
        <v>3924</v>
      </c>
      <c r="F169" s="43" t="s">
        <v>747</v>
      </c>
    </row>
    <row r="170" spans="4:6" x14ac:dyDescent="0.25">
      <c r="D170" s="41" t="s">
        <v>2046</v>
      </c>
      <c r="E170" s="42" t="s">
        <v>3924</v>
      </c>
      <c r="F170" s="43"/>
    </row>
    <row r="171" spans="4:6" x14ac:dyDescent="0.25">
      <c r="D171" s="41" t="s">
        <v>2789</v>
      </c>
      <c r="E171" s="42" t="s">
        <v>3924</v>
      </c>
      <c r="F171" s="43"/>
    </row>
    <row r="172" spans="4:6" x14ac:dyDescent="0.25">
      <c r="D172" s="41" t="s">
        <v>2919</v>
      </c>
      <c r="E172" s="42" t="s">
        <v>3924</v>
      </c>
      <c r="F172" s="43"/>
    </row>
    <row r="173" spans="4:6" x14ac:dyDescent="0.25">
      <c r="D173" s="41" t="s">
        <v>3384</v>
      </c>
      <c r="E173" s="42" t="s">
        <v>3924</v>
      </c>
      <c r="F173" s="43"/>
    </row>
    <row r="174" spans="4:6" x14ac:dyDescent="0.25">
      <c r="D174" s="41" t="s">
        <v>3442</v>
      </c>
      <c r="E174" s="42" t="s">
        <v>3924</v>
      </c>
      <c r="F174" s="43"/>
    </row>
    <row r="175" spans="4:6" x14ac:dyDescent="0.25">
      <c r="D175" s="41" t="s">
        <v>3602</v>
      </c>
      <c r="E175" s="42" t="s">
        <v>3924</v>
      </c>
      <c r="F175" s="43"/>
    </row>
    <row r="176" spans="4:6" x14ac:dyDescent="0.25">
      <c r="D176" s="44" t="s">
        <v>3340</v>
      </c>
      <c r="E176" s="45" t="s">
        <v>3925</v>
      </c>
      <c r="F176" s="46" t="s">
        <v>3307</v>
      </c>
    </row>
    <row r="177" spans="4:6" x14ac:dyDescent="0.25">
      <c r="D177" s="41" t="s">
        <v>3559</v>
      </c>
      <c r="E177" s="42" t="s">
        <v>3926</v>
      </c>
      <c r="F177" s="43"/>
    </row>
    <row r="178" spans="4:6" x14ac:dyDescent="0.25">
      <c r="D178" s="44" t="s">
        <v>3339</v>
      </c>
      <c r="E178" s="45" t="s">
        <v>24</v>
      </c>
      <c r="F178" s="46" t="s">
        <v>3307</v>
      </c>
    </row>
    <row r="179" spans="4:6" x14ac:dyDescent="0.25">
      <c r="D179" s="41" t="s">
        <v>3569</v>
      </c>
      <c r="E179" s="42" t="s">
        <v>25</v>
      </c>
      <c r="F179" s="43"/>
    </row>
    <row r="180" spans="4:6" x14ac:dyDescent="0.25">
      <c r="D180" s="41" t="s">
        <v>287</v>
      </c>
      <c r="E180" s="42" t="s">
        <v>26</v>
      </c>
      <c r="F180" s="43" t="s">
        <v>291</v>
      </c>
    </row>
    <row r="181" spans="4:6" x14ac:dyDescent="0.25">
      <c r="D181" s="41" t="s">
        <v>628</v>
      </c>
      <c r="E181" s="42" t="s">
        <v>26</v>
      </c>
      <c r="F181" s="43" t="s">
        <v>598</v>
      </c>
    </row>
    <row r="182" spans="4:6" x14ac:dyDescent="0.25">
      <c r="D182" s="41" t="s">
        <v>629</v>
      </c>
      <c r="E182" s="42" t="s">
        <v>26</v>
      </c>
      <c r="F182" s="43" t="s">
        <v>598</v>
      </c>
    </row>
    <row r="183" spans="4:6" x14ac:dyDescent="0.25">
      <c r="D183" s="41" t="s">
        <v>1167</v>
      </c>
      <c r="E183" s="42" t="s">
        <v>26</v>
      </c>
      <c r="F183" s="43" t="s">
        <v>1139</v>
      </c>
    </row>
    <row r="184" spans="4:6" x14ac:dyDescent="0.25">
      <c r="D184" s="41" t="s">
        <v>1845</v>
      </c>
      <c r="E184" s="42" t="s">
        <v>26</v>
      </c>
      <c r="F184" s="43" t="s">
        <v>1846</v>
      </c>
    </row>
    <row r="185" spans="4:6" x14ac:dyDescent="0.25">
      <c r="D185" s="41" t="s">
        <v>2047</v>
      </c>
      <c r="E185" s="42" t="s">
        <v>26</v>
      </c>
      <c r="F185" s="43" t="s">
        <v>747</v>
      </c>
    </row>
    <row r="186" spans="4:6" x14ac:dyDescent="0.25">
      <c r="D186" s="41" t="s">
        <v>2048</v>
      </c>
      <c r="E186" s="42" t="s">
        <v>26</v>
      </c>
      <c r="F186" s="43"/>
    </row>
    <row r="187" spans="4:6" x14ac:dyDescent="0.25">
      <c r="D187" s="41" t="s">
        <v>2892</v>
      </c>
      <c r="E187" s="42" t="s">
        <v>26</v>
      </c>
      <c r="F187" s="43" t="s">
        <v>2893</v>
      </c>
    </row>
    <row r="188" spans="4:6" x14ac:dyDescent="0.25">
      <c r="D188" s="41" t="s">
        <v>2049</v>
      </c>
      <c r="E188" s="42" t="s">
        <v>128</v>
      </c>
      <c r="F188" s="43" t="s">
        <v>2050</v>
      </c>
    </row>
    <row r="189" spans="4:6" x14ac:dyDescent="0.25">
      <c r="D189" s="41" t="s">
        <v>2051</v>
      </c>
      <c r="E189" s="42" t="s">
        <v>128</v>
      </c>
      <c r="F189" s="43" t="s">
        <v>747</v>
      </c>
    </row>
    <row r="190" spans="4:6" x14ac:dyDescent="0.25">
      <c r="D190" s="41" t="s">
        <v>2052</v>
      </c>
      <c r="E190" s="42" t="s">
        <v>128</v>
      </c>
      <c r="F190" s="43"/>
    </row>
    <row r="191" spans="4:6" x14ac:dyDescent="0.25">
      <c r="D191" s="41" t="s">
        <v>2053</v>
      </c>
      <c r="E191" s="42" t="s">
        <v>128</v>
      </c>
      <c r="F191" s="43"/>
    </row>
    <row r="192" spans="4:6" x14ac:dyDescent="0.25">
      <c r="D192" s="41" t="s">
        <v>2927</v>
      </c>
      <c r="E192" s="42" t="s">
        <v>128</v>
      </c>
      <c r="F192" s="43" t="s">
        <v>1139</v>
      </c>
    </row>
    <row r="193" spans="4:6" x14ac:dyDescent="0.25">
      <c r="D193" s="41" t="s">
        <v>627</v>
      </c>
      <c r="E193" s="42" t="s">
        <v>27</v>
      </c>
      <c r="F193" s="43" t="s">
        <v>598</v>
      </c>
    </row>
    <row r="194" spans="4:6" x14ac:dyDescent="0.25">
      <c r="D194" s="41" t="s">
        <v>1290</v>
      </c>
      <c r="E194" s="42" t="s">
        <v>27</v>
      </c>
      <c r="F194" s="43" t="s">
        <v>747</v>
      </c>
    </row>
    <row r="195" spans="4:6" x14ac:dyDescent="0.25">
      <c r="D195" s="41" t="s">
        <v>1452</v>
      </c>
      <c r="E195" s="42" t="s">
        <v>27</v>
      </c>
      <c r="F195" s="43" t="s">
        <v>747</v>
      </c>
    </row>
    <row r="196" spans="4:6" x14ac:dyDescent="0.25">
      <c r="D196" s="41" t="s">
        <v>2054</v>
      </c>
      <c r="E196" s="42" t="s">
        <v>27</v>
      </c>
      <c r="F196" s="43"/>
    </row>
    <row r="197" spans="4:6" x14ac:dyDescent="0.25">
      <c r="D197" s="41" t="s">
        <v>1417</v>
      </c>
      <c r="E197" s="42" t="s">
        <v>1091</v>
      </c>
      <c r="F197" s="43" t="s">
        <v>747</v>
      </c>
    </row>
    <row r="198" spans="4:6" x14ac:dyDescent="0.25">
      <c r="D198" s="41" t="s">
        <v>1570</v>
      </c>
      <c r="E198" s="42" t="s">
        <v>1091</v>
      </c>
      <c r="F198" s="43" t="s">
        <v>1571</v>
      </c>
    </row>
    <row r="199" spans="4:6" x14ac:dyDescent="0.25">
      <c r="D199" s="41" t="s">
        <v>2055</v>
      </c>
      <c r="E199" s="42" t="s">
        <v>1091</v>
      </c>
      <c r="F199" s="43"/>
    </row>
    <row r="200" spans="4:6" x14ac:dyDescent="0.25">
      <c r="D200" s="41" t="s">
        <v>2056</v>
      </c>
      <c r="E200" s="42" t="s">
        <v>1091</v>
      </c>
      <c r="F200" s="43"/>
    </row>
    <row r="201" spans="4:6" x14ac:dyDescent="0.25">
      <c r="D201" s="41" t="s">
        <v>2936</v>
      </c>
      <c r="E201" s="42" t="s">
        <v>1091</v>
      </c>
      <c r="F201" s="43" t="s">
        <v>579</v>
      </c>
    </row>
    <row r="202" spans="4:6" x14ac:dyDescent="0.25">
      <c r="D202" s="41" t="s">
        <v>2057</v>
      </c>
      <c r="E202" s="42" t="s">
        <v>2058</v>
      </c>
      <c r="F202" s="43" t="s">
        <v>2059</v>
      </c>
    </row>
    <row r="203" spans="4:6" x14ac:dyDescent="0.25">
      <c r="D203" s="41" t="s">
        <v>2060</v>
      </c>
      <c r="E203" s="42" t="s">
        <v>2058</v>
      </c>
      <c r="F203" s="43" t="s">
        <v>78</v>
      </c>
    </row>
    <row r="204" spans="4:6" x14ac:dyDescent="0.25">
      <c r="D204" s="41" t="s">
        <v>3713</v>
      </c>
      <c r="E204" s="42" t="s">
        <v>3648</v>
      </c>
      <c r="F204" s="43" t="s">
        <v>3648</v>
      </c>
    </row>
    <row r="205" spans="4:6" x14ac:dyDescent="0.25">
      <c r="D205" s="41" t="s">
        <v>3537</v>
      </c>
      <c r="E205" s="42" t="s">
        <v>3451</v>
      </c>
      <c r="F205" s="43" t="s">
        <v>747</v>
      </c>
    </row>
    <row r="206" spans="4:6" x14ac:dyDescent="0.25">
      <c r="D206" s="41" t="s">
        <v>3053</v>
      </c>
      <c r="E206" s="42" t="s">
        <v>3837</v>
      </c>
      <c r="F206" s="43" t="s">
        <v>2481</v>
      </c>
    </row>
    <row r="207" spans="4:6" x14ac:dyDescent="0.25">
      <c r="D207" s="41" t="s">
        <v>2061</v>
      </c>
      <c r="E207" s="42" t="s">
        <v>2062</v>
      </c>
      <c r="F207" s="43" t="s">
        <v>2063</v>
      </c>
    </row>
    <row r="208" spans="4:6" x14ac:dyDescent="0.25">
      <c r="D208" s="41" t="s">
        <v>3116</v>
      </c>
      <c r="E208" s="42" t="s">
        <v>2062</v>
      </c>
      <c r="F208" s="43" t="s">
        <v>747</v>
      </c>
    </row>
    <row r="209" spans="4:6" x14ac:dyDescent="0.25">
      <c r="D209" s="41" t="s">
        <v>331</v>
      </c>
      <c r="E209" s="42" t="s">
        <v>2</v>
      </c>
      <c r="F209" s="43" t="s">
        <v>332</v>
      </c>
    </row>
    <row r="210" spans="4:6" x14ac:dyDescent="0.25">
      <c r="D210" s="41" t="s">
        <v>333</v>
      </c>
      <c r="E210" s="42" t="s">
        <v>2</v>
      </c>
      <c r="F210" s="43" t="s">
        <v>334</v>
      </c>
    </row>
    <row r="211" spans="4:6" x14ac:dyDescent="0.25">
      <c r="D211" s="41" t="s">
        <v>335</v>
      </c>
      <c r="E211" s="42" t="s">
        <v>2</v>
      </c>
      <c r="F211" s="43" t="s">
        <v>336</v>
      </c>
    </row>
    <row r="212" spans="4:6" x14ac:dyDescent="0.25">
      <c r="D212" s="41" t="s">
        <v>342</v>
      </c>
      <c r="E212" s="42" t="s">
        <v>2</v>
      </c>
      <c r="F212" s="43" t="s">
        <v>343</v>
      </c>
    </row>
    <row r="213" spans="4:6" x14ac:dyDescent="0.25">
      <c r="D213" s="41" t="s">
        <v>344</v>
      </c>
      <c r="E213" s="42" t="s">
        <v>2</v>
      </c>
      <c r="F213" s="43" t="s">
        <v>345</v>
      </c>
    </row>
    <row r="214" spans="4:6" x14ac:dyDescent="0.25">
      <c r="D214" s="41" t="s">
        <v>870</v>
      </c>
      <c r="E214" s="42" t="s">
        <v>2</v>
      </c>
      <c r="F214" s="43" t="s">
        <v>871</v>
      </c>
    </row>
    <row r="215" spans="4:6" x14ac:dyDescent="0.25">
      <c r="D215" s="41" t="s">
        <v>906</v>
      </c>
      <c r="E215" s="42" t="s">
        <v>2</v>
      </c>
      <c r="F215" s="43" t="s">
        <v>747</v>
      </c>
    </row>
    <row r="216" spans="4:6" x14ac:dyDescent="0.25">
      <c r="D216" s="41" t="s">
        <v>928</v>
      </c>
      <c r="E216" s="42" t="s">
        <v>2</v>
      </c>
      <c r="F216" s="43" t="s">
        <v>747</v>
      </c>
    </row>
    <row r="217" spans="4:6" x14ac:dyDescent="0.25">
      <c r="D217" s="41" t="s">
        <v>947</v>
      </c>
      <c r="E217" s="42" t="s">
        <v>2</v>
      </c>
      <c r="F217" s="43" t="s">
        <v>948</v>
      </c>
    </row>
    <row r="218" spans="4:6" x14ac:dyDescent="0.25">
      <c r="D218" s="41" t="s">
        <v>1265</v>
      </c>
      <c r="E218" s="42" t="s">
        <v>2</v>
      </c>
      <c r="F218" s="43" t="s">
        <v>747</v>
      </c>
    </row>
    <row r="219" spans="4:6" x14ac:dyDescent="0.25">
      <c r="D219" s="41" t="s">
        <v>1366</v>
      </c>
      <c r="E219" s="42" t="s">
        <v>2</v>
      </c>
      <c r="F219" s="43" t="s">
        <v>747</v>
      </c>
    </row>
    <row r="220" spans="4:6" x14ac:dyDescent="0.25">
      <c r="D220" s="41" t="s">
        <v>1406</v>
      </c>
      <c r="E220" s="42" t="s">
        <v>2</v>
      </c>
      <c r="F220" s="43" t="s">
        <v>747</v>
      </c>
    </row>
    <row r="221" spans="4:6" x14ac:dyDescent="0.25">
      <c r="D221" s="41" t="s">
        <v>1625</v>
      </c>
      <c r="E221" s="42" t="s">
        <v>2</v>
      </c>
      <c r="F221" s="43" t="s">
        <v>1185</v>
      </c>
    </row>
    <row r="222" spans="4:6" x14ac:dyDescent="0.25">
      <c r="D222" s="41" t="s">
        <v>1732</v>
      </c>
      <c r="E222" s="42" t="s">
        <v>2</v>
      </c>
      <c r="F222" s="43" t="s">
        <v>1733</v>
      </c>
    </row>
    <row r="223" spans="4:6" x14ac:dyDescent="0.25">
      <c r="D223" s="41" t="s">
        <v>1821</v>
      </c>
      <c r="E223" s="42" t="s">
        <v>2</v>
      </c>
      <c r="F223" s="43" t="s">
        <v>1822</v>
      </c>
    </row>
    <row r="224" spans="4:6" x14ac:dyDescent="0.25">
      <c r="D224" s="41" t="s">
        <v>1857</v>
      </c>
      <c r="E224" s="42" t="s">
        <v>2</v>
      </c>
      <c r="F224" s="43" t="s">
        <v>1787</v>
      </c>
    </row>
    <row r="225" spans="4:6" x14ac:dyDescent="0.25">
      <c r="D225" s="41" t="s">
        <v>1886</v>
      </c>
      <c r="E225" s="42" t="s">
        <v>2</v>
      </c>
      <c r="F225" s="43" t="s">
        <v>1471</v>
      </c>
    </row>
    <row r="226" spans="4:6" x14ac:dyDescent="0.25">
      <c r="D226" s="41" t="s">
        <v>1897</v>
      </c>
      <c r="E226" s="42" t="s">
        <v>2</v>
      </c>
      <c r="F226" s="43"/>
    </row>
    <row r="227" spans="4:6" x14ac:dyDescent="0.25">
      <c r="D227" s="41" t="s">
        <v>2064</v>
      </c>
      <c r="E227" s="42" t="s">
        <v>2</v>
      </c>
      <c r="F227" s="43"/>
    </row>
    <row r="228" spans="4:6" x14ac:dyDescent="0.25">
      <c r="D228" s="41" t="s">
        <v>2065</v>
      </c>
      <c r="E228" s="42" t="s">
        <v>2</v>
      </c>
      <c r="F228" s="43" t="s">
        <v>78</v>
      </c>
    </row>
    <row r="229" spans="4:6" x14ac:dyDescent="0.25">
      <c r="D229" s="41" t="s">
        <v>2066</v>
      </c>
      <c r="E229" s="42" t="s">
        <v>2</v>
      </c>
      <c r="F229" s="43"/>
    </row>
    <row r="230" spans="4:6" x14ac:dyDescent="0.25">
      <c r="D230" s="41" t="s">
        <v>2067</v>
      </c>
      <c r="E230" s="42" t="s">
        <v>2</v>
      </c>
      <c r="F230" s="43"/>
    </row>
    <row r="231" spans="4:6" x14ac:dyDescent="0.25">
      <c r="D231" s="41" t="s">
        <v>2068</v>
      </c>
      <c r="E231" s="42" t="s">
        <v>2</v>
      </c>
      <c r="F231" s="43"/>
    </row>
    <row r="232" spans="4:6" x14ac:dyDescent="0.25">
      <c r="D232" s="41" t="s">
        <v>3397</v>
      </c>
      <c r="E232" s="42" t="s">
        <v>2</v>
      </c>
      <c r="F232" s="43"/>
    </row>
    <row r="233" spans="4:6" x14ac:dyDescent="0.25">
      <c r="D233" s="41" t="s">
        <v>3598</v>
      </c>
      <c r="E233" s="42" t="s">
        <v>2</v>
      </c>
      <c r="F233" s="43"/>
    </row>
    <row r="234" spans="4:6" x14ac:dyDescent="0.25">
      <c r="D234" s="41" t="s">
        <v>3612</v>
      </c>
      <c r="E234" s="42" t="s">
        <v>2</v>
      </c>
      <c r="F234" s="43"/>
    </row>
    <row r="235" spans="4:6" x14ac:dyDescent="0.25">
      <c r="D235" s="41" t="s">
        <v>3718</v>
      </c>
      <c r="E235" s="42" t="s">
        <v>2</v>
      </c>
      <c r="F235" s="43"/>
    </row>
    <row r="236" spans="4:6" x14ac:dyDescent="0.25">
      <c r="D236" s="41" t="s">
        <v>329</v>
      </c>
      <c r="E236" s="42" t="s">
        <v>3</v>
      </c>
      <c r="F236" s="43" t="s">
        <v>330</v>
      </c>
    </row>
    <row r="237" spans="4:6" x14ac:dyDescent="0.25">
      <c r="D237" s="41" t="s">
        <v>346</v>
      </c>
      <c r="E237" s="42" t="s">
        <v>3</v>
      </c>
      <c r="F237" s="43" t="s">
        <v>341</v>
      </c>
    </row>
    <row r="238" spans="4:6" x14ac:dyDescent="0.25">
      <c r="D238" s="41" t="s">
        <v>347</v>
      </c>
      <c r="E238" s="42" t="s">
        <v>3</v>
      </c>
      <c r="F238" s="43" t="s">
        <v>348</v>
      </c>
    </row>
    <row r="239" spans="4:6" x14ac:dyDescent="0.25">
      <c r="D239" s="41" t="s">
        <v>349</v>
      </c>
      <c r="E239" s="42" t="s">
        <v>3</v>
      </c>
      <c r="F239" s="43" t="s">
        <v>350</v>
      </c>
    </row>
    <row r="240" spans="4:6" x14ac:dyDescent="0.25">
      <c r="D240" s="41" t="s">
        <v>798</v>
      </c>
      <c r="E240" s="42" t="s">
        <v>3</v>
      </c>
      <c r="F240" s="43" t="s">
        <v>747</v>
      </c>
    </row>
    <row r="241" spans="4:6" x14ac:dyDescent="0.25">
      <c r="D241" s="41" t="s">
        <v>919</v>
      </c>
      <c r="E241" s="42" t="s">
        <v>3</v>
      </c>
      <c r="F241" s="43" t="s">
        <v>747</v>
      </c>
    </row>
    <row r="242" spans="4:6" x14ac:dyDescent="0.25">
      <c r="D242" s="41" t="s">
        <v>991</v>
      </c>
      <c r="E242" s="42" t="s">
        <v>3</v>
      </c>
      <c r="F242" s="43" t="s">
        <v>992</v>
      </c>
    </row>
    <row r="243" spans="4:6" x14ac:dyDescent="0.25">
      <c r="D243" s="41" t="s">
        <v>1260</v>
      </c>
      <c r="E243" s="42" t="s">
        <v>3</v>
      </c>
      <c r="F243" s="43" t="s">
        <v>747</v>
      </c>
    </row>
    <row r="244" spans="4:6" x14ac:dyDescent="0.25">
      <c r="D244" s="41" t="s">
        <v>1561</v>
      </c>
      <c r="E244" s="42" t="s">
        <v>3</v>
      </c>
      <c r="F244" s="43" t="s">
        <v>1562</v>
      </c>
    </row>
    <row r="245" spans="4:6" x14ac:dyDescent="0.25">
      <c r="D245" s="41" t="s">
        <v>2951</v>
      </c>
      <c r="E245" s="42" t="s">
        <v>3</v>
      </c>
      <c r="F245" s="43" t="s">
        <v>747</v>
      </c>
    </row>
    <row r="246" spans="4:6" x14ac:dyDescent="0.25">
      <c r="D246" s="41" t="s">
        <v>3237</v>
      </c>
      <c r="E246" s="42" t="s">
        <v>3</v>
      </c>
      <c r="F246" s="43" t="s">
        <v>3238</v>
      </c>
    </row>
    <row r="247" spans="4:6" x14ac:dyDescent="0.25">
      <c r="D247" s="41" t="s">
        <v>337</v>
      </c>
      <c r="E247" s="42" t="s">
        <v>4</v>
      </c>
      <c r="F247" s="43" t="s">
        <v>338</v>
      </c>
    </row>
    <row r="248" spans="4:6" x14ac:dyDescent="0.25">
      <c r="D248" s="41" t="s">
        <v>339</v>
      </c>
      <c r="E248" s="42" t="s">
        <v>4</v>
      </c>
      <c r="F248" s="43" t="s">
        <v>334</v>
      </c>
    </row>
    <row r="249" spans="4:6" x14ac:dyDescent="0.25">
      <c r="D249" s="41" t="s">
        <v>340</v>
      </c>
      <c r="E249" s="42" t="s">
        <v>4</v>
      </c>
      <c r="F249" s="43" t="s">
        <v>341</v>
      </c>
    </row>
    <row r="250" spans="4:6" x14ac:dyDescent="0.25">
      <c r="D250" s="41" t="s">
        <v>680</v>
      </c>
      <c r="E250" s="42" t="s">
        <v>4</v>
      </c>
      <c r="F250" s="43" t="s">
        <v>681</v>
      </c>
    </row>
    <row r="251" spans="4:6" x14ac:dyDescent="0.25">
      <c r="D251" s="41" t="s">
        <v>682</v>
      </c>
      <c r="E251" s="42" t="s">
        <v>4</v>
      </c>
      <c r="F251" s="43" t="s">
        <v>364</v>
      </c>
    </row>
    <row r="252" spans="4:6" x14ac:dyDescent="0.25">
      <c r="D252" s="41" t="s">
        <v>683</v>
      </c>
      <c r="E252" s="42" t="s">
        <v>4</v>
      </c>
      <c r="F252" s="43" t="s">
        <v>684</v>
      </c>
    </row>
    <row r="253" spans="4:6" x14ac:dyDescent="0.25">
      <c r="D253" s="41" t="s">
        <v>685</v>
      </c>
      <c r="E253" s="42" t="s">
        <v>4</v>
      </c>
      <c r="F253" s="43" t="s">
        <v>686</v>
      </c>
    </row>
    <row r="254" spans="4:6" x14ac:dyDescent="0.25">
      <c r="D254" s="41" t="s">
        <v>687</v>
      </c>
      <c r="E254" s="42" t="s">
        <v>4</v>
      </c>
      <c r="F254" s="43" t="s">
        <v>688</v>
      </c>
    </row>
    <row r="255" spans="4:6" x14ac:dyDescent="0.25">
      <c r="D255" s="41" t="s">
        <v>689</v>
      </c>
      <c r="E255" s="42" t="s">
        <v>4</v>
      </c>
      <c r="F255" s="43" t="s">
        <v>690</v>
      </c>
    </row>
    <row r="256" spans="4:6" x14ac:dyDescent="0.25">
      <c r="D256" s="41" t="s">
        <v>691</v>
      </c>
      <c r="E256" s="42" t="s">
        <v>4</v>
      </c>
      <c r="F256" s="43" t="s">
        <v>341</v>
      </c>
    </row>
    <row r="257" spans="4:6" x14ac:dyDescent="0.25">
      <c r="D257" s="41" t="s">
        <v>692</v>
      </c>
      <c r="E257" s="42" t="s">
        <v>4</v>
      </c>
      <c r="F257" s="43" t="s">
        <v>360</v>
      </c>
    </row>
    <row r="258" spans="4:6" x14ac:dyDescent="0.25">
      <c r="D258" s="41" t="s">
        <v>720</v>
      </c>
      <c r="E258" s="42" t="s">
        <v>4</v>
      </c>
      <c r="F258" s="43" t="s">
        <v>336</v>
      </c>
    </row>
    <row r="259" spans="4:6" x14ac:dyDescent="0.25">
      <c r="D259" s="41" t="s">
        <v>721</v>
      </c>
      <c r="E259" s="42" t="s">
        <v>4</v>
      </c>
      <c r="F259" s="43" t="s">
        <v>722</v>
      </c>
    </row>
    <row r="260" spans="4:6" x14ac:dyDescent="0.25">
      <c r="D260" s="41" t="s">
        <v>809</v>
      </c>
      <c r="E260" s="42" t="s">
        <v>4</v>
      </c>
      <c r="F260" s="43" t="s">
        <v>747</v>
      </c>
    </row>
    <row r="261" spans="4:6" x14ac:dyDescent="0.25">
      <c r="D261" s="41" t="s">
        <v>847</v>
      </c>
      <c r="E261" s="42" t="s">
        <v>4</v>
      </c>
      <c r="F261" s="43" t="s">
        <v>747</v>
      </c>
    </row>
    <row r="262" spans="4:6" x14ac:dyDescent="0.25">
      <c r="D262" s="41" t="s">
        <v>953</v>
      </c>
      <c r="E262" s="42" t="s">
        <v>4</v>
      </c>
      <c r="F262" s="43" t="s">
        <v>954</v>
      </c>
    </row>
    <row r="263" spans="4:6" x14ac:dyDescent="0.25">
      <c r="D263" s="41" t="s">
        <v>1141</v>
      </c>
      <c r="E263" s="42" t="s">
        <v>4</v>
      </c>
      <c r="F263" s="43" t="s">
        <v>1139</v>
      </c>
    </row>
    <row r="264" spans="4:6" x14ac:dyDescent="0.25">
      <c r="D264" s="41" t="s">
        <v>1164</v>
      </c>
      <c r="E264" s="42" t="s">
        <v>4</v>
      </c>
      <c r="F264" s="43" t="s">
        <v>941</v>
      </c>
    </row>
    <row r="265" spans="4:6" x14ac:dyDescent="0.25">
      <c r="D265" s="41" t="s">
        <v>1202</v>
      </c>
      <c r="E265" s="42" t="s">
        <v>4</v>
      </c>
      <c r="F265" s="43" t="s">
        <v>747</v>
      </c>
    </row>
    <row r="266" spans="4:6" x14ac:dyDescent="0.25">
      <c r="D266" s="41" t="s">
        <v>1276</v>
      </c>
      <c r="E266" s="42" t="s">
        <v>4</v>
      </c>
      <c r="F266" s="43" t="s">
        <v>747</v>
      </c>
    </row>
    <row r="267" spans="4:6" x14ac:dyDescent="0.25">
      <c r="D267" s="41" t="s">
        <v>1300</v>
      </c>
      <c r="E267" s="42" t="s">
        <v>4</v>
      </c>
      <c r="F267" s="43" t="s">
        <v>747</v>
      </c>
    </row>
    <row r="268" spans="4:6" x14ac:dyDescent="0.25">
      <c r="D268" s="41" t="s">
        <v>1502</v>
      </c>
      <c r="E268" s="42" t="s">
        <v>4</v>
      </c>
      <c r="F268" s="43"/>
    </row>
    <row r="269" spans="4:6" x14ac:dyDescent="0.25">
      <c r="D269" s="41" t="s">
        <v>1623</v>
      </c>
      <c r="E269" s="42" t="s">
        <v>4</v>
      </c>
      <c r="F269" s="43" t="s">
        <v>1620</v>
      </c>
    </row>
    <row r="270" spans="4:6" x14ac:dyDescent="0.25">
      <c r="D270" s="41" t="s">
        <v>1654</v>
      </c>
      <c r="E270" s="42" t="s">
        <v>4</v>
      </c>
      <c r="F270" s="43" t="s">
        <v>1655</v>
      </c>
    </row>
    <row r="271" spans="4:6" x14ac:dyDescent="0.25">
      <c r="D271" s="41" t="s">
        <v>1673</v>
      </c>
      <c r="E271" s="42" t="s">
        <v>4</v>
      </c>
      <c r="F271" s="43" t="s">
        <v>1674</v>
      </c>
    </row>
    <row r="272" spans="4:6" x14ac:dyDescent="0.25">
      <c r="D272" s="41" t="s">
        <v>1812</v>
      </c>
      <c r="E272" s="42" t="s">
        <v>4</v>
      </c>
      <c r="F272" s="43" t="s">
        <v>1775</v>
      </c>
    </row>
    <row r="273" spans="4:6" x14ac:dyDescent="0.25">
      <c r="D273" s="41" t="s">
        <v>1941</v>
      </c>
      <c r="E273" s="42" t="s">
        <v>4</v>
      </c>
      <c r="F273" s="43" t="s">
        <v>747</v>
      </c>
    </row>
    <row r="274" spans="4:6" x14ac:dyDescent="0.25">
      <c r="D274" s="41" t="s">
        <v>2069</v>
      </c>
      <c r="E274" s="42" t="s">
        <v>4</v>
      </c>
      <c r="F274" s="43" t="s">
        <v>2070</v>
      </c>
    </row>
    <row r="275" spans="4:6" x14ac:dyDescent="0.25">
      <c r="D275" s="41" t="s">
        <v>2071</v>
      </c>
      <c r="E275" s="42" t="s">
        <v>4</v>
      </c>
      <c r="F275" s="43"/>
    </row>
    <row r="276" spans="4:6" x14ac:dyDescent="0.25">
      <c r="D276" s="41" t="s">
        <v>2072</v>
      </c>
      <c r="E276" s="42" t="s">
        <v>4</v>
      </c>
      <c r="F276" s="43" t="s">
        <v>80</v>
      </c>
    </row>
    <row r="277" spans="4:6" x14ac:dyDescent="0.25">
      <c r="D277" s="41" t="s">
        <v>2073</v>
      </c>
      <c r="E277" s="42" t="s">
        <v>4</v>
      </c>
      <c r="F277" s="43" t="s">
        <v>747</v>
      </c>
    </row>
    <row r="278" spans="4:6" x14ac:dyDescent="0.25">
      <c r="D278" s="41" t="s">
        <v>2074</v>
      </c>
      <c r="E278" s="42" t="s">
        <v>4</v>
      </c>
      <c r="F278" s="43" t="s">
        <v>747</v>
      </c>
    </row>
    <row r="279" spans="4:6" x14ac:dyDescent="0.25">
      <c r="D279" s="41" t="s">
        <v>2075</v>
      </c>
      <c r="E279" s="42" t="s">
        <v>4</v>
      </c>
      <c r="F279" s="43"/>
    </row>
    <row r="280" spans="4:6" x14ac:dyDescent="0.25">
      <c r="D280" s="41" t="s">
        <v>2076</v>
      </c>
      <c r="E280" s="42" t="s">
        <v>4</v>
      </c>
      <c r="F280" s="43"/>
    </row>
    <row r="281" spans="4:6" x14ac:dyDescent="0.25">
      <c r="D281" s="41" t="s">
        <v>2077</v>
      </c>
      <c r="E281" s="42" t="s">
        <v>4</v>
      </c>
      <c r="F281" s="43"/>
    </row>
    <row r="282" spans="4:6" x14ac:dyDescent="0.25">
      <c r="D282" s="41" t="s">
        <v>2078</v>
      </c>
      <c r="E282" s="42" t="s">
        <v>4</v>
      </c>
      <c r="F282" s="43"/>
    </row>
    <row r="283" spans="4:6" x14ac:dyDescent="0.25">
      <c r="D283" s="41" t="s">
        <v>2981</v>
      </c>
      <c r="E283" s="42" t="s">
        <v>4</v>
      </c>
      <c r="F283" s="43"/>
    </row>
    <row r="284" spans="4:6" x14ac:dyDescent="0.25">
      <c r="D284" s="41" t="s">
        <v>3110</v>
      </c>
      <c r="E284" s="42" t="s">
        <v>4</v>
      </c>
      <c r="F284" s="43" t="s">
        <v>747</v>
      </c>
    </row>
    <row r="285" spans="4:6" x14ac:dyDescent="0.25">
      <c r="D285" s="41" t="s">
        <v>3523</v>
      </c>
      <c r="E285" s="42" t="s">
        <v>4</v>
      </c>
      <c r="F285" s="43" t="s">
        <v>747</v>
      </c>
    </row>
    <row r="286" spans="4:6" x14ac:dyDescent="0.25">
      <c r="D286" s="41" t="s">
        <v>2079</v>
      </c>
      <c r="E286" s="42" t="s">
        <v>2080</v>
      </c>
      <c r="F286" s="43" t="s">
        <v>941</v>
      </c>
    </row>
    <row r="287" spans="4:6" x14ac:dyDescent="0.25">
      <c r="D287" s="41" t="s">
        <v>296</v>
      </c>
      <c r="E287" s="42" t="s">
        <v>4012</v>
      </c>
      <c r="F287" s="43" t="s">
        <v>297</v>
      </c>
    </row>
    <row r="288" spans="4:6" x14ac:dyDescent="0.25">
      <c r="D288" s="41" t="s">
        <v>1206</v>
      </c>
      <c r="E288" s="42" t="s">
        <v>4012</v>
      </c>
      <c r="F288" s="43" t="s">
        <v>747</v>
      </c>
    </row>
    <row r="289" spans="4:6" x14ac:dyDescent="0.25">
      <c r="D289" s="41" t="s">
        <v>1557</v>
      </c>
      <c r="E289" s="42" t="s">
        <v>4012</v>
      </c>
      <c r="F289" s="43" t="s">
        <v>1558</v>
      </c>
    </row>
    <row r="290" spans="4:6" x14ac:dyDescent="0.25">
      <c r="D290" s="41" t="s">
        <v>1644</v>
      </c>
      <c r="E290" s="42" t="s">
        <v>4012</v>
      </c>
      <c r="F290" s="43" t="s">
        <v>1645</v>
      </c>
    </row>
    <row r="291" spans="4:6" x14ac:dyDescent="0.25">
      <c r="D291" s="41" t="s">
        <v>2081</v>
      </c>
      <c r="E291" s="42" t="s">
        <v>4012</v>
      </c>
      <c r="F291" s="43"/>
    </row>
    <row r="292" spans="4:6" x14ac:dyDescent="0.25">
      <c r="D292" s="41" t="s">
        <v>2902</v>
      </c>
      <c r="E292" s="42" t="s">
        <v>4012</v>
      </c>
      <c r="F292" s="43" t="s">
        <v>2903</v>
      </c>
    </row>
    <row r="293" spans="4:6" x14ac:dyDescent="0.25">
      <c r="D293" s="41" t="s">
        <v>3239</v>
      </c>
      <c r="E293" s="42" t="s">
        <v>4012</v>
      </c>
      <c r="F293" s="43" t="s">
        <v>3240</v>
      </c>
    </row>
    <row r="294" spans="4:6" x14ac:dyDescent="0.25">
      <c r="D294" s="41" t="s">
        <v>3693</v>
      </c>
      <c r="E294" s="42" t="s">
        <v>4013</v>
      </c>
      <c r="F294" s="43"/>
    </row>
    <row r="295" spans="4:6" x14ac:dyDescent="0.25">
      <c r="D295" s="41" t="s">
        <v>1581</v>
      </c>
      <c r="E295" s="42" t="s">
        <v>148</v>
      </c>
      <c r="F295" s="43" t="s">
        <v>1546</v>
      </c>
    </row>
    <row r="296" spans="4:6" x14ac:dyDescent="0.25">
      <c r="D296" s="41" t="s">
        <v>1702</v>
      </c>
      <c r="E296" s="42" t="s">
        <v>148</v>
      </c>
      <c r="F296" s="43" t="s">
        <v>1703</v>
      </c>
    </row>
    <row r="297" spans="4:6" x14ac:dyDescent="0.25">
      <c r="D297" s="41" t="s">
        <v>2082</v>
      </c>
      <c r="E297" s="42" t="s">
        <v>148</v>
      </c>
      <c r="F297" s="43"/>
    </row>
    <row r="298" spans="4:6" x14ac:dyDescent="0.25">
      <c r="D298" s="41" t="s">
        <v>2083</v>
      </c>
      <c r="E298" s="42" t="s">
        <v>148</v>
      </c>
      <c r="F298" s="43"/>
    </row>
    <row r="299" spans="4:6" x14ac:dyDescent="0.25">
      <c r="D299" s="41" t="s">
        <v>2084</v>
      </c>
      <c r="E299" s="42" t="s">
        <v>148</v>
      </c>
      <c r="F299" s="43"/>
    </row>
    <row r="300" spans="4:6" x14ac:dyDescent="0.25">
      <c r="D300" s="41" t="s">
        <v>2085</v>
      </c>
      <c r="E300" s="42" t="s">
        <v>148</v>
      </c>
      <c r="F300" s="43"/>
    </row>
    <row r="301" spans="4:6" x14ac:dyDescent="0.25">
      <c r="D301" s="41" t="s">
        <v>2086</v>
      </c>
      <c r="E301" s="42" t="s">
        <v>148</v>
      </c>
      <c r="F301" s="43"/>
    </row>
    <row r="302" spans="4:6" x14ac:dyDescent="0.25">
      <c r="D302" s="41" t="s">
        <v>2087</v>
      </c>
      <c r="E302" s="42" t="s">
        <v>148</v>
      </c>
      <c r="F302" s="43"/>
    </row>
    <row r="303" spans="4:6" x14ac:dyDescent="0.25">
      <c r="D303" s="41" t="s">
        <v>2088</v>
      </c>
      <c r="E303" s="42" t="s">
        <v>148</v>
      </c>
      <c r="F303" s="43" t="s">
        <v>78</v>
      </c>
    </row>
    <row r="304" spans="4:6" x14ac:dyDescent="0.25">
      <c r="D304" s="41" t="s">
        <v>2089</v>
      </c>
      <c r="E304" s="42" t="s">
        <v>148</v>
      </c>
      <c r="F304" s="43"/>
    </row>
    <row r="305" spans="4:6" x14ac:dyDescent="0.25">
      <c r="D305" s="41" t="s">
        <v>2807</v>
      </c>
      <c r="E305" s="42" t="s">
        <v>148</v>
      </c>
      <c r="F305" s="43"/>
    </row>
    <row r="306" spans="4:6" x14ac:dyDescent="0.25">
      <c r="D306" s="44" t="s">
        <v>3278</v>
      </c>
      <c r="E306" s="45" t="s">
        <v>148</v>
      </c>
      <c r="F306" s="46"/>
    </row>
    <row r="307" spans="4:6" x14ac:dyDescent="0.25">
      <c r="D307" s="44" t="s">
        <v>3280</v>
      </c>
      <c r="E307" s="45" t="s">
        <v>148</v>
      </c>
      <c r="F307" s="46"/>
    </row>
    <row r="308" spans="4:6" x14ac:dyDescent="0.25">
      <c r="D308" s="41" t="s">
        <v>3522</v>
      </c>
      <c r="E308" s="42" t="s">
        <v>148</v>
      </c>
      <c r="F308" s="43" t="s">
        <v>747</v>
      </c>
    </row>
    <row r="309" spans="4:6" x14ac:dyDescent="0.25">
      <c r="D309" s="41" t="s">
        <v>3532</v>
      </c>
      <c r="E309" s="42" t="s">
        <v>148</v>
      </c>
      <c r="F309" s="43" t="s">
        <v>747</v>
      </c>
    </row>
    <row r="310" spans="4:6" x14ac:dyDescent="0.25">
      <c r="D310" s="41" t="s">
        <v>3554</v>
      </c>
      <c r="E310" s="42" t="s">
        <v>148</v>
      </c>
      <c r="F310" s="43"/>
    </row>
    <row r="311" spans="4:6" x14ac:dyDescent="0.25">
      <c r="D311" s="41" t="s">
        <v>3616</v>
      </c>
      <c r="E311" s="42" t="s">
        <v>148</v>
      </c>
      <c r="F311" s="43"/>
    </row>
    <row r="312" spans="4:6" x14ac:dyDescent="0.25">
      <c r="D312" s="41" t="s">
        <v>2090</v>
      </c>
      <c r="E312" s="42" t="s">
        <v>138</v>
      </c>
      <c r="F312" s="43" t="s">
        <v>747</v>
      </c>
    </row>
    <row r="313" spans="4:6" x14ac:dyDescent="0.25">
      <c r="D313" s="41" t="s">
        <v>2091</v>
      </c>
      <c r="E313" s="42" t="s">
        <v>138</v>
      </c>
      <c r="F313" s="43" t="s">
        <v>747</v>
      </c>
    </row>
    <row r="314" spans="4:6" x14ac:dyDescent="0.25">
      <c r="D314" s="41" t="s">
        <v>2092</v>
      </c>
      <c r="E314" s="42" t="s">
        <v>2093</v>
      </c>
      <c r="F314" s="43" t="s">
        <v>2094</v>
      </c>
    </row>
    <row r="315" spans="4:6" x14ac:dyDescent="0.25">
      <c r="D315" s="41" t="s">
        <v>508</v>
      </c>
      <c r="E315" s="42" t="s">
        <v>149</v>
      </c>
      <c r="F315" s="43" t="s">
        <v>509</v>
      </c>
    </row>
    <row r="316" spans="4:6" x14ac:dyDescent="0.25">
      <c r="D316" s="41" t="s">
        <v>1847</v>
      </c>
      <c r="E316" s="42" t="s">
        <v>149</v>
      </c>
      <c r="F316" s="43" t="s">
        <v>1848</v>
      </c>
    </row>
    <row r="317" spans="4:6" x14ac:dyDescent="0.25">
      <c r="D317" s="41" t="s">
        <v>2095</v>
      </c>
      <c r="E317" s="42" t="s">
        <v>149</v>
      </c>
      <c r="F317" s="43"/>
    </row>
    <row r="318" spans="4:6" x14ac:dyDescent="0.25">
      <c r="D318" s="41" t="s">
        <v>2096</v>
      </c>
      <c r="E318" s="42" t="s">
        <v>149</v>
      </c>
      <c r="F318" s="43"/>
    </row>
    <row r="319" spans="4:6" x14ac:dyDescent="0.25">
      <c r="D319" s="41" t="s">
        <v>2097</v>
      </c>
      <c r="E319" s="42" t="s">
        <v>149</v>
      </c>
      <c r="F319" s="43"/>
    </row>
    <row r="320" spans="4:6" x14ac:dyDescent="0.25">
      <c r="D320" s="41" t="s">
        <v>2098</v>
      </c>
      <c r="E320" s="42" t="s">
        <v>1026</v>
      </c>
      <c r="F320" s="43"/>
    </row>
    <row r="321" spans="4:6" x14ac:dyDescent="0.25">
      <c r="D321" s="41" t="s">
        <v>2800</v>
      </c>
      <c r="E321" s="42" t="s">
        <v>1026</v>
      </c>
      <c r="F321" s="43"/>
    </row>
    <row r="322" spans="4:6" x14ac:dyDescent="0.25">
      <c r="D322" s="41" t="s">
        <v>3667</v>
      </c>
      <c r="E322" s="42" t="s">
        <v>1026</v>
      </c>
      <c r="F322" s="43"/>
    </row>
    <row r="323" spans="4:6" x14ac:dyDescent="0.25">
      <c r="D323" s="41" t="s">
        <v>3732</v>
      </c>
      <c r="E323" s="42" t="s">
        <v>1026</v>
      </c>
      <c r="F323" s="43"/>
    </row>
    <row r="324" spans="4:6" x14ac:dyDescent="0.25">
      <c r="D324" s="41" t="s">
        <v>1588</v>
      </c>
      <c r="E324" s="42" t="s">
        <v>192</v>
      </c>
      <c r="F324" s="43" t="s">
        <v>747</v>
      </c>
    </row>
    <row r="325" spans="4:6" x14ac:dyDescent="0.25">
      <c r="D325" s="41" t="s">
        <v>2099</v>
      </c>
      <c r="E325" s="42" t="s">
        <v>192</v>
      </c>
      <c r="F325" s="43" t="s">
        <v>78</v>
      </c>
    </row>
    <row r="326" spans="4:6" x14ac:dyDescent="0.25">
      <c r="D326" s="41" t="s">
        <v>2100</v>
      </c>
      <c r="E326" s="42" t="s">
        <v>192</v>
      </c>
      <c r="F326" s="43" t="s">
        <v>747</v>
      </c>
    </row>
    <row r="327" spans="4:6" x14ac:dyDescent="0.25">
      <c r="D327" s="41" t="s">
        <v>3402</v>
      </c>
      <c r="E327" s="42" t="s">
        <v>192</v>
      </c>
      <c r="F327" s="43"/>
    </row>
    <row r="328" spans="4:6" x14ac:dyDescent="0.25">
      <c r="D328" s="41" t="s">
        <v>3697</v>
      </c>
      <c r="E328" s="42" t="s">
        <v>192</v>
      </c>
      <c r="F328" s="43"/>
    </row>
    <row r="329" spans="4:6" x14ac:dyDescent="0.25">
      <c r="D329" s="41" t="s">
        <v>2101</v>
      </c>
      <c r="E329" s="42" t="s">
        <v>1025</v>
      </c>
      <c r="F329" s="43"/>
    </row>
    <row r="330" spans="4:6" x14ac:dyDescent="0.25">
      <c r="D330" s="41" t="s">
        <v>2102</v>
      </c>
      <c r="E330" s="42" t="s">
        <v>1025</v>
      </c>
      <c r="F330" s="43"/>
    </row>
    <row r="331" spans="4:6" x14ac:dyDescent="0.25">
      <c r="D331" s="41" t="s">
        <v>2103</v>
      </c>
      <c r="E331" s="42" t="s">
        <v>1025</v>
      </c>
      <c r="F331" s="43"/>
    </row>
    <row r="332" spans="4:6" x14ac:dyDescent="0.25">
      <c r="D332" s="41" t="s">
        <v>2974</v>
      </c>
      <c r="E332" s="42" t="s">
        <v>1025</v>
      </c>
      <c r="F332" s="43"/>
    </row>
    <row r="333" spans="4:6" x14ac:dyDescent="0.25">
      <c r="D333" s="41" t="s">
        <v>3533</v>
      </c>
      <c r="E333" s="42" t="s">
        <v>1025</v>
      </c>
      <c r="F333" s="43" t="s">
        <v>747</v>
      </c>
    </row>
    <row r="334" spans="4:6" x14ac:dyDescent="0.25">
      <c r="D334" s="41" t="s">
        <v>2104</v>
      </c>
      <c r="E334" s="42" t="s">
        <v>1059</v>
      </c>
      <c r="F334" s="43">
        <v>1</v>
      </c>
    </row>
    <row r="335" spans="4:6" x14ac:dyDescent="0.25">
      <c r="D335" s="41" t="s">
        <v>2105</v>
      </c>
      <c r="E335" s="42" t="s">
        <v>1059</v>
      </c>
      <c r="F335" s="43"/>
    </row>
    <row r="336" spans="4:6" x14ac:dyDescent="0.25">
      <c r="D336" s="41" t="s">
        <v>3620</v>
      </c>
      <c r="E336" s="42" t="s">
        <v>1060</v>
      </c>
      <c r="F336" s="43"/>
    </row>
    <row r="337" spans="4:6" x14ac:dyDescent="0.25">
      <c r="D337" s="41" t="s">
        <v>2106</v>
      </c>
      <c r="E337" s="42" t="s">
        <v>1057</v>
      </c>
      <c r="F337" s="43"/>
    </row>
    <row r="338" spans="4:6" x14ac:dyDescent="0.25">
      <c r="D338" s="41" t="s">
        <v>3510</v>
      </c>
      <c r="E338" s="42" t="s">
        <v>1057</v>
      </c>
      <c r="F338" s="43">
        <v>1</v>
      </c>
    </row>
    <row r="339" spans="4:6" x14ac:dyDescent="0.25">
      <c r="D339" s="41" t="s">
        <v>2107</v>
      </c>
      <c r="E339" s="42" t="s">
        <v>1050</v>
      </c>
      <c r="F339" s="43"/>
    </row>
    <row r="340" spans="4:6" x14ac:dyDescent="0.25">
      <c r="D340" s="41" t="s">
        <v>2108</v>
      </c>
      <c r="E340" s="42" t="s">
        <v>2109</v>
      </c>
      <c r="F340" s="43" t="s">
        <v>938</v>
      </c>
    </row>
    <row r="341" spans="4:6" x14ac:dyDescent="0.25">
      <c r="D341" s="41" t="s">
        <v>2110</v>
      </c>
      <c r="E341" s="42" t="s">
        <v>3839</v>
      </c>
      <c r="F341" s="43" t="s">
        <v>2111</v>
      </c>
    </row>
    <row r="342" spans="4:6" x14ac:dyDescent="0.25">
      <c r="D342" s="41" t="s">
        <v>3072</v>
      </c>
      <c r="E342" s="42" t="s">
        <v>3838</v>
      </c>
      <c r="F342" s="43" t="s">
        <v>3073</v>
      </c>
    </row>
    <row r="343" spans="4:6" x14ac:dyDescent="0.25">
      <c r="D343" s="41" t="s">
        <v>3633</v>
      </c>
      <c r="E343" s="42" t="s">
        <v>3838</v>
      </c>
      <c r="F343" s="43"/>
    </row>
    <row r="344" spans="4:6" x14ac:dyDescent="0.25">
      <c r="D344" s="41" t="s">
        <v>816</v>
      </c>
      <c r="E344" s="42" t="s">
        <v>3856</v>
      </c>
      <c r="F344" s="43" t="s">
        <v>747</v>
      </c>
    </row>
    <row r="345" spans="4:6" x14ac:dyDescent="0.25">
      <c r="D345" s="41" t="s">
        <v>2563</v>
      </c>
      <c r="E345" s="42" t="s">
        <v>3856</v>
      </c>
      <c r="F345" s="43"/>
    </row>
    <row r="346" spans="4:6" x14ac:dyDescent="0.25">
      <c r="D346" s="41" t="s">
        <v>2564</v>
      </c>
      <c r="E346" s="42" t="s">
        <v>3856</v>
      </c>
      <c r="F346" s="43" t="s">
        <v>2565</v>
      </c>
    </row>
    <row r="347" spans="4:6" x14ac:dyDescent="0.25">
      <c r="D347" s="41" t="s">
        <v>2241</v>
      </c>
      <c r="E347" s="42" t="s">
        <v>3857</v>
      </c>
      <c r="F347" s="43" t="s">
        <v>2242</v>
      </c>
    </row>
    <row r="348" spans="4:6" x14ac:dyDescent="0.25">
      <c r="D348" s="41" t="s">
        <v>2112</v>
      </c>
      <c r="E348" s="42" t="s">
        <v>2113</v>
      </c>
      <c r="F348" s="43" t="s">
        <v>2114</v>
      </c>
    </row>
    <row r="349" spans="4:6" x14ac:dyDescent="0.25">
      <c r="D349" s="41" t="s">
        <v>1468</v>
      </c>
      <c r="E349" s="42" t="s">
        <v>1246</v>
      </c>
      <c r="F349" s="43" t="s">
        <v>747</v>
      </c>
    </row>
    <row r="350" spans="4:6" x14ac:dyDescent="0.25">
      <c r="D350" s="41" t="s">
        <v>3374</v>
      </c>
      <c r="E350" s="42" t="s">
        <v>3840</v>
      </c>
      <c r="F350" s="43" t="s">
        <v>936</v>
      </c>
    </row>
    <row r="351" spans="4:6" x14ac:dyDescent="0.25">
      <c r="D351" s="41" t="s">
        <v>2115</v>
      </c>
      <c r="E351" s="42" t="s">
        <v>1053</v>
      </c>
      <c r="F351" s="43"/>
    </row>
    <row r="352" spans="4:6" x14ac:dyDescent="0.25">
      <c r="D352" s="41" t="s">
        <v>3695</v>
      </c>
      <c r="E352" s="42" t="s">
        <v>1053</v>
      </c>
      <c r="F352" s="43"/>
    </row>
    <row r="353" spans="4:6" x14ac:dyDescent="0.25">
      <c r="D353" s="41" t="s">
        <v>3696</v>
      </c>
      <c r="E353" s="42" t="s">
        <v>3650</v>
      </c>
      <c r="F353" s="43" t="s">
        <v>3650</v>
      </c>
    </row>
    <row r="354" spans="4:6" x14ac:dyDescent="0.25">
      <c r="D354" s="41" t="s">
        <v>3130</v>
      </c>
      <c r="E354" s="47" t="s">
        <v>3790</v>
      </c>
      <c r="F354" s="43" t="s">
        <v>747</v>
      </c>
    </row>
    <row r="355" spans="4:6" x14ac:dyDescent="0.25">
      <c r="D355" s="41" t="s">
        <v>3436</v>
      </c>
      <c r="E355" s="42" t="s">
        <v>3361</v>
      </c>
      <c r="F355" s="43" t="s">
        <v>938</v>
      </c>
    </row>
    <row r="356" spans="4:6" x14ac:dyDescent="0.25">
      <c r="D356" s="41" t="s">
        <v>2116</v>
      </c>
      <c r="E356" s="42" t="s">
        <v>2117</v>
      </c>
      <c r="F356" s="43" t="s">
        <v>747</v>
      </c>
    </row>
    <row r="357" spans="4:6" x14ac:dyDescent="0.25">
      <c r="D357" s="41" t="s">
        <v>2118</v>
      </c>
      <c r="E357" s="42" t="s">
        <v>3841</v>
      </c>
      <c r="F357" s="43" t="s">
        <v>747</v>
      </c>
    </row>
    <row r="358" spans="4:6" x14ac:dyDescent="0.25">
      <c r="D358" s="41" t="s">
        <v>1370</v>
      </c>
      <c r="E358" s="42" t="s">
        <v>152</v>
      </c>
      <c r="F358" s="43" t="s">
        <v>747</v>
      </c>
    </row>
    <row r="359" spans="4:6" x14ac:dyDescent="0.25">
      <c r="D359" s="41" t="s">
        <v>1918</v>
      </c>
      <c r="E359" s="42" t="s">
        <v>152</v>
      </c>
      <c r="F359" s="43" t="s">
        <v>949</v>
      </c>
    </row>
    <row r="360" spans="4:6" x14ac:dyDescent="0.25">
      <c r="D360" s="41" t="s">
        <v>2119</v>
      </c>
      <c r="E360" s="42" t="s">
        <v>152</v>
      </c>
      <c r="F360" s="43" t="s">
        <v>2120</v>
      </c>
    </row>
    <row r="361" spans="4:6" x14ac:dyDescent="0.25">
      <c r="D361" s="41" t="s">
        <v>1432</v>
      </c>
      <c r="E361" s="42" t="s">
        <v>3842</v>
      </c>
      <c r="F361" s="43" t="s">
        <v>747</v>
      </c>
    </row>
    <row r="362" spans="4:6" x14ac:dyDescent="0.25">
      <c r="D362" s="41" t="s">
        <v>3445</v>
      </c>
      <c r="E362" s="47" t="s">
        <v>3791</v>
      </c>
      <c r="F362" s="43" t="s">
        <v>938</v>
      </c>
    </row>
    <row r="363" spans="4:6" x14ac:dyDescent="0.25">
      <c r="D363" s="41" t="s">
        <v>2121</v>
      </c>
      <c r="E363" s="42" t="s">
        <v>4036</v>
      </c>
      <c r="F363" s="43" t="s">
        <v>2122</v>
      </c>
    </row>
    <row r="364" spans="4:6" x14ac:dyDescent="0.25">
      <c r="D364" s="41" t="s">
        <v>2986</v>
      </c>
      <c r="E364" s="42" t="s">
        <v>4036</v>
      </c>
      <c r="F364" s="43"/>
    </row>
    <row r="365" spans="4:6" x14ac:dyDescent="0.25">
      <c r="D365" s="41" t="s">
        <v>2123</v>
      </c>
      <c r="E365" s="42" t="s">
        <v>4038</v>
      </c>
      <c r="F365" s="43" t="s">
        <v>2124</v>
      </c>
    </row>
    <row r="366" spans="4:6" x14ac:dyDescent="0.25">
      <c r="D366" s="41" t="s">
        <v>1200</v>
      </c>
      <c r="E366" s="42" t="s">
        <v>1201</v>
      </c>
      <c r="F366" s="43" t="s">
        <v>747</v>
      </c>
    </row>
    <row r="367" spans="4:6" x14ac:dyDescent="0.25">
      <c r="D367" s="41" t="s">
        <v>2841</v>
      </c>
      <c r="E367" s="42" t="s">
        <v>1201</v>
      </c>
      <c r="F367" s="43" t="s">
        <v>2842</v>
      </c>
    </row>
    <row r="368" spans="4:6" x14ac:dyDescent="0.25">
      <c r="D368" s="41" t="s">
        <v>2125</v>
      </c>
      <c r="E368" s="42" t="s">
        <v>3930</v>
      </c>
      <c r="F368" s="43" t="s">
        <v>2126</v>
      </c>
    </row>
    <row r="369" spans="4:6" x14ac:dyDescent="0.25">
      <c r="D369" s="41" t="s">
        <v>750</v>
      </c>
      <c r="E369" s="42" t="s">
        <v>4041</v>
      </c>
      <c r="F369" s="43" t="s">
        <v>751</v>
      </c>
    </row>
    <row r="370" spans="4:6" x14ac:dyDescent="0.25">
      <c r="D370" s="41" t="s">
        <v>753</v>
      </c>
      <c r="E370" s="42" t="s">
        <v>4041</v>
      </c>
      <c r="F370" s="43" t="s">
        <v>4033</v>
      </c>
    </row>
    <row r="371" spans="4:6" x14ac:dyDescent="0.25">
      <c r="D371" s="41" t="s">
        <v>757</v>
      </c>
      <c r="E371" s="42" t="s">
        <v>4042</v>
      </c>
      <c r="F371" s="43" t="s">
        <v>399</v>
      </c>
    </row>
    <row r="372" spans="4:6" x14ac:dyDescent="0.25">
      <c r="D372" s="41" t="s">
        <v>759</v>
      </c>
      <c r="E372" s="42" t="s">
        <v>4042</v>
      </c>
      <c r="F372" s="43" t="s">
        <v>760</v>
      </c>
    </row>
    <row r="373" spans="4:6" x14ac:dyDescent="0.25">
      <c r="D373" s="44" t="s">
        <v>3272</v>
      </c>
      <c r="E373" s="42" t="s">
        <v>4042</v>
      </c>
      <c r="F373" s="46" t="s">
        <v>3273</v>
      </c>
    </row>
    <row r="374" spans="4:6" x14ac:dyDescent="0.25">
      <c r="D374" s="44" t="s">
        <v>3297</v>
      </c>
      <c r="E374" s="42" t="s">
        <v>4044</v>
      </c>
      <c r="F374" s="46" t="s">
        <v>3298</v>
      </c>
    </row>
    <row r="375" spans="4:6" x14ac:dyDescent="0.25">
      <c r="D375" s="41" t="s">
        <v>3022</v>
      </c>
      <c r="E375" s="47" t="s">
        <v>4044</v>
      </c>
      <c r="F375" s="43" t="s">
        <v>3023</v>
      </c>
    </row>
    <row r="376" spans="4:6" x14ac:dyDescent="0.25">
      <c r="D376" s="41" t="s">
        <v>1677</v>
      </c>
      <c r="E376" s="42" t="s">
        <v>4045</v>
      </c>
      <c r="F376" s="43" t="s">
        <v>1678</v>
      </c>
    </row>
    <row r="377" spans="4:6" x14ac:dyDescent="0.25">
      <c r="D377" s="41" t="s">
        <v>3245</v>
      </c>
      <c r="E377" s="42" t="s">
        <v>4046</v>
      </c>
      <c r="F377" s="43" t="s">
        <v>3246</v>
      </c>
    </row>
    <row r="378" spans="4:6" x14ac:dyDescent="0.25">
      <c r="D378" s="41" t="s">
        <v>3387</v>
      </c>
      <c r="E378" s="42" t="s">
        <v>4046</v>
      </c>
      <c r="F378" s="43" t="s">
        <v>3246</v>
      </c>
    </row>
    <row r="379" spans="4:6" x14ac:dyDescent="0.25">
      <c r="D379" s="41" t="s">
        <v>741</v>
      </c>
      <c r="E379" s="42" t="s">
        <v>4047</v>
      </c>
      <c r="F379" s="43" t="s">
        <v>742</v>
      </c>
    </row>
    <row r="380" spans="4:6" x14ac:dyDescent="0.25">
      <c r="D380" s="41" t="s">
        <v>737</v>
      </c>
      <c r="E380" s="42" t="s">
        <v>4048</v>
      </c>
      <c r="F380" s="43" t="s">
        <v>738</v>
      </c>
    </row>
    <row r="381" spans="4:6" x14ac:dyDescent="0.25">
      <c r="D381" s="41" t="s">
        <v>758</v>
      </c>
      <c r="E381" s="42" t="s">
        <v>4048</v>
      </c>
      <c r="F381" s="43" t="s">
        <v>738</v>
      </c>
    </row>
    <row r="382" spans="4:6" x14ac:dyDescent="0.25">
      <c r="D382" s="41" t="s">
        <v>506</v>
      </c>
      <c r="E382" s="42" t="s">
        <v>4049</v>
      </c>
      <c r="F382" s="43" t="s">
        <v>507</v>
      </c>
    </row>
    <row r="383" spans="4:6" x14ac:dyDescent="0.25">
      <c r="D383" s="41" t="s">
        <v>1180</v>
      </c>
      <c r="E383" s="42" t="s">
        <v>4049</v>
      </c>
      <c r="F383" s="43" t="s">
        <v>1181</v>
      </c>
    </row>
    <row r="384" spans="4:6" x14ac:dyDescent="0.25">
      <c r="D384" s="41" t="s">
        <v>1227</v>
      </c>
      <c r="E384" s="42" t="s">
        <v>4049</v>
      </c>
      <c r="F384" s="43" t="s">
        <v>1228</v>
      </c>
    </row>
    <row r="385" spans="4:6" x14ac:dyDescent="0.25">
      <c r="D385" s="41" t="s">
        <v>2880</v>
      </c>
      <c r="E385" s="42" t="s">
        <v>4049</v>
      </c>
      <c r="F385" s="43" t="s">
        <v>2881</v>
      </c>
    </row>
    <row r="386" spans="4:6" x14ac:dyDescent="0.25">
      <c r="D386" s="41" t="s">
        <v>2932</v>
      </c>
      <c r="E386" s="47" t="s">
        <v>4056</v>
      </c>
      <c r="F386" s="43" t="s">
        <v>2933</v>
      </c>
    </row>
    <row r="387" spans="4:6" x14ac:dyDescent="0.25">
      <c r="D387" s="41" t="s">
        <v>3099</v>
      </c>
      <c r="E387" s="42" t="s">
        <v>4056</v>
      </c>
      <c r="F387" s="43" t="s">
        <v>2933</v>
      </c>
    </row>
    <row r="388" spans="4:6" x14ac:dyDescent="0.25">
      <c r="D388" s="44" t="s">
        <v>3334</v>
      </c>
      <c r="E388" s="45" t="s">
        <v>4057</v>
      </c>
      <c r="F388" s="46" t="s">
        <v>3335</v>
      </c>
    </row>
    <row r="389" spans="4:6" x14ac:dyDescent="0.25">
      <c r="D389" s="41" t="s">
        <v>2884</v>
      </c>
      <c r="E389" s="42" t="s">
        <v>4060</v>
      </c>
      <c r="F389" s="43" t="s">
        <v>2885</v>
      </c>
    </row>
    <row r="390" spans="4:6" x14ac:dyDescent="0.25">
      <c r="D390" s="44" t="s">
        <v>3294</v>
      </c>
      <c r="E390" s="45" t="s">
        <v>4060</v>
      </c>
      <c r="F390" s="46" t="s">
        <v>3295</v>
      </c>
    </row>
    <row r="391" spans="4:6" x14ac:dyDescent="0.25">
      <c r="D391" s="41" t="s">
        <v>743</v>
      </c>
      <c r="E391" s="42" t="s">
        <v>4068</v>
      </c>
      <c r="F391" s="43" t="s">
        <v>744</v>
      </c>
    </row>
    <row r="392" spans="4:6" x14ac:dyDescent="0.25">
      <c r="D392" s="41" t="s">
        <v>754</v>
      </c>
      <c r="E392" s="42" t="s">
        <v>4068</v>
      </c>
      <c r="F392" s="43" t="s">
        <v>744</v>
      </c>
    </row>
    <row r="393" spans="4:6" x14ac:dyDescent="0.25">
      <c r="D393" s="41" t="s">
        <v>761</v>
      </c>
      <c r="E393" s="42" t="s">
        <v>4068</v>
      </c>
      <c r="F393" s="43" t="s">
        <v>744</v>
      </c>
    </row>
    <row r="394" spans="4:6" x14ac:dyDescent="0.25">
      <c r="D394" s="41" t="s">
        <v>756</v>
      </c>
      <c r="E394" s="42" t="s">
        <v>4061</v>
      </c>
      <c r="F394" s="43" t="s">
        <v>379</v>
      </c>
    </row>
    <row r="395" spans="4:6" x14ac:dyDescent="0.25">
      <c r="D395" s="41" t="s">
        <v>730</v>
      </c>
      <c r="E395" s="42" t="s">
        <v>4062</v>
      </c>
      <c r="F395" s="43" t="s">
        <v>379</v>
      </c>
    </row>
    <row r="396" spans="4:6" x14ac:dyDescent="0.25">
      <c r="D396" s="41" t="s">
        <v>755</v>
      </c>
      <c r="E396" s="42" t="s">
        <v>4062</v>
      </c>
      <c r="F396" s="43" t="s">
        <v>379</v>
      </c>
    </row>
    <row r="397" spans="4:6" x14ac:dyDescent="0.25">
      <c r="D397" s="41" t="s">
        <v>745</v>
      </c>
      <c r="E397" s="42" t="s">
        <v>4064</v>
      </c>
      <c r="F397" s="43" t="s">
        <v>746</v>
      </c>
    </row>
    <row r="398" spans="4:6" x14ac:dyDescent="0.25">
      <c r="D398" s="41" t="s">
        <v>748</v>
      </c>
      <c r="E398" s="42" t="s">
        <v>4064</v>
      </c>
      <c r="F398" s="43" t="s">
        <v>746</v>
      </c>
    </row>
    <row r="399" spans="4:6" x14ac:dyDescent="0.25">
      <c r="D399" s="41" t="s">
        <v>3084</v>
      </c>
      <c r="E399" s="42" t="s">
        <v>4066</v>
      </c>
      <c r="F399" s="43" t="s">
        <v>3085</v>
      </c>
    </row>
    <row r="400" spans="4:6" x14ac:dyDescent="0.25">
      <c r="D400" s="41" t="s">
        <v>739</v>
      </c>
      <c r="E400" s="42" t="s">
        <v>4077</v>
      </c>
      <c r="F400" s="43" t="s">
        <v>740</v>
      </c>
    </row>
    <row r="401" spans="4:6" x14ac:dyDescent="0.25">
      <c r="D401" s="41" t="s">
        <v>3242</v>
      </c>
      <c r="E401" s="42" t="s">
        <v>4081</v>
      </c>
      <c r="F401" s="43" t="s">
        <v>3243</v>
      </c>
    </row>
    <row r="402" spans="4:6" x14ac:dyDescent="0.25">
      <c r="D402" s="41" t="s">
        <v>505</v>
      </c>
      <c r="E402" s="42" t="s">
        <v>4082</v>
      </c>
      <c r="F402" s="43" t="s">
        <v>379</v>
      </c>
    </row>
    <row r="403" spans="4:6" x14ac:dyDescent="0.25">
      <c r="D403" s="41" t="s">
        <v>749</v>
      </c>
      <c r="E403" s="42" t="s">
        <v>4082</v>
      </c>
      <c r="F403" s="43" t="s">
        <v>379</v>
      </c>
    </row>
    <row r="404" spans="4:6" x14ac:dyDescent="0.25">
      <c r="D404" s="44" t="s">
        <v>3296</v>
      </c>
      <c r="E404" s="45" t="s">
        <v>4083</v>
      </c>
      <c r="F404" s="46" t="s">
        <v>3243</v>
      </c>
    </row>
    <row r="405" spans="4:6" x14ac:dyDescent="0.25">
      <c r="D405" s="41" t="s">
        <v>2888</v>
      </c>
      <c r="E405" s="42" t="s">
        <v>2828</v>
      </c>
      <c r="F405" s="43" t="s">
        <v>2889</v>
      </c>
    </row>
    <row r="406" spans="4:6" x14ac:dyDescent="0.25">
      <c r="D406" s="41" t="s">
        <v>2127</v>
      </c>
      <c r="E406" s="42" t="s">
        <v>2128</v>
      </c>
      <c r="F406" s="43" t="s">
        <v>2129</v>
      </c>
    </row>
    <row r="407" spans="4:6" x14ac:dyDescent="0.25">
      <c r="D407" s="41" t="s">
        <v>3703</v>
      </c>
      <c r="E407" s="42" t="s">
        <v>3652</v>
      </c>
      <c r="F407" s="43" t="s">
        <v>3652</v>
      </c>
    </row>
    <row r="408" spans="4:6" x14ac:dyDescent="0.25">
      <c r="D408" s="41" t="s">
        <v>2130</v>
      </c>
      <c r="E408" s="42" t="s">
        <v>2131</v>
      </c>
      <c r="F408" s="43" t="s">
        <v>2132</v>
      </c>
    </row>
    <row r="409" spans="4:6" x14ac:dyDescent="0.25">
      <c r="D409" s="41" t="s">
        <v>3429</v>
      </c>
      <c r="E409" s="42" t="s">
        <v>2131</v>
      </c>
      <c r="F409" s="43"/>
    </row>
    <row r="410" spans="4:6" x14ac:dyDescent="0.25">
      <c r="D410" s="41" t="s">
        <v>1882</v>
      </c>
      <c r="E410" s="42" t="s">
        <v>1783</v>
      </c>
      <c r="F410" s="43" t="s">
        <v>1558</v>
      </c>
    </row>
    <row r="411" spans="4:6" x14ac:dyDescent="0.25">
      <c r="D411" s="41" t="s">
        <v>1891</v>
      </c>
      <c r="E411" s="42" t="s">
        <v>1783</v>
      </c>
      <c r="F411" s="43" t="s">
        <v>1558</v>
      </c>
    </row>
    <row r="412" spans="4:6" x14ac:dyDescent="0.25">
      <c r="D412" s="41" t="s">
        <v>1985</v>
      </c>
      <c r="E412" s="42" t="s">
        <v>1783</v>
      </c>
      <c r="F412" s="43" t="s">
        <v>747</v>
      </c>
    </row>
    <row r="413" spans="4:6" x14ac:dyDescent="0.25">
      <c r="D413" s="41" t="s">
        <v>1993</v>
      </c>
      <c r="E413" s="42" t="s">
        <v>1783</v>
      </c>
      <c r="F413" s="43" t="s">
        <v>1994</v>
      </c>
    </row>
    <row r="414" spans="4:6" x14ac:dyDescent="0.25">
      <c r="D414" s="41" t="s">
        <v>2133</v>
      </c>
      <c r="E414" s="42" t="s">
        <v>1783</v>
      </c>
      <c r="F414" s="43" t="s">
        <v>747</v>
      </c>
    </row>
    <row r="415" spans="4:6" x14ac:dyDescent="0.25">
      <c r="D415" s="41" t="s">
        <v>2134</v>
      </c>
      <c r="E415" s="42" t="s">
        <v>1783</v>
      </c>
      <c r="F415" s="43" t="s">
        <v>747</v>
      </c>
    </row>
    <row r="416" spans="4:6" x14ac:dyDescent="0.25">
      <c r="D416" s="41" t="s">
        <v>2135</v>
      </c>
      <c r="E416" s="42" t="s">
        <v>1783</v>
      </c>
      <c r="F416" s="43"/>
    </row>
    <row r="417" spans="4:6" x14ac:dyDescent="0.25">
      <c r="D417" s="41" t="s">
        <v>2136</v>
      </c>
      <c r="E417" s="42" t="s">
        <v>1783</v>
      </c>
      <c r="F417" s="43" t="s">
        <v>78</v>
      </c>
    </row>
    <row r="418" spans="4:6" x14ac:dyDescent="0.25">
      <c r="D418" s="41" t="s">
        <v>3487</v>
      </c>
      <c r="E418" s="42" t="s">
        <v>1783</v>
      </c>
      <c r="F418" s="43" t="s">
        <v>747</v>
      </c>
    </row>
    <row r="419" spans="4:6" x14ac:dyDescent="0.25">
      <c r="D419" s="41" t="s">
        <v>1582</v>
      </c>
      <c r="E419" s="42" t="s">
        <v>1583</v>
      </c>
      <c r="F419" s="43" t="s">
        <v>1576</v>
      </c>
    </row>
    <row r="420" spans="4:6" x14ac:dyDescent="0.25">
      <c r="D420" s="41" t="s">
        <v>2905</v>
      </c>
      <c r="E420" s="42" t="s">
        <v>1583</v>
      </c>
      <c r="F420" s="43" t="s">
        <v>938</v>
      </c>
    </row>
    <row r="421" spans="4:6" x14ac:dyDescent="0.25">
      <c r="D421" s="41" t="s">
        <v>3506</v>
      </c>
      <c r="E421" s="42" t="s">
        <v>1583</v>
      </c>
      <c r="F421" s="43" t="s">
        <v>747</v>
      </c>
    </row>
    <row r="422" spans="4:6" x14ac:dyDescent="0.25">
      <c r="D422" s="41" t="s">
        <v>3764</v>
      </c>
      <c r="E422" s="42" t="s">
        <v>1583</v>
      </c>
      <c r="F422" s="43" t="s">
        <v>747</v>
      </c>
    </row>
    <row r="423" spans="4:6" x14ac:dyDescent="0.25">
      <c r="D423" s="41" t="s">
        <v>2137</v>
      </c>
      <c r="E423" s="42" t="s">
        <v>3844</v>
      </c>
      <c r="F423" s="43" t="s">
        <v>2138</v>
      </c>
    </row>
    <row r="424" spans="4:6" x14ac:dyDescent="0.25">
      <c r="D424" s="41" t="s">
        <v>3642</v>
      </c>
      <c r="E424" s="42" t="s">
        <v>3845</v>
      </c>
      <c r="F424" s="43" t="s">
        <v>3643</v>
      </c>
    </row>
    <row r="425" spans="4:6" x14ac:dyDescent="0.25">
      <c r="D425" s="41" t="s">
        <v>855</v>
      </c>
      <c r="E425" s="42" t="s">
        <v>856</v>
      </c>
      <c r="F425" s="43" t="s">
        <v>747</v>
      </c>
    </row>
    <row r="426" spans="4:6" x14ac:dyDescent="0.25">
      <c r="D426" s="41" t="s">
        <v>2139</v>
      </c>
      <c r="E426" s="42" t="s">
        <v>2140</v>
      </c>
      <c r="F426" s="43" t="s">
        <v>2126</v>
      </c>
    </row>
    <row r="427" spans="4:6" x14ac:dyDescent="0.25">
      <c r="D427" s="44" t="s">
        <v>3314</v>
      </c>
      <c r="E427" s="45" t="s">
        <v>2140</v>
      </c>
      <c r="F427" s="46"/>
    </row>
    <row r="428" spans="4:6" x14ac:dyDescent="0.25">
      <c r="D428" s="41" t="s">
        <v>733</v>
      </c>
      <c r="E428" s="42" t="s">
        <v>105</v>
      </c>
      <c r="F428" s="43" t="s">
        <v>734</v>
      </c>
    </row>
    <row r="429" spans="4:6" x14ac:dyDescent="0.25">
      <c r="D429" s="41" t="s">
        <v>2141</v>
      </c>
      <c r="E429" s="42" t="s">
        <v>105</v>
      </c>
      <c r="F429" s="43"/>
    </row>
    <row r="430" spans="4:6" x14ac:dyDescent="0.25">
      <c r="D430" s="41" t="s">
        <v>2142</v>
      </c>
      <c r="E430" s="42" t="s">
        <v>105</v>
      </c>
      <c r="F430" s="43"/>
    </row>
    <row r="431" spans="4:6" x14ac:dyDescent="0.25">
      <c r="D431" s="41" t="s">
        <v>2143</v>
      </c>
      <c r="E431" s="42" t="s">
        <v>105</v>
      </c>
      <c r="F431" s="43"/>
    </row>
    <row r="432" spans="4:6" x14ac:dyDescent="0.25">
      <c r="D432" s="41" t="s">
        <v>3079</v>
      </c>
      <c r="E432" s="42" t="s">
        <v>105</v>
      </c>
      <c r="F432" s="43" t="s">
        <v>3080</v>
      </c>
    </row>
    <row r="433" spans="4:6" x14ac:dyDescent="0.25">
      <c r="D433" s="41" t="s">
        <v>3142</v>
      </c>
      <c r="E433" s="42" t="s">
        <v>105</v>
      </c>
      <c r="F433" s="43"/>
    </row>
    <row r="434" spans="4:6" x14ac:dyDescent="0.25">
      <c r="D434" s="41" t="s">
        <v>3699</v>
      </c>
      <c r="E434" s="42" t="s">
        <v>105</v>
      </c>
      <c r="F434" s="43"/>
    </row>
    <row r="435" spans="4:6" x14ac:dyDescent="0.25">
      <c r="D435" s="41" t="s">
        <v>547</v>
      </c>
      <c r="E435" s="42" t="s">
        <v>106</v>
      </c>
      <c r="F435" s="43" t="s">
        <v>548</v>
      </c>
    </row>
    <row r="436" spans="4:6" x14ac:dyDescent="0.25">
      <c r="D436" s="41" t="s">
        <v>647</v>
      </c>
      <c r="E436" s="42" t="s">
        <v>106</v>
      </c>
      <c r="F436" s="43" t="s">
        <v>648</v>
      </c>
    </row>
    <row r="437" spans="4:6" x14ac:dyDescent="0.25">
      <c r="D437" s="41" t="s">
        <v>674</v>
      </c>
      <c r="E437" s="42" t="s">
        <v>106</v>
      </c>
      <c r="F437" s="43" t="s">
        <v>675</v>
      </c>
    </row>
    <row r="438" spans="4:6" x14ac:dyDescent="0.25">
      <c r="D438" s="41" t="s">
        <v>731</v>
      </c>
      <c r="E438" s="42" t="s">
        <v>106</v>
      </c>
      <c r="F438" s="43" t="s">
        <v>732</v>
      </c>
    </row>
    <row r="439" spans="4:6" x14ac:dyDescent="0.25">
      <c r="D439" s="41" t="s">
        <v>775</v>
      </c>
      <c r="E439" s="42" t="s">
        <v>106</v>
      </c>
      <c r="F439" s="43" t="s">
        <v>747</v>
      </c>
    </row>
    <row r="440" spans="4:6" x14ac:dyDescent="0.25">
      <c r="D440" s="41" t="s">
        <v>857</v>
      </c>
      <c r="E440" s="42" t="s">
        <v>106</v>
      </c>
      <c r="F440" s="43" t="s">
        <v>747</v>
      </c>
    </row>
    <row r="441" spans="4:6" x14ac:dyDescent="0.25">
      <c r="D441" s="41" t="s">
        <v>965</v>
      </c>
      <c r="E441" s="42" t="s">
        <v>106</v>
      </c>
      <c r="F441" s="43" t="s">
        <v>966</v>
      </c>
    </row>
    <row r="442" spans="4:6" x14ac:dyDescent="0.25">
      <c r="D442" s="41" t="s">
        <v>1239</v>
      </c>
      <c r="E442" s="42" t="s">
        <v>106</v>
      </c>
      <c r="F442" s="43" t="s">
        <v>1240</v>
      </c>
    </row>
    <row r="443" spans="4:6" x14ac:dyDescent="0.25">
      <c r="D443" s="41" t="s">
        <v>1277</v>
      </c>
      <c r="E443" s="42" t="s">
        <v>106</v>
      </c>
      <c r="F443" s="43" t="s">
        <v>747</v>
      </c>
    </row>
    <row r="444" spans="4:6" x14ac:dyDescent="0.25">
      <c r="D444" s="41" t="s">
        <v>1309</v>
      </c>
      <c r="E444" s="42" t="s">
        <v>106</v>
      </c>
      <c r="F444" s="43" t="s">
        <v>747</v>
      </c>
    </row>
    <row r="445" spans="4:6" x14ac:dyDescent="0.25">
      <c r="D445" s="41" t="s">
        <v>1349</v>
      </c>
      <c r="E445" s="42" t="s">
        <v>106</v>
      </c>
      <c r="F445" s="43" t="s">
        <v>747</v>
      </c>
    </row>
    <row r="446" spans="4:6" x14ac:dyDescent="0.25">
      <c r="D446" s="41" t="s">
        <v>1444</v>
      </c>
      <c r="E446" s="42" t="s">
        <v>106</v>
      </c>
      <c r="F446" s="43" t="s">
        <v>747</v>
      </c>
    </row>
    <row r="447" spans="4:6" x14ac:dyDescent="0.25">
      <c r="D447" s="41" t="s">
        <v>1573</v>
      </c>
      <c r="E447" s="42" t="s">
        <v>106</v>
      </c>
      <c r="F447" s="43" t="s">
        <v>1574</v>
      </c>
    </row>
    <row r="448" spans="4:6" x14ac:dyDescent="0.25">
      <c r="D448" s="41" t="s">
        <v>1696</v>
      </c>
      <c r="E448" s="42" t="s">
        <v>106</v>
      </c>
      <c r="F448" s="43" t="s">
        <v>1697</v>
      </c>
    </row>
    <row r="449" spans="4:6" x14ac:dyDescent="0.25">
      <c r="D449" s="41" t="s">
        <v>1752</v>
      </c>
      <c r="E449" s="42" t="s">
        <v>106</v>
      </c>
      <c r="F449" s="43" t="s">
        <v>1753</v>
      </c>
    </row>
    <row r="450" spans="4:6" x14ac:dyDescent="0.25">
      <c r="D450" s="41" t="s">
        <v>1859</v>
      </c>
      <c r="E450" s="42" t="s">
        <v>106</v>
      </c>
      <c r="F450" s="43" t="s">
        <v>1860</v>
      </c>
    </row>
    <row r="451" spans="4:6" x14ac:dyDescent="0.25">
      <c r="D451" s="41" t="s">
        <v>1868</v>
      </c>
      <c r="E451" s="42" t="s">
        <v>106</v>
      </c>
      <c r="F451" s="43" t="s">
        <v>1574</v>
      </c>
    </row>
    <row r="452" spans="4:6" x14ac:dyDescent="0.25">
      <c r="D452" s="41" t="s">
        <v>1957</v>
      </c>
      <c r="E452" s="42" t="s">
        <v>106</v>
      </c>
      <c r="F452" s="43" t="s">
        <v>747</v>
      </c>
    </row>
    <row r="453" spans="4:6" x14ac:dyDescent="0.25">
      <c r="D453" s="41" t="s">
        <v>1968</v>
      </c>
      <c r="E453" s="42" t="s">
        <v>106</v>
      </c>
      <c r="F453" s="43" t="s">
        <v>1867</v>
      </c>
    </row>
    <row r="454" spans="4:6" x14ac:dyDescent="0.25">
      <c r="D454" s="41" t="s">
        <v>2144</v>
      </c>
      <c r="E454" s="42" t="s">
        <v>106</v>
      </c>
      <c r="F454" s="43"/>
    </row>
    <row r="455" spans="4:6" x14ac:dyDescent="0.25">
      <c r="D455" s="41" t="s">
        <v>2145</v>
      </c>
      <c r="E455" s="42" t="s">
        <v>106</v>
      </c>
      <c r="F455" s="43" t="s">
        <v>747</v>
      </c>
    </row>
    <row r="456" spans="4:6" x14ac:dyDescent="0.25">
      <c r="D456" s="41" t="s">
        <v>2146</v>
      </c>
      <c r="E456" s="42" t="s">
        <v>106</v>
      </c>
      <c r="F456" s="43" t="s">
        <v>78</v>
      </c>
    </row>
    <row r="457" spans="4:6" x14ac:dyDescent="0.25">
      <c r="D457" s="41" t="s">
        <v>2147</v>
      </c>
      <c r="E457" s="42" t="s">
        <v>106</v>
      </c>
      <c r="F457" s="43" t="s">
        <v>2148</v>
      </c>
    </row>
    <row r="458" spans="4:6" x14ac:dyDescent="0.25">
      <c r="D458" s="41" t="s">
        <v>2149</v>
      </c>
      <c r="E458" s="42" t="s">
        <v>106</v>
      </c>
      <c r="F458" s="43"/>
    </row>
    <row r="459" spans="4:6" x14ac:dyDescent="0.25">
      <c r="D459" s="41" t="s">
        <v>2150</v>
      </c>
      <c r="E459" s="42" t="s">
        <v>106</v>
      </c>
      <c r="F459" s="43"/>
    </row>
    <row r="460" spans="4:6" x14ac:dyDescent="0.25">
      <c r="D460" s="41" t="s">
        <v>2151</v>
      </c>
      <c r="E460" s="42" t="s">
        <v>106</v>
      </c>
      <c r="F460" s="43"/>
    </row>
    <row r="461" spans="4:6" x14ac:dyDescent="0.25">
      <c r="D461" s="41" t="s">
        <v>2152</v>
      </c>
      <c r="E461" s="42" t="s">
        <v>106</v>
      </c>
      <c r="F461" s="43"/>
    </row>
    <row r="462" spans="4:6" x14ac:dyDescent="0.25">
      <c r="D462" s="41" t="s">
        <v>2153</v>
      </c>
      <c r="E462" s="42" t="s">
        <v>106</v>
      </c>
      <c r="F462" s="43"/>
    </row>
    <row r="463" spans="4:6" x14ac:dyDescent="0.25">
      <c r="D463" s="41" t="s">
        <v>2154</v>
      </c>
      <c r="E463" s="42" t="s">
        <v>106</v>
      </c>
      <c r="F463" s="43"/>
    </row>
    <row r="464" spans="4:6" x14ac:dyDescent="0.25">
      <c r="D464" s="41" t="s">
        <v>2913</v>
      </c>
      <c r="E464" s="42" t="s">
        <v>106</v>
      </c>
      <c r="F464" s="43" t="s">
        <v>938</v>
      </c>
    </row>
    <row r="465" spans="4:6" x14ac:dyDescent="0.25">
      <c r="D465" s="41" t="s">
        <v>2949</v>
      </c>
      <c r="E465" s="42" t="s">
        <v>106</v>
      </c>
      <c r="F465" s="43" t="s">
        <v>747</v>
      </c>
    </row>
    <row r="466" spans="4:6" x14ac:dyDescent="0.25">
      <c r="D466" s="41" t="s">
        <v>2954</v>
      </c>
      <c r="E466" s="42" t="s">
        <v>106</v>
      </c>
      <c r="F466" s="43" t="s">
        <v>747</v>
      </c>
    </row>
    <row r="467" spans="4:6" x14ac:dyDescent="0.25">
      <c r="D467" s="41" t="s">
        <v>3037</v>
      </c>
      <c r="E467" s="42" t="s">
        <v>106</v>
      </c>
      <c r="F467" s="43" t="s">
        <v>747</v>
      </c>
    </row>
    <row r="468" spans="4:6" x14ac:dyDescent="0.25">
      <c r="D468" s="41" t="s">
        <v>3050</v>
      </c>
      <c r="E468" s="42" t="s">
        <v>106</v>
      </c>
      <c r="F468" s="43" t="s">
        <v>3051</v>
      </c>
    </row>
    <row r="469" spans="4:6" x14ac:dyDescent="0.25">
      <c r="D469" s="41" t="s">
        <v>3184</v>
      </c>
      <c r="E469" s="42" t="s">
        <v>106</v>
      </c>
      <c r="F469" s="43" t="s">
        <v>3185</v>
      </c>
    </row>
    <row r="470" spans="4:6" x14ac:dyDescent="0.25">
      <c r="D470" s="41" t="s">
        <v>3399</v>
      </c>
      <c r="E470" s="42" t="s">
        <v>106</v>
      </c>
      <c r="F470" s="43"/>
    </row>
    <row r="471" spans="4:6" x14ac:dyDescent="0.25">
      <c r="D471" s="41" t="s">
        <v>3531</v>
      </c>
      <c r="E471" s="42" t="s">
        <v>106</v>
      </c>
      <c r="F471" s="43" t="s">
        <v>747</v>
      </c>
    </row>
    <row r="472" spans="4:6" x14ac:dyDescent="0.25">
      <c r="D472" s="41" t="s">
        <v>3553</v>
      </c>
      <c r="E472" s="42" t="s">
        <v>106</v>
      </c>
      <c r="F472" s="43"/>
    </row>
    <row r="473" spans="4:6" x14ac:dyDescent="0.25">
      <c r="D473" s="41" t="s">
        <v>3575</v>
      </c>
      <c r="E473" s="42" t="s">
        <v>106</v>
      </c>
      <c r="F473" s="43"/>
    </row>
    <row r="474" spans="4:6" x14ac:dyDescent="0.25">
      <c r="D474" s="41" t="s">
        <v>3581</v>
      </c>
      <c r="E474" s="42" t="s">
        <v>106</v>
      </c>
      <c r="F474" s="43"/>
    </row>
    <row r="475" spans="4:6" x14ac:dyDescent="0.25">
      <c r="D475" s="41" t="s">
        <v>735</v>
      </c>
      <c r="E475" s="42" t="s">
        <v>3846</v>
      </c>
      <c r="F475" s="43" t="s">
        <v>736</v>
      </c>
    </row>
    <row r="476" spans="4:6" x14ac:dyDescent="0.25">
      <c r="D476" s="41" t="s">
        <v>2155</v>
      </c>
      <c r="E476" s="42" t="s">
        <v>3846</v>
      </c>
      <c r="F476" s="43" t="s">
        <v>747</v>
      </c>
    </row>
    <row r="477" spans="4:6" x14ac:dyDescent="0.25">
      <c r="D477" s="41" t="s">
        <v>2156</v>
      </c>
      <c r="E477" s="42" t="s">
        <v>3846</v>
      </c>
      <c r="F477" s="43"/>
    </row>
    <row r="478" spans="4:6" x14ac:dyDescent="0.25">
      <c r="D478" s="41" t="s">
        <v>2157</v>
      </c>
      <c r="E478" s="42" t="s">
        <v>3846</v>
      </c>
      <c r="F478" s="43"/>
    </row>
    <row r="479" spans="4:6" x14ac:dyDescent="0.25">
      <c r="D479" s="41" t="s">
        <v>3380</v>
      </c>
      <c r="E479" s="42" t="s">
        <v>3846</v>
      </c>
      <c r="F479" s="43"/>
    </row>
    <row r="480" spans="4:6" x14ac:dyDescent="0.25">
      <c r="D480" s="41" t="s">
        <v>1414</v>
      </c>
      <c r="E480" s="47" t="s">
        <v>3792</v>
      </c>
      <c r="F480" s="43" t="s">
        <v>747</v>
      </c>
    </row>
    <row r="481" spans="4:6" x14ac:dyDescent="0.25">
      <c r="D481" s="41" t="s">
        <v>3228</v>
      </c>
      <c r="E481" s="42" t="s">
        <v>3847</v>
      </c>
      <c r="F481" s="43" t="s">
        <v>3229</v>
      </c>
    </row>
    <row r="482" spans="4:6" x14ac:dyDescent="0.25">
      <c r="D482" s="41" t="s">
        <v>3486</v>
      </c>
      <c r="E482" s="42" t="s">
        <v>3456</v>
      </c>
      <c r="F482" s="43" t="s">
        <v>747</v>
      </c>
    </row>
    <row r="483" spans="4:6" x14ac:dyDescent="0.25">
      <c r="D483" s="41" t="s">
        <v>2158</v>
      </c>
      <c r="E483" s="42" t="s">
        <v>3848</v>
      </c>
      <c r="F483" s="43"/>
    </row>
    <row r="484" spans="4:6" x14ac:dyDescent="0.25">
      <c r="D484" s="41" t="s">
        <v>2159</v>
      </c>
      <c r="E484" s="42" t="s">
        <v>3848</v>
      </c>
      <c r="F484" s="43"/>
    </row>
    <row r="485" spans="4:6" x14ac:dyDescent="0.25">
      <c r="D485" s="41" t="s">
        <v>2160</v>
      </c>
      <c r="E485" s="42" t="s">
        <v>2161</v>
      </c>
      <c r="F485" s="43" t="s">
        <v>747</v>
      </c>
    </row>
    <row r="486" spans="4:6" x14ac:dyDescent="0.25">
      <c r="D486" s="41" t="s">
        <v>2162</v>
      </c>
      <c r="E486" s="42" t="s">
        <v>1038</v>
      </c>
      <c r="F486" s="43"/>
    </row>
    <row r="487" spans="4:6" x14ac:dyDescent="0.25">
      <c r="D487" s="41" t="s">
        <v>2163</v>
      </c>
      <c r="E487" s="42" t="s">
        <v>1038</v>
      </c>
      <c r="F487" s="43"/>
    </row>
    <row r="488" spans="4:6" x14ac:dyDescent="0.25">
      <c r="D488" s="41" t="s">
        <v>2164</v>
      </c>
      <c r="E488" s="42" t="s">
        <v>1038</v>
      </c>
      <c r="F488" s="43"/>
    </row>
    <row r="489" spans="4:6" x14ac:dyDescent="0.25">
      <c r="D489" s="41" t="s">
        <v>2165</v>
      </c>
      <c r="E489" s="42" t="s">
        <v>1038</v>
      </c>
      <c r="F489" s="43"/>
    </row>
    <row r="490" spans="4:6" x14ac:dyDescent="0.25">
      <c r="D490" s="41" t="s">
        <v>3759</v>
      </c>
      <c r="E490" s="42" t="s">
        <v>1038</v>
      </c>
      <c r="F490" s="43" t="s">
        <v>747</v>
      </c>
    </row>
    <row r="491" spans="4:6" x14ac:dyDescent="0.25">
      <c r="D491" s="41" t="s">
        <v>3769</v>
      </c>
      <c r="E491" s="42" t="s">
        <v>1038</v>
      </c>
      <c r="F491" s="43" t="s">
        <v>747</v>
      </c>
    </row>
    <row r="492" spans="4:6" x14ac:dyDescent="0.25">
      <c r="D492" s="41" t="s">
        <v>3698</v>
      </c>
      <c r="E492" s="42" t="s">
        <v>1062</v>
      </c>
      <c r="F492" s="43"/>
    </row>
    <row r="493" spans="4:6" x14ac:dyDescent="0.25">
      <c r="D493" s="41" t="s">
        <v>1385</v>
      </c>
      <c r="E493" s="42" t="s">
        <v>1249</v>
      </c>
      <c r="F493" s="43" t="s">
        <v>747</v>
      </c>
    </row>
    <row r="494" spans="4:6" x14ac:dyDescent="0.25">
      <c r="D494" s="41" t="s">
        <v>2166</v>
      </c>
      <c r="E494" s="42" t="s">
        <v>1249</v>
      </c>
      <c r="F494" s="43" t="s">
        <v>747</v>
      </c>
    </row>
    <row r="495" spans="4:6" x14ac:dyDescent="0.25">
      <c r="D495" s="41" t="s">
        <v>2167</v>
      </c>
      <c r="E495" s="42" t="s">
        <v>3849</v>
      </c>
      <c r="F495" s="43" t="s">
        <v>2094</v>
      </c>
    </row>
    <row r="496" spans="4:6" x14ac:dyDescent="0.25">
      <c r="D496" s="41" t="s">
        <v>3762</v>
      </c>
      <c r="E496" s="42" t="s">
        <v>3849</v>
      </c>
      <c r="F496" s="43" t="s">
        <v>747</v>
      </c>
    </row>
    <row r="497" spans="4:6" x14ac:dyDescent="0.25">
      <c r="D497" s="41" t="s">
        <v>2168</v>
      </c>
      <c r="E497" s="47" t="s">
        <v>3793</v>
      </c>
      <c r="F497" s="43"/>
    </row>
    <row r="498" spans="4:6" x14ac:dyDescent="0.25">
      <c r="D498" s="41" t="s">
        <v>2169</v>
      </c>
      <c r="E498" s="42" t="s">
        <v>1063</v>
      </c>
      <c r="F498" s="43"/>
    </row>
    <row r="499" spans="4:6" x14ac:dyDescent="0.25">
      <c r="D499" s="41" t="s">
        <v>2170</v>
      </c>
      <c r="E499" s="42" t="s">
        <v>1063</v>
      </c>
      <c r="F499" s="43"/>
    </row>
    <row r="500" spans="4:6" x14ac:dyDescent="0.25">
      <c r="D500" s="41" t="s">
        <v>3507</v>
      </c>
      <c r="E500" s="42" t="s">
        <v>1063</v>
      </c>
      <c r="F500" s="43" t="s">
        <v>747</v>
      </c>
    </row>
    <row r="501" spans="4:6" x14ac:dyDescent="0.25">
      <c r="D501" s="41" t="s">
        <v>2171</v>
      </c>
      <c r="E501" s="42" t="s">
        <v>1030</v>
      </c>
      <c r="F501" s="43"/>
    </row>
    <row r="502" spans="4:6" x14ac:dyDescent="0.25">
      <c r="D502" s="41" t="s">
        <v>3730</v>
      </c>
      <c r="E502" s="42" t="s">
        <v>1030</v>
      </c>
      <c r="F502" s="43"/>
    </row>
    <row r="503" spans="4:6" x14ac:dyDescent="0.25">
      <c r="D503" s="41" t="s">
        <v>2172</v>
      </c>
      <c r="E503" s="42" t="s">
        <v>1064</v>
      </c>
      <c r="F503" s="43"/>
    </row>
    <row r="504" spans="4:6" x14ac:dyDescent="0.25">
      <c r="D504" s="41" t="s">
        <v>3587</v>
      </c>
      <c r="E504" s="42" t="s">
        <v>1064</v>
      </c>
      <c r="F504" s="43"/>
    </row>
    <row r="505" spans="4:6" x14ac:dyDescent="0.25">
      <c r="D505" s="41" t="s">
        <v>2173</v>
      </c>
      <c r="E505" s="42" t="s">
        <v>2174</v>
      </c>
      <c r="F505" s="43" t="s">
        <v>747</v>
      </c>
    </row>
    <row r="506" spans="4:6" x14ac:dyDescent="0.25">
      <c r="D506" s="41" t="s">
        <v>3448</v>
      </c>
      <c r="E506" s="42" t="s">
        <v>2174</v>
      </c>
      <c r="F506" s="43"/>
    </row>
    <row r="507" spans="4:6" x14ac:dyDescent="0.25">
      <c r="D507" s="41" t="s">
        <v>3731</v>
      </c>
      <c r="E507" s="42" t="s">
        <v>2174</v>
      </c>
      <c r="F507" s="43"/>
    </row>
    <row r="508" spans="4:6" x14ac:dyDescent="0.25">
      <c r="D508" s="41" t="s">
        <v>2175</v>
      </c>
      <c r="E508" s="42" t="s">
        <v>2176</v>
      </c>
      <c r="F508" s="43" t="s">
        <v>2177</v>
      </c>
    </row>
    <row r="509" spans="4:6" x14ac:dyDescent="0.25">
      <c r="D509" s="41" t="s">
        <v>2964</v>
      </c>
      <c r="E509" s="42" t="s">
        <v>2965</v>
      </c>
      <c r="F509" s="43" t="s">
        <v>747</v>
      </c>
    </row>
    <row r="510" spans="4:6" x14ac:dyDescent="0.25">
      <c r="D510" s="41" t="s">
        <v>2178</v>
      </c>
      <c r="E510" s="42" t="s">
        <v>2179</v>
      </c>
      <c r="F510" s="43" t="s">
        <v>2180</v>
      </c>
    </row>
    <row r="511" spans="4:6" x14ac:dyDescent="0.25">
      <c r="D511" s="41" t="s">
        <v>858</v>
      </c>
      <c r="E511" s="42" t="s">
        <v>3850</v>
      </c>
      <c r="F511" s="43" t="s">
        <v>747</v>
      </c>
    </row>
    <row r="512" spans="4:6" x14ac:dyDescent="0.25">
      <c r="D512" s="41" t="s">
        <v>2181</v>
      </c>
      <c r="E512" s="42" t="s">
        <v>3850</v>
      </c>
      <c r="F512" s="43"/>
    </row>
    <row r="513" spans="4:6" x14ac:dyDescent="0.25">
      <c r="D513" s="41" t="s">
        <v>2867</v>
      </c>
      <c r="E513" s="42" t="s">
        <v>3851</v>
      </c>
      <c r="F513" s="43" t="s">
        <v>2868</v>
      </c>
    </row>
    <row r="514" spans="4:6" x14ac:dyDescent="0.25">
      <c r="D514" s="41" t="s">
        <v>3168</v>
      </c>
      <c r="E514" s="42" t="s">
        <v>3843</v>
      </c>
      <c r="F514" s="43" t="s">
        <v>3169</v>
      </c>
    </row>
    <row r="515" spans="4:6" x14ac:dyDescent="0.25">
      <c r="D515" s="44" t="s">
        <v>3317</v>
      </c>
      <c r="E515" s="45" t="s">
        <v>3318</v>
      </c>
      <c r="F515" s="46" t="s">
        <v>3307</v>
      </c>
    </row>
    <row r="516" spans="4:6" x14ac:dyDescent="0.25">
      <c r="D516" s="41" t="s">
        <v>2182</v>
      </c>
      <c r="E516" s="42" t="s">
        <v>3852</v>
      </c>
      <c r="F516" s="43" t="s">
        <v>2183</v>
      </c>
    </row>
    <row r="517" spans="4:6" x14ac:dyDescent="0.25">
      <c r="D517" s="41" t="s">
        <v>2184</v>
      </c>
      <c r="E517" s="42" t="s">
        <v>3853</v>
      </c>
      <c r="F517" s="43" t="s">
        <v>747</v>
      </c>
    </row>
    <row r="518" spans="4:6" x14ac:dyDescent="0.25">
      <c r="D518" s="41" t="s">
        <v>3644</v>
      </c>
      <c r="E518" s="42" t="s">
        <v>3645</v>
      </c>
      <c r="F518" s="43" t="s">
        <v>3645</v>
      </c>
    </row>
    <row r="519" spans="4:6" x14ac:dyDescent="0.25">
      <c r="D519" s="41" t="s">
        <v>2185</v>
      </c>
      <c r="E519" s="42" t="s">
        <v>1040</v>
      </c>
      <c r="F519" s="43"/>
    </row>
    <row r="520" spans="4:6" x14ac:dyDescent="0.25">
      <c r="D520" s="44" t="s">
        <v>3358</v>
      </c>
      <c r="E520" s="45" t="s">
        <v>1040</v>
      </c>
      <c r="F520" s="46" t="s">
        <v>3307</v>
      </c>
    </row>
    <row r="521" spans="4:6" x14ac:dyDescent="0.25">
      <c r="D521" s="41" t="s">
        <v>3488</v>
      </c>
      <c r="E521" s="42" t="s">
        <v>1040</v>
      </c>
      <c r="F521" s="43" t="s">
        <v>747</v>
      </c>
    </row>
    <row r="522" spans="4:6" x14ac:dyDescent="0.25">
      <c r="D522" s="41" t="s">
        <v>3539</v>
      </c>
      <c r="E522" s="42" t="s">
        <v>1040</v>
      </c>
      <c r="F522" s="43" t="s">
        <v>747</v>
      </c>
    </row>
    <row r="523" spans="4:6" x14ac:dyDescent="0.25">
      <c r="D523" s="41" t="s">
        <v>3738</v>
      </c>
      <c r="E523" s="47" t="s">
        <v>3854</v>
      </c>
      <c r="F523" s="43" t="s">
        <v>747</v>
      </c>
    </row>
    <row r="524" spans="4:6" x14ac:dyDescent="0.25">
      <c r="D524" s="41" t="s">
        <v>3040</v>
      </c>
      <c r="E524" s="42" t="s">
        <v>1095</v>
      </c>
      <c r="F524" s="43" t="s">
        <v>2863</v>
      </c>
    </row>
    <row r="525" spans="4:6" x14ac:dyDescent="0.25">
      <c r="D525" s="41" t="s">
        <v>3044</v>
      </c>
      <c r="E525" s="42" t="s">
        <v>1095</v>
      </c>
      <c r="F525" s="43"/>
    </row>
    <row r="526" spans="4:6" x14ac:dyDescent="0.25">
      <c r="D526" s="41" t="s">
        <v>3061</v>
      </c>
      <c r="E526" s="42" t="s">
        <v>1095</v>
      </c>
      <c r="F526" s="43"/>
    </row>
    <row r="527" spans="4:6" x14ac:dyDescent="0.25">
      <c r="D527" s="41" t="s">
        <v>3066</v>
      </c>
      <c r="E527" s="42" t="s">
        <v>1095</v>
      </c>
      <c r="F527" s="43"/>
    </row>
    <row r="528" spans="4:6" x14ac:dyDescent="0.25">
      <c r="D528" s="41" t="s">
        <v>3117</v>
      </c>
      <c r="E528" s="42" t="s">
        <v>1095</v>
      </c>
      <c r="F528" s="43" t="s">
        <v>747</v>
      </c>
    </row>
    <row r="529" spans="4:6" x14ac:dyDescent="0.25">
      <c r="D529" s="41" t="s">
        <v>2186</v>
      </c>
      <c r="E529" s="42" t="s">
        <v>3934</v>
      </c>
      <c r="F529" s="43" t="s">
        <v>2187</v>
      </c>
    </row>
    <row r="530" spans="4:6" x14ac:dyDescent="0.25">
      <c r="D530" s="41" t="s">
        <v>3595</v>
      </c>
      <c r="E530" s="42" t="s">
        <v>3934</v>
      </c>
      <c r="F530" s="43"/>
    </row>
    <row r="531" spans="4:6" x14ac:dyDescent="0.25">
      <c r="D531" s="41" t="s">
        <v>3716</v>
      </c>
      <c r="E531" s="42" t="s">
        <v>3934</v>
      </c>
      <c r="F531" s="43"/>
    </row>
    <row r="532" spans="4:6" x14ac:dyDescent="0.25">
      <c r="D532" s="41" t="s">
        <v>3033</v>
      </c>
      <c r="E532" s="42" t="s">
        <v>3933</v>
      </c>
      <c r="F532" s="43"/>
    </row>
    <row r="533" spans="4:6" x14ac:dyDescent="0.25">
      <c r="D533" s="41" t="s">
        <v>3103</v>
      </c>
      <c r="E533" s="42" t="s">
        <v>3933</v>
      </c>
      <c r="F533" s="43" t="s">
        <v>747</v>
      </c>
    </row>
    <row r="534" spans="4:6" x14ac:dyDescent="0.25">
      <c r="D534" s="41" t="s">
        <v>3145</v>
      </c>
      <c r="E534" s="42" t="s">
        <v>3933</v>
      </c>
      <c r="F534" s="43" t="s">
        <v>2858</v>
      </c>
    </row>
    <row r="535" spans="4:6" x14ac:dyDescent="0.25">
      <c r="D535" s="41" t="s">
        <v>3395</v>
      </c>
      <c r="E535" s="42" t="s">
        <v>3933</v>
      </c>
      <c r="F535" s="43"/>
    </row>
    <row r="536" spans="4:6" x14ac:dyDescent="0.25">
      <c r="D536" s="41" t="s">
        <v>2188</v>
      </c>
      <c r="E536" s="42" t="s">
        <v>1029</v>
      </c>
      <c r="F536" s="43"/>
    </row>
    <row r="537" spans="4:6" x14ac:dyDescent="0.25">
      <c r="D537" s="41" t="s">
        <v>2189</v>
      </c>
      <c r="E537" s="42" t="s">
        <v>1029</v>
      </c>
      <c r="F537" s="43" t="s">
        <v>2190</v>
      </c>
    </row>
    <row r="538" spans="4:6" x14ac:dyDescent="0.25">
      <c r="D538" s="41" t="s">
        <v>1511</v>
      </c>
      <c r="E538" s="47" t="s">
        <v>3794</v>
      </c>
      <c r="F538" s="43"/>
    </row>
    <row r="539" spans="4:6" x14ac:dyDescent="0.25">
      <c r="D539" s="41" t="s">
        <v>1991</v>
      </c>
      <c r="E539" s="47" t="s">
        <v>3794</v>
      </c>
      <c r="F539" s="43" t="s">
        <v>1209</v>
      </c>
    </row>
    <row r="540" spans="4:6" x14ac:dyDescent="0.25">
      <c r="D540" s="41" t="s">
        <v>2191</v>
      </c>
      <c r="E540" s="47" t="s">
        <v>3794</v>
      </c>
      <c r="F540" s="43"/>
    </row>
    <row r="541" spans="4:6" x14ac:dyDescent="0.25">
      <c r="D541" s="41" t="s">
        <v>2192</v>
      </c>
      <c r="E541" s="47" t="s">
        <v>3794</v>
      </c>
      <c r="F541" s="43"/>
    </row>
    <row r="542" spans="4:6" x14ac:dyDescent="0.25">
      <c r="D542" s="41" t="s">
        <v>2193</v>
      </c>
      <c r="E542" s="47" t="s">
        <v>3794</v>
      </c>
      <c r="F542" s="43"/>
    </row>
    <row r="543" spans="4:6" x14ac:dyDescent="0.25">
      <c r="D543" s="41" t="s">
        <v>2194</v>
      </c>
      <c r="E543" s="47" t="s">
        <v>3794</v>
      </c>
      <c r="F543" s="43"/>
    </row>
    <row r="544" spans="4:6" x14ac:dyDescent="0.25">
      <c r="D544" s="41" t="s">
        <v>2195</v>
      </c>
      <c r="E544" s="47" t="s">
        <v>3794</v>
      </c>
      <c r="F544" s="43" t="s">
        <v>747</v>
      </c>
    </row>
    <row r="545" spans="4:6" x14ac:dyDescent="0.25">
      <c r="D545" s="41" t="s">
        <v>2196</v>
      </c>
      <c r="E545" s="47" t="s">
        <v>3794</v>
      </c>
      <c r="F545" s="43"/>
    </row>
    <row r="546" spans="4:6" x14ac:dyDescent="0.25">
      <c r="D546" s="41" t="s">
        <v>2197</v>
      </c>
      <c r="E546" s="47" t="s">
        <v>3794</v>
      </c>
      <c r="F546" s="43"/>
    </row>
    <row r="547" spans="4:6" x14ac:dyDescent="0.25">
      <c r="D547" s="41" t="s">
        <v>2198</v>
      </c>
      <c r="E547" s="47" t="s">
        <v>3794</v>
      </c>
      <c r="F547" s="43"/>
    </row>
    <row r="548" spans="4:6" x14ac:dyDescent="0.25">
      <c r="D548" s="41" t="s">
        <v>2774</v>
      </c>
      <c r="E548" s="47" t="s">
        <v>3794</v>
      </c>
      <c r="F548" s="43"/>
    </row>
    <row r="549" spans="4:6" x14ac:dyDescent="0.25">
      <c r="D549" s="41" t="s">
        <v>2799</v>
      </c>
      <c r="E549" s="47" t="s">
        <v>3794</v>
      </c>
      <c r="F549" s="43"/>
    </row>
    <row r="550" spans="4:6" x14ac:dyDescent="0.25">
      <c r="D550" s="41" t="s">
        <v>2837</v>
      </c>
      <c r="E550" s="47" t="s">
        <v>3794</v>
      </c>
      <c r="F550" s="43" t="s">
        <v>2838</v>
      </c>
    </row>
    <row r="551" spans="4:6" x14ac:dyDescent="0.25">
      <c r="D551" s="41" t="s">
        <v>2935</v>
      </c>
      <c r="E551" s="47" t="s">
        <v>3794</v>
      </c>
      <c r="F551" s="43" t="s">
        <v>2094</v>
      </c>
    </row>
    <row r="552" spans="4:6" x14ac:dyDescent="0.25">
      <c r="D552" s="41" t="s">
        <v>2967</v>
      </c>
      <c r="E552" s="47" t="s">
        <v>3794</v>
      </c>
      <c r="F552" s="43"/>
    </row>
    <row r="553" spans="4:6" x14ac:dyDescent="0.25">
      <c r="D553" s="41" t="s">
        <v>3440</v>
      </c>
      <c r="E553" s="47" t="s">
        <v>3794</v>
      </c>
      <c r="F553" s="43"/>
    </row>
    <row r="554" spans="4:6" x14ac:dyDescent="0.25">
      <c r="D554" s="44" t="s">
        <v>3309</v>
      </c>
      <c r="E554" s="48" t="s">
        <v>4014</v>
      </c>
      <c r="F554" s="46" t="s">
        <v>2863</v>
      </c>
    </row>
    <row r="555" spans="4:6" x14ac:dyDescent="0.25">
      <c r="D555" s="41" t="s">
        <v>2199</v>
      </c>
      <c r="E555" s="42" t="s">
        <v>1014</v>
      </c>
      <c r="F555" s="43"/>
    </row>
    <row r="556" spans="4:6" x14ac:dyDescent="0.25">
      <c r="D556" s="41" t="s">
        <v>2200</v>
      </c>
      <c r="E556" s="42" t="s">
        <v>1014</v>
      </c>
      <c r="F556" s="43" t="s">
        <v>2201</v>
      </c>
    </row>
    <row r="557" spans="4:6" x14ac:dyDescent="0.25">
      <c r="D557" s="41" t="s">
        <v>1158</v>
      </c>
      <c r="E557" s="42" t="s">
        <v>3936</v>
      </c>
      <c r="F557" s="43" t="s">
        <v>1139</v>
      </c>
    </row>
    <row r="558" spans="4:6" x14ac:dyDescent="0.25">
      <c r="D558" s="41" t="s">
        <v>2202</v>
      </c>
      <c r="E558" s="42" t="s">
        <v>3936</v>
      </c>
      <c r="F558" s="43"/>
    </row>
    <row r="559" spans="4:6" x14ac:dyDescent="0.25">
      <c r="D559" s="41" t="s">
        <v>3728</v>
      </c>
      <c r="E559" s="42" t="s">
        <v>3936</v>
      </c>
      <c r="F559" s="43"/>
    </row>
    <row r="560" spans="4:6" x14ac:dyDescent="0.25">
      <c r="D560" s="41" t="s">
        <v>1166</v>
      </c>
      <c r="E560" s="42" t="s">
        <v>3936</v>
      </c>
      <c r="F560" s="43" t="s">
        <v>1139</v>
      </c>
    </row>
    <row r="561" spans="4:6" x14ac:dyDescent="0.25">
      <c r="D561" s="41" t="s">
        <v>2203</v>
      </c>
      <c r="E561" s="42" t="s">
        <v>3936</v>
      </c>
      <c r="F561" s="43"/>
    </row>
    <row r="562" spans="4:6" x14ac:dyDescent="0.25">
      <c r="D562" s="41" t="s">
        <v>3479</v>
      </c>
      <c r="E562" s="42" t="s">
        <v>3459</v>
      </c>
      <c r="F562" s="43" t="s">
        <v>747</v>
      </c>
    </row>
    <row r="563" spans="4:6" x14ac:dyDescent="0.25">
      <c r="D563" s="41" t="s">
        <v>304</v>
      </c>
      <c r="E563" s="42" t="s">
        <v>29</v>
      </c>
      <c r="F563" s="43" t="s">
        <v>305</v>
      </c>
    </row>
    <row r="564" spans="4:6" x14ac:dyDescent="0.25">
      <c r="D564" s="41" t="s">
        <v>611</v>
      </c>
      <c r="E564" s="42" t="s">
        <v>29</v>
      </c>
      <c r="F564" s="43" t="s">
        <v>612</v>
      </c>
    </row>
    <row r="565" spans="4:6" x14ac:dyDescent="0.25">
      <c r="D565" s="41" t="s">
        <v>613</v>
      </c>
      <c r="E565" s="42" t="s">
        <v>29</v>
      </c>
      <c r="F565" s="43" t="s">
        <v>468</v>
      </c>
    </row>
    <row r="566" spans="4:6" x14ac:dyDescent="0.25">
      <c r="D566" s="41" t="s">
        <v>1379</v>
      </c>
      <c r="E566" s="42" t="s">
        <v>29</v>
      </c>
      <c r="F566" s="43" t="s">
        <v>747</v>
      </c>
    </row>
    <row r="567" spans="4:6" x14ac:dyDescent="0.25">
      <c r="D567" s="41" t="s">
        <v>1411</v>
      </c>
      <c r="E567" s="42" t="s">
        <v>29</v>
      </c>
      <c r="F567" s="43" t="s">
        <v>747</v>
      </c>
    </row>
    <row r="568" spans="4:6" x14ac:dyDescent="0.25">
      <c r="D568" s="41" t="s">
        <v>1482</v>
      </c>
      <c r="E568" s="42" t="s">
        <v>29</v>
      </c>
      <c r="F568" s="43" t="s">
        <v>747</v>
      </c>
    </row>
    <row r="569" spans="4:6" x14ac:dyDescent="0.25">
      <c r="D569" s="41" t="s">
        <v>1875</v>
      </c>
      <c r="E569" s="42" t="s">
        <v>29</v>
      </c>
      <c r="F569" s="43" t="s">
        <v>1562</v>
      </c>
    </row>
    <row r="570" spans="4:6" x14ac:dyDescent="0.25">
      <c r="D570" s="41" t="s">
        <v>1907</v>
      </c>
      <c r="E570" s="42" t="s">
        <v>29</v>
      </c>
      <c r="F570" s="43"/>
    </row>
    <row r="571" spans="4:6" x14ac:dyDescent="0.25">
      <c r="D571" s="41" t="s">
        <v>2204</v>
      </c>
      <c r="E571" s="42" t="s">
        <v>29</v>
      </c>
      <c r="F571" s="43" t="s">
        <v>2205</v>
      </c>
    </row>
    <row r="572" spans="4:6" x14ac:dyDescent="0.25">
      <c r="D572" s="41" t="s">
        <v>2206</v>
      </c>
      <c r="E572" s="42" t="s">
        <v>29</v>
      </c>
      <c r="F572" s="43"/>
    </row>
    <row r="573" spans="4:6" x14ac:dyDescent="0.25">
      <c r="D573" s="41" t="s">
        <v>2207</v>
      </c>
      <c r="E573" s="42" t="s">
        <v>29</v>
      </c>
      <c r="F573" s="43" t="s">
        <v>78</v>
      </c>
    </row>
    <row r="574" spans="4:6" x14ac:dyDescent="0.25">
      <c r="D574" s="41" t="s">
        <v>2843</v>
      </c>
      <c r="E574" s="42" t="s">
        <v>29</v>
      </c>
      <c r="F574" s="43" t="s">
        <v>2844</v>
      </c>
    </row>
    <row r="575" spans="4:6" x14ac:dyDescent="0.25">
      <c r="D575" s="41" t="s">
        <v>3674</v>
      </c>
      <c r="E575" s="42" t="s">
        <v>29</v>
      </c>
      <c r="F575" s="43"/>
    </row>
    <row r="576" spans="4:6" x14ac:dyDescent="0.25">
      <c r="D576" s="41" t="s">
        <v>3681</v>
      </c>
      <c r="E576" s="42" t="s">
        <v>29</v>
      </c>
      <c r="F576" s="43"/>
    </row>
    <row r="577" spans="4:6" x14ac:dyDescent="0.25">
      <c r="D577" s="41" t="s">
        <v>3748</v>
      </c>
      <c r="E577" s="42" t="s">
        <v>29</v>
      </c>
      <c r="F577" s="43" t="s">
        <v>747</v>
      </c>
    </row>
    <row r="578" spans="4:6" x14ac:dyDescent="0.25">
      <c r="D578" s="41" t="s">
        <v>554</v>
      </c>
      <c r="E578" s="42" t="s">
        <v>131</v>
      </c>
      <c r="F578" s="43" t="s">
        <v>555</v>
      </c>
    </row>
    <row r="579" spans="4:6" x14ac:dyDescent="0.25">
      <c r="D579" s="41" t="s">
        <v>605</v>
      </c>
      <c r="E579" s="42" t="s">
        <v>131</v>
      </c>
      <c r="F579" s="43" t="s">
        <v>553</v>
      </c>
    </row>
    <row r="580" spans="4:6" x14ac:dyDescent="0.25">
      <c r="D580" s="41" t="s">
        <v>606</v>
      </c>
      <c r="E580" s="42" t="s">
        <v>131</v>
      </c>
      <c r="F580" s="43" t="s">
        <v>607</v>
      </c>
    </row>
    <row r="581" spans="4:6" x14ac:dyDescent="0.25">
      <c r="D581" s="41" t="s">
        <v>608</v>
      </c>
      <c r="E581" s="42" t="s">
        <v>131</v>
      </c>
      <c r="F581" s="43" t="s">
        <v>555</v>
      </c>
    </row>
    <row r="582" spans="4:6" x14ac:dyDescent="0.25">
      <c r="D582" s="41" t="s">
        <v>609</v>
      </c>
      <c r="E582" s="42" t="s">
        <v>131</v>
      </c>
      <c r="F582" s="43" t="s">
        <v>610</v>
      </c>
    </row>
    <row r="583" spans="4:6" x14ac:dyDescent="0.25">
      <c r="D583" s="41" t="s">
        <v>778</v>
      </c>
      <c r="E583" s="42" t="s">
        <v>131</v>
      </c>
      <c r="F583" s="43" t="s">
        <v>747</v>
      </c>
    </row>
    <row r="584" spans="4:6" x14ac:dyDescent="0.25">
      <c r="D584" s="41" t="s">
        <v>860</v>
      </c>
      <c r="E584" s="42" t="s">
        <v>131</v>
      </c>
      <c r="F584" s="43" t="s">
        <v>747</v>
      </c>
    </row>
    <row r="585" spans="4:6" x14ac:dyDescent="0.25">
      <c r="D585" s="41" t="s">
        <v>924</v>
      </c>
      <c r="E585" s="42" t="s">
        <v>131</v>
      </c>
      <c r="F585" s="43" t="s">
        <v>747</v>
      </c>
    </row>
    <row r="586" spans="4:6" x14ac:dyDescent="0.25">
      <c r="D586" s="41" t="s">
        <v>950</v>
      </c>
      <c r="E586" s="42" t="s">
        <v>131</v>
      </c>
      <c r="F586" s="43" t="s">
        <v>938</v>
      </c>
    </row>
    <row r="587" spans="4:6" x14ac:dyDescent="0.25">
      <c r="D587" s="41" t="s">
        <v>978</v>
      </c>
      <c r="E587" s="42" t="s">
        <v>131</v>
      </c>
      <c r="F587" s="43" t="s">
        <v>949</v>
      </c>
    </row>
    <row r="588" spans="4:6" x14ac:dyDescent="0.25">
      <c r="D588" s="41" t="s">
        <v>1229</v>
      </c>
      <c r="E588" s="42" t="s">
        <v>131</v>
      </c>
      <c r="F588" s="43" t="s">
        <v>1230</v>
      </c>
    </row>
    <row r="589" spans="4:6" x14ac:dyDescent="0.25">
      <c r="D589" s="41" t="s">
        <v>1274</v>
      </c>
      <c r="E589" s="42" t="s">
        <v>131</v>
      </c>
      <c r="F589" s="43" t="s">
        <v>747</v>
      </c>
    </row>
    <row r="590" spans="4:6" x14ac:dyDescent="0.25">
      <c r="D590" s="41" t="s">
        <v>1380</v>
      </c>
      <c r="E590" s="42" t="s">
        <v>131</v>
      </c>
      <c r="F590" s="43" t="s">
        <v>747</v>
      </c>
    </row>
    <row r="591" spans="4:6" x14ac:dyDescent="0.25">
      <c r="D591" s="41" t="s">
        <v>1382</v>
      </c>
      <c r="E591" s="42" t="s">
        <v>131</v>
      </c>
      <c r="F591" s="43" t="s">
        <v>747</v>
      </c>
    </row>
    <row r="592" spans="4:6" x14ac:dyDescent="0.25">
      <c r="D592" s="41" t="s">
        <v>1418</v>
      </c>
      <c r="E592" s="42" t="s">
        <v>131</v>
      </c>
      <c r="F592" s="43" t="s">
        <v>747</v>
      </c>
    </row>
    <row r="593" spans="4:6" x14ac:dyDescent="0.25">
      <c r="D593" s="41" t="s">
        <v>1434</v>
      </c>
      <c r="E593" s="42" t="s">
        <v>131</v>
      </c>
      <c r="F593" s="43" t="s">
        <v>747</v>
      </c>
    </row>
    <row r="594" spans="4:6" x14ac:dyDescent="0.25">
      <c r="D594" s="41" t="s">
        <v>1462</v>
      </c>
      <c r="E594" s="42" t="s">
        <v>131</v>
      </c>
      <c r="F594" s="43" t="s">
        <v>747</v>
      </c>
    </row>
    <row r="595" spans="4:6" x14ac:dyDescent="0.25">
      <c r="D595" s="41" t="s">
        <v>1532</v>
      </c>
      <c r="E595" s="42" t="s">
        <v>131</v>
      </c>
      <c r="F595" s="43"/>
    </row>
    <row r="596" spans="4:6" x14ac:dyDescent="0.25">
      <c r="D596" s="41" t="s">
        <v>1665</v>
      </c>
      <c r="E596" s="42" t="s">
        <v>131</v>
      </c>
      <c r="F596" s="43" t="s">
        <v>1666</v>
      </c>
    </row>
    <row r="597" spans="4:6" x14ac:dyDescent="0.25">
      <c r="D597" s="41" t="s">
        <v>1735</v>
      </c>
      <c r="E597" s="42" t="s">
        <v>131</v>
      </c>
      <c r="F597" s="43" t="s">
        <v>1736</v>
      </c>
    </row>
    <row r="598" spans="4:6" x14ac:dyDescent="0.25">
      <c r="D598" s="41" t="s">
        <v>1827</v>
      </c>
      <c r="E598" s="42" t="s">
        <v>131</v>
      </c>
      <c r="F598" s="43" t="s">
        <v>1824</v>
      </c>
    </row>
    <row r="599" spans="4:6" x14ac:dyDescent="0.25">
      <c r="D599" s="41" t="s">
        <v>1876</v>
      </c>
      <c r="E599" s="42" t="s">
        <v>131</v>
      </c>
      <c r="F599" s="43" t="s">
        <v>1560</v>
      </c>
    </row>
    <row r="600" spans="4:6" x14ac:dyDescent="0.25">
      <c r="D600" s="41" t="s">
        <v>1890</v>
      </c>
      <c r="E600" s="42" t="s">
        <v>131</v>
      </c>
      <c r="F600" s="43" t="s">
        <v>1558</v>
      </c>
    </row>
    <row r="601" spans="4:6" x14ac:dyDescent="0.25">
      <c r="D601" s="41" t="s">
        <v>2208</v>
      </c>
      <c r="E601" s="42" t="s">
        <v>131</v>
      </c>
      <c r="F601" s="43"/>
    </row>
    <row r="602" spans="4:6" x14ac:dyDescent="0.25">
      <c r="D602" s="41" t="s">
        <v>2209</v>
      </c>
      <c r="E602" s="42" t="s">
        <v>131</v>
      </c>
      <c r="F602" s="43"/>
    </row>
    <row r="603" spans="4:6" x14ac:dyDescent="0.25">
      <c r="D603" s="41" t="s">
        <v>2210</v>
      </c>
      <c r="E603" s="42" t="s">
        <v>131</v>
      </c>
      <c r="F603" s="43"/>
    </row>
    <row r="604" spans="4:6" x14ac:dyDescent="0.25">
      <c r="D604" s="41" t="s">
        <v>2211</v>
      </c>
      <c r="E604" s="42" t="s">
        <v>131</v>
      </c>
      <c r="F604" s="43" t="s">
        <v>747</v>
      </c>
    </row>
    <row r="605" spans="4:6" x14ac:dyDescent="0.25">
      <c r="D605" s="41" t="s">
        <v>2212</v>
      </c>
      <c r="E605" s="42" t="s">
        <v>131</v>
      </c>
      <c r="F605" s="43"/>
    </row>
    <row r="606" spans="4:6" x14ac:dyDescent="0.25">
      <c r="D606" s="41" t="s">
        <v>2213</v>
      </c>
      <c r="E606" s="42" t="s">
        <v>131</v>
      </c>
      <c r="F606" s="43"/>
    </row>
    <row r="607" spans="4:6" x14ac:dyDescent="0.25">
      <c r="D607" s="41" t="s">
        <v>2989</v>
      </c>
      <c r="E607" s="42" t="s">
        <v>131</v>
      </c>
      <c r="F607" s="43" t="s">
        <v>747</v>
      </c>
    </row>
    <row r="608" spans="4:6" x14ac:dyDescent="0.25">
      <c r="D608" s="44" t="s">
        <v>3282</v>
      </c>
      <c r="E608" s="45" t="s">
        <v>131</v>
      </c>
      <c r="F608" s="46"/>
    </row>
    <row r="609" spans="4:6" x14ac:dyDescent="0.25">
      <c r="D609" s="41" t="s">
        <v>3484</v>
      </c>
      <c r="E609" s="42" t="s">
        <v>131</v>
      </c>
      <c r="F609" s="43" t="s">
        <v>747</v>
      </c>
    </row>
    <row r="610" spans="4:6" x14ac:dyDescent="0.25">
      <c r="D610" s="41" t="s">
        <v>3774</v>
      </c>
      <c r="E610" s="42" t="s">
        <v>131</v>
      </c>
      <c r="F610" s="43" t="s">
        <v>747</v>
      </c>
    </row>
    <row r="611" spans="4:6" x14ac:dyDescent="0.25">
      <c r="D611" s="41" t="s">
        <v>1198</v>
      </c>
      <c r="E611" s="42" t="s">
        <v>131</v>
      </c>
      <c r="F611" s="43" t="s">
        <v>1199</v>
      </c>
    </row>
    <row r="612" spans="4:6" x14ac:dyDescent="0.25">
      <c r="D612" s="41" t="s">
        <v>1307</v>
      </c>
      <c r="E612" s="42" t="s">
        <v>131</v>
      </c>
      <c r="F612" s="43" t="s">
        <v>747</v>
      </c>
    </row>
    <row r="613" spans="4:6" x14ac:dyDescent="0.25">
      <c r="D613" s="41" t="s">
        <v>3195</v>
      </c>
      <c r="E613" s="42" t="s">
        <v>131</v>
      </c>
      <c r="F613" s="43"/>
    </row>
    <row r="614" spans="4:6" x14ac:dyDescent="0.25">
      <c r="D614" s="41" t="s">
        <v>503</v>
      </c>
      <c r="E614" s="42" t="s">
        <v>4015</v>
      </c>
      <c r="F614" s="43" t="s">
        <v>470</v>
      </c>
    </row>
    <row r="615" spans="4:6" x14ac:dyDescent="0.25">
      <c r="D615" s="41" t="s">
        <v>604</v>
      </c>
      <c r="E615" s="42" t="s">
        <v>4015</v>
      </c>
      <c r="F615" s="43" t="s">
        <v>470</v>
      </c>
    </row>
    <row r="616" spans="4:6" x14ac:dyDescent="0.25">
      <c r="D616" s="41" t="s">
        <v>902</v>
      </c>
      <c r="E616" s="42" t="s">
        <v>4015</v>
      </c>
      <c r="F616" s="43" t="s">
        <v>747</v>
      </c>
    </row>
    <row r="617" spans="4:6" x14ac:dyDescent="0.25">
      <c r="D617" s="41" t="s">
        <v>942</v>
      </c>
      <c r="E617" s="42" t="s">
        <v>4015</v>
      </c>
      <c r="F617" s="43" t="s">
        <v>938</v>
      </c>
    </row>
    <row r="618" spans="4:6" x14ac:dyDescent="0.25">
      <c r="D618" s="41" t="s">
        <v>989</v>
      </c>
      <c r="E618" s="42" t="s">
        <v>4015</v>
      </c>
      <c r="F618" s="43" t="s">
        <v>990</v>
      </c>
    </row>
    <row r="619" spans="4:6" x14ac:dyDescent="0.25">
      <c r="D619" s="41" t="s">
        <v>1236</v>
      </c>
      <c r="E619" s="42" t="s">
        <v>4015</v>
      </c>
      <c r="F619" s="43" t="s">
        <v>747</v>
      </c>
    </row>
    <row r="620" spans="4:6" x14ac:dyDescent="0.25">
      <c r="D620" s="41" t="s">
        <v>1297</v>
      </c>
      <c r="E620" s="42" t="s">
        <v>4015</v>
      </c>
      <c r="F620" s="43" t="s">
        <v>747</v>
      </c>
    </row>
    <row r="621" spans="4:6" x14ac:dyDescent="0.25">
      <c r="D621" s="41" t="s">
        <v>1343</v>
      </c>
      <c r="E621" s="42" t="s">
        <v>4015</v>
      </c>
      <c r="F621" s="43" t="s">
        <v>747</v>
      </c>
    </row>
    <row r="622" spans="4:6" x14ac:dyDescent="0.25">
      <c r="D622" s="41" t="s">
        <v>1378</v>
      </c>
      <c r="E622" s="42" t="s">
        <v>4015</v>
      </c>
      <c r="F622" s="43" t="s">
        <v>747</v>
      </c>
    </row>
    <row r="623" spans="4:6" x14ac:dyDescent="0.25">
      <c r="D623" s="41" t="s">
        <v>1383</v>
      </c>
      <c r="E623" s="42" t="s">
        <v>4015</v>
      </c>
      <c r="F623" s="43" t="s">
        <v>747</v>
      </c>
    </row>
    <row r="624" spans="4:6" x14ac:dyDescent="0.25">
      <c r="D624" s="41" t="s">
        <v>1445</v>
      </c>
      <c r="E624" s="42" t="s">
        <v>4015</v>
      </c>
      <c r="F624" s="43" t="s">
        <v>747</v>
      </c>
    </row>
    <row r="625" spans="4:6" x14ac:dyDescent="0.25">
      <c r="D625" s="41" t="s">
        <v>1534</v>
      </c>
      <c r="E625" s="42" t="s">
        <v>4015</v>
      </c>
      <c r="F625" s="43"/>
    </row>
    <row r="626" spans="4:6" x14ac:dyDescent="0.25">
      <c r="D626" s="41" t="s">
        <v>1744</v>
      </c>
      <c r="E626" s="42" t="s">
        <v>4015</v>
      </c>
      <c r="F626" s="43" t="s">
        <v>1745</v>
      </c>
    </row>
    <row r="627" spans="4:6" x14ac:dyDescent="0.25">
      <c r="D627" s="41" t="s">
        <v>1843</v>
      </c>
      <c r="E627" s="42" t="s">
        <v>4015</v>
      </c>
      <c r="F627" s="43" t="s">
        <v>1844</v>
      </c>
    </row>
    <row r="628" spans="4:6" x14ac:dyDescent="0.25">
      <c r="D628" s="41" t="s">
        <v>1975</v>
      </c>
      <c r="E628" s="42" t="s">
        <v>4015</v>
      </c>
      <c r="F628" s="43" t="s">
        <v>747</v>
      </c>
    </row>
    <row r="629" spans="4:6" x14ac:dyDescent="0.25">
      <c r="D629" s="41" t="s">
        <v>2214</v>
      </c>
      <c r="E629" s="42" t="s">
        <v>4015</v>
      </c>
      <c r="F629" s="43"/>
    </row>
    <row r="630" spans="4:6" x14ac:dyDescent="0.25">
      <c r="D630" s="41" t="s">
        <v>2215</v>
      </c>
      <c r="E630" s="42" t="s">
        <v>4015</v>
      </c>
      <c r="F630" s="43"/>
    </row>
    <row r="631" spans="4:6" x14ac:dyDescent="0.25">
      <c r="D631" s="41" t="s">
        <v>2216</v>
      </c>
      <c r="E631" s="42" t="s">
        <v>4015</v>
      </c>
      <c r="F631" s="43"/>
    </row>
    <row r="632" spans="4:6" x14ac:dyDescent="0.25">
      <c r="D632" s="41" t="s">
        <v>2217</v>
      </c>
      <c r="E632" s="42" t="s">
        <v>4015</v>
      </c>
      <c r="F632" s="43"/>
    </row>
    <row r="633" spans="4:6" x14ac:dyDescent="0.25">
      <c r="D633" s="41" t="s">
        <v>2218</v>
      </c>
      <c r="E633" s="42" t="s">
        <v>4015</v>
      </c>
      <c r="F633" s="43"/>
    </row>
    <row r="634" spans="4:6" x14ac:dyDescent="0.25">
      <c r="D634" s="41" t="s">
        <v>2810</v>
      </c>
      <c r="E634" s="42" t="s">
        <v>4015</v>
      </c>
      <c r="F634" s="43"/>
    </row>
    <row r="635" spans="4:6" x14ac:dyDescent="0.25">
      <c r="D635" s="41" t="s">
        <v>3034</v>
      </c>
      <c r="E635" s="42" t="s">
        <v>4015</v>
      </c>
      <c r="F635" s="43"/>
    </row>
    <row r="636" spans="4:6" x14ac:dyDescent="0.25">
      <c r="D636" s="41" t="s">
        <v>3038</v>
      </c>
      <c r="E636" s="42" t="s">
        <v>4015</v>
      </c>
      <c r="F636" s="43" t="s">
        <v>747</v>
      </c>
    </row>
    <row r="637" spans="4:6" x14ac:dyDescent="0.25">
      <c r="D637" s="41" t="s">
        <v>3049</v>
      </c>
      <c r="E637" s="42" t="s">
        <v>4015</v>
      </c>
      <c r="F637" s="43"/>
    </row>
    <row r="638" spans="4:6" x14ac:dyDescent="0.25">
      <c r="D638" s="41" t="s">
        <v>3076</v>
      </c>
      <c r="E638" s="42" t="s">
        <v>4015</v>
      </c>
      <c r="F638" s="43" t="s">
        <v>3077</v>
      </c>
    </row>
    <row r="639" spans="4:6" x14ac:dyDescent="0.25">
      <c r="D639" s="41" t="s">
        <v>3154</v>
      </c>
      <c r="E639" s="42" t="s">
        <v>4015</v>
      </c>
      <c r="F639" s="43"/>
    </row>
    <row r="640" spans="4:6" x14ac:dyDescent="0.25">
      <c r="D640" s="41" t="s">
        <v>3200</v>
      </c>
      <c r="E640" s="42" t="s">
        <v>4015</v>
      </c>
      <c r="F640" s="43"/>
    </row>
    <row r="641" spans="4:6" x14ac:dyDescent="0.25">
      <c r="D641" s="44" t="s">
        <v>3341</v>
      </c>
      <c r="E641" s="42" t="s">
        <v>4015</v>
      </c>
      <c r="F641" s="46" t="s">
        <v>3307</v>
      </c>
    </row>
    <row r="642" spans="4:6" x14ac:dyDescent="0.25">
      <c r="D642" s="41" t="s">
        <v>3729</v>
      </c>
      <c r="E642" s="42" t="s">
        <v>4015</v>
      </c>
      <c r="F642" s="43"/>
    </row>
    <row r="643" spans="4:6" x14ac:dyDescent="0.25">
      <c r="D643" s="41" t="s">
        <v>1263</v>
      </c>
      <c r="E643" s="42" t="s">
        <v>154</v>
      </c>
      <c r="F643" s="43" t="s">
        <v>747</v>
      </c>
    </row>
    <row r="644" spans="4:6" x14ac:dyDescent="0.25">
      <c r="D644" s="41" t="s">
        <v>1728</v>
      </c>
      <c r="E644" s="42" t="s">
        <v>154</v>
      </c>
      <c r="F644" s="43" t="s">
        <v>1729</v>
      </c>
    </row>
    <row r="645" spans="4:6" x14ac:dyDescent="0.25">
      <c r="D645" s="41" t="s">
        <v>3244</v>
      </c>
      <c r="E645" s="42" t="s">
        <v>154</v>
      </c>
      <c r="F645" s="43" t="s">
        <v>2893</v>
      </c>
    </row>
    <row r="646" spans="4:6" x14ac:dyDescent="0.25">
      <c r="D646" s="44" t="s">
        <v>3345</v>
      </c>
      <c r="E646" s="45" t="s">
        <v>154</v>
      </c>
      <c r="F646" s="46" t="s">
        <v>3307</v>
      </c>
    </row>
    <row r="647" spans="4:6" x14ac:dyDescent="0.25">
      <c r="D647" s="41" t="s">
        <v>3556</v>
      </c>
      <c r="E647" s="42" t="s">
        <v>154</v>
      </c>
      <c r="F647" s="43"/>
    </row>
    <row r="648" spans="4:6" x14ac:dyDescent="0.25">
      <c r="D648" s="41" t="s">
        <v>3680</v>
      </c>
      <c r="E648" s="42" t="s">
        <v>154</v>
      </c>
      <c r="F648" s="43"/>
    </row>
    <row r="649" spans="4:6" x14ac:dyDescent="0.25">
      <c r="D649" s="41" t="s">
        <v>3747</v>
      </c>
      <c r="E649" s="42" t="s">
        <v>154</v>
      </c>
      <c r="F649" s="43" t="s">
        <v>747</v>
      </c>
    </row>
    <row r="650" spans="4:6" x14ac:dyDescent="0.25">
      <c r="D650" s="41" t="s">
        <v>575</v>
      </c>
      <c r="E650" s="42" t="s">
        <v>130</v>
      </c>
      <c r="F650" s="43" t="s">
        <v>576</v>
      </c>
    </row>
    <row r="651" spans="4:6" x14ac:dyDescent="0.25">
      <c r="D651" s="41" t="s">
        <v>603</v>
      </c>
      <c r="E651" s="42" t="s">
        <v>130</v>
      </c>
      <c r="F651" s="43" t="s">
        <v>576</v>
      </c>
    </row>
    <row r="652" spans="4:6" x14ac:dyDescent="0.25">
      <c r="D652" s="41" t="s">
        <v>807</v>
      </c>
      <c r="E652" s="42" t="s">
        <v>130</v>
      </c>
      <c r="F652" s="43" t="s">
        <v>747</v>
      </c>
    </row>
    <row r="653" spans="4:6" x14ac:dyDescent="0.25">
      <c r="D653" s="41" t="s">
        <v>1947</v>
      </c>
      <c r="E653" s="42" t="s">
        <v>130</v>
      </c>
      <c r="F653" s="43" t="s">
        <v>747</v>
      </c>
    </row>
    <row r="654" spans="4:6" x14ac:dyDescent="0.25">
      <c r="D654" s="41" t="s">
        <v>2824</v>
      </c>
      <c r="E654" s="42" t="s">
        <v>130</v>
      </c>
      <c r="F654" s="43"/>
    </row>
    <row r="655" spans="4:6" x14ac:dyDescent="0.25">
      <c r="D655" s="41" t="s">
        <v>3425</v>
      </c>
      <c r="E655" s="42" t="s">
        <v>130</v>
      </c>
      <c r="F655" s="43"/>
    </row>
    <row r="656" spans="4:6" x14ac:dyDescent="0.25">
      <c r="D656" s="41" t="s">
        <v>3443</v>
      </c>
      <c r="E656" s="42" t="s">
        <v>130</v>
      </c>
      <c r="F656" s="43"/>
    </row>
    <row r="657" spans="4:6" x14ac:dyDescent="0.25">
      <c r="D657" s="41" t="s">
        <v>3568</v>
      </c>
      <c r="E657" s="42" t="s">
        <v>130</v>
      </c>
      <c r="F657" s="43"/>
    </row>
    <row r="658" spans="4:6" x14ac:dyDescent="0.25">
      <c r="D658" s="41" t="s">
        <v>3601</v>
      </c>
      <c r="E658" s="42" t="s">
        <v>130</v>
      </c>
      <c r="F658" s="43"/>
    </row>
    <row r="659" spans="4:6" x14ac:dyDescent="0.25">
      <c r="D659" s="41" t="s">
        <v>1909</v>
      </c>
      <c r="E659" s="42" t="s">
        <v>4178</v>
      </c>
      <c r="F659" s="43" t="s">
        <v>1826</v>
      </c>
    </row>
    <row r="660" spans="4:6" x14ac:dyDescent="0.25">
      <c r="D660" s="41" t="s">
        <v>2897</v>
      </c>
      <c r="E660" s="42" t="s">
        <v>3937</v>
      </c>
      <c r="F660" s="43"/>
    </row>
    <row r="661" spans="4:6" x14ac:dyDescent="0.25">
      <c r="D661" s="41" t="s">
        <v>1559</v>
      </c>
      <c r="E661" s="42" t="s">
        <v>3938</v>
      </c>
      <c r="F661" s="43" t="s">
        <v>1560</v>
      </c>
    </row>
    <row r="662" spans="4:6" x14ac:dyDescent="0.25">
      <c r="D662" s="41" t="s">
        <v>1825</v>
      </c>
      <c r="E662" s="42" t="s">
        <v>3938</v>
      </c>
      <c r="F662" s="43" t="s">
        <v>1826</v>
      </c>
    </row>
    <row r="663" spans="4:6" x14ac:dyDescent="0.25">
      <c r="D663" s="41" t="s">
        <v>1874</v>
      </c>
      <c r="E663" s="42" t="s">
        <v>3938</v>
      </c>
      <c r="F663" s="43" t="s">
        <v>1471</v>
      </c>
    </row>
    <row r="664" spans="4:6" x14ac:dyDescent="0.25">
      <c r="D664" s="41" t="s">
        <v>1955</v>
      </c>
      <c r="E664" s="42" t="s">
        <v>3938</v>
      </c>
      <c r="F664" s="43" t="s">
        <v>747</v>
      </c>
    </row>
    <row r="665" spans="4:6" x14ac:dyDescent="0.25">
      <c r="D665" s="41" t="s">
        <v>1986</v>
      </c>
      <c r="E665" s="42" t="s">
        <v>3938</v>
      </c>
      <c r="F665" s="43" t="s">
        <v>747</v>
      </c>
    </row>
    <row r="666" spans="4:6" x14ac:dyDescent="0.25">
      <c r="D666" s="41" t="s">
        <v>2223</v>
      </c>
      <c r="E666" s="42" t="s">
        <v>3938</v>
      </c>
      <c r="F666" s="43"/>
    </row>
    <row r="667" spans="4:6" x14ac:dyDescent="0.25">
      <c r="D667" s="41" t="s">
        <v>2224</v>
      </c>
      <c r="E667" s="42" t="s">
        <v>3938</v>
      </c>
      <c r="F667" s="43"/>
    </row>
    <row r="668" spans="4:6" x14ac:dyDescent="0.25">
      <c r="D668" s="41" t="s">
        <v>2776</v>
      </c>
      <c r="E668" s="42" t="s">
        <v>3938</v>
      </c>
      <c r="F668" s="43"/>
    </row>
    <row r="669" spans="4:6" x14ac:dyDescent="0.25">
      <c r="D669" s="41" t="s">
        <v>2794</v>
      </c>
      <c r="E669" s="42" t="s">
        <v>3938</v>
      </c>
      <c r="F669" s="43"/>
    </row>
    <row r="670" spans="4:6" x14ac:dyDescent="0.25">
      <c r="D670" s="41" t="s">
        <v>2798</v>
      </c>
      <c r="E670" s="42" t="s">
        <v>3938</v>
      </c>
      <c r="F670" s="43"/>
    </row>
    <row r="671" spans="4:6" x14ac:dyDescent="0.25">
      <c r="D671" s="41" t="s">
        <v>2804</v>
      </c>
      <c r="E671" s="42" t="s">
        <v>3938</v>
      </c>
      <c r="F671" s="43"/>
    </row>
    <row r="672" spans="4:6" x14ac:dyDescent="0.25">
      <c r="D672" s="41" t="s">
        <v>2797</v>
      </c>
      <c r="E672" s="42" t="s">
        <v>3938</v>
      </c>
      <c r="F672" s="43"/>
    </row>
    <row r="673" spans="4:6" x14ac:dyDescent="0.25">
      <c r="D673" s="41" t="s">
        <v>2816</v>
      </c>
      <c r="E673" s="42" t="s">
        <v>3938</v>
      </c>
      <c r="F673" s="43"/>
    </row>
    <row r="674" spans="4:6" x14ac:dyDescent="0.25">
      <c r="D674" s="41" t="s">
        <v>2917</v>
      </c>
      <c r="E674" s="42" t="s">
        <v>3938</v>
      </c>
      <c r="F674" s="43" t="s">
        <v>938</v>
      </c>
    </row>
    <row r="675" spans="4:6" x14ac:dyDescent="0.25">
      <c r="D675" s="41" t="s">
        <v>2922</v>
      </c>
      <c r="E675" s="42" t="s">
        <v>3938</v>
      </c>
      <c r="F675" s="43"/>
    </row>
    <row r="676" spans="4:6" x14ac:dyDescent="0.25">
      <c r="D676" s="41" t="s">
        <v>3002</v>
      </c>
      <c r="E676" s="42" t="s">
        <v>3938</v>
      </c>
      <c r="F676" s="43"/>
    </row>
    <row r="677" spans="4:6" x14ac:dyDescent="0.25">
      <c r="D677" s="41" t="s">
        <v>3021</v>
      </c>
      <c r="E677" s="42" t="s">
        <v>3938</v>
      </c>
      <c r="F677" s="43"/>
    </row>
    <row r="678" spans="4:6" x14ac:dyDescent="0.25">
      <c r="D678" s="41" t="s">
        <v>3031</v>
      </c>
      <c r="E678" s="42" t="s">
        <v>3938</v>
      </c>
      <c r="F678" s="43" t="s">
        <v>3032</v>
      </c>
    </row>
    <row r="679" spans="4:6" x14ac:dyDescent="0.25">
      <c r="D679" s="41" t="s">
        <v>3056</v>
      </c>
      <c r="E679" s="42" t="s">
        <v>3938</v>
      </c>
      <c r="F679" s="43"/>
    </row>
    <row r="680" spans="4:6" x14ac:dyDescent="0.25">
      <c r="D680" s="41" t="s">
        <v>3124</v>
      </c>
      <c r="E680" s="42" t="s">
        <v>3938</v>
      </c>
      <c r="F680" s="43" t="s">
        <v>747</v>
      </c>
    </row>
    <row r="681" spans="4:6" x14ac:dyDescent="0.25">
      <c r="D681" s="41" t="s">
        <v>3189</v>
      </c>
      <c r="E681" s="42" t="s">
        <v>3938</v>
      </c>
      <c r="F681" s="43"/>
    </row>
    <row r="682" spans="4:6" x14ac:dyDescent="0.25">
      <c r="D682" s="41" t="s">
        <v>3639</v>
      </c>
      <c r="E682" s="42" t="s">
        <v>3938</v>
      </c>
      <c r="F682" s="43"/>
    </row>
    <row r="683" spans="4:6" x14ac:dyDescent="0.25">
      <c r="D683" s="41" t="s">
        <v>3682</v>
      </c>
      <c r="E683" s="42" t="s">
        <v>3938</v>
      </c>
      <c r="F683" s="43"/>
    </row>
    <row r="684" spans="4:6" x14ac:dyDescent="0.25">
      <c r="D684" s="41" t="s">
        <v>771</v>
      </c>
      <c r="E684" s="42" t="s">
        <v>4171</v>
      </c>
      <c r="F684" s="43" t="s">
        <v>747</v>
      </c>
    </row>
    <row r="685" spans="4:6" x14ac:dyDescent="0.25">
      <c r="D685" s="41" t="s">
        <v>997</v>
      </c>
      <c r="E685" s="42" t="s">
        <v>3939</v>
      </c>
      <c r="F685" s="43" t="s">
        <v>960</v>
      </c>
    </row>
    <row r="686" spans="4:6" x14ac:dyDescent="0.25">
      <c r="D686" s="41" t="s">
        <v>1377</v>
      </c>
      <c r="E686" s="42" t="s">
        <v>3939</v>
      </c>
      <c r="F686" s="43" t="s">
        <v>747</v>
      </c>
    </row>
    <row r="687" spans="4:6" x14ac:dyDescent="0.25">
      <c r="D687" s="41" t="s">
        <v>1477</v>
      </c>
      <c r="E687" s="42" t="s">
        <v>3939</v>
      </c>
      <c r="F687" s="43" t="s">
        <v>1471</v>
      </c>
    </row>
    <row r="688" spans="4:6" x14ac:dyDescent="0.25">
      <c r="D688" s="41" t="s">
        <v>1914</v>
      </c>
      <c r="E688" s="42" t="s">
        <v>3939</v>
      </c>
      <c r="F688" s="43" t="s">
        <v>938</v>
      </c>
    </row>
    <row r="689" spans="4:6" x14ac:dyDescent="0.25">
      <c r="D689" s="41" t="s">
        <v>1943</v>
      </c>
      <c r="E689" s="42" t="s">
        <v>3939</v>
      </c>
      <c r="F689" s="43" t="s">
        <v>747</v>
      </c>
    </row>
    <row r="690" spans="4:6" x14ac:dyDescent="0.25">
      <c r="D690" s="41" t="s">
        <v>2219</v>
      </c>
      <c r="E690" s="42" t="s">
        <v>3939</v>
      </c>
      <c r="F690" s="43" t="s">
        <v>411</v>
      </c>
    </row>
    <row r="691" spans="4:6" x14ac:dyDescent="0.25">
      <c r="D691" s="41" t="s">
        <v>2220</v>
      </c>
      <c r="E691" s="42" t="s">
        <v>3939</v>
      </c>
      <c r="F691" s="43"/>
    </row>
    <row r="692" spans="4:6" x14ac:dyDescent="0.25">
      <c r="D692" s="41" t="s">
        <v>2221</v>
      </c>
      <c r="E692" s="42" t="s">
        <v>3939</v>
      </c>
      <c r="F692" s="43" t="s">
        <v>747</v>
      </c>
    </row>
    <row r="693" spans="4:6" x14ac:dyDescent="0.25">
      <c r="D693" s="41" t="s">
        <v>2222</v>
      </c>
      <c r="E693" s="42" t="s">
        <v>3939</v>
      </c>
      <c r="F693" s="43"/>
    </row>
    <row r="694" spans="4:6" x14ac:dyDescent="0.25">
      <c r="D694" s="41" t="s">
        <v>2847</v>
      </c>
      <c r="E694" s="42" t="s">
        <v>3939</v>
      </c>
      <c r="F694" s="43" t="s">
        <v>890</v>
      </c>
    </row>
    <row r="695" spans="4:6" x14ac:dyDescent="0.25">
      <c r="D695" s="41" t="s">
        <v>2886</v>
      </c>
      <c r="E695" s="42" t="s">
        <v>3939</v>
      </c>
      <c r="F695" s="43" t="s">
        <v>2887</v>
      </c>
    </row>
    <row r="696" spans="4:6" x14ac:dyDescent="0.25">
      <c r="D696" s="41" t="s">
        <v>2928</v>
      </c>
      <c r="E696" s="42" t="s">
        <v>3939</v>
      </c>
      <c r="F696" s="43" t="s">
        <v>2929</v>
      </c>
    </row>
    <row r="697" spans="4:6" x14ac:dyDescent="0.25">
      <c r="D697" s="41" t="s">
        <v>3069</v>
      </c>
      <c r="E697" s="42" t="s">
        <v>3939</v>
      </c>
      <c r="F697" s="43"/>
    </row>
    <row r="698" spans="4:6" x14ac:dyDescent="0.25">
      <c r="D698" s="41" t="s">
        <v>3081</v>
      </c>
      <c r="E698" s="42" t="s">
        <v>3939</v>
      </c>
      <c r="F698" s="43" t="s">
        <v>3082</v>
      </c>
    </row>
    <row r="699" spans="4:6" x14ac:dyDescent="0.25">
      <c r="D699" s="41" t="s">
        <v>3102</v>
      </c>
      <c r="E699" s="42" t="s">
        <v>3939</v>
      </c>
      <c r="F699" s="43" t="s">
        <v>747</v>
      </c>
    </row>
    <row r="700" spans="4:6" x14ac:dyDescent="0.25">
      <c r="D700" s="41" t="s">
        <v>3637</v>
      </c>
      <c r="E700" s="42" t="s">
        <v>3939</v>
      </c>
      <c r="F700" s="43" t="s">
        <v>3638</v>
      </c>
    </row>
    <row r="701" spans="4:6" x14ac:dyDescent="0.25">
      <c r="D701" s="41" t="s">
        <v>1605</v>
      </c>
      <c r="E701" s="42" t="s">
        <v>3939</v>
      </c>
      <c r="F701" s="43" t="s">
        <v>1606</v>
      </c>
    </row>
    <row r="702" spans="4:6" x14ac:dyDescent="0.25">
      <c r="D702" s="41" t="s">
        <v>1746</v>
      </c>
      <c r="E702" s="42" t="s">
        <v>3939</v>
      </c>
      <c r="F702" s="43" t="s">
        <v>1747</v>
      </c>
    </row>
    <row r="703" spans="4:6" x14ac:dyDescent="0.25">
      <c r="D703" s="41" t="s">
        <v>1833</v>
      </c>
      <c r="E703" s="42" t="s">
        <v>3939</v>
      </c>
      <c r="F703" s="43" t="s">
        <v>1822</v>
      </c>
    </row>
    <row r="704" spans="4:6" x14ac:dyDescent="0.25">
      <c r="D704" s="41" t="s">
        <v>1863</v>
      </c>
      <c r="E704" s="42" t="s">
        <v>3939</v>
      </c>
      <c r="F704" s="43" t="s">
        <v>1864</v>
      </c>
    </row>
    <row r="705" spans="4:6" x14ac:dyDescent="0.25">
      <c r="D705" s="41" t="s">
        <v>2225</v>
      </c>
      <c r="E705" s="42" t="s">
        <v>3939</v>
      </c>
      <c r="F705" s="43"/>
    </row>
    <row r="706" spans="4:6" x14ac:dyDescent="0.25">
      <c r="D706" s="41" t="s">
        <v>2226</v>
      </c>
      <c r="E706" s="42" t="s">
        <v>3939</v>
      </c>
      <c r="F706" s="43" t="s">
        <v>747</v>
      </c>
    </row>
    <row r="707" spans="4:6" x14ac:dyDescent="0.25">
      <c r="D707" s="41" t="s">
        <v>2227</v>
      </c>
      <c r="E707" s="42" t="s">
        <v>3939</v>
      </c>
      <c r="F707" s="43" t="s">
        <v>747</v>
      </c>
    </row>
    <row r="708" spans="4:6" x14ac:dyDescent="0.25">
      <c r="D708" s="41" t="s">
        <v>2228</v>
      </c>
      <c r="E708" s="42" t="s">
        <v>3939</v>
      </c>
      <c r="F708" s="43" t="s">
        <v>747</v>
      </c>
    </row>
    <row r="709" spans="4:6" x14ac:dyDescent="0.25">
      <c r="D709" s="41" t="s">
        <v>2795</v>
      </c>
      <c r="E709" s="42" t="s">
        <v>3939</v>
      </c>
      <c r="F709" s="43"/>
    </row>
    <row r="710" spans="4:6" x14ac:dyDescent="0.25">
      <c r="D710" s="41" t="s">
        <v>2796</v>
      </c>
      <c r="E710" s="42" t="s">
        <v>3939</v>
      </c>
      <c r="F710" s="43"/>
    </row>
    <row r="711" spans="4:6" x14ac:dyDescent="0.25">
      <c r="D711" s="41" t="s">
        <v>2805</v>
      </c>
      <c r="E711" s="42" t="s">
        <v>3939</v>
      </c>
      <c r="F711" s="43"/>
    </row>
    <row r="712" spans="4:6" x14ac:dyDescent="0.25">
      <c r="D712" s="41" t="s">
        <v>2820</v>
      </c>
      <c r="E712" s="42" t="s">
        <v>3939</v>
      </c>
      <c r="F712" s="43"/>
    </row>
    <row r="713" spans="4:6" x14ac:dyDescent="0.25">
      <c r="D713" s="41" t="s">
        <v>2896</v>
      </c>
      <c r="E713" s="42" t="s">
        <v>3939</v>
      </c>
      <c r="F713" s="43"/>
    </row>
    <row r="714" spans="4:6" x14ac:dyDescent="0.25">
      <c r="D714" s="41" t="s">
        <v>2898</v>
      </c>
      <c r="E714" s="42" t="s">
        <v>3939</v>
      </c>
      <c r="F714" s="43"/>
    </row>
    <row r="715" spans="4:6" x14ac:dyDescent="0.25">
      <c r="D715" s="41" t="s">
        <v>2916</v>
      </c>
      <c r="E715" s="42" t="s">
        <v>3939</v>
      </c>
      <c r="F715" s="43" t="s">
        <v>1139</v>
      </c>
    </row>
    <row r="716" spans="4:6" x14ac:dyDescent="0.25">
      <c r="D716" s="41" t="s">
        <v>2920</v>
      </c>
      <c r="E716" s="42" t="s">
        <v>3939</v>
      </c>
      <c r="F716" s="43"/>
    </row>
    <row r="717" spans="4:6" x14ac:dyDescent="0.25">
      <c r="D717" s="41" t="s">
        <v>2923</v>
      </c>
      <c r="E717" s="42" t="s">
        <v>3939</v>
      </c>
      <c r="F717" s="43" t="s">
        <v>1139</v>
      </c>
    </row>
    <row r="718" spans="4:6" x14ac:dyDescent="0.25">
      <c r="D718" s="41" t="s">
        <v>2959</v>
      </c>
      <c r="E718" s="42" t="s">
        <v>3939</v>
      </c>
      <c r="F718" s="43"/>
    </row>
    <row r="719" spans="4:6" x14ac:dyDescent="0.25">
      <c r="D719" s="41" t="s">
        <v>2963</v>
      </c>
      <c r="E719" s="42" t="s">
        <v>3939</v>
      </c>
      <c r="F719" s="43"/>
    </row>
    <row r="720" spans="4:6" x14ac:dyDescent="0.25">
      <c r="D720" s="41" t="s">
        <v>2971</v>
      </c>
      <c r="E720" s="42" t="s">
        <v>3939</v>
      </c>
      <c r="F720" s="43"/>
    </row>
    <row r="721" spans="4:6" x14ac:dyDescent="0.25">
      <c r="D721" s="41" t="s">
        <v>2993</v>
      </c>
      <c r="E721" s="42" t="s">
        <v>3939</v>
      </c>
      <c r="F721" s="43" t="s">
        <v>747</v>
      </c>
    </row>
    <row r="722" spans="4:6" x14ac:dyDescent="0.25">
      <c r="D722" s="41" t="s">
        <v>2996</v>
      </c>
      <c r="E722" s="42" t="s">
        <v>3939</v>
      </c>
      <c r="F722" s="43"/>
    </row>
    <row r="723" spans="4:6" x14ac:dyDescent="0.25">
      <c r="D723" s="41" t="s">
        <v>3003</v>
      </c>
      <c r="E723" s="42" t="s">
        <v>3939</v>
      </c>
      <c r="F723" s="43"/>
    </row>
    <row r="724" spans="4:6" x14ac:dyDescent="0.25">
      <c r="D724" s="41" t="s">
        <v>3016</v>
      </c>
      <c r="E724" s="42" t="s">
        <v>3939</v>
      </c>
      <c r="F724" s="43"/>
    </row>
    <row r="725" spans="4:6" x14ac:dyDescent="0.25">
      <c r="D725" s="41" t="s">
        <v>3020</v>
      </c>
      <c r="E725" s="42" t="s">
        <v>3939</v>
      </c>
      <c r="F725" s="43"/>
    </row>
    <row r="726" spans="4:6" x14ac:dyDescent="0.25">
      <c r="D726" s="41" t="s">
        <v>3068</v>
      </c>
      <c r="E726" s="42" t="s">
        <v>3939</v>
      </c>
      <c r="F726" s="43"/>
    </row>
    <row r="727" spans="4:6" x14ac:dyDescent="0.25">
      <c r="D727" s="41" t="s">
        <v>3087</v>
      </c>
      <c r="E727" s="42" t="s">
        <v>3939</v>
      </c>
      <c r="F727" s="43" t="s">
        <v>747</v>
      </c>
    </row>
    <row r="728" spans="4:6" x14ac:dyDescent="0.25">
      <c r="D728" s="41" t="s">
        <v>3125</v>
      </c>
      <c r="E728" s="42" t="s">
        <v>3939</v>
      </c>
      <c r="F728" s="43" t="s">
        <v>747</v>
      </c>
    </row>
    <row r="729" spans="4:6" x14ac:dyDescent="0.25">
      <c r="D729" s="41" t="s">
        <v>3159</v>
      </c>
      <c r="E729" s="42" t="s">
        <v>3939</v>
      </c>
      <c r="F729" s="43"/>
    </row>
    <row r="730" spans="4:6" x14ac:dyDescent="0.25">
      <c r="D730" s="41" t="s">
        <v>3173</v>
      </c>
      <c r="E730" s="42" t="s">
        <v>3939</v>
      </c>
      <c r="F730" s="43"/>
    </row>
    <row r="731" spans="4:6" x14ac:dyDescent="0.25">
      <c r="D731" s="41" t="s">
        <v>3215</v>
      </c>
      <c r="E731" s="42" t="s">
        <v>3939</v>
      </c>
      <c r="F731" s="43" t="s">
        <v>3216</v>
      </c>
    </row>
    <row r="732" spans="4:6" x14ac:dyDescent="0.25">
      <c r="D732" s="41" t="s">
        <v>3715</v>
      </c>
      <c r="E732" s="42" t="s">
        <v>3939</v>
      </c>
      <c r="F732" s="43"/>
    </row>
    <row r="733" spans="4:6" x14ac:dyDescent="0.25">
      <c r="D733" s="41" t="s">
        <v>2987</v>
      </c>
      <c r="E733" s="42" t="s">
        <v>2988</v>
      </c>
      <c r="F733" s="43" t="s">
        <v>747</v>
      </c>
    </row>
    <row r="734" spans="4:6" x14ac:dyDescent="0.25">
      <c r="D734" s="41" t="s">
        <v>3137</v>
      </c>
      <c r="E734" s="42" t="s">
        <v>2988</v>
      </c>
      <c r="F734" s="43"/>
    </row>
    <row r="735" spans="4:6" x14ac:dyDescent="0.25">
      <c r="D735" s="41" t="s">
        <v>3222</v>
      </c>
      <c r="E735" s="42" t="s">
        <v>2988</v>
      </c>
      <c r="F735" s="43" t="s">
        <v>890</v>
      </c>
    </row>
    <row r="736" spans="4:6" x14ac:dyDescent="0.25">
      <c r="D736" s="41" t="s">
        <v>2230</v>
      </c>
      <c r="E736" s="42" t="s">
        <v>2231</v>
      </c>
      <c r="F736" s="43" t="s">
        <v>345</v>
      </c>
    </row>
    <row r="737" spans="4:6" x14ac:dyDescent="0.25">
      <c r="D737" s="41" t="s">
        <v>306</v>
      </c>
      <c r="E737" s="42" t="s">
        <v>3940</v>
      </c>
      <c r="F737" s="43" t="s">
        <v>291</v>
      </c>
    </row>
    <row r="738" spans="4:6" x14ac:dyDescent="0.25">
      <c r="D738" s="41" t="s">
        <v>307</v>
      </c>
      <c r="E738" s="42" t="s">
        <v>3940</v>
      </c>
      <c r="F738" s="43" t="s">
        <v>291</v>
      </c>
    </row>
    <row r="739" spans="4:6" x14ac:dyDescent="0.25">
      <c r="D739" s="41" t="s">
        <v>465</v>
      </c>
      <c r="E739" s="42" t="s">
        <v>3940</v>
      </c>
      <c r="F739" s="43" t="s">
        <v>466</v>
      </c>
    </row>
    <row r="740" spans="4:6" x14ac:dyDescent="0.25">
      <c r="D740" s="41" t="s">
        <v>467</v>
      </c>
      <c r="E740" s="42" t="s">
        <v>3940</v>
      </c>
      <c r="F740" s="43" t="s">
        <v>468</v>
      </c>
    </row>
    <row r="741" spans="4:6" x14ac:dyDescent="0.25">
      <c r="D741" s="41" t="s">
        <v>469</v>
      </c>
      <c r="E741" s="42" t="s">
        <v>3940</v>
      </c>
      <c r="F741" s="43" t="s">
        <v>470</v>
      </c>
    </row>
    <row r="742" spans="4:6" x14ac:dyDescent="0.25">
      <c r="D742" s="41" t="s">
        <v>471</v>
      </c>
      <c r="E742" s="42" t="s">
        <v>3940</v>
      </c>
      <c r="F742" s="43" t="s">
        <v>470</v>
      </c>
    </row>
    <row r="743" spans="4:6" x14ac:dyDescent="0.25">
      <c r="D743" s="41" t="s">
        <v>472</v>
      </c>
      <c r="E743" s="42" t="s">
        <v>3940</v>
      </c>
      <c r="F743" s="43" t="s">
        <v>473</v>
      </c>
    </row>
    <row r="744" spans="4:6" x14ac:dyDescent="0.25">
      <c r="D744" s="41" t="s">
        <v>568</v>
      </c>
      <c r="E744" s="42" t="s">
        <v>3940</v>
      </c>
      <c r="F744" s="43" t="s">
        <v>466</v>
      </c>
    </row>
    <row r="745" spans="4:6" x14ac:dyDescent="0.25">
      <c r="D745" s="41" t="s">
        <v>569</v>
      </c>
      <c r="E745" s="42" t="s">
        <v>3940</v>
      </c>
      <c r="F745" s="43" t="s">
        <v>570</v>
      </c>
    </row>
    <row r="746" spans="4:6" x14ac:dyDescent="0.25">
      <c r="D746" s="41" t="s">
        <v>571</v>
      </c>
      <c r="E746" s="42" t="s">
        <v>3940</v>
      </c>
      <c r="F746" s="43" t="s">
        <v>468</v>
      </c>
    </row>
    <row r="747" spans="4:6" x14ac:dyDescent="0.25">
      <c r="D747" s="41" t="s">
        <v>572</v>
      </c>
      <c r="E747" s="42" t="s">
        <v>3940</v>
      </c>
      <c r="F747" s="43" t="s">
        <v>473</v>
      </c>
    </row>
    <row r="748" spans="4:6" x14ac:dyDescent="0.25">
      <c r="D748" s="41" t="s">
        <v>573</v>
      </c>
      <c r="E748" s="42" t="s">
        <v>3940</v>
      </c>
      <c r="F748" s="43" t="s">
        <v>473</v>
      </c>
    </row>
    <row r="749" spans="4:6" x14ac:dyDescent="0.25">
      <c r="D749" s="41" t="s">
        <v>574</v>
      </c>
      <c r="E749" s="42" t="s">
        <v>3940</v>
      </c>
      <c r="F749" s="43" t="s">
        <v>473</v>
      </c>
    </row>
    <row r="750" spans="4:6" x14ac:dyDescent="0.25">
      <c r="D750" s="41" t="s">
        <v>577</v>
      </c>
      <c r="E750" s="42" t="s">
        <v>3940</v>
      </c>
      <c r="F750" s="43" t="s">
        <v>466</v>
      </c>
    </row>
    <row r="751" spans="4:6" x14ac:dyDescent="0.25">
      <c r="D751" s="41" t="s">
        <v>580</v>
      </c>
      <c r="E751" s="42" t="s">
        <v>3940</v>
      </c>
      <c r="F751" s="43" t="s">
        <v>581</v>
      </c>
    </row>
    <row r="752" spans="4:6" x14ac:dyDescent="0.25">
      <c r="D752" s="41" t="s">
        <v>582</v>
      </c>
      <c r="E752" s="42" t="s">
        <v>3940</v>
      </c>
      <c r="F752" s="43" t="s">
        <v>473</v>
      </c>
    </row>
    <row r="753" spans="4:6" x14ac:dyDescent="0.25">
      <c r="D753" s="41" t="s">
        <v>583</v>
      </c>
      <c r="E753" s="42" t="s">
        <v>3940</v>
      </c>
      <c r="F753" s="43" t="s">
        <v>581</v>
      </c>
    </row>
    <row r="754" spans="4:6" x14ac:dyDescent="0.25">
      <c r="D754" s="41" t="s">
        <v>584</v>
      </c>
      <c r="E754" s="42" t="s">
        <v>3940</v>
      </c>
      <c r="F754" s="43" t="s">
        <v>470</v>
      </c>
    </row>
    <row r="755" spans="4:6" x14ac:dyDescent="0.25">
      <c r="D755" s="41" t="s">
        <v>585</v>
      </c>
      <c r="E755" s="42" t="s">
        <v>3940</v>
      </c>
      <c r="F755" s="43" t="s">
        <v>466</v>
      </c>
    </row>
    <row r="756" spans="4:6" x14ac:dyDescent="0.25">
      <c r="D756" s="41" t="s">
        <v>586</v>
      </c>
      <c r="E756" s="42" t="s">
        <v>3940</v>
      </c>
      <c r="F756" s="43" t="s">
        <v>470</v>
      </c>
    </row>
    <row r="757" spans="4:6" x14ac:dyDescent="0.25">
      <c r="D757" s="41" t="s">
        <v>587</v>
      </c>
      <c r="E757" s="42" t="s">
        <v>3940</v>
      </c>
      <c r="F757" s="43" t="s">
        <v>466</v>
      </c>
    </row>
    <row r="758" spans="4:6" x14ac:dyDescent="0.25">
      <c r="D758" s="41" t="s">
        <v>588</v>
      </c>
      <c r="E758" s="42" t="s">
        <v>3940</v>
      </c>
      <c r="F758" s="43" t="s">
        <v>468</v>
      </c>
    </row>
    <row r="759" spans="4:6" x14ac:dyDescent="0.25">
      <c r="D759" s="41" t="s">
        <v>1160</v>
      </c>
      <c r="E759" s="42" t="s">
        <v>3940</v>
      </c>
      <c r="F759" s="43" t="s">
        <v>1139</v>
      </c>
    </row>
    <row r="760" spans="4:6" x14ac:dyDescent="0.25">
      <c r="D760" s="41" t="s">
        <v>1395</v>
      </c>
      <c r="E760" s="42" t="s">
        <v>3940</v>
      </c>
      <c r="F760" s="43">
        <v>2</v>
      </c>
    </row>
    <row r="761" spans="4:6" x14ac:dyDescent="0.25">
      <c r="D761" s="41" t="s">
        <v>1712</v>
      </c>
      <c r="E761" s="42" t="s">
        <v>3940</v>
      </c>
      <c r="F761" s="43" t="s">
        <v>1713</v>
      </c>
    </row>
    <row r="762" spans="4:6" x14ac:dyDescent="0.25">
      <c r="D762" s="41" t="s">
        <v>1861</v>
      </c>
      <c r="E762" s="42" t="s">
        <v>3940</v>
      </c>
      <c r="F762" s="43" t="s">
        <v>1801</v>
      </c>
    </row>
    <row r="763" spans="4:6" x14ac:dyDescent="0.25">
      <c r="D763" s="41" t="s">
        <v>2229</v>
      </c>
      <c r="E763" s="42" t="s">
        <v>3940</v>
      </c>
      <c r="F763" s="43"/>
    </row>
    <row r="764" spans="4:6" x14ac:dyDescent="0.25">
      <c r="D764" s="41" t="s">
        <v>3555</v>
      </c>
      <c r="E764" s="42" t="s">
        <v>3940</v>
      </c>
      <c r="F764" s="43"/>
    </row>
    <row r="765" spans="4:6" x14ac:dyDescent="0.25">
      <c r="D765" s="41" t="s">
        <v>1275</v>
      </c>
      <c r="E765" s="42" t="s">
        <v>3940</v>
      </c>
      <c r="F765" s="43" t="s">
        <v>747</v>
      </c>
    </row>
    <row r="766" spans="4:6" x14ac:dyDescent="0.25">
      <c r="D766" s="41" t="s">
        <v>1345</v>
      </c>
      <c r="E766" s="42" t="s">
        <v>3940</v>
      </c>
      <c r="F766" s="43" t="s">
        <v>747</v>
      </c>
    </row>
    <row r="767" spans="4:6" x14ac:dyDescent="0.25">
      <c r="D767" s="41" t="s">
        <v>1658</v>
      </c>
      <c r="E767" s="42" t="s">
        <v>3940</v>
      </c>
      <c r="F767" s="43" t="s">
        <v>1659</v>
      </c>
    </row>
    <row r="768" spans="4:6" x14ac:dyDescent="0.25">
      <c r="D768" s="41" t="s">
        <v>1834</v>
      </c>
      <c r="E768" s="42" t="s">
        <v>3940</v>
      </c>
      <c r="F768" s="43" t="s">
        <v>1835</v>
      </c>
    </row>
    <row r="769" spans="4:6" x14ac:dyDescent="0.25">
      <c r="D769" s="41" t="s">
        <v>2232</v>
      </c>
      <c r="E769" s="42" t="s">
        <v>3940</v>
      </c>
      <c r="F769" s="43"/>
    </row>
    <row r="770" spans="4:6" x14ac:dyDescent="0.25">
      <c r="D770" s="41" t="s">
        <v>3485</v>
      </c>
      <c r="E770" s="42" t="s">
        <v>1097</v>
      </c>
      <c r="F770" s="43" t="s">
        <v>747</v>
      </c>
    </row>
    <row r="771" spans="4:6" x14ac:dyDescent="0.25">
      <c r="D771" s="41" t="s">
        <v>1730</v>
      </c>
      <c r="E771" s="42" t="s">
        <v>1098</v>
      </c>
      <c r="F771" s="43" t="s">
        <v>1731</v>
      </c>
    </row>
    <row r="772" spans="4:6" x14ac:dyDescent="0.25">
      <c r="D772" s="41" t="s">
        <v>578</v>
      </c>
      <c r="E772" s="42" t="s">
        <v>1098</v>
      </c>
      <c r="F772" s="43" t="s">
        <v>579</v>
      </c>
    </row>
    <row r="773" spans="4:6" x14ac:dyDescent="0.25">
      <c r="D773" s="41" t="s">
        <v>589</v>
      </c>
      <c r="E773" s="42" t="s">
        <v>4016</v>
      </c>
      <c r="F773" s="43" t="s">
        <v>581</v>
      </c>
    </row>
    <row r="774" spans="4:6" x14ac:dyDescent="0.25">
      <c r="D774" s="41" t="s">
        <v>3210</v>
      </c>
      <c r="E774" s="42" t="s">
        <v>4017</v>
      </c>
      <c r="F774" s="43" t="s">
        <v>579</v>
      </c>
    </row>
    <row r="775" spans="4:6" x14ac:dyDescent="0.25">
      <c r="D775" s="44" t="s">
        <v>3311</v>
      </c>
      <c r="E775" s="42" t="s">
        <v>4017</v>
      </c>
      <c r="F775" s="46"/>
    </row>
    <row r="776" spans="4:6" x14ac:dyDescent="0.25">
      <c r="D776" s="41" t="s">
        <v>2233</v>
      </c>
      <c r="E776" s="42" t="s">
        <v>2234</v>
      </c>
      <c r="F776" s="43" t="s">
        <v>2235</v>
      </c>
    </row>
    <row r="777" spans="4:6" x14ac:dyDescent="0.25">
      <c r="D777" s="41" t="s">
        <v>2236</v>
      </c>
      <c r="E777" s="42" t="s">
        <v>2237</v>
      </c>
      <c r="F777" s="43" t="s">
        <v>747</v>
      </c>
    </row>
    <row r="778" spans="4:6" x14ac:dyDescent="0.25">
      <c r="D778" s="41" t="s">
        <v>2238</v>
      </c>
      <c r="E778" s="42" t="s">
        <v>3855</v>
      </c>
      <c r="F778" s="43" t="s">
        <v>78</v>
      </c>
    </row>
    <row r="779" spans="4:6" x14ac:dyDescent="0.25">
      <c r="D779" s="41" t="s">
        <v>2239</v>
      </c>
      <c r="E779" s="42" t="s">
        <v>3855</v>
      </c>
      <c r="F779" s="43" t="s">
        <v>2240</v>
      </c>
    </row>
    <row r="780" spans="4:6" x14ac:dyDescent="0.25">
      <c r="D780" s="41" t="s">
        <v>3446</v>
      </c>
      <c r="E780" s="47" t="s">
        <v>3795</v>
      </c>
      <c r="F780" s="43" t="s">
        <v>938</v>
      </c>
    </row>
    <row r="781" spans="4:6" x14ac:dyDescent="0.25">
      <c r="D781" s="41" t="s">
        <v>535</v>
      </c>
      <c r="E781" s="47" t="s">
        <v>3797</v>
      </c>
      <c r="F781" s="43" t="s">
        <v>536</v>
      </c>
    </row>
    <row r="782" spans="4:6" x14ac:dyDescent="0.25">
      <c r="D782" s="41" t="s">
        <v>538</v>
      </c>
      <c r="E782" s="47" t="s">
        <v>3797</v>
      </c>
      <c r="F782" s="43" t="s">
        <v>539</v>
      </c>
    </row>
    <row r="783" spans="4:6" x14ac:dyDescent="0.25">
      <c r="D783" s="41" t="s">
        <v>846</v>
      </c>
      <c r="E783" s="47" t="s">
        <v>3797</v>
      </c>
      <c r="F783" s="43" t="s">
        <v>747</v>
      </c>
    </row>
    <row r="784" spans="4:6" x14ac:dyDescent="0.25">
      <c r="D784" s="41" t="s">
        <v>872</v>
      </c>
      <c r="E784" s="47" t="s">
        <v>3797</v>
      </c>
      <c r="F784" s="43" t="s">
        <v>873</v>
      </c>
    </row>
    <row r="785" spans="4:6" x14ac:dyDescent="0.25">
      <c r="D785" s="41" t="s">
        <v>912</v>
      </c>
      <c r="E785" s="47" t="s">
        <v>3797</v>
      </c>
      <c r="F785" s="43" t="s">
        <v>747</v>
      </c>
    </row>
    <row r="786" spans="4:6" x14ac:dyDescent="0.25">
      <c r="D786" s="41" t="s">
        <v>1451</v>
      </c>
      <c r="E786" s="47" t="s">
        <v>3797</v>
      </c>
      <c r="F786" s="43" t="s">
        <v>747</v>
      </c>
    </row>
    <row r="787" spans="4:6" x14ac:dyDescent="0.25">
      <c r="D787" s="41" t="s">
        <v>1533</v>
      </c>
      <c r="E787" s="47" t="s">
        <v>3797</v>
      </c>
      <c r="F787" s="43"/>
    </row>
    <row r="788" spans="4:6" x14ac:dyDescent="0.25">
      <c r="D788" s="41" t="s">
        <v>1715</v>
      </c>
      <c r="E788" s="47" t="s">
        <v>3797</v>
      </c>
      <c r="F788" s="43" t="s">
        <v>1716</v>
      </c>
    </row>
    <row r="789" spans="4:6" x14ac:dyDescent="0.25">
      <c r="D789" s="41" t="s">
        <v>1905</v>
      </c>
      <c r="E789" s="47" t="s">
        <v>3797</v>
      </c>
      <c r="F789" s="43"/>
    </row>
    <row r="790" spans="4:6" x14ac:dyDescent="0.25">
      <c r="D790" s="41" t="s">
        <v>2244</v>
      </c>
      <c r="E790" s="47" t="s">
        <v>3797</v>
      </c>
      <c r="F790" s="43" t="s">
        <v>78</v>
      </c>
    </row>
    <row r="791" spans="4:6" x14ac:dyDescent="0.25">
      <c r="D791" s="41" t="s">
        <v>2245</v>
      </c>
      <c r="E791" s="47" t="s">
        <v>3797</v>
      </c>
      <c r="F791" s="43" t="s">
        <v>2148</v>
      </c>
    </row>
    <row r="792" spans="4:6" x14ac:dyDescent="0.25">
      <c r="D792" s="41" t="s">
        <v>2906</v>
      </c>
      <c r="E792" s="47" t="s">
        <v>3797</v>
      </c>
      <c r="F792" s="43" t="s">
        <v>938</v>
      </c>
    </row>
    <row r="793" spans="4:6" x14ac:dyDescent="0.25">
      <c r="D793" s="41" t="s">
        <v>2966</v>
      </c>
      <c r="E793" s="47" t="s">
        <v>3797</v>
      </c>
      <c r="F793" s="43"/>
    </row>
    <row r="794" spans="4:6" x14ac:dyDescent="0.25">
      <c r="D794" s="41" t="s">
        <v>2992</v>
      </c>
      <c r="E794" s="47" t="s">
        <v>3797</v>
      </c>
      <c r="F794" s="43" t="s">
        <v>747</v>
      </c>
    </row>
    <row r="795" spans="4:6" x14ac:dyDescent="0.25">
      <c r="D795" s="41" t="s">
        <v>3415</v>
      </c>
      <c r="E795" s="47" t="s">
        <v>3797</v>
      </c>
      <c r="F795" s="43"/>
    </row>
    <row r="796" spans="4:6" x14ac:dyDescent="0.25">
      <c r="D796" s="41" t="s">
        <v>3787</v>
      </c>
      <c r="E796" s="47" t="s">
        <v>3797</v>
      </c>
      <c r="F796" s="43" t="s">
        <v>747</v>
      </c>
    </row>
    <row r="797" spans="4:6" x14ac:dyDescent="0.25">
      <c r="D797" s="41" t="s">
        <v>895</v>
      </c>
      <c r="E797" s="47" t="s">
        <v>3796</v>
      </c>
      <c r="F797" s="43" t="s">
        <v>747</v>
      </c>
    </row>
    <row r="798" spans="4:6" x14ac:dyDescent="0.25">
      <c r="D798" s="41" t="s">
        <v>2243</v>
      </c>
      <c r="E798" s="47" t="s">
        <v>3796</v>
      </c>
      <c r="F798" s="43"/>
    </row>
    <row r="799" spans="4:6" x14ac:dyDescent="0.25">
      <c r="D799" s="41" t="s">
        <v>3036</v>
      </c>
      <c r="E799" s="47" t="s">
        <v>3796</v>
      </c>
      <c r="F799" s="43"/>
    </row>
    <row r="800" spans="4:6" x14ac:dyDescent="0.25">
      <c r="D800" s="44" t="s">
        <v>3319</v>
      </c>
      <c r="E800" s="48" t="s">
        <v>3796</v>
      </c>
      <c r="F800" s="46"/>
    </row>
    <row r="801" spans="4:6" x14ac:dyDescent="0.25">
      <c r="D801" s="41" t="s">
        <v>3758</v>
      </c>
      <c r="E801" s="47" t="s">
        <v>3796</v>
      </c>
      <c r="F801" s="43">
        <v>1</v>
      </c>
    </row>
    <row r="802" spans="4:6" x14ac:dyDescent="0.25">
      <c r="D802" s="41" t="s">
        <v>2246</v>
      </c>
      <c r="E802" s="42" t="s">
        <v>1024</v>
      </c>
      <c r="F802" s="43"/>
    </row>
    <row r="803" spans="4:6" x14ac:dyDescent="0.25">
      <c r="D803" s="41" t="s">
        <v>2247</v>
      </c>
      <c r="E803" s="42" t="s">
        <v>1024</v>
      </c>
      <c r="F803" s="43"/>
    </row>
    <row r="804" spans="4:6" x14ac:dyDescent="0.25">
      <c r="D804" s="41" t="s">
        <v>770</v>
      </c>
      <c r="E804" s="42" t="s">
        <v>3945</v>
      </c>
      <c r="F804" s="43" t="s">
        <v>747</v>
      </c>
    </row>
    <row r="805" spans="4:6" x14ac:dyDescent="0.25">
      <c r="D805" s="41" t="s">
        <v>1147</v>
      </c>
      <c r="E805" s="42" t="s">
        <v>3945</v>
      </c>
      <c r="F805" s="43" t="s">
        <v>1139</v>
      </c>
    </row>
    <row r="806" spans="4:6" x14ac:dyDescent="0.25">
      <c r="D806" s="41" t="s">
        <v>1174</v>
      </c>
      <c r="E806" s="42" t="s">
        <v>3945</v>
      </c>
      <c r="F806" s="43" t="s">
        <v>1139</v>
      </c>
    </row>
    <row r="807" spans="4:6" x14ac:dyDescent="0.25">
      <c r="D807" s="41" t="s">
        <v>1232</v>
      </c>
      <c r="E807" s="42" t="s">
        <v>3945</v>
      </c>
      <c r="F807" s="43" t="s">
        <v>747</v>
      </c>
    </row>
    <row r="808" spans="4:6" x14ac:dyDescent="0.25">
      <c r="D808" s="41" t="s">
        <v>1233</v>
      </c>
      <c r="E808" s="42" t="s">
        <v>3945</v>
      </c>
      <c r="F808" s="43" t="s">
        <v>747</v>
      </c>
    </row>
    <row r="809" spans="4:6" x14ac:dyDescent="0.25">
      <c r="D809" s="41" t="s">
        <v>1358</v>
      </c>
      <c r="E809" s="42" t="s">
        <v>3945</v>
      </c>
      <c r="F809" s="43">
        <v>14</v>
      </c>
    </row>
    <row r="810" spans="4:6" x14ac:dyDescent="0.25">
      <c r="D810" s="41" t="s">
        <v>1962</v>
      </c>
      <c r="E810" s="42" t="s">
        <v>3945</v>
      </c>
      <c r="F810" s="43" t="s">
        <v>747</v>
      </c>
    </row>
    <row r="811" spans="4:6" x14ac:dyDescent="0.25">
      <c r="D811" s="41" t="s">
        <v>2248</v>
      </c>
      <c r="E811" s="42" t="s">
        <v>3945</v>
      </c>
      <c r="F811" s="43"/>
    </row>
    <row r="812" spans="4:6" x14ac:dyDescent="0.25">
      <c r="D812" s="41" t="s">
        <v>2249</v>
      </c>
      <c r="E812" s="42" t="s">
        <v>3945</v>
      </c>
      <c r="F812" s="43"/>
    </row>
    <row r="813" spans="4:6" x14ac:dyDescent="0.25">
      <c r="D813" s="41" t="s">
        <v>2250</v>
      </c>
      <c r="E813" s="42" t="s">
        <v>3945</v>
      </c>
      <c r="F813" s="43"/>
    </row>
    <row r="814" spans="4:6" x14ac:dyDescent="0.25">
      <c r="D814" s="41" t="s">
        <v>2251</v>
      </c>
      <c r="E814" s="42" t="s">
        <v>3945</v>
      </c>
      <c r="F814" s="43"/>
    </row>
    <row r="815" spans="4:6" x14ac:dyDescent="0.25">
      <c r="D815" s="41" t="s">
        <v>2252</v>
      </c>
      <c r="E815" s="42" t="s">
        <v>3945</v>
      </c>
      <c r="F815" s="43" t="s">
        <v>747</v>
      </c>
    </row>
    <row r="816" spans="4:6" x14ac:dyDescent="0.25">
      <c r="D816" s="41" t="s">
        <v>2253</v>
      </c>
      <c r="E816" s="42" t="s">
        <v>3945</v>
      </c>
      <c r="F816" s="43" t="s">
        <v>2254</v>
      </c>
    </row>
    <row r="817" spans="4:6" x14ac:dyDescent="0.25">
      <c r="D817" s="41" t="s">
        <v>2255</v>
      </c>
      <c r="E817" s="42" t="s">
        <v>3945</v>
      </c>
      <c r="F817" s="43" t="s">
        <v>747</v>
      </c>
    </row>
    <row r="818" spans="4:6" x14ac:dyDescent="0.25">
      <c r="D818" s="41" t="s">
        <v>2256</v>
      </c>
      <c r="E818" s="42" t="s">
        <v>3945</v>
      </c>
      <c r="F818" s="43" t="s">
        <v>747</v>
      </c>
    </row>
    <row r="819" spans="4:6" x14ac:dyDescent="0.25">
      <c r="D819" s="41" t="s">
        <v>2257</v>
      </c>
      <c r="E819" s="42" t="s">
        <v>3945</v>
      </c>
      <c r="F819" s="43"/>
    </row>
    <row r="820" spans="4:6" x14ac:dyDescent="0.25">
      <c r="D820" s="41" t="s">
        <v>2258</v>
      </c>
      <c r="E820" s="42" t="s">
        <v>3945</v>
      </c>
      <c r="F820" s="43"/>
    </row>
    <row r="821" spans="4:6" x14ac:dyDescent="0.25">
      <c r="D821" s="41" t="s">
        <v>2873</v>
      </c>
      <c r="E821" s="42" t="s">
        <v>3945</v>
      </c>
      <c r="F821" s="43" t="s">
        <v>2874</v>
      </c>
    </row>
    <row r="822" spans="4:6" x14ac:dyDescent="0.25">
      <c r="D822" s="41" t="s">
        <v>2953</v>
      </c>
      <c r="E822" s="42" t="s">
        <v>3945</v>
      </c>
      <c r="F822" s="43" t="s">
        <v>747</v>
      </c>
    </row>
    <row r="823" spans="4:6" x14ac:dyDescent="0.25">
      <c r="D823" s="41" t="s">
        <v>2968</v>
      </c>
      <c r="E823" s="42" t="s">
        <v>3945</v>
      </c>
      <c r="F823" s="43"/>
    </row>
    <row r="824" spans="4:6" x14ac:dyDescent="0.25">
      <c r="D824" s="41" t="s">
        <v>3029</v>
      </c>
      <c r="E824" s="42" t="s">
        <v>3945</v>
      </c>
      <c r="F824" s="43"/>
    </row>
    <row r="825" spans="4:6" x14ac:dyDescent="0.25">
      <c r="D825" s="41" t="s">
        <v>3088</v>
      </c>
      <c r="E825" s="42" t="s">
        <v>3945</v>
      </c>
      <c r="F825" s="43" t="s">
        <v>3043</v>
      </c>
    </row>
    <row r="826" spans="4:6" x14ac:dyDescent="0.25">
      <c r="D826" s="41" t="s">
        <v>3464</v>
      </c>
      <c r="E826" s="42" t="s">
        <v>3945</v>
      </c>
      <c r="F826" s="43" t="s">
        <v>747</v>
      </c>
    </row>
    <row r="827" spans="4:6" x14ac:dyDescent="0.25">
      <c r="D827" s="41" t="s">
        <v>549</v>
      </c>
      <c r="E827" s="42" t="s">
        <v>3946</v>
      </c>
      <c r="F827" s="43" t="s">
        <v>544</v>
      </c>
    </row>
    <row r="828" spans="4:6" x14ac:dyDescent="0.25">
      <c r="D828" s="41" t="s">
        <v>1363</v>
      </c>
      <c r="E828" s="42" t="s">
        <v>3946</v>
      </c>
      <c r="F828" s="43" t="s">
        <v>747</v>
      </c>
    </row>
    <row r="829" spans="4:6" x14ac:dyDescent="0.25">
      <c r="D829" s="41" t="s">
        <v>1396</v>
      </c>
      <c r="E829" s="42" t="s">
        <v>3946</v>
      </c>
      <c r="F829" s="43" t="s">
        <v>747</v>
      </c>
    </row>
    <row r="830" spans="4:6" x14ac:dyDescent="0.25">
      <c r="D830" s="41" t="s">
        <v>1407</v>
      </c>
      <c r="E830" s="42" t="s">
        <v>3946</v>
      </c>
      <c r="F830" s="43" t="s">
        <v>747</v>
      </c>
    </row>
    <row r="831" spans="4:6" x14ac:dyDescent="0.25">
      <c r="D831" s="41" t="s">
        <v>1508</v>
      </c>
      <c r="E831" s="42" t="s">
        <v>3946</v>
      </c>
      <c r="F831" s="43"/>
    </row>
    <row r="832" spans="4:6" x14ac:dyDescent="0.25">
      <c r="D832" s="41" t="s">
        <v>1519</v>
      </c>
      <c r="E832" s="42" t="s">
        <v>3946</v>
      </c>
      <c r="F832" s="43"/>
    </row>
    <row r="833" spans="4:6" x14ac:dyDescent="0.25">
      <c r="D833" s="41" t="s">
        <v>1800</v>
      </c>
      <c r="E833" s="42" t="s">
        <v>3946</v>
      </c>
      <c r="F833" s="43" t="s">
        <v>1801</v>
      </c>
    </row>
    <row r="834" spans="4:6" x14ac:dyDescent="0.25">
      <c r="D834" s="41" t="s">
        <v>1888</v>
      </c>
      <c r="E834" s="42" t="s">
        <v>3946</v>
      </c>
      <c r="F834" s="43" t="s">
        <v>1867</v>
      </c>
    </row>
    <row r="835" spans="4:6" x14ac:dyDescent="0.25">
      <c r="D835" s="41" t="s">
        <v>1987</v>
      </c>
      <c r="E835" s="42" t="s">
        <v>3946</v>
      </c>
      <c r="F835" s="43" t="s">
        <v>747</v>
      </c>
    </row>
    <row r="836" spans="4:6" x14ac:dyDescent="0.25">
      <c r="D836" s="41" t="s">
        <v>2259</v>
      </c>
      <c r="E836" s="42" t="s">
        <v>3946</v>
      </c>
      <c r="F836" s="43"/>
    </row>
    <row r="837" spans="4:6" x14ac:dyDescent="0.25">
      <c r="D837" s="41" t="s">
        <v>2260</v>
      </c>
      <c r="E837" s="42" t="s">
        <v>3946</v>
      </c>
      <c r="F837" s="43" t="s">
        <v>2261</v>
      </c>
    </row>
    <row r="838" spans="4:6" x14ac:dyDescent="0.25">
      <c r="D838" s="41" t="s">
        <v>2769</v>
      </c>
      <c r="E838" s="42" t="s">
        <v>3946</v>
      </c>
      <c r="F838" s="43"/>
    </row>
    <row r="839" spans="4:6" x14ac:dyDescent="0.25">
      <c r="D839" s="41" t="s">
        <v>2871</v>
      </c>
      <c r="E839" s="42" t="s">
        <v>3946</v>
      </c>
      <c r="F839" s="43" t="s">
        <v>2872</v>
      </c>
    </row>
    <row r="840" spans="4:6" x14ac:dyDescent="0.25">
      <c r="D840" s="41" t="s">
        <v>3052</v>
      </c>
      <c r="E840" s="42" t="s">
        <v>3946</v>
      </c>
      <c r="F840" s="43" t="s">
        <v>461</v>
      </c>
    </row>
    <row r="841" spans="4:6" x14ac:dyDescent="0.25">
      <c r="D841" s="41" t="s">
        <v>3170</v>
      </c>
      <c r="E841" s="42" t="s">
        <v>3946</v>
      </c>
      <c r="F841" s="43"/>
    </row>
    <row r="842" spans="4:6" x14ac:dyDescent="0.25">
      <c r="D842" s="41" t="s">
        <v>3193</v>
      </c>
      <c r="E842" s="42" t="s">
        <v>3946</v>
      </c>
      <c r="F842" s="43"/>
    </row>
    <row r="843" spans="4:6" x14ac:dyDescent="0.25">
      <c r="D843" s="41" t="s">
        <v>3223</v>
      </c>
      <c r="E843" s="42" t="s">
        <v>3946</v>
      </c>
      <c r="F843" s="43" t="s">
        <v>3224</v>
      </c>
    </row>
    <row r="844" spans="4:6" x14ac:dyDescent="0.25">
      <c r="D844" s="41" t="s">
        <v>3235</v>
      </c>
      <c r="E844" s="42" t="s">
        <v>3946</v>
      </c>
      <c r="F844" s="43" t="s">
        <v>879</v>
      </c>
    </row>
    <row r="845" spans="4:6" x14ac:dyDescent="0.25">
      <c r="D845" s="41" t="s">
        <v>3749</v>
      </c>
      <c r="E845" s="42" t="s">
        <v>3946</v>
      </c>
      <c r="F845" s="43" t="s">
        <v>747</v>
      </c>
    </row>
    <row r="846" spans="4:6" x14ac:dyDescent="0.25">
      <c r="D846" s="41" t="s">
        <v>543</v>
      </c>
      <c r="E846" s="42" t="s">
        <v>3947</v>
      </c>
      <c r="F846" s="43" t="s">
        <v>544</v>
      </c>
    </row>
    <row r="847" spans="4:6" x14ac:dyDescent="0.25">
      <c r="D847" s="41" t="s">
        <v>1298</v>
      </c>
      <c r="E847" s="42" t="s">
        <v>3947</v>
      </c>
      <c r="F847" s="43" t="s">
        <v>747</v>
      </c>
    </row>
    <row r="848" spans="4:6" x14ac:dyDescent="0.25">
      <c r="D848" s="41" t="s">
        <v>1311</v>
      </c>
      <c r="E848" s="42" t="s">
        <v>3947</v>
      </c>
      <c r="F848" s="43" t="s">
        <v>747</v>
      </c>
    </row>
    <row r="849" spans="4:6" x14ac:dyDescent="0.25">
      <c r="D849" s="41" t="s">
        <v>1448</v>
      </c>
      <c r="E849" s="42" t="s">
        <v>3947</v>
      </c>
      <c r="F849" s="43">
        <v>1</v>
      </c>
    </row>
    <row r="850" spans="4:6" x14ac:dyDescent="0.25">
      <c r="D850" s="41" t="s">
        <v>1520</v>
      </c>
      <c r="E850" s="42" t="s">
        <v>3947</v>
      </c>
      <c r="F850" s="43"/>
    </row>
    <row r="851" spans="4:6" x14ac:dyDescent="0.25">
      <c r="D851" s="41" t="s">
        <v>1601</v>
      </c>
      <c r="E851" s="42" t="s">
        <v>3947</v>
      </c>
      <c r="F851" s="43" t="s">
        <v>1560</v>
      </c>
    </row>
    <row r="852" spans="4:6" x14ac:dyDescent="0.25">
      <c r="D852" s="41" t="s">
        <v>1680</v>
      </c>
      <c r="E852" s="42" t="s">
        <v>3947</v>
      </c>
      <c r="F852" s="43" t="s">
        <v>1681</v>
      </c>
    </row>
    <row r="853" spans="4:6" x14ac:dyDescent="0.25">
      <c r="D853" s="41" t="s">
        <v>2262</v>
      </c>
      <c r="E853" s="42" t="s">
        <v>3947</v>
      </c>
      <c r="F853" s="43" t="s">
        <v>2263</v>
      </c>
    </row>
    <row r="854" spans="4:6" x14ac:dyDescent="0.25">
      <c r="D854" s="41" t="s">
        <v>2264</v>
      </c>
      <c r="E854" s="42" t="s">
        <v>3947</v>
      </c>
      <c r="F854" s="43"/>
    </row>
    <row r="855" spans="4:6" x14ac:dyDescent="0.25">
      <c r="D855" s="41" t="s">
        <v>2770</v>
      </c>
      <c r="E855" s="42" t="s">
        <v>3947</v>
      </c>
      <c r="F855" s="43"/>
    </row>
    <row r="856" spans="4:6" x14ac:dyDescent="0.25">
      <c r="D856" s="41" t="s">
        <v>2997</v>
      </c>
      <c r="E856" s="42" t="s">
        <v>3947</v>
      </c>
      <c r="F856" s="43"/>
    </row>
    <row r="857" spans="4:6" x14ac:dyDescent="0.25">
      <c r="D857" s="41" t="s">
        <v>3090</v>
      </c>
      <c r="E857" s="42" t="s">
        <v>3947</v>
      </c>
      <c r="F857" s="43" t="s">
        <v>3091</v>
      </c>
    </row>
    <row r="858" spans="4:6" x14ac:dyDescent="0.25">
      <c r="D858" s="44" t="s">
        <v>3292</v>
      </c>
      <c r="E858" s="42" t="s">
        <v>3947</v>
      </c>
      <c r="F858" s="46" t="s">
        <v>3293</v>
      </c>
    </row>
    <row r="859" spans="4:6" x14ac:dyDescent="0.25">
      <c r="D859" s="44" t="s">
        <v>3332</v>
      </c>
      <c r="E859" s="42" t="s">
        <v>3947</v>
      </c>
      <c r="F859" s="46" t="s">
        <v>3333</v>
      </c>
    </row>
    <row r="860" spans="4:6" x14ac:dyDescent="0.25">
      <c r="D860" s="41" t="s">
        <v>3483</v>
      </c>
      <c r="E860" s="42" t="s">
        <v>3947</v>
      </c>
      <c r="F860" s="43" t="s">
        <v>747</v>
      </c>
    </row>
    <row r="861" spans="4:6" x14ac:dyDescent="0.25">
      <c r="D861" s="41" t="s">
        <v>3634</v>
      </c>
      <c r="E861" s="42" t="s">
        <v>3947</v>
      </c>
      <c r="F861" s="43"/>
    </row>
    <row r="862" spans="4:6" x14ac:dyDescent="0.25">
      <c r="D862" s="41" t="s">
        <v>1364</v>
      </c>
      <c r="E862" s="42" t="s">
        <v>3948</v>
      </c>
      <c r="F862" s="43" t="s">
        <v>747</v>
      </c>
    </row>
    <row r="863" spans="4:6" x14ac:dyDescent="0.25">
      <c r="D863" s="41" t="s">
        <v>1397</v>
      </c>
      <c r="E863" s="42" t="s">
        <v>3948</v>
      </c>
      <c r="F863" s="43" t="s">
        <v>747</v>
      </c>
    </row>
    <row r="864" spans="4:6" x14ac:dyDescent="0.25">
      <c r="D864" s="41" t="s">
        <v>1602</v>
      </c>
      <c r="E864" s="42" t="s">
        <v>3948</v>
      </c>
      <c r="F864" s="43" t="s">
        <v>1574</v>
      </c>
    </row>
    <row r="865" spans="4:6" x14ac:dyDescent="0.25">
      <c r="D865" s="41" t="s">
        <v>2265</v>
      </c>
      <c r="E865" s="42" t="s">
        <v>3948</v>
      </c>
      <c r="F865" s="43"/>
    </row>
    <row r="866" spans="4:6" x14ac:dyDescent="0.25">
      <c r="D866" s="41" t="s">
        <v>3027</v>
      </c>
      <c r="E866" s="42" t="s">
        <v>3948</v>
      </c>
      <c r="F866" s="43"/>
    </row>
    <row r="867" spans="4:6" x14ac:dyDescent="0.25">
      <c r="D867" s="41" t="s">
        <v>2771</v>
      </c>
      <c r="E867" s="42" t="s">
        <v>2772</v>
      </c>
      <c r="F867" s="43" t="s">
        <v>1139</v>
      </c>
    </row>
    <row r="868" spans="4:6" x14ac:dyDescent="0.25">
      <c r="D868" s="41" t="s">
        <v>1187</v>
      </c>
      <c r="E868" s="42" t="s">
        <v>132</v>
      </c>
      <c r="F868" s="43" t="s">
        <v>934</v>
      </c>
    </row>
    <row r="869" spans="4:6" x14ac:dyDescent="0.25">
      <c r="D869" s="41" t="s">
        <v>1441</v>
      </c>
      <c r="E869" s="42" t="s">
        <v>132</v>
      </c>
      <c r="F869" s="43" t="s">
        <v>747</v>
      </c>
    </row>
    <row r="870" spans="4:6" x14ac:dyDescent="0.25">
      <c r="D870" s="41" t="s">
        <v>1472</v>
      </c>
      <c r="E870" s="42" t="s">
        <v>132</v>
      </c>
      <c r="F870" s="43" t="s">
        <v>960</v>
      </c>
    </row>
    <row r="871" spans="4:6" x14ac:dyDescent="0.25">
      <c r="D871" s="41" t="s">
        <v>1925</v>
      </c>
      <c r="E871" s="42" t="s">
        <v>132</v>
      </c>
      <c r="F871" s="43" t="s">
        <v>747</v>
      </c>
    </row>
    <row r="872" spans="4:6" x14ac:dyDescent="0.25">
      <c r="D872" s="41" t="s">
        <v>2266</v>
      </c>
      <c r="E872" s="42" t="s">
        <v>132</v>
      </c>
      <c r="F872" s="43" t="s">
        <v>2267</v>
      </c>
    </row>
    <row r="873" spans="4:6" x14ac:dyDescent="0.25">
      <c r="D873" s="41" t="s">
        <v>2268</v>
      </c>
      <c r="E873" s="42" t="s">
        <v>132</v>
      </c>
      <c r="F873" s="43"/>
    </row>
    <row r="874" spans="4:6" x14ac:dyDescent="0.25">
      <c r="D874" s="41" t="s">
        <v>2269</v>
      </c>
      <c r="E874" s="42" t="s">
        <v>132</v>
      </c>
      <c r="F874" s="43" t="s">
        <v>747</v>
      </c>
    </row>
    <row r="875" spans="4:6" x14ac:dyDescent="0.25">
      <c r="D875" s="41" t="s">
        <v>2270</v>
      </c>
      <c r="E875" s="42" t="s">
        <v>132</v>
      </c>
      <c r="F875" s="43"/>
    </row>
    <row r="876" spans="4:6" x14ac:dyDescent="0.25">
      <c r="D876" s="41" t="s">
        <v>2271</v>
      </c>
      <c r="E876" s="42" t="s">
        <v>132</v>
      </c>
      <c r="F876" s="43"/>
    </row>
    <row r="877" spans="4:6" x14ac:dyDescent="0.25">
      <c r="D877" s="44" t="s">
        <v>3346</v>
      </c>
      <c r="E877" s="45" t="s">
        <v>132</v>
      </c>
      <c r="F877" s="46" t="s">
        <v>3307</v>
      </c>
    </row>
    <row r="878" spans="4:6" x14ac:dyDescent="0.25">
      <c r="D878" s="41" t="s">
        <v>3594</v>
      </c>
      <c r="E878" s="42" t="s">
        <v>132</v>
      </c>
      <c r="F878" s="43"/>
    </row>
    <row r="879" spans="4:6" x14ac:dyDescent="0.25">
      <c r="D879" s="41" t="s">
        <v>1146</v>
      </c>
      <c r="E879" s="42" t="s">
        <v>133</v>
      </c>
      <c r="F879" s="43" t="s">
        <v>1139</v>
      </c>
    </row>
    <row r="880" spans="4:6" x14ac:dyDescent="0.25">
      <c r="D880" s="41" t="s">
        <v>1390</v>
      </c>
      <c r="E880" s="42" t="s">
        <v>133</v>
      </c>
      <c r="F880" s="43" t="s">
        <v>747</v>
      </c>
    </row>
    <row r="881" spans="4:6" x14ac:dyDescent="0.25">
      <c r="D881" s="41" t="s">
        <v>1862</v>
      </c>
      <c r="E881" s="42" t="s">
        <v>133</v>
      </c>
      <c r="F881" s="43" t="s">
        <v>1822</v>
      </c>
    </row>
    <row r="882" spans="4:6" x14ac:dyDescent="0.25">
      <c r="D882" s="41" t="s">
        <v>2272</v>
      </c>
      <c r="E882" s="42" t="s">
        <v>133</v>
      </c>
      <c r="F882" s="43"/>
    </row>
    <row r="883" spans="4:6" x14ac:dyDescent="0.25">
      <c r="D883" s="44" t="s">
        <v>3266</v>
      </c>
      <c r="E883" s="45" t="s">
        <v>133</v>
      </c>
      <c r="F883" s="46" t="s">
        <v>3267</v>
      </c>
    </row>
    <row r="884" spans="4:6" x14ac:dyDescent="0.25">
      <c r="D884" s="41" t="s">
        <v>3422</v>
      </c>
      <c r="E884" s="42" t="s">
        <v>133</v>
      </c>
      <c r="F884" s="43"/>
    </row>
    <row r="885" spans="4:6" x14ac:dyDescent="0.25">
      <c r="D885" s="41" t="s">
        <v>3726</v>
      </c>
      <c r="E885" s="42" t="s">
        <v>133</v>
      </c>
      <c r="F885" s="43"/>
    </row>
    <row r="886" spans="4:6" x14ac:dyDescent="0.25">
      <c r="D886" s="41" t="s">
        <v>1116</v>
      </c>
      <c r="E886" s="42" t="s">
        <v>145</v>
      </c>
      <c r="F886" s="43" t="s">
        <v>1117</v>
      </c>
    </row>
    <row r="887" spans="4:6" x14ac:dyDescent="0.25">
      <c r="D887" s="41" t="s">
        <v>1145</v>
      </c>
      <c r="E887" s="42" t="s">
        <v>145</v>
      </c>
      <c r="F887" s="43" t="s">
        <v>1139</v>
      </c>
    </row>
    <row r="888" spans="4:6" x14ac:dyDescent="0.25">
      <c r="D888" s="41" t="s">
        <v>1313</v>
      </c>
      <c r="E888" s="42" t="s">
        <v>145</v>
      </c>
      <c r="F888" s="43" t="s">
        <v>747</v>
      </c>
    </row>
    <row r="889" spans="4:6" x14ac:dyDescent="0.25">
      <c r="D889" s="41" t="s">
        <v>2273</v>
      </c>
      <c r="E889" s="42" t="s">
        <v>145</v>
      </c>
      <c r="F889" s="43" t="s">
        <v>78</v>
      </c>
    </row>
    <row r="890" spans="4:6" x14ac:dyDescent="0.25">
      <c r="D890" s="41" t="s">
        <v>2274</v>
      </c>
      <c r="E890" s="42" t="s">
        <v>145</v>
      </c>
      <c r="F890" s="43"/>
    </row>
    <row r="891" spans="4:6" x14ac:dyDescent="0.25">
      <c r="D891" s="41" t="s">
        <v>2944</v>
      </c>
      <c r="E891" s="42" t="s">
        <v>145</v>
      </c>
      <c r="F891" s="43" t="s">
        <v>747</v>
      </c>
    </row>
    <row r="892" spans="4:6" x14ac:dyDescent="0.25">
      <c r="D892" s="41" t="s">
        <v>3121</v>
      </c>
      <c r="E892" s="42" t="s">
        <v>145</v>
      </c>
      <c r="F892" s="43" t="s">
        <v>747</v>
      </c>
    </row>
    <row r="893" spans="4:6" x14ac:dyDescent="0.25">
      <c r="D893" s="44" t="s">
        <v>3315</v>
      </c>
      <c r="E893" s="48" t="s">
        <v>3798</v>
      </c>
      <c r="F893" s="46" t="s">
        <v>3307</v>
      </c>
    </row>
    <row r="894" spans="4:6" x14ac:dyDescent="0.25">
      <c r="D894" s="41" t="s">
        <v>1454</v>
      </c>
      <c r="E894" s="42" t="s">
        <v>3862</v>
      </c>
      <c r="F894" s="43" t="s">
        <v>747</v>
      </c>
    </row>
    <row r="895" spans="4:6" x14ac:dyDescent="0.25">
      <c r="D895" s="41" t="s">
        <v>3784</v>
      </c>
      <c r="E895" s="42" t="s">
        <v>3862</v>
      </c>
      <c r="F895" s="43" t="s">
        <v>747</v>
      </c>
    </row>
    <row r="896" spans="4:6" x14ac:dyDescent="0.25">
      <c r="D896" s="41" t="s">
        <v>3463</v>
      </c>
      <c r="E896" s="42" t="s">
        <v>3861</v>
      </c>
      <c r="F896" s="43" t="s">
        <v>747</v>
      </c>
    </row>
    <row r="897" spans="4:6" x14ac:dyDescent="0.25">
      <c r="D897" s="41" t="s">
        <v>2275</v>
      </c>
      <c r="E897" s="42" t="s">
        <v>3863</v>
      </c>
      <c r="F897" s="43"/>
    </row>
    <row r="898" spans="4:6" x14ac:dyDescent="0.25">
      <c r="D898" s="41" t="s">
        <v>3607</v>
      </c>
      <c r="E898" s="42" t="s">
        <v>3864</v>
      </c>
      <c r="F898" s="43"/>
    </row>
    <row r="899" spans="4:6" x14ac:dyDescent="0.25">
      <c r="D899" s="41" t="s">
        <v>820</v>
      </c>
      <c r="E899" s="42" t="s">
        <v>3865</v>
      </c>
      <c r="F899" s="43" t="s">
        <v>747</v>
      </c>
    </row>
    <row r="900" spans="4:6" x14ac:dyDescent="0.25">
      <c r="D900" s="41" t="s">
        <v>1537</v>
      </c>
      <c r="E900" s="42" t="s">
        <v>3865</v>
      </c>
      <c r="F900" s="43" t="s">
        <v>1538</v>
      </c>
    </row>
    <row r="901" spans="4:6" x14ac:dyDescent="0.25">
      <c r="D901" s="41" t="s">
        <v>1754</v>
      </c>
      <c r="E901" s="42" t="s">
        <v>3865</v>
      </c>
      <c r="F901" s="43" t="s">
        <v>1755</v>
      </c>
    </row>
    <row r="902" spans="4:6" x14ac:dyDescent="0.25">
      <c r="D902" s="41" t="s">
        <v>1869</v>
      </c>
      <c r="E902" s="42" t="s">
        <v>3865</v>
      </c>
      <c r="F902" s="43" t="s">
        <v>1711</v>
      </c>
    </row>
    <row r="903" spans="4:6" x14ac:dyDescent="0.25">
      <c r="D903" s="41" t="s">
        <v>2908</v>
      </c>
      <c r="E903" s="42" t="s">
        <v>3865</v>
      </c>
      <c r="F903" s="43" t="s">
        <v>938</v>
      </c>
    </row>
    <row r="904" spans="4:6" x14ac:dyDescent="0.25">
      <c r="D904" s="41" t="s">
        <v>3621</v>
      </c>
      <c r="E904" s="42" t="s">
        <v>3866</v>
      </c>
      <c r="F904" s="43" t="s">
        <v>747</v>
      </c>
    </row>
    <row r="905" spans="4:6" x14ac:dyDescent="0.25">
      <c r="D905" s="41" t="s">
        <v>3668</v>
      </c>
      <c r="E905" s="42" t="s">
        <v>3662</v>
      </c>
      <c r="F905" s="43" t="s">
        <v>3662</v>
      </c>
    </row>
    <row r="906" spans="4:6" x14ac:dyDescent="0.25">
      <c r="D906" s="41" t="s">
        <v>2276</v>
      </c>
      <c r="E906" s="42" t="s">
        <v>2277</v>
      </c>
      <c r="F906" s="43" t="s">
        <v>1242</v>
      </c>
    </row>
    <row r="907" spans="4:6" x14ac:dyDescent="0.25">
      <c r="D907" s="41" t="s">
        <v>2278</v>
      </c>
      <c r="E907" s="42" t="s">
        <v>1067</v>
      </c>
      <c r="F907" s="43" t="s">
        <v>78</v>
      </c>
    </row>
    <row r="908" spans="4:6" x14ac:dyDescent="0.25">
      <c r="D908" s="41" t="s">
        <v>2279</v>
      </c>
      <c r="E908" s="42" t="s">
        <v>1032</v>
      </c>
      <c r="F908" s="43"/>
    </row>
    <row r="909" spans="4:6" x14ac:dyDescent="0.25">
      <c r="D909" s="41" t="s">
        <v>2280</v>
      </c>
      <c r="E909" s="42" t="s">
        <v>1032</v>
      </c>
      <c r="F909" s="43"/>
    </row>
    <row r="910" spans="4:6" x14ac:dyDescent="0.25">
      <c r="D910" s="41" t="s">
        <v>3213</v>
      </c>
      <c r="E910" s="42" t="s">
        <v>1032</v>
      </c>
      <c r="F910" s="43"/>
    </row>
    <row r="911" spans="4:6" x14ac:dyDescent="0.25">
      <c r="D911" s="41" t="s">
        <v>3388</v>
      </c>
      <c r="E911" s="42" t="s">
        <v>1032</v>
      </c>
      <c r="F911" s="43"/>
    </row>
    <row r="912" spans="4:6" x14ac:dyDescent="0.25">
      <c r="D912" s="41" t="s">
        <v>3564</v>
      </c>
      <c r="E912" s="42" t="s">
        <v>3869</v>
      </c>
      <c r="F912" s="43" t="s">
        <v>747</v>
      </c>
    </row>
    <row r="913" spans="4:6" x14ac:dyDescent="0.25">
      <c r="D913" s="41" t="s">
        <v>894</v>
      </c>
      <c r="E913" s="42" t="s">
        <v>3870</v>
      </c>
      <c r="F913" s="43" t="s">
        <v>747</v>
      </c>
    </row>
    <row r="914" spans="4:6" x14ac:dyDescent="0.25">
      <c r="D914" s="41" t="s">
        <v>1204</v>
      </c>
      <c r="E914" s="42" t="s">
        <v>3870</v>
      </c>
      <c r="F914" s="43" t="s">
        <v>747</v>
      </c>
    </row>
    <row r="915" spans="4:6" x14ac:dyDescent="0.25">
      <c r="D915" s="41" t="s">
        <v>1669</v>
      </c>
      <c r="E915" s="42" t="s">
        <v>3870</v>
      </c>
      <c r="F915" s="43" t="s">
        <v>1670</v>
      </c>
    </row>
    <row r="916" spans="4:6" x14ac:dyDescent="0.25">
      <c r="D916" s="41" t="s">
        <v>2281</v>
      </c>
      <c r="E916" s="42" t="s">
        <v>3870</v>
      </c>
      <c r="F916" s="43" t="s">
        <v>747</v>
      </c>
    </row>
    <row r="917" spans="4:6" x14ac:dyDescent="0.25">
      <c r="D917" s="41" t="s">
        <v>2282</v>
      </c>
      <c r="E917" s="42" t="s">
        <v>3870</v>
      </c>
      <c r="F917" s="43"/>
    </row>
    <row r="918" spans="4:6" x14ac:dyDescent="0.25">
      <c r="D918" s="41" t="s">
        <v>2283</v>
      </c>
      <c r="E918" s="42" t="s">
        <v>3870</v>
      </c>
      <c r="F918" s="43"/>
    </row>
    <row r="919" spans="4:6" x14ac:dyDescent="0.25">
      <c r="D919" s="41" t="s">
        <v>2284</v>
      </c>
      <c r="E919" s="42" t="s">
        <v>3870</v>
      </c>
      <c r="F919" s="43"/>
    </row>
    <row r="920" spans="4:6" x14ac:dyDescent="0.25">
      <c r="D920" s="41" t="s">
        <v>2285</v>
      </c>
      <c r="E920" s="42" t="s">
        <v>3870</v>
      </c>
      <c r="F920" s="43"/>
    </row>
    <row r="921" spans="4:6" x14ac:dyDescent="0.25">
      <c r="D921" s="41" t="s">
        <v>2286</v>
      </c>
      <c r="E921" s="42" t="s">
        <v>3870</v>
      </c>
      <c r="F921" s="43"/>
    </row>
    <row r="922" spans="4:6" x14ac:dyDescent="0.25">
      <c r="D922" s="41" t="s">
        <v>2287</v>
      </c>
      <c r="E922" s="42" t="s">
        <v>3870</v>
      </c>
      <c r="F922" s="43"/>
    </row>
    <row r="923" spans="4:6" x14ac:dyDescent="0.25">
      <c r="D923" s="41" t="s">
        <v>2288</v>
      </c>
      <c r="E923" s="42" t="s">
        <v>3870</v>
      </c>
      <c r="F923" s="43"/>
    </row>
    <row r="924" spans="4:6" x14ac:dyDescent="0.25">
      <c r="D924" s="41" t="s">
        <v>2289</v>
      </c>
      <c r="E924" s="42" t="s">
        <v>3870</v>
      </c>
      <c r="F924" s="43"/>
    </row>
    <row r="925" spans="4:6" x14ac:dyDescent="0.25">
      <c r="D925" s="41" t="s">
        <v>2946</v>
      </c>
      <c r="E925" s="42" t="s">
        <v>3870</v>
      </c>
      <c r="F925" s="43" t="s">
        <v>747</v>
      </c>
    </row>
    <row r="926" spans="4:6" x14ac:dyDescent="0.25">
      <c r="D926" s="41" t="s">
        <v>3197</v>
      </c>
      <c r="E926" s="42" t="s">
        <v>3870</v>
      </c>
      <c r="F926" s="43"/>
    </row>
    <row r="927" spans="4:6" x14ac:dyDescent="0.25">
      <c r="D927" s="44" t="s">
        <v>3291</v>
      </c>
      <c r="E927" s="45" t="s">
        <v>3870</v>
      </c>
      <c r="F927" s="46" t="s">
        <v>3286</v>
      </c>
    </row>
    <row r="928" spans="4:6" x14ac:dyDescent="0.25">
      <c r="D928" s="41" t="s">
        <v>3378</v>
      </c>
      <c r="E928" s="42" t="s">
        <v>3870</v>
      </c>
      <c r="F928" s="43"/>
    </row>
    <row r="929" spans="4:6" x14ac:dyDescent="0.25">
      <c r="D929" s="41" t="s">
        <v>3558</v>
      </c>
      <c r="E929" s="42" t="s">
        <v>3870</v>
      </c>
      <c r="F929" s="43"/>
    </row>
    <row r="930" spans="4:6" x14ac:dyDescent="0.25">
      <c r="D930" s="41" t="s">
        <v>2290</v>
      </c>
      <c r="E930" s="42" t="s">
        <v>2291</v>
      </c>
      <c r="F930" s="43" t="s">
        <v>2292</v>
      </c>
    </row>
    <row r="931" spans="4:6" x14ac:dyDescent="0.25">
      <c r="D931" s="41" t="s">
        <v>1154</v>
      </c>
      <c r="E931" s="42" t="s">
        <v>3874</v>
      </c>
      <c r="F931" s="43" t="s">
        <v>1139</v>
      </c>
    </row>
    <row r="932" spans="4:6" x14ac:dyDescent="0.25">
      <c r="D932" s="41" t="s">
        <v>1598</v>
      </c>
      <c r="E932" s="42" t="s">
        <v>3874</v>
      </c>
      <c r="F932" s="43" t="s">
        <v>1574</v>
      </c>
    </row>
    <row r="933" spans="4:6" x14ac:dyDescent="0.25">
      <c r="D933" s="41" t="s">
        <v>1682</v>
      </c>
      <c r="E933" s="42" t="s">
        <v>3874</v>
      </c>
      <c r="F933" s="43" t="s">
        <v>1683</v>
      </c>
    </row>
    <row r="934" spans="4:6" x14ac:dyDescent="0.25">
      <c r="D934" s="41" t="s">
        <v>2293</v>
      </c>
      <c r="E934" s="42" t="s">
        <v>3874</v>
      </c>
      <c r="F934" s="43"/>
    </row>
    <row r="935" spans="4:6" x14ac:dyDescent="0.25">
      <c r="D935" s="41" t="s">
        <v>2294</v>
      </c>
      <c r="E935" s="42" t="s">
        <v>3874</v>
      </c>
      <c r="F935" s="43" t="s">
        <v>747</v>
      </c>
    </row>
    <row r="936" spans="4:6" x14ac:dyDescent="0.25">
      <c r="D936" s="41" t="s">
        <v>2295</v>
      </c>
      <c r="E936" s="42" t="s">
        <v>3874</v>
      </c>
      <c r="F936" s="43"/>
    </row>
    <row r="937" spans="4:6" x14ac:dyDescent="0.25">
      <c r="D937" s="41" t="s">
        <v>2296</v>
      </c>
      <c r="E937" s="42" t="s">
        <v>3874</v>
      </c>
      <c r="F937" s="43"/>
    </row>
    <row r="938" spans="4:6" x14ac:dyDescent="0.25">
      <c r="D938" s="41" t="s">
        <v>2297</v>
      </c>
      <c r="E938" s="42" t="s">
        <v>3874</v>
      </c>
      <c r="F938" s="43" t="s">
        <v>78</v>
      </c>
    </row>
    <row r="939" spans="4:6" x14ac:dyDescent="0.25">
      <c r="D939" s="41" t="s">
        <v>2298</v>
      </c>
      <c r="E939" s="42" t="s">
        <v>3874</v>
      </c>
      <c r="F939" s="43"/>
    </row>
    <row r="940" spans="4:6" x14ac:dyDescent="0.25">
      <c r="D940" s="41" t="s">
        <v>2299</v>
      </c>
      <c r="E940" s="42" t="s">
        <v>3874</v>
      </c>
      <c r="F940" s="43"/>
    </row>
    <row r="941" spans="4:6" x14ac:dyDescent="0.25">
      <c r="D941" s="41" t="s">
        <v>2300</v>
      </c>
      <c r="E941" s="42" t="s">
        <v>3874</v>
      </c>
      <c r="F941" s="43"/>
    </row>
    <row r="942" spans="4:6" x14ac:dyDescent="0.25">
      <c r="D942" s="44" t="s">
        <v>3283</v>
      </c>
      <c r="E942" s="42" t="s">
        <v>3874</v>
      </c>
      <c r="F942" s="46" t="s">
        <v>869</v>
      </c>
    </row>
    <row r="943" spans="4:6" x14ac:dyDescent="0.25">
      <c r="D943" s="44" t="s">
        <v>3290</v>
      </c>
      <c r="E943" s="42" t="s">
        <v>3874</v>
      </c>
      <c r="F943" s="46" t="s">
        <v>1242</v>
      </c>
    </row>
    <row r="944" spans="4:6" x14ac:dyDescent="0.25">
      <c r="D944" s="41" t="s">
        <v>3389</v>
      </c>
      <c r="E944" s="42" t="s">
        <v>3874</v>
      </c>
      <c r="F944" s="43"/>
    </row>
    <row r="945" spans="4:6" x14ac:dyDescent="0.25">
      <c r="D945" s="41" t="s">
        <v>3390</v>
      </c>
      <c r="E945" s="42" t="s">
        <v>3874</v>
      </c>
      <c r="F945" s="43"/>
    </row>
    <row r="946" spans="4:6" x14ac:dyDescent="0.25">
      <c r="D946" s="41" t="s">
        <v>3419</v>
      </c>
      <c r="E946" s="42" t="s">
        <v>3874</v>
      </c>
      <c r="F946" s="43"/>
    </row>
    <row r="947" spans="4:6" x14ac:dyDescent="0.25">
      <c r="D947" s="41" t="s">
        <v>3504</v>
      </c>
      <c r="E947" s="42" t="s">
        <v>3874</v>
      </c>
      <c r="F947" s="43" t="s">
        <v>747</v>
      </c>
    </row>
    <row r="948" spans="4:6" x14ac:dyDescent="0.25">
      <c r="D948" s="41" t="s">
        <v>3524</v>
      </c>
      <c r="E948" s="42" t="s">
        <v>3874</v>
      </c>
      <c r="F948" s="43" t="s">
        <v>747</v>
      </c>
    </row>
    <row r="949" spans="4:6" x14ac:dyDescent="0.25">
      <c r="D949" s="41" t="s">
        <v>3744</v>
      </c>
      <c r="E949" s="42" t="s">
        <v>3874</v>
      </c>
      <c r="F949" s="43" t="s">
        <v>747</v>
      </c>
    </row>
    <row r="950" spans="4:6" x14ac:dyDescent="0.25">
      <c r="D950" s="44" t="s">
        <v>3284</v>
      </c>
      <c r="E950" s="45" t="s">
        <v>3285</v>
      </c>
      <c r="F950" s="46" t="s">
        <v>3286</v>
      </c>
    </row>
    <row r="951" spans="4:6" x14ac:dyDescent="0.25">
      <c r="D951" s="41" t="s">
        <v>2301</v>
      </c>
      <c r="E951" s="42" t="s">
        <v>3871</v>
      </c>
      <c r="F951" s="43"/>
    </row>
    <row r="952" spans="4:6" x14ac:dyDescent="0.25">
      <c r="D952" s="41" t="s">
        <v>2302</v>
      </c>
      <c r="E952" s="42" t="s">
        <v>3871</v>
      </c>
      <c r="F952" s="43"/>
    </row>
    <row r="953" spans="4:6" x14ac:dyDescent="0.25">
      <c r="D953" s="41" t="s">
        <v>2303</v>
      </c>
      <c r="E953" s="42" t="s">
        <v>3871</v>
      </c>
      <c r="F953" s="43"/>
    </row>
    <row r="954" spans="4:6" x14ac:dyDescent="0.25">
      <c r="D954" s="41" t="s">
        <v>3767</v>
      </c>
      <c r="E954" s="42" t="s">
        <v>3871</v>
      </c>
      <c r="F954" s="43" t="s">
        <v>747</v>
      </c>
    </row>
    <row r="955" spans="4:6" x14ac:dyDescent="0.25">
      <c r="D955" s="41" t="s">
        <v>487</v>
      </c>
      <c r="E955" s="42" t="s">
        <v>3872</v>
      </c>
      <c r="F955" s="43" t="s">
        <v>391</v>
      </c>
    </row>
    <row r="956" spans="4:6" x14ac:dyDescent="0.25">
      <c r="D956" s="41" t="s">
        <v>488</v>
      </c>
      <c r="E956" s="42" t="s">
        <v>3872</v>
      </c>
      <c r="F956" s="43" t="s">
        <v>489</v>
      </c>
    </row>
    <row r="957" spans="4:6" x14ac:dyDescent="0.25">
      <c r="D957" s="41" t="s">
        <v>557</v>
      </c>
      <c r="E957" s="42" t="s">
        <v>3872</v>
      </c>
      <c r="F957" s="43" t="s">
        <v>558</v>
      </c>
    </row>
    <row r="958" spans="4:6" x14ac:dyDescent="0.25">
      <c r="D958" s="41" t="s">
        <v>565</v>
      </c>
      <c r="E958" s="42" t="s">
        <v>3872</v>
      </c>
      <c r="F958" s="43" t="s">
        <v>566</v>
      </c>
    </row>
    <row r="959" spans="4:6" x14ac:dyDescent="0.25">
      <c r="D959" s="41" t="s">
        <v>655</v>
      </c>
      <c r="E959" s="42" t="s">
        <v>3872</v>
      </c>
      <c r="F959" s="43" t="s">
        <v>656</v>
      </c>
    </row>
    <row r="960" spans="4:6" x14ac:dyDescent="0.25">
      <c r="D960" s="41" t="s">
        <v>903</v>
      </c>
      <c r="E960" s="42" t="s">
        <v>3872</v>
      </c>
      <c r="F960" s="43" t="s">
        <v>747</v>
      </c>
    </row>
    <row r="961" spans="4:6" x14ac:dyDescent="0.25">
      <c r="D961" s="41" t="s">
        <v>907</v>
      </c>
      <c r="E961" s="42" t="s">
        <v>3872</v>
      </c>
      <c r="F961" s="43" t="s">
        <v>747</v>
      </c>
    </row>
    <row r="962" spans="4:6" x14ac:dyDescent="0.25">
      <c r="D962" s="41" t="s">
        <v>987</v>
      </c>
      <c r="E962" s="42" t="s">
        <v>3872</v>
      </c>
      <c r="F962" s="43">
        <v>1</v>
      </c>
    </row>
    <row r="963" spans="4:6" x14ac:dyDescent="0.25">
      <c r="D963" s="41" t="s">
        <v>995</v>
      </c>
      <c r="E963" s="42" t="s">
        <v>3872</v>
      </c>
      <c r="F963" s="43" t="s">
        <v>996</v>
      </c>
    </row>
    <row r="964" spans="4:6" x14ac:dyDescent="0.25">
      <c r="D964" s="41" t="s">
        <v>1163</v>
      </c>
      <c r="E964" s="42" t="s">
        <v>3872</v>
      </c>
      <c r="F964" s="43" t="s">
        <v>941</v>
      </c>
    </row>
    <row r="965" spans="4:6" x14ac:dyDescent="0.25">
      <c r="D965" s="41" t="s">
        <v>1176</v>
      </c>
      <c r="E965" s="42" t="s">
        <v>3872</v>
      </c>
      <c r="F965" s="43" t="s">
        <v>1139</v>
      </c>
    </row>
    <row r="966" spans="4:6" x14ac:dyDescent="0.25">
      <c r="D966" s="41" t="s">
        <v>1268</v>
      </c>
      <c r="E966" s="42" t="s">
        <v>3872</v>
      </c>
      <c r="F966" s="43" t="s">
        <v>747</v>
      </c>
    </row>
    <row r="967" spans="4:6" x14ac:dyDescent="0.25">
      <c r="D967" s="41" t="s">
        <v>1320</v>
      </c>
      <c r="E967" s="42" t="s">
        <v>3872</v>
      </c>
      <c r="F967" s="43" t="s">
        <v>1321</v>
      </c>
    </row>
    <row r="968" spans="4:6" x14ac:dyDescent="0.25">
      <c r="D968" s="41" t="s">
        <v>1342</v>
      </c>
      <c r="E968" s="42" t="s">
        <v>3872</v>
      </c>
      <c r="F968" s="43" t="s">
        <v>747</v>
      </c>
    </row>
    <row r="969" spans="4:6" x14ac:dyDescent="0.25">
      <c r="D969" s="41" t="s">
        <v>1359</v>
      </c>
      <c r="E969" s="42" t="s">
        <v>3872</v>
      </c>
      <c r="F969" s="43" t="s">
        <v>747</v>
      </c>
    </row>
    <row r="970" spans="4:6" x14ac:dyDescent="0.25">
      <c r="D970" s="41" t="s">
        <v>1989</v>
      </c>
      <c r="E970" s="42" t="s">
        <v>3872</v>
      </c>
      <c r="F970" s="43" t="s">
        <v>747</v>
      </c>
    </row>
    <row r="971" spans="4:6" x14ac:dyDescent="0.25">
      <c r="D971" s="41" t="s">
        <v>2304</v>
      </c>
      <c r="E971" s="42" t="s">
        <v>3872</v>
      </c>
      <c r="F971" s="43" t="s">
        <v>747</v>
      </c>
    </row>
    <row r="972" spans="4:6" x14ac:dyDescent="0.25">
      <c r="D972" s="41" t="s">
        <v>2305</v>
      </c>
      <c r="E972" s="42" t="s">
        <v>3872</v>
      </c>
      <c r="F972" s="43"/>
    </row>
    <row r="973" spans="4:6" x14ac:dyDescent="0.25">
      <c r="D973" s="41" t="s">
        <v>2306</v>
      </c>
      <c r="E973" s="42" t="s">
        <v>3872</v>
      </c>
      <c r="F973" s="43"/>
    </row>
    <row r="974" spans="4:6" x14ac:dyDescent="0.25">
      <c r="D974" s="41" t="s">
        <v>2307</v>
      </c>
      <c r="E974" s="42" t="s">
        <v>3872</v>
      </c>
      <c r="F974" s="43"/>
    </row>
    <row r="975" spans="4:6" x14ac:dyDescent="0.25">
      <c r="D975" s="41" t="s">
        <v>2778</v>
      </c>
      <c r="E975" s="42" t="s">
        <v>3872</v>
      </c>
      <c r="F975" s="43"/>
    </row>
    <row r="976" spans="4:6" x14ac:dyDescent="0.25">
      <c r="D976" s="41" t="s">
        <v>2854</v>
      </c>
      <c r="E976" s="42" t="s">
        <v>3872</v>
      </c>
      <c r="F976" s="43" t="s">
        <v>2855</v>
      </c>
    </row>
    <row r="977" spans="4:6" x14ac:dyDescent="0.25">
      <c r="D977" s="41" t="s">
        <v>2952</v>
      </c>
      <c r="E977" s="42" t="s">
        <v>3872</v>
      </c>
      <c r="F977" s="43" t="s">
        <v>747</v>
      </c>
    </row>
    <row r="978" spans="4:6" x14ac:dyDescent="0.25">
      <c r="D978" s="41" t="s">
        <v>2982</v>
      </c>
      <c r="E978" s="42" t="s">
        <v>3872</v>
      </c>
      <c r="F978" s="43"/>
    </row>
    <row r="979" spans="4:6" x14ac:dyDescent="0.25">
      <c r="D979" s="41" t="s">
        <v>3000</v>
      </c>
      <c r="E979" s="42" t="s">
        <v>3872</v>
      </c>
      <c r="F979" s="43"/>
    </row>
    <row r="980" spans="4:6" x14ac:dyDescent="0.25">
      <c r="D980" s="41" t="s">
        <v>3153</v>
      </c>
      <c r="E980" s="42" t="s">
        <v>3872</v>
      </c>
      <c r="F980" s="43"/>
    </row>
    <row r="981" spans="4:6" x14ac:dyDescent="0.25">
      <c r="D981" s="41" t="s">
        <v>3196</v>
      </c>
      <c r="E981" s="42" t="s">
        <v>3872</v>
      </c>
      <c r="F981" s="43"/>
    </row>
    <row r="982" spans="4:6" x14ac:dyDescent="0.25">
      <c r="D982" s="41" t="s">
        <v>3383</v>
      </c>
      <c r="E982" s="42" t="s">
        <v>3872</v>
      </c>
      <c r="F982" s="43"/>
    </row>
    <row r="983" spans="4:6" x14ac:dyDescent="0.25">
      <c r="D983" s="41" t="s">
        <v>3550</v>
      </c>
      <c r="E983" s="42" t="s">
        <v>3872</v>
      </c>
      <c r="F983" s="43"/>
    </row>
    <row r="984" spans="4:6" x14ac:dyDescent="0.25">
      <c r="D984" s="41" t="s">
        <v>3578</v>
      </c>
      <c r="E984" s="42" t="s">
        <v>3872</v>
      </c>
      <c r="F984" s="43"/>
    </row>
    <row r="985" spans="4:6" x14ac:dyDescent="0.25">
      <c r="D985" s="41" t="s">
        <v>2308</v>
      </c>
      <c r="E985" s="42" t="s">
        <v>3873</v>
      </c>
      <c r="F985" s="43" t="s">
        <v>747</v>
      </c>
    </row>
    <row r="986" spans="4:6" x14ac:dyDescent="0.25">
      <c r="D986" s="41" t="s">
        <v>2309</v>
      </c>
      <c r="E986" s="42" t="s">
        <v>2310</v>
      </c>
      <c r="F986" s="43" t="s">
        <v>2311</v>
      </c>
    </row>
    <row r="987" spans="4:6" x14ac:dyDescent="0.25">
      <c r="D987" s="41" t="s">
        <v>2312</v>
      </c>
      <c r="E987" s="42" t="s">
        <v>1051</v>
      </c>
      <c r="F987" s="43"/>
    </row>
    <row r="988" spans="4:6" x14ac:dyDescent="0.25">
      <c r="D988" s="44" t="s">
        <v>3287</v>
      </c>
      <c r="E988" s="45" t="s">
        <v>3288</v>
      </c>
      <c r="F988" s="46" t="s">
        <v>3289</v>
      </c>
    </row>
    <row r="989" spans="4:6" x14ac:dyDescent="0.25">
      <c r="D989" s="41" t="s">
        <v>1514</v>
      </c>
      <c r="E989" s="42" t="s">
        <v>263</v>
      </c>
      <c r="F989" s="43"/>
    </row>
    <row r="990" spans="4:6" x14ac:dyDescent="0.25">
      <c r="D990" s="41" t="s">
        <v>2314</v>
      </c>
      <c r="E990" s="42" t="s">
        <v>263</v>
      </c>
      <c r="F990" s="43"/>
    </row>
    <row r="991" spans="4:6" x14ac:dyDescent="0.25">
      <c r="D991" s="41" t="s">
        <v>2315</v>
      </c>
      <c r="E991" s="42" t="s">
        <v>263</v>
      </c>
      <c r="F991" s="43"/>
    </row>
    <row r="992" spans="4:6" x14ac:dyDescent="0.25">
      <c r="D992" s="41" t="s">
        <v>2976</v>
      </c>
      <c r="E992" s="42" t="s">
        <v>157</v>
      </c>
      <c r="F992" s="43"/>
    </row>
    <row r="993" spans="4:6" x14ac:dyDescent="0.25">
      <c r="D993" s="41" t="s">
        <v>2991</v>
      </c>
      <c r="E993" s="42" t="s">
        <v>157</v>
      </c>
      <c r="F993" s="43"/>
    </row>
    <row r="994" spans="4:6" x14ac:dyDescent="0.25">
      <c r="D994" s="44" t="s">
        <v>3359</v>
      </c>
      <c r="E994" s="45" t="s">
        <v>157</v>
      </c>
      <c r="F994" s="46" t="s">
        <v>3307</v>
      </c>
    </row>
    <row r="995" spans="4:6" x14ac:dyDescent="0.25">
      <c r="D995" s="41" t="s">
        <v>1552</v>
      </c>
      <c r="E995" s="42" t="s">
        <v>1553</v>
      </c>
      <c r="F995" s="43" t="s">
        <v>1554</v>
      </c>
    </row>
    <row r="996" spans="4:6" x14ac:dyDescent="0.25">
      <c r="D996" s="41" t="s">
        <v>2316</v>
      </c>
      <c r="E996" s="42" t="s">
        <v>1553</v>
      </c>
      <c r="F996" s="43"/>
    </row>
    <row r="997" spans="4:6" x14ac:dyDescent="0.25">
      <c r="D997" s="41" t="s">
        <v>2945</v>
      </c>
      <c r="E997" s="42" t="s">
        <v>1553</v>
      </c>
      <c r="F997" s="43" t="s">
        <v>747</v>
      </c>
    </row>
    <row r="998" spans="4:6" x14ac:dyDescent="0.25">
      <c r="D998" s="41" t="s">
        <v>3773</v>
      </c>
      <c r="E998" s="42" t="s">
        <v>1553</v>
      </c>
      <c r="F998" s="43" t="s">
        <v>747</v>
      </c>
    </row>
    <row r="999" spans="4:6" x14ac:dyDescent="0.25">
      <c r="D999" s="41" t="s">
        <v>811</v>
      </c>
      <c r="E999" s="42" t="s">
        <v>158</v>
      </c>
      <c r="F999" s="43" t="s">
        <v>747</v>
      </c>
    </row>
    <row r="1000" spans="4:6" x14ac:dyDescent="0.25">
      <c r="D1000" s="41" t="s">
        <v>1449</v>
      </c>
      <c r="E1000" s="42" t="s">
        <v>158</v>
      </c>
      <c r="F1000" s="43" t="s">
        <v>747</v>
      </c>
    </row>
    <row r="1001" spans="4:6" x14ac:dyDescent="0.25">
      <c r="D1001" s="41" t="s">
        <v>1636</v>
      </c>
      <c r="E1001" s="42" t="s">
        <v>158</v>
      </c>
      <c r="F1001" s="43" t="s">
        <v>1637</v>
      </c>
    </row>
    <row r="1002" spans="4:6" x14ac:dyDescent="0.25">
      <c r="D1002" s="41" t="s">
        <v>2317</v>
      </c>
      <c r="E1002" s="42" t="s">
        <v>158</v>
      </c>
      <c r="F1002" s="43" t="s">
        <v>513</v>
      </c>
    </row>
    <row r="1003" spans="4:6" x14ac:dyDescent="0.25">
      <c r="D1003" s="41" t="s">
        <v>2318</v>
      </c>
      <c r="E1003" s="42" t="s">
        <v>158</v>
      </c>
      <c r="F1003" s="43" t="s">
        <v>2313</v>
      </c>
    </row>
    <row r="1004" spans="4:6" x14ac:dyDescent="0.25">
      <c r="D1004" s="41" t="s">
        <v>2319</v>
      </c>
      <c r="E1004" s="42" t="s">
        <v>158</v>
      </c>
      <c r="F1004" s="43"/>
    </row>
    <row r="1005" spans="4:6" x14ac:dyDescent="0.25">
      <c r="D1005" s="41" t="s">
        <v>2845</v>
      </c>
      <c r="E1005" s="42" t="s">
        <v>158</v>
      </c>
      <c r="F1005" s="43" t="s">
        <v>2846</v>
      </c>
    </row>
    <row r="1006" spans="4:6" x14ac:dyDescent="0.25">
      <c r="D1006" s="41" t="s">
        <v>2977</v>
      </c>
      <c r="E1006" s="42" t="s">
        <v>158</v>
      </c>
      <c r="F1006" s="43"/>
    </row>
    <row r="1007" spans="4:6" x14ac:dyDescent="0.25">
      <c r="D1007" s="41" t="s">
        <v>1439</v>
      </c>
      <c r="E1007" s="42" t="s">
        <v>3875</v>
      </c>
      <c r="F1007" s="43" t="s">
        <v>747</v>
      </c>
    </row>
    <row r="1008" spans="4:6" x14ac:dyDescent="0.25">
      <c r="D1008" s="44" t="s">
        <v>3322</v>
      </c>
      <c r="E1008" s="45" t="s">
        <v>3875</v>
      </c>
      <c r="F1008" s="46" t="s">
        <v>3286</v>
      </c>
    </row>
    <row r="1009" spans="4:6" x14ac:dyDescent="0.25">
      <c r="D1009" s="41" t="s">
        <v>2320</v>
      </c>
      <c r="E1009" s="42" t="s">
        <v>2321</v>
      </c>
      <c r="F1009" s="43" t="s">
        <v>2126</v>
      </c>
    </row>
    <row r="1010" spans="4:6" x14ac:dyDescent="0.25">
      <c r="D1010" s="41" t="s">
        <v>3589</v>
      </c>
      <c r="E1010" s="42" t="s">
        <v>2321</v>
      </c>
      <c r="F1010" s="43"/>
    </row>
    <row r="1011" spans="4:6" x14ac:dyDescent="0.25">
      <c r="D1011" s="41" t="s">
        <v>294</v>
      </c>
      <c r="E1011" s="42" t="s">
        <v>8</v>
      </c>
      <c r="F1011" s="43" t="s">
        <v>295</v>
      </c>
    </row>
    <row r="1012" spans="4:6" x14ac:dyDescent="0.25">
      <c r="D1012" s="41" t="s">
        <v>351</v>
      </c>
      <c r="E1012" s="42" t="s">
        <v>8</v>
      </c>
      <c r="F1012" s="43" t="s">
        <v>353</v>
      </c>
    </row>
    <row r="1013" spans="4:6" x14ac:dyDescent="0.25">
      <c r="D1013" s="41" t="s">
        <v>352</v>
      </c>
      <c r="E1013" s="42" t="s">
        <v>8</v>
      </c>
      <c r="F1013" s="43" t="s">
        <v>341</v>
      </c>
    </row>
    <row r="1014" spans="4:6" x14ac:dyDescent="0.25">
      <c r="D1014" s="41" t="s">
        <v>354</v>
      </c>
      <c r="E1014" s="42" t="s">
        <v>8</v>
      </c>
      <c r="F1014" s="43" t="s">
        <v>355</v>
      </c>
    </row>
    <row r="1015" spans="4:6" x14ac:dyDescent="0.25">
      <c r="D1015" s="41" t="s">
        <v>358</v>
      </c>
      <c r="E1015" s="42" t="s">
        <v>8</v>
      </c>
      <c r="F1015" s="43" t="s">
        <v>350</v>
      </c>
    </row>
    <row r="1016" spans="4:6" x14ac:dyDescent="0.25">
      <c r="D1016" s="41" t="s">
        <v>361</v>
      </c>
      <c r="E1016" s="42" t="s">
        <v>8</v>
      </c>
      <c r="F1016" s="43" t="s">
        <v>362</v>
      </c>
    </row>
    <row r="1017" spans="4:6" x14ac:dyDescent="0.25">
      <c r="D1017" s="41" t="s">
        <v>363</v>
      </c>
      <c r="E1017" s="42" t="s">
        <v>8</v>
      </c>
      <c r="F1017" s="43" t="s">
        <v>364</v>
      </c>
    </row>
    <row r="1018" spans="4:6" x14ac:dyDescent="0.25">
      <c r="D1018" s="41" t="s">
        <v>365</v>
      </c>
      <c r="E1018" s="42" t="s">
        <v>8</v>
      </c>
      <c r="F1018" s="43" t="s">
        <v>366</v>
      </c>
    </row>
    <row r="1019" spans="4:6" x14ac:dyDescent="0.25">
      <c r="D1019" s="41" t="s">
        <v>367</v>
      </c>
      <c r="E1019" s="42" t="s">
        <v>8</v>
      </c>
      <c r="F1019" s="43" t="s">
        <v>368</v>
      </c>
    </row>
    <row r="1020" spans="4:6" x14ac:dyDescent="0.25">
      <c r="D1020" s="41" t="s">
        <v>369</v>
      </c>
      <c r="E1020" s="42" t="s">
        <v>8</v>
      </c>
      <c r="F1020" s="43" t="s">
        <v>362</v>
      </c>
    </row>
    <row r="1021" spans="4:6" x14ac:dyDescent="0.25">
      <c r="D1021" s="41" t="s">
        <v>370</v>
      </c>
      <c r="E1021" s="42" t="s">
        <v>8</v>
      </c>
      <c r="F1021" s="43" t="s">
        <v>338</v>
      </c>
    </row>
    <row r="1022" spans="4:6" x14ac:dyDescent="0.25">
      <c r="D1022" s="41" t="s">
        <v>371</v>
      </c>
      <c r="E1022" s="42" t="s">
        <v>8</v>
      </c>
      <c r="F1022" s="43" t="s">
        <v>372</v>
      </c>
    </row>
    <row r="1023" spans="4:6" x14ac:dyDescent="0.25">
      <c r="D1023" s="41" t="s">
        <v>373</v>
      </c>
      <c r="E1023" s="42" t="s">
        <v>8</v>
      </c>
      <c r="F1023" s="43" t="s">
        <v>374</v>
      </c>
    </row>
    <row r="1024" spans="4:6" x14ac:dyDescent="0.25">
      <c r="D1024" s="41" t="s">
        <v>375</v>
      </c>
      <c r="E1024" s="42" t="s">
        <v>8</v>
      </c>
      <c r="F1024" s="43" t="s">
        <v>336</v>
      </c>
    </row>
    <row r="1025" spans="4:6" x14ac:dyDescent="0.25">
      <c r="D1025" s="41" t="s">
        <v>376</v>
      </c>
      <c r="E1025" s="42" t="s">
        <v>8</v>
      </c>
      <c r="F1025" s="43" t="s">
        <v>377</v>
      </c>
    </row>
    <row r="1026" spans="4:6" x14ac:dyDescent="0.25">
      <c r="D1026" s="41" t="s">
        <v>799</v>
      </c>
      <c r="E1026" s="42" t="s">
        <v>8</v>
      </c>
      <c r="F1026" s="43" t="s">
        <v>747</v>
      </c>
    </row>
    <row r="1027" spans="4:6" x14ac:dyDescent="0.25">
      <c r="D1027" s="41" t="s">
        <v>826</v>
      </c>
      <c r="E1027" s="42" t="s">
        <v>8</v>
      </c>
      <c r="F1027" s="43" t="s">
        <v>747</v>
      </c>
    </row>
    <row r="1028" spans="4:6" x14ac:dyDescent="0.25">
      <c r="D1028" s="41" t="s">
        <v>908</v>
      </c>
      <c r="E1028" s="42" t="s">
        <v>8</v>
      </c>
      <c r="F1028" s="43" t="s">
        <v>747</v>
      </c>
    </row>
    <row r="1029" spans="4:6" x14ac:dyDescent="0.25">
      <c r="D1029" s="41" t="s">
        <v>916</v>
      </c>
      <c r="E1029" s="42" t="s">
        <v>8</v>
      </c>
      <c r="F1029" s="43" t="s">
        <v>747</v>
      </c>
    </row>
    <row r="1030" spans="4:6" x14ac:dyDescent="0.25">
      <c r="D1030" s="41" t="s">
        <v>1193</v>
      </c>
      <c r="E1030" s="42" t="s">
        <v>8</v>
      </c>
      <c r="F1030" s="43" t="s">
        <v>747</v>
      </c>
    </row>
    <row r="1031" spans="4:6" x14ac:dyDescent="0.25">
      <c r="D1031" s="41" t="s">
        <v>1243</v>
      </c>
      <c r="E1031" s="42" t="s">
        <v>8</v>
      </c>
      <c r="F1031" s="43" t="s">
        <v>1244</v>
      </c>
    </row>
    <row r="1032" spans="4:6" x14ac:dyDescent="0.25">
      <c r="D1032" s="41" t="s">
        <v>1255</v>
      </c>
      <c r="E1032" s="42" t="s">
        <v>8</v>
      </c>
      <c r="F1032" s="43" t="s">
        <v>747</v>
      </c>
    </row>
    <row r="1033" spans="4:6" x14ac:dyDescent="0.25">
      <c r="D1033" s="41" t="s">
        <v>1304</v>
      </c>
      <c r="E1033" s="42" t="s">
        <v>8</v>
      </c>
      <c r="F1033" s="43" t="s">
        <v>747</v>
      </c>
    </row>
    <row r="1034" spans="4:6" x14ac:dyDescent="0.25">
      <c r="D1034" s="41" t="s">
        <v>1494</v>
      </c>
      <c r="E1034" s="42" t="s">
        <v>8</v>
      </c>
      <c r="F1034" s="43" t="s">
        <v>1495</v>
      </c>
    </row>
    <row r="1035" spans="4:6" x14ac:dyDescent="0.25">
      <c r="D1035" s="41" t="s">
        <v>1507</v>
      </c>
      <c r="E1035" s="42" t="s">
        <v>8</v>
      </c>
      <c r="F1035" s="43"/>
    </row>
    <row r="1036" spans="4:6" x14ac:dyDescent="0.25">
      <c r="D1036" s="41" t="s">
        <v>1577</v>
      </c>
      <c r="E1036" s="42" t="s">
        <v>8</v>
      </c>
      <c r="F1036" s="43" t="s">
        <v>1574</v>
      </c>
    </row>
    <row r="1037" spans="4:6" x14ac:dyDescent="0.25">
      <c r="D1037" s="41" t="s">
        <v>1648</v>
      </c>
      <c r="E1037" s="42" t="s">
        <v>8</v>
      </c>
      <c r="F1037" s="43" t="s">
        <v>1649</v>
      </c>
    </row>
    <row r="1038" spans="4:6" x14ac:dyDescent="0.25">
      <c r="D1038" s="41" t="s">
        <v>1660</v>
      </c>
      <c r="E1038" s="42" t="s">
        <v>8</v>
      </c>
      <c r="F1038" s="43" t="s">
        <v>1661</v>
      </c>
    </row>
    <row r="1039" spans="4:6" x14ac:dyDescent="0.25">
      <c r="D1039" s="41" t="s">
        <v>1813</v>
      </c>
      <c r="E1039" s="42" t="s">
        <v>8</v>
      </c>
      <c r="F1039" s="43" t="s">
        <v>1814</v>
      </c>
    </row>
    <row r="1040" spans="4:6" x14ac:dyDescent="0.25">
      <c r="D1040" s="41" t="s">
        <v>1817</v>
      </c>
      <c r="E1040" s="42" t="s">
        <v>8</v>
      </c>
      <c r="F1040" s="43" t="s">
        <v>1818</v>
      </c>
    </row>
    <row r="1041" spans="4:6" x14ac:dyDescent="0.25">
      <c r="D1041" s="41" t="s">
        <v>1936</v>
      </c>
      <c r="E1041" s="42" t="s">
        <v>8</v>
      </c>
      <c r="F1041" s="43" t="s">
        <v>747</v>
      </c>
    </row>
    <row r="1042" spans="4:6" x14ac:dyDescent="0.25">
      <c r="D1042" s="41" t="s">
        <v>1997</v>
      </c>
      <c r="E1042" s="42" t="s">
        <v>8</v>
      </c>
      <c r="F1042" s="43"/>
    </row>
    <row r="1043" spans="4:6" x14ac:dyDescent="0.25">
      <c r="D1043" s="41" t="s">
        <v>2322</v>
      </c>
      <c r="E1043" s="42" t="s">
        <v>8</v>
      </c>
      <c r="F1043" s="43"/>
    </row>
    <row r="1044" spans="4:6" x14ac:dyDescent="0.25">
      <c r="D1044" s="41" t="s">
        <v>2323</v>
      </c>
      <c r="E1044" s="42" t="s">
        <v>8</v>
      </c>
      <c r="F1044" s="43"/>
    </row>
    <row r="1045" spans="4:6" x14ac:dyDescent="0.25">
      <c r="D1045" s="41" t="s">
        <v>2324</v>
      </c>
      <c r="E1045" s="42" t="s">
        <v>8</v>
      </c>
      <c r="F1045" s="43"/>
    </row>
    <row r="1046" spans="4:6" x14ac:dyDescent="0.25">
      <c r="D1046" s="41" t="s">
        <v>2325</v>
      </c>
      <c r="E1046" s="42" t="s">
        <v>8</v>
      </c>
      <c r="F1046" s="43"/>
    </row>
    <row r="1047" spans="4:6" x14ac:dyDescent="0.25">
      <c r="D1047" s="41" t="s">
        <v>2326</v>
      </c>
      <c r="E1047" s="42" t="s">
        <v>8</v>
      </c>
      <c r="F1047" s="43"/>
    </row>
    <row r="1048" spans="4:6" x14ac:dyDescent="0.25">
      <c r="D1048" s="41" t="s">
        <v>2327</v>
      </c>
      <c r="E1048" s="42" t="s">
        <v>8</v>
      </c>
      <c r="F1048" s="43" t="s">
        <v>747</v>
      </c>
    </row>
    <row r="1049" spans="4:6" x14ac:dyDescent="0.25">
      <c r="D1049" s="41" t="s">
        <v>2328</v>
      </c>
      <c r="E1049" s="42" t="s">
        <v>8</v>
      </c>
      <c r="F1049" s="43"/>
    </row>
    <row r="1050" spans="4:6" x14ac:dyDescent="0.25">
      <c r="D1050" s="41" t="s">
        <v>2329</v>
      </c>
      <c r="E1050" s="42" t="s">
        <v>8</v>
      </c>
      <c r="F1050" s="43"/>
    </row>
    <row r="1051" spans="4:6" x14ac:dyDescent="0.25">
      <c r="D1051" s="41" t="s">
        <v>2330</v>
      </c>
      <c r="E1051" s="42" t="s">
        <v>8</v>
      </c>
      <c r="F1051" s="43"/>
    </row>
    <row r="1052" spans="4:6" x14ac:dyDescent="0.25">
      <c r="D1052" s="41" t="s">
        <v>2331</v>
      </c>
      <c r="E1052" s="42" t="s">
        <v>8</v>
      </c>
      <c r="F1052" s="43"/>
    </row>
    <row r="1053" spans="4:6" x14ac:dyDescent="0.25">
      <c r="D1053" s="41" t="s">
        <v>2332</v>
      </c>
      <c r="E1053" s="42" t="s">
        <v>8</v>
      </c>
      <c r="F1053" s="43"/>
    </row>
    <row r="1054" spans="4:6" x14ac:dyDescent="0.25">
      <c r="D1054" s="41" t="s">
        <v>2333</v>
      </c>
      <c r="E1054" s="42" t="s">
        <v>8</v>
      </c>
      <c r="F1054" s="43"/>
    </row>
    <row r="1055" spans="4:6" x14ac:dyDescent="0.25">
      <c r="D1055" s="41" t="s">
        <v>2815</v>
      </c>
      <c r="E1055" s="42" t="s">
        <v>8</v>
      </c>
      <c r="F1055" s="43"/>
    </row>
    <row r="1056" spans="4:6" x14ac:dyDescent="0.25">
      <c r="D1056" s="41" t="s">
        <v>2850</v>
      </c>
      <c r="E1056" s="42" t="s">
        <v>8</v>
      </c>
      <c r="F1056" s="43" t="s">
        <v>2851</v>
      </c>
    </row>
    <row r="1057" spans="4:6" x14ac:dyDescent="0.25">
      <c r="D1057" s="41" t="s">
        <v>2910</v>
      </c>
      <c r="E1057" s="42" t="s">
        <v>8</v>
      </c>
      <c r="F1057" s="43" t="s">
        <v>938</v>
      </c>
    </row>
    <row r="1058" spans="4:6" x14ac:dyDescent="0.25">
      <c r="D1058" s="41" t="s">
        <v>2980</v>
      </c>
      <c r="E1058" s="42" t="s">
        <v>8</v>
      </c>
      <c r="F1058" s="43"/>
    </row>
    <row r="1059" spans="4:6" x14ac:dyDescent="0.25">
      <c r="D1059" s="41" t="s">
        <v>3101</v>
      </c>
      <c r="E1059" s="42" t="s">
        <v>8</v>
      </c>
      <c r="F1059" s="43" t="s">
        <v>747</v>
      </c>
    </row>
    <row r="1060" spans="4:6" x14ac:dyDescent="0.25">
      <c r="D1060" s="41" t="s">
        <v>3133</v>
      </c>
      <c r="E1060" s="42" t="s">
        <v>8</v>
      </c>
      <c r="F1060" s="43"/>
    </row>
    <row r="1061" spans="4:6" x14ac:dyDescent="0.25">
      <c r="D1061" s="41" t="s">
        <v>3143</v>
      </c>
      <c r="E1061" s="42" t="s">
        <v>8</v>
      </c>
      <c r="F1061" s="43"/>
    </row>
    <row r="1062" spans="4:6" x14ac:dyDescent="0.25">
      <c r="D1062" s="41" t="s">
        <v>3194</v>
      </c>
      <c r="E1062" s="42" t="s">
        <v>8</v>
      </c>
      <c r="F1062" s="43"/>
    </row>
    <row r="1063" spans="4:6" x14ac:dyDescent="0.25">
      <c r="D1063" s="44" t="s">
        <v>3256</v>
      </c>
      <c r="E1063" s="45" t="s">
        <v>8</v>
      </c>
      <c r="F1063" s="46"/>
    </row>
    <row r="1064" spans="4:6" x14ac:dyDescent="0.25">
      <c r="D1064" s="44" t="s">
        <v>3262</v>
      </c>
      <c r="E1064" s="45" t="s">
        <v>8</v>
      </c>
      <c r="F1064" s="46" t="s">
        <v>3263</v>
      </c>
    </row>
    <row r="1065" spans="4:6" x14ac:dyDescent="0.25">
      <c r="D1065" s="41" t="s">
        <v>3381</v>
      </c>
      <c r="E1065" s="42" t="s">
        <v>8</v>
      </c>
      <c r="F1065" s="43"/>
    </row>
    <row r="1066" spans="4:6" x14ac:dyDescent="0.25">
      <c r="D1066" s="41" t="s">
        <v>3407</v>
      </c>
      <c r="E1066" s="42" t="s">
        <v>8</v>
      </c>
      <c r="F1066" s="43"/>
    </row>
    <row r="1067" spans="4:6" x14ac:dyDescent="0.25">
      <c r="D1067" s="41" t="s">
        <v>3478</v>
      </c>
      <c r="E1067" s="42" t="s">
        <v>8</v>
      </c>
      <c r="F1067" s="43" t="s">
        <v>747</v>
      </c>
    </row>
    <row r="1068" spans="4:6" x14ac:dyDescent="0.25">
      <c r="D1068" s="41" t="s">
        <v>3520</v>
      </c>
      <c r="E1068" s="42" t="s">
        <v>8</v>
      </c>
      <c r="F1068" s="43" t="s">
        <v>747</v>
      </c>
    </row>
    <row r="1069" spans="4:6" x14ac:dyDescent="0.25">
      <c r="D1069" s="41" t="s">
        <v>3571</v>
      </c>
      <c r="E1069" s="42" t="s">
        <v>8</v>
      </c>
      <c r="F1069" s="43"/>
    </row>
    <row r="1070" spans="4:6" x14ac:dyDescent="0.25">
      <c r="D1070" s="41" t="s">
        <v>3588</v>
      </c>
      <c r="E1070" s="42" t="s">
        <v>8</v>
      </c>
      <c r="F1070" s="43"/>
    </row>
    <row r="1071" spans="4:6" x14ac:dyDescent="0.25">
      <c r="D1071" s="41" t="s">
        <v>3591</v>
      </c>
      <c r="E1071" s="42" t="s">
        <v>8</v>
      </c>
      <c r="F1071" s="43"/>
    </row>
    <row r="1072" spans="4:6" x14ac:dyDescent="0.25">
      <c r="D1072" s="41" t="s">
        <v>3780</v>
      </c>
      <c r="E1072" s="42" t="s">
        <v>8</v>
      </c>
      <c r="F1072" s="43" t="s">
        <v>747</v>
      </c>
    </row>
    <row r="1073" spans="4:6" x14ac:dyDescent="0.25">
      <c r="D1073" s="41" t="s">
        <v>356</v>
      </c>
      <c r="E1073" s="42" t="s">
        <v>9</v>
      </c>
      <c r="F1073" s="43" t="s">
        <v>357</v>
      </c>
    </row>
    <row r="1074" spans="4:6" x14ac:dyDescent="0.25">
      <c r="D1074" s="41" t="s">
        <v>723</v>
      </c>
      <c r="E1074" s="42" t="s">
        <v>9</v>
      </c>
      <c r="F1074" s="43" t="s">
        <v>366</v>
      </c>
    </row>
    <row r="1075" spans="4:6" x14ac:dyDescent="0.25">
      <c r="D1075" s="41" t="s">
        <v>724</v>
      </c>
      <c r="E1075" s="42" t="s">
        <v>9</v>
      </c>
      <c r="F1075" s="43" t="s">
        <v>725</v>
      </c>
    </row>
    <row r="1076" spans="4:6" x14ac:dyDescent="0.25">
      <c r="D1076" s="41" t="s">
        <v>726</v>
      </c>
      <c r="E1076" s="42" t="s">
        <v>9</v>
      </c>
      <c r="F1076" s="43" t="s">
        <v>727</v>
      </c>
    </row>
    <row r="1077" spans="4:6" x14ac:dyDescent="0.25">
      <c r="D1077" s="41" t="s">
        <v>728</v>
      </c>
      <c r="E1077" s="42" t="s">
        <v>9</v>
      </c>
      <c r="F1077" s="43" t="s">
        <v>729</v>
      </c>
    </row>
    <row r="1078" spans="4:6" x14ac:dyDescent="0.25">
      <c r="D1078" s="41" t="s">
        <v>1350</v>
      </c>
      <c r="E1078" s="42" t="s">
        <v>9</v>
      </c>
      <c r="F1078" s="43" t="s">
        <v>747</v>
      </c>
    </row>
    <row r="1079" spans="4:6" x14ac:dyDescent="0.25">
      <c r="D1079" s="41" t="s">
        <v>2334</v>
      </c>
      <c r="E1079" s="42" t="s">
        <v>9</v>
      </c>
      <c r="F1079" s="43"/>
    </row>
    <row r="1080" spans="4:6" x14ac:dyDescent="0.25">
      <c r="D1080" s="41" t="s">
        <v>2335</v>
      </c>
      <c r="E1080" s="42" t="s">
        <v>9</v>
      </c>
      <c r="F1080" s="43" t="s">
        <v>747</v>
      </c>
    </row>
    <row r="1081" spans="4:6" x14ac:dyDescent="0.25">
      <c r="D1081" s="41" t="s">
        <v>2336</v>
      </c>
      <c r="E1081" s="42" t="s">
        <v>9</v>
      </c>
      <c r="F1081" s="43" t="s">
        <v>78</v>
      </c>
    </row>
    <row r="1082" spans="4:6" x14ac:dyDescent="0.25">
      <c r="D1082" s="41" t="s">
        <v>2337</v>
      </c>
      <c r="E1082" s="42" t="s">
        <v>9</v>
      </c>
      <c r="F1082" s="43"/>
    </row>
    <row r="1083" spans="4:6" x14ac:dyDescent="0.25">
      <c r="D1083" s="41" t="s">
        <v>3665</v>
      </c>
      <c r="E1083" s="42" t="s">
        <v>9</v>
      </c>
      <c r="F1083" s="43"/>
    </row>
    <row r="1084" spans="4:6" x14ac:dyDescent="0.25">
      <c r="D1084" s="41" t="s">
        <v>359</v>
      </c>
      <c r="E1084" s="42" t="s">
        <v>146</v>
      </c>
      <c r="F1084" s="43" t="s">
        <v>360</v>
      </c>
    </row>
    <row r="1085" spans="4:6" x14ac:dyDescent="0.25">
      <c r="D1085" s="41" t="s">
        <v>1292</v>
      </c>
      <c r="E1085" s="42" t="s">
        <v>146</v>
      </c>
      <c r="F1085" s="43" t="s">
        <v>747</v>
      </c>
    </row>
    <row r="1086" spans="4:6" x14ac:dyDescent="0.25">
      <c r="D1086" s="41" t="s">
        <v>1977</v>
      </c>
      <c r="E1086" s="42" t="s">
        <v>146</v>
      </c>
      <c r="F1086" s="43" t="s">
        <v>967</v>
      </c>
    </row>
    <row r="1087" spans="4:6" x14ac:dyDescent="0.25">
      <c r="D1087" s="41" t="s">
        <v>2338</v>
      </c>
      <c r="E1087" s="42" t="s">
        <v>146</v>
      </c>
      <c r="F1087" s="43"/>
    </row>
    <row r="1088" spans="4:6" x14ac:dyDescent="0.25">
      <c r="D1088" s="41" t="s">
        <v>2339</v>
      </c>
      <c r="E1088" s="42" t="s">
        <v>146</v>
      </c>
      <c r="F1088" s="43"/>
    </row>
    <row r="1089" spans="4:6" x14ac:dyDescent="0.25">
      <c r="D1089" s="41" t="s">
        <v>2340</v>
      </c>
      <c r="E1089" s="42" t="s">
        <v>146</v>
      </c>
      <c r="F1089" s="43"/>
    </row>
    <row r="1090" spans="4:6" x14ac:dyDescent="0.25">
      <c r="D1090" s="41" t="s">
        <v>2773</v>
      </c>
      <c r="E1090" s="42" t="s">
        <v>146</v>
      </c>
      <c r="F1090" s="43"/>
    </row>
    <row r="1091" spans="4:6" x14ac:dyDescent="0.25">
      <c r="D1091" s="41" t="s">
        <v>3437</v>
      </c>
      <c r="E1091" s="42" t="s">
        <v>146</v>
      </c>
      <c r="F1091" s="43"/>
    </row>
    <row r="1092" spans="4:6" x14ac:dyDescent="0.25">
      <c r="D1092" s="41" t="s">
        <v>3491</v>
      </c>
      <c r="E1092" s="42" t="s">
        <v>146</v>
      </c>
      <c r="F1092" s="43" t="s">
        <v>747</v>
      </c>
    </row>
    <row r="1093" spans="4:6" x14ac:dyDescent="0.25">
      <c r="D1093" s="41" t="s">
        <v>3498</v>
      </c>
      <c r="E1093" s="42" t="s">
        <v>146</v>
      </c>
      <c r="F1093" s="43"/>
    </row>
    <row r="1094" spans="4:6" x14ac:dyDescent="0.25">
      <c r="D1094" s="41" t="s">
        <v>2341</v>
      </c>
      <c r="E1094" s="42" t="s">
        <v>4018</v>
      </c>
      <c r="F1094" s="43" t="s">
        <v>2342</v>
      </c>
    </row>
    <row r="1095" spans="4:6" x14ac:dyDescent="0.25">
      <c r="D1095" s="41" t="s">
        <v>2343</v>
      </c>
      <c r="E1095" s="42" t="s">
        <v>4018</v>
      </c>
      <c r="F1095" s="43"/>
    </row>
    <row r="1096" spans="4:6" x14ac:dyDescent="0.25">
      <c r="D1096" s="41" t="s">
        <v>3770</v>
      </c>
      <c r="E1096" s="42" t="s">
        <v>4018</v>
      </c>
      <c r="F1096" s="43" t="s">
        <v>747</v>
      </c>
    </row>
    <row r="1097" spans="4:6" x14ac:dyDescent="0.25">
      <c r="D1097" s="41" t="s">
        <v>3675</v>
      </c>
      <c r="E1097" s="42" t="s">
        <v>4019</v>
      </c>
      <c r="F1097" s="43" t="s">
        <v>3659</v>
      </c>
    </row>
    <row r="1098" spans="4:6" x14ac:dyDescent="0.25">
      <c r="D1098" s="41" t="s">
        <v>2344</v>
      </c>
      <c r="E1098" s="42" t="s">
        <v>2345</v>
      </c>
      <c r="F1098" s="43" t="s">
        <v>747</v>
      </c>
    </row>
    <row r="1099" spans="4:6" x14ac:dyDescent="0.25">
      <c r="D1099" s="41" t="s">
        <v>3385</v>
      </c>
      <c r="E1099" s="42" t="s">
        <v>3878</v>
      </c>
      <c r="F1099" s="43"/>
    </row>
    <row r="1100" spans="4:6" x14ac:dyDescent="0.25">
      <c r="D1100" s="44" t="s">
        <v>3313</v>
      </c>
      <c r="E1100" s="45" t="s">
        <v>1036</v>
      </c>
      <c r="F1100" s="46"/>
    </row>
    <row r="1101" spans="4:6" x14ac:dyDescent="0.25">
      <c r="D1101" s="41" t="s">
        <v>3604</v>
      </c>
      <c r="E1101" s="42" t="s">
        <v>3605</v>
      </c>
      <c r="F1101" s="43" t="s">
        <v>747</v>
      </c>
    </row>
    <row r="1102" spans="4:6" x14ac:dyDescent="0.25">
      <c r="D1102" s="41" t="s">
        <v>3723</v>
      </c>
      <c r="E1102" s="42" t="s">
        <v>3879</v>
      </c>
      <c r="F1102" s="43" t="s">
        <v>967</v>
      </c>
    </row>
    <row r="1103" spans="4:6" x14ac:dyDescent="0.25">
      <c r="D1103" s="41" t="s">
        <v>2346</v>
      </c>
      <c r="E1103" s="42" t="s">
        <v>3879</v>
      </c>
      <c r="F1103" s="43" t="s">
        <v>747</v>
      </c>
    </row>
    <row r="1104" spans="4:6" x14ac:dyDescent="0.25">
      <c r="D1104" s="41" t="s">
        <v>3534</v>
      </c>
      <c r="E1104" s="42" t="s">
        <v>3879</v>
      </c>
      <c r="F1104" s="43" t="s">
        <v>747</v>
      </c>
    </row>
    <row r="1105" spans="4:6" x14ac:dyDescent="0.25">
      <c r="D1105" s="41" t="s">
        <v>3400</v>
      </c>
      <c r="E1105" s="42" t="s">
        <v>3879</v>
      </c>
      <c r="F1105" s="43"/>
    </row>
    <row r="1106" spans="4:6" x14ac:dyDescent="0.25">
      <c r="D1106" s="44" t="s">
        <v>3301</v>
      </c>
      <c r="E1106" s="42" t="s">
        <v>3879</v>
      </c>
      <c r="F1106" s="46" t="s">
        <v>3255</v>
      </c>
    </row>
    <row r="1107" spans="4:6" x14ac:dyDescent="0.25">
      <c r="D1107" s="41" t="s">
        <v>2347</v>
      </c>
      <c r="E1107" s="42" t="s">
        <v>1013</v>
      </c>
      <c r="F1107" s="43"/>
    </row>
    <row r="1108" spans="4:6" x14ac:dyDescent="0.25">
      <c r="D1108" s="41" t="s">
        <v>2348</v>
      </c>
      <c r="E1108" s="42" t="s">
        <v>2349</v>
      </c>
      <c r="F1108" s="43" t="s">
        <v>2350</v>
      </c>
    </row>
    <row r="1109" spans="4:6" x14ac:dyDescent="0.25">
      <c r="D1109" s="41" t="s">
        <v>2351</v>
      </c>
      <c r="E1109" s="42" t="s">
        <v>3881</v>
      </c>
      <c r="F1109" s="43" t="s">
        <v>2352</v>
      </c>
    </row>
    <row r="1110" spans="4:6" x14ac:dyDescent="0.25">
      <c r="D1110" s="41" t="s">
        <v>1279</v>
      </c>
      <c r="E1110" s="42" t="s">
        <v>4020</v>
      </c>
      <c r="F1110" s="43" t="s">
        <v>747</v>
      </c>
    </row>
    <row r="1111" spans="4:6" x14ac:dyDescent="0.25">
      <c r="D1111" s="41" t="s">
        <v>3431</v>
      </c>
      <c r="E1111" s="42" t="s">
        <v>3980</v>
      </c>
      <c r="F1111" s="43"/>
    </row>
    <row r="1112" spans="4:6" x14ac:dyDescent="0.25">
      <c r="D1112" s="41" t="s">
        <v>1908</v>
      </c>
      <c r="E1112" s="42" t="s">
        <v>4021</v>
      </c>
      <c r="F1112" s="43"/>
    </row>
    <row r="1113" spans="4:6" x14ac:dyDescent="0.25">
      <c r="D1113" s="41" t="s">
        <v>886</v>
      </c>
      <c r="E1113" s="42" t="s">
        <v>180</v>
      </c>
      <c r="F1113" s="43" t="s">
        <v>877</v>
      </c>
    </row>
    <row r="1114" spans="4:6" x14ac:dyDescent="0.25">
      <c r="D1114" s="41" t="s">
        <v>3236</v>
      </c>
      <c r="E1114" s="42" t="s">
        <v>180</v>
      </c>
      <c r="F1114" s="43" t="s">
        <v>3233</v>
      </c>
    </row>
    <row r="1115" spans="4:6" x14ac:dyDescent="0.25">
      <c r="D1115" s="41" t="s">
        <v>1589</v>
      </c>
      <c r="E1115" s="42" t="s">
        <v>1590</v>
      </c>
      <c r="F1115" s="43" t="s">
        <v>747</v>
      </c>
    </row>
    <row r="1116" spans="4:6" x14ac:dyDescent="0.25">
      <c r="D1116" s="41" t="s">
        <v>3024</v>
      </c>
      <c r="E1116" s="42" t="s">
        <v>1590</v>
      </c>
      <c r="F1116" s="43"/>
    </row>
    <row r="1117" spans="4:6" x14ac:dyDescent="0.25">
      <c r="D1117" s="41" t="s">
        <v>3476</v>
      </c>
      <c r="E1117" s="42" t="s">
        <v>1590</v>
      </c>
      <c r="F1117" s="43" t="s">
        <v>747</v>
      </c>
    </row>
    <row r="1118" spans="4:6" x14ac:dyDescent="0.25">
      <c r="D1118" s="41" t="s">
        <v>784</v>
      </c>
      <c r="E1118" s="42" t="s">
        <v>32</v>
      </c>
      <c r="F1118" s="43" t="s">
        <v>747</v>
      </c>
    </row>
    <row r="1119" spans="4:6" x14ac:dyDescent="0.25">
      <c r="D1119" s="41" t="s">
        <v>976</v>
      </c>
      <c r="E1119" s="42" t="s">
        <v>32</v>
      </c>
      <c r="F1119" s="43" t="s">
        <v>956</v>
      </c>
    </row>
    <row r="1120" spans="4:6" x14ac:dyDescent="0.25">
      <c r="D1120" s="41" t="s">
        <v>3474</v>
      </c>
      <c r="E1120" s="42" t="s">
        <v>32</v>
      </c>
      <c r="F1120" s="43" t="s">
        <v>747</v>
      </c>
    </row>
    <row r="1121" spans="4:6" x14ac:dyDescent="0.25">
      <c r="D1121" s="41" t="s">
        <v>3472</v>
      </c>
      <c r="E1121" s="42" t="s">
        <v>33</v>
      </c>
      <c r="F1121" s="43" t="s">
        <v>747</v>
      </c>
    </row>
    <row r="1122" spans="4:6" x14ac:dyDescent="0.25">
      <c r="D1122" s="41" t="s">
        <v>898</v>
      </c>
      <c r="E1122" s="42" t="s">
        <v>4022</v>
      </c>
      <c r="F1122" s="43" t="s">
        <v>747</v>
      </c>
    </row>
    <row r="1123" spans="4:6" x14ac:dyDescent="0.25">
      <c r="D1123" s="41" t="s">
        <v>972</v>
      </c>
      <c r="E1123" s="42" t="s">
        <v>4022</v>
      </c>
      <c r="F1123" s="43" t="s">
        <v>973</v>
      </c>
    </row>
    <row r="1124" spans="4:6" x14ac:dyDescent="0.25">
      <c r="D1124" s="41" t="s">
        <v>1318</v>
      </c>
      <c r="E1124" s="42" t="s">
        <v>4022</v>
      </c>
      <c r="F1124" s="43" t="s">
        <v>1319</v>
      </c>
    </row>
    <row r="1125" spans="4:6" x14ac:dyDescent="0.25">
      <c r="D1125" s="41" t="s">
        <v>3477</v>
      </c>
      <c r="E1125" s="42" t="s">
        <v>4022</v>
      </c>
      <c r="F1125" s="43" t="s">
        <v>747</v>
      </c>
    </row>
    <row r="1126" spans="4:6" x14ac:dyDescent="0.25">
      <c r="D1126" s="41" t="s">
        <v>490</v>
      </c>
      <c r="E1126" s="42" t="s">
        <v>4023</v>
      </c>
      <c r="F1126" s="43" t="s">
        <v>491</v>
      </c>
    </row>
    <row r="1127" spans="4:6" x14ac:dyDescent="0.25">
      <c r="D1127" s="41" t="s">
        <v>492</v>
      </c>
      <c r="E1127" s="42" t="s">
        <v>4023</v>
      </c>
      <c r="F1127" s="43" t="s">
        <v>491</v>
      </c>
    </row>
    <row r="1128" spans="4:6" x14ac:dyDescent="0.25">
      <c r="D1128" s="41" t="s">
        <v>974</v>
      </c>
      <c r="E1128" s="42" t="s">
        <v>4023</v>
      </c>
      <c r="F1128" s="43" t="s">
        <v>975</v>
      </c>
    </row>
    <row r="1129" spans="4:6" x14ac:dyDescent="0.25">
      <c r="D1129" s="41" t="s">
        <v>1003</v>
      </c>
      <c r="E1129" s="42" t="s">
        <v>4023</v>
      </c>
      <c r="F1129" s="43" t="s">
        <v>1004</v>
      </c>
    </row>
    <row r="1130" spans="4:6" x14ac:dyDescent="0.25">
      <c r="D1130" s="41" t="s">
        <v>1336</v>
      </c>
      <c r="E1130" s="42" t="s">
        <v>4023</v>
      </c>
      <c r="F1130" s="43" t="s">
        <v>747</v>
      </c>
    </row>
    <row r="1131" spans="4:6" x14ac:dyDescent="0.25">
      <c r="D1131" s="41" t="s">
        <v>1403</v>
      </c>
      <c r="E1131" s="42" t="s">
        <v>4023</v>
      </c>
      <c r="F1131" s="43" t="s">
        <v>747</v>
      </c>
    </row>
    <row r="1132" spans="4:6" x14ac:dyDescent="0.25">
      <c r="D1132" s="41" t="s">
        <v>1692</v>
      </c>
      <c r="E1132" s="42" t="s">
        <v>4023</v>
      </c>
      <c r="F1132" s="43" t="s">
        <v>1693</v>
      </c>
    </row>
    <row r="1133" spans="4:6" x14ac:dyDescent="0.25">
      <c r="D1133" s="41" t="s">
        <v>2994</v>
      </c>
      <c r="E1133" s="42" t="s">
        <v>4023</v>
      </c>
      <c r="F1133" s="43"/>
    </row>
    <row r="1134" spans="4:6" x14ac:dyDescent="0.25">
      <c r="D1134" s="41" t="s">
        <v>3219</v>
      </c>
      <c r="E1134" s="42" t="s">
        <v>4023</v>
      </c>
      <c r="F1134" s="43" t="s">
        <v>2644</v>
      </c>
    </row>
    <row r="1135" spans="4:6" x14ac:dyDescent="0.25">
      <c r="D1135" s="41" t="s">
        <v>3226</v>
      </c>
      <c r="E1135" s="42" t="s">
        <v>4023</v>
      </c>
      <c r="F1135" s="43" t="s">
        <v>2644</v>
      </c>
    </row>
    <row r="1136" spans="4:6" x14ac:dyDescent="0.25">
      <c r="D1136" s="41" t="s">
        <v>3475</v>
      </c>
      <c r="E1136" s="42" t="s">
        <v>4023</v>
      </c>
      <c r="F1136" s="43" t="s">
        <v>747</v>
      </c>
    </row>
    <row r="1137" spans="4:6" x14ac:dyDescent="0.25">
      <c r="D1137" s="41" t="s">
        <v>1122</v>
      </c>
      <c r="E1137" s="42" t="s">
        <v>3953</v>
      </c>
      <c r="F1137" s="43" t="s">
        <v>1123</v>
      </c>
    </row>
    <row r="1138" spans="4:6" x14ac:dyDescent="0.25">
      <c r="D1138" s="41" t="s">
        <v>1316</v>
      </c>
      <c r="E1138" s="42" t="s">
        <v>3953</v>
      </c>
      <c r="F1138" s="43" t="s">
        <v>1317</v>
      </c>
    </row>
    <row r="1139" spans="4:6" x14ac:dyDescent="0.25">
      <c r="D1139" s="41" t="s">
        <v>3473</v>
      </c>
      <c r="E1139" s="42" t="s">
        <v>3953</v>
      </c>
      <c r="F1139" s="43" t="s">
        <v>747</v>
      </c>
    </row>
    <row r="1140" spans="4:6" x14ac:dyDescent="0.25">
      <c r="D1140" s="41" t="s">
        <v>2852</v>
      </c>
      <c r="E1140" s="42" t="s">
        <v>1107</v>
      </c>
      <c r="F1140" s="43" t="s">
        <v>2853</v>
      </c>
    </row>
    <row r="1141" spans="4:6" x14ac:dyDescent="0.25">
      <c r="D1141" s="41" t="s">
        <v>2940</v>
      </c>
      <c r="E1141" s="42" t="s">
        <v>1107</v>
      </c>
      <c r="F1141" s="43" t="s">
        <v>747</v>
      </c>
    </row>
    <row r="1142" spans="4:6" x14ac:dyDescent="0.25">
      <c r="D1142" s="41" t="s">
        <v>1748</v>
      </c>
      <c r="E1142" s="42" t="s">
        <v>156</v>
      </c>
      <c r="F1142" s="43" t="s">
        <v>1749</v>
      </c>
    </row>
    <row r="1143" spans="4:6" x14ac:dyDescent="0.25">
      <c r="D1143" s="41" t="s">
        <v>1776</v>
      </c>
      <c r="E1143" s="42" t="s">
        <v>34</v>
      </c>
      <c r="F1143" s="43" t="s">
        <v>1771</v>
      </c>
    </row>
    <row r="1144" spans="4:6" x14ac:dyDescent="0.25">
      <c r="D1144" s="41" t="s">
        <v>2894</v>
      </c>
      <c r="E1144" s="42" t="s">
        <v>34</v>
      </c>
      <c r="F1144" s="43"/>
    </row>
    <row r="1145" spans="4:6" x14ac:dyDescent="0.25">
      <c r="D1145" s="41" t="s">
        <v>782</v>
      </c>
      <c r="E1145" s="42" t="s">
        <v>3951</v>
      </c>
      <c r="F1145" s="43" t="s">
        <v>747</v>
      </c>
    </row>
    <row r="1146" spans="4:6" x14ac:dyDescent="0.25">
      <c r="D1146" s="41" t="s">
        <v>935</v>
      </c>
      <c r="E1146" s="42" t="s">
        <v>3951</v>
      </c>
      <c r="F1146" s="43" t="s">
        <v>936</v>
      </c>
    </row>
    <row r="1147" spans="4:6" x14ac:dyDescent="0.25">
      <c r="D1147" s="41" t="s">
        <v>1500</v>
      </c>
      <c r="E1147" s="42" t="s">
        <v>3951</v>
      </c>
      <c r="F1147" s="43" t="s">
        <v>1501</v>
      </c>
    </row>
    <row r="1148" spans="4:6" x14ac:dyDescent="0.25">
      <c r="D1148" s="41" t="s">
        <v>1892</v>
      </c>
      <c r="E1148" s="42" t="s">
        <v>3951</v>
      </c>
      <c r="F1148" s="43" t="s">
        <v>1123</v>
      </c>
    </row>
    <row r="1149" spans="4:6" x14ac:dyDescent="0.25">
      <c r="D1149" s="41" t="s">
        <v>1910</v>
      </c>
      <c r="E1149" s="42" t="s">
        <v>3951</v>
      </c>
      <c r="F1149" s="43" t="s">
        <v>1911</v>
      </c>
    </row>
    <row r="1150" spans="4:6" x14ac:dyDescent="0.25">
      <c r="D1150" s="41" t="s">
        <v>2835</v>
      </c>
      <c r="E1150" s="42" t="s">
        <v>3951</v>
      </c>
      <c r="F1150" s="43"/>
    </row>
    <row r="1151" spans="4:6" x14ac:dyDescent="0.25">
      <c r="D1151" s="41" t="s">
        <v>3190</v>
      </c>
      <c r="E1151" s="42" t="s">
        <v>3951</v>
      </c>
      <c r="F1151" s="43"/>
    </row>
    <row r="1152" spans="4:6" x14ac:dyDescent="0.25">
      <c r="D1152" s="41" t="s">
        <v>781</v>
      </c>
      <c r="E1152" s="42" t="s">
        <v>35</v>
      </c>
      <c r="F1152" s="43" t="s">
        <v>747</v>
      </c>
    </row>
    <row r="1153" spans="4:6" x14ac:dyDescent="0.25">
      <c r="D1153" s="41" t="s">
        <v>823</v>
      </c>
      <c r="E1153" s="42" t="s">
        <v>35</v>
      </c>
      <c r="F1153" s="43" t="s">
        <v>747</v>
      </c>
    </row>
    <row r="1154" spans="4:6" x14ac:dyDescent="0.25">
      <c r="D1154" s="41" t="s">
        <v>1142</v>
      </c>
      <c r="E1154" s="42" t="s">
        <v>35</v>
      </c>
      <c r="F1154" s="43" t="s">
        <v>1139</v>
      </c>
    </row>
    <row r="1155" spans="4:6" x14ac:dyDescent="0.25">
      <c r="D1155" s="41" t="s">
        <v>1282</v>
      </c>
      <c r="E1155" s="42" t="s">
        <v>35</v>
      </c>
      <c r="F1155" s="43" t="s">
        <v>747</v>
      </c>
    </row>
    <row r="1156" spans="4:6" x14ac:dyDescent="0.25">
      <c r="D1156" s="41" t="s">
        <v>2803</v>
      </c>
      <c r="E1156" s="42" t="s">
        <v>35</v>
      </c>
      <c r="F1156" s="43"/>
    </row>
    <row r="1157" spans="4:6" x14ac:dyDescent="0.25">
      <c r="D1157" s="41" t="s">
        <v>2822</v>
      </c>
      <c r="E1157" s="42" t="s">
        <v>35</v>
      </c>
      <c r="F1157" s="43"/>
    </row>
    <row r="1158" spans="4:6" x14ac:dyDescent="0.25">
      <c r="D1158" s="41" t="s">
        <v>2915</v>
      </c>
      <c r="E1158" s="42" t="s">
        <v>35</v>
      </c>
      <c r="F1158" s="43" t="s">
        <v>938</v>
      </c>
    </row>
    <row r="1159" spans="4:6" x14ac:dyDescent="0.25">
      <c r="D1159" s="41" t="s">
        <v>3155</v>
      </c>
      <c r="E1159" s="42" t="s">
        <v>35</v>
      </c>
      <c r="F1159" s="43"/>
    </row>
    <row r="1160" spans="4:6" x14ac:dyDescent="0.25">
      <c r="D1160" s="41" t="s">
        <v>882</v>
      </c>
      <c r="E1160" s="42" t="s">
        <v>188</v>
      </c>
      <c r="F1160" s="43" t="s">
        <v>883</v>
      </c>
    </row>
    <row r="1161" spans="4:6" x14ac:dyDescent="0.25">
      <c r="D1161" s="41" t="s">
        <v>1133</v>
      </c>
      <c r="E1161" s="42" t="s">
        <v>188</v>
      </c>
      <c r="F1161" s="43" t="s">
        <v>1134</v>
      </c>
    </row>
    <row r="1162" spans="4:6" x14ac:dyDescent="0.25">
      <c r="D1162" s="41" t="s">
        <v>1138</v>
      </c>
      <c r="E1162" s="42" t="s">
        <v>188</v>
      </c>
      <c r="F1162" s="43" t="s">
        <v>1139</v>
      </c>
    </row>
    <row r="1163" spans="4:6" x14ac:dyDescent="0.25">
      <c r="D1163" s="41" t="s">
        <v>3001</v>
      </c>
      <c r="E1163" s="42" t="s">
        <v>188</v>
      </c>
      <c r="F1163" s="43"/>
    </row>
    <row r="1164" spans="4:6" x14ac:dyDescent="0.25">
      <c r="D1164" s="41" t="s">
        <v>3467</v>
      </c>
      <c r="E1164" s="42" t="s">
        <v>188</v>
      </c>
      <c r="F1164" s="43" t="s">
        <v>747</v>
      </c>
    </row>
    <row r="1165" spans="4:6" x14ac:dyDescent="0.25">
      <c r="D1165" s="41" t="s">
        <v>853</v>
      </c>
      <c r="E1165" s="42" t="s">
        <v>36</v>
      </c>
      <c r="F1165" s="43" t="s">
        <v>747</v>
      </c>
    </row>
    <row r="1166" spans="4:6" x14ac:dyDescent="0.25">
      <c r="D1166" s="41" t="s">
        <v>2353</v>
      </c>
      <c r="E1166" s="42" t="s">
        <v>36</v>
      </c>
      <c r="F1166" s="43" t="s">
        <v>2354</v>
      </c>
    </row>
    <row r="1167" spans="4:6" x14ac:dyDescent="0.25">
      <c r="D1167" s="41" t="s">
        <v>3468</v>
      </c>
      <c r="E1167" s="42" t="s">
        <v>36</v>
      </c>
      <c r="F1167" s="43" t="s">
        <v>747</v>
      </c>
    </row>
    <row r="1168" spans="4:6" x14ac:dyDescent="0.25">
      <c r="D1168" s="41" t="s">
        <v>783</v>
      </c>
      <c r="E1168" s="42" t="s">
        <v>37</v>
      </c>
      <c r="F1168" s="43" t="s">
        <v>747</v>
      </c>
    </row>
    <row r="1169" spans="4:6" x14ac:dyDescent="0.25">
      <c r="D1169" s="41" t="s">
        <v>2782</v>
      </c>
      <c r="E1169" s="42" t="s">
        <v>37</v>
      </c>
      <c r="F1169" s="43"/>
    </row>
    <row r="1170" spans="4:6" x14ac:dyDescent="0.25">
      <c r="D1170" s="41" t="s">
        <v>2960</v>
      </c>
      <c r="E1170" s="42" t="s">
        <v>37</v>
      </c>
      <c r="F1170" s="43"/>
    </row>
    <row r="1171" spans="4:6" x14ac:dyDescent="0.25">
      <c r="D1171" s="41" t="s">
        <v>2995</v>
      </c>
      <c r="E1171" s="42" t="s">
        <v>1100</v>
      </c>
      <c r="F1171" s="43"/>
    </row>
    <row r="1172" spans="4:6" x14ac:dyDescent="0.25">
      <c r="D1172" s="41" t="s">
        <v>1750</v>
      </c>
      <c r="E1172" s="42" t="s">
        <v>182</v>
      </c>
      <c r="F1172" s="43" t="s">
        <v>1751</v>
      </c>
    </row>
    <row r="1173" spans="4:6" x14ac:dyDescent="0.25">
      <c r="D1173" s="41" t="s">
        <v>3123</v>
      </c>
      <c r="E1173" s="42" t="s">
        <v>182</v>
      </c>
      <c r="F1173" s="43" t="s">
        <v>747</v>
      </c>
    </row>
    <row r="1174" spans="4:6" x14ac:dyDescent="0.25">
      <c r="D1174" s="41" t="s">
        <v>839</v>
      </c>
      <c r="E1174" s="42" t="s">
        <v>189</v>
      </c>
      <c r="F1174" s="43" t="s">
        <v>747</v>
      </c>
    </row>
    <row r="1175" spans="4:6" x14ac:dyDescent="0.25">
      <c r="D1175" s="41" t="s">
        <v>1338</v>
      </c>
      <c r="E1175" s="42" t="s">
        <v>189</v>
      </c>
      <c r="F1175" s="43" t="s">
        <v>747</v>
      </c>
    </row>
    <row r="1176" spans="4:6" x14ac:dyDescent="0.25">
      <c r="D1176" s="41" t="s">
        <v>2823</v>
      </c>
      <c r="E1176" s="42" t="s">
        <v>189</v>
      </c>
      <c r="F1176" s="43"/>
    </row>
    <row r="1177" spans="4:6" x14ac:dyDescent="0.25">
      <c r="D1177" s="41" t="s">
        <v>838</v>
      </c>
      <c r="E1177" s="42" t="s">
        <v>137</v>
      </c>
      <c r="F1177" s="43" t="s">
        <v>747</v>
      </c>
    </row>
    <row r="1178" spans="4:6" x14ac:dyDescent="0.25">
      <c r="D1178" s="41" t="s">
        <v>2801</v>
      </c>
      <c r="E1178" s="42" t="s">
        <v>137</v>
      </c>
      <c r="F1178" s="43"/>
    </row>
    <row r="1179" spans="4:6" x14ac:dyDescent="0.25">
      <c r="D1179" s="41" t="s">
        <v>1322</v>
      </c>
      <c r="E1179" s="42" t="s">
        <v>1252</v>
      </c>
      <c r="F1179" s="43" t="s">
        <v>1323</v>
      </c>
    </row>
    <row r="1180" spans="4:6" x14ac:dyDescent="0.25">
      <c r="D1180" s="41" t="s">
        <v>1777</v>
      </c>
      <c r="E1180" s="42" t="s">
        <v>1252</v>
      </c>
      <c r="F1180" s="43" t="s">
        <v>1778</v>
      </c>
    </row>
    <row r="1181" spans="4:6" x14ac:dyDescent="0.25">
      <c r="D1181" s="41" t="s">
        <v>2930</v>
      </c>
      <c r="E1181" s="42" t="s">
        <v>1252</v>
      </c>
      <c r="F1181" s="43" t="s">
        <v>2931</v>
      </c>
    </row>
    <row r="1182" spans="4:6" x14ac:dyDescent="0.25">
      <c r="D1182" s="41" t="s">
        <v>2878</v>
      </c>
      <c r="E1182" s="42" t="s">
        <v>1101</v>
      </c>
      <c r="F1182" s="43" t="s">
        <v>2879</v>
      </c>
    </row>
    <row r="1183" spans="4:6" x14ac:dyDescent="0.25">
      <c r="D1183" s="41" t="s">
        <v>884</v>
      </c>
      <c r="E1183" s="42" t="s">
        <v>867</v>
      </c>
      <c r="F1183" s="43" t="s">
        <v>885</v>
      </c>
    </row>
    <row r="1184" spans="4:6" x14ac:dyDescent="0.25">
      <c r="D1184" s="41" t="s">
        <v>1337</v>
      </c>
      <c r="E1184" s="42" t="s">
        <v>867</v>
      </c>
      <c r="F1184" s="43" t="s">
        <v>747</v>
      </c>
    </row>
    <row r="1185" spans="4:6" x14ac:dyDescent="0.25">
      <c r="D1185" s="41" t="s">
        <v>2790</v>
      </c>
      <c r="E1185" s="42" t="s">
        <v>867</v>
      </c>
      <c r="F1185" s="43"/>
    </row>
    <row r="1186" spans="4:6" x14ac:dyDescent="0.25">
      <c r="D1186" s="41" t="s">
        <v>2941</v>
      </c>
      <c r="E1186" s="42" t="s">
        <v>2942</v>
      </c>
      <c r="F1186" s="43" t="s">
        <v>747</v>
      </c>
    </row>
    <row r="1187" spans="4:6" x14ac:dyDescent="0.25">
      <c r="D1187" s="41" t="s">
        <v>1295</v>
      </c>
      <c r="E1187" s="42" t="s">
        <v>1102</v>
      </c>
      <c r="F1187" s="43" t="s">
        <v>747</v>
      </c>
    </row>
    <row r="1188" spans="4:6" x14ac:dyDescent="0.25">
      <c r="D1188" s="41" t="s">
        <v>1901</v>
      </c>
      <c r="E1188" s="42" t="s">
        <v>1102</v>
      </c>
      <c r="F1188" s="43"/>
    </row>
    <row r="1189" spans="4:6" x14ac:dyDescent="0.25">
      <c r="D1189" s="41" t="s">
        <v>2937</v>
      </c>
      <c r="E1189" s="42" t="s">
        <v>1102</v>
      </c>
      <c r="F1189" s="43" t="s">
        <v>2938</v>
      </c>
    </row>
    <row r="1190" spans="4:6" x14ac:dyDescent="0.25">
      <c r="D1190" s="41" t="s">
        <v>3138</v>
      </c>
      <c r="E1190" s="42" t="s">
        <v>1102</v>
      </c>
      <c r="F1190" s="43"/>
    </row>
    <row r="1191" spans="4:6" x14ac:dyDescent="0.25">
      <c r="D1191" s="41" t="s">
        <v>1971</v>
      </c>
      <c r="E1191" s="42" t="s">
        <v>38</v>
      </c>
      <c r="F1191" s="43" t="s">
        <v>1123</v>
      </c>
    </row>
    <row r="1192" spans="4:6" x14ac:dyDescent="0.25">
      <c r="D1192" s="41" t="s">
        <v>1988</v>
      </c>
      <c r="E1192" s="42" t="s">
        <v>38</v>
      </c>
      <c r="F1192" s="43" t="s">
        <v>747</v>
      </c>
    </row>
    <row r="1193" spans="4:6" x14ac:dyDescent="0.25">
      <c r="D1193" s="41" t="s">
        <v>3469</v>
      </c>
      <c r="E1193" s="42" t="s">
        <v>38</v>
      </c>
      <c r="F1193" s="43" t="s">
        <v>747</v>
      </c>
    </row>
    <row r="1194" spans="4:6" x14ac:dyDescent="0.25">
      <c r="D1194" s="41" t="s">
        <v>1136</v>
      </c>
      <c r="E1194" s="42" t="s">
        <v>1103</v>
      </c>
      <c r="F1194" s="43" t="s">
        <v>1137</v>
      </c>
    </row>
    <row r="1195" spans="4:6" x14ac:dyDescent="0.25">
      <c r="D1195" s="41" t="s">
        <v>3112</v>
      </c>
      <c r="E1195" s="42" t="s">
        <v>1103</v>
      </c>
      <c r="F1195" s="43" t="s">
        <v>747</v>
      </c>
    </row>
    <row r="1196" spans="4:6" x14ac:dyDescent="0.25">
      <c r="D1196" s="41" t="s">
        <v>1427</v>
      </c>
      <c r="E1196" s="42" t="s">
        <v>187</v>
      </c>
      <c r="F1196" s="43" t="s">
        <v>747</v>
      </c>
    </row>
    <row r="1197" spans="4:6" x14ac:dyDescent="0.25">
      <c r="D1197" s="41" t="s">
        <v>1627</v>
      </c>
      <c r="E1197" s="42" t="s">
        <v>187</v>
      </c>
      <c r="F1197" s="43" t="s">
        <v>1628</v>
      </c>
    </row>
    <row r="1198" spans="4:6" x14ac:dyDescent="0.25">
      <c r="D1198" s="41" t="s">
        <v>1788</v>
      </c>
      <c r="E1198" s="42" t="s">
        <v>187</v>
      </c>
      <c r="F1198" s="43" t="s">
        <v>1789</v>
      </c>
    </row>
    <row r="1199" spans="4:6" x14ac:dyDescent="0.25">
      <c r="D1199" s="41" t="s">
        <v>2961</v>
      </c>
      <c r="E1199" s="42" t="s">
        <v>187</v>
      </c>
      <c r="F1199" s="43"/>
    </row>
    <row r="1200" spans="4:6" x14ac:dyDescent="0.25">
      <c r="D1200" s="41" t="s">
        <v>3107</v>
      </c>
      <c r="E1200" s="42" t="s">
        <v>187</v>
      </c>
      <c r="F1200" s="43"/>
    </row>
    <row r="1201" spans="4:6" x14ac:dyDescent="0.25">
      <c r="D1201" s="41" t="s">
        <v>3471</v>
      </c>
      <c r="E1201" s="42" t="s">
        <v>187</v>
      </c>
      <c r="F1201" s="43" t="s">
        <v>747</v>
      </c>
    </row>
    <row r="1202" spans="4:6" x14ac:dyDescent="0.25">
      <c r="D1202" s="41" t="s">
        <v>3025</v>
      </c>
      <c r="E1202" s="42" t="s">
        <v>1104</v>
      </c>
      <c r="F1202" s="43"/>
    </row>
    <row r="1203" spans="4:6" x14ac:dyDescent="0.25">
      <c r="D1203" s="41" t="s">
        <v>3111</v>
      </c>
      <c r="E1203" s="42" t="s">
        <v>1104</v>
      </c>
      <c r="F1203" s="43" t="s">
        <v>747</v>
      </c>
    </row>
    <row r="1204" spans="4:6" x14ac:dyDescent="0.25">
      <c r="D1204" s="41" t="s">
        <v>3466</v>
      </c>
      <c r="E1204" s="42" t="s">
        <v>1104</v>
      </c>
      <c r="F1204" s="43" t="s">
        <v>747</v>
      </c>
    </row>
    <row r="1205" spans="4:6" x14ac:dyDescent="0.25">
      <c r="D1205" s="41" t="s">
        <v>3026</v>
      </c>
      <c r="E1205" s="42" t="s">
        <v>3017</v>
      </c>
      <c r="F1205" s="43" t="s">
        <v>747</v>
      </c>
    </row>
    <row r="1206" spans="4:6" x14ac:dyDescent="0.25">
      <c r="D1206" s="41" t="s">
        <v>3470</v>
      </c>
      <c r="E1206" s="42" t="s">
        <v>3952</v>
      </c>
      <c r="F1206" s="43" t="s">
        <v>747</v>
      </c>
    </row>
    <row r="1207" spans="4:6" x14ac:dyDescent="0.25">
      <c r="D1207" s="41" t="s">
        <v>3465</v>
      </c>
      <c r="E1207" s="42" t="s">
        <v>3457</v>
      </c>
      <c r="F1207" s="43" t="s">
        <v>747</v>
      </c>
    </row>
    <row r="1208" spans="4:6" x14ac:dyDescent="0.25">
      <c r="D1208" s="41" t="s">
        <v>2899</v>
      </c>
      <c r="E1208" s="42" t="s">
        <v>2827</v>
      </c>
      <c r="F1208" s="43" t="s">
        <v>78</v>
      </c>
    </row>
    <row r="1209" spans="4:6" x14ac:dyDescent="0.25">
      <c r="D1209" s="41" t="s">
        <v>3460</v>
      </c>
      <c r="E1209" s="42" t="s">
        <v>2827</v>
      </c>
      <c r="F1209" s="43" t="s">
        <v>747</v>
      </c>
    </row>
    <row r="1210" spans="4:6" x14ac:dyDescent="0.25">
      <c r="D1210" s="41" t="s">
        <v>772</v>
      </c>
      <c r="E1210" s="42" t="s">
        <v>112</v>
      </c>
      <c r="F1210" s="43" t="s">
        <v>747</v>
      </c>
    </row>
    <row r="1211" spans="4:6" x14ac:dyDescent="0.25">
      <c r="D1211" s="41" t="s">
        <v>844</v>
      </c>
      <c r="E1211" s="42" t="s">
        <v>112</v>
      </c>
      <c r="F1211" s="43" t="s">
        <v>747</v>
      </c>
    </row>
    <row r="1212" spans="4:6" x14ac:dyDescent="0.25">
      <c r="D1212" s="41" t="s">
        <v>909</v>
      </c>
      <c r="E1212" s="42" t="s">
        <v>112</v>
      </c>
      <c r="F1212" s="43" t="s">
        <v>747</v>
      </c>
    </row>
    <row r="1213" spans="4:6" x14ac:dyDescent="0.25">
      <c r="D1213" s="41" t="s">
        <v>1007</v>
      </c>
      <c r="E1213" s="42" t="s">
        <v>112</v>
      </c>
      <c r="F1213" s="43" t="s">
        <v>992</v>
      </c>
    </row>
    <row r="1214" spans="4:6" x14ac:dyDescent="0.25">
      <c r="D1214" s="41" t="s">
        <v>1426</v>
      </c>
      <c r="E1214" s="42" t="s">
        <v>112</v>
      </c>
      <c r="F1214" s="43" t="s">
        <v>747</v>
      </c>
    </row>
    <row r="1215" spans="4:6" x14ac:dyDescent="0.25">
      <c r="D1215" s="41" t="s">
        <v>2355</v>
      </c>
      <c r="E1215" s="42" t="s">
        <v>112</v>
      </c>
      <c r="F1215" s="43"/>
    </row>
    <row r="1216" spans="4:6" x14ac:dyDescent="0.25">
      <c r="D1216" s="41" t="s">
        <v>2356</v>
      </c>
      <c r="E1216" s="42" t="s">
        <v>112</v>
      </c>
      <c r="F1216" s="43"/>
    </row>
    <row r="1217" spans="4:6" x14ac:dyDescent="0.25">
      <c r="D1217" s="41" t="s">
        <v>2972</v>
      </c>
      <c r="E1217" s="42" t="s">
        <v>112</v>
      </c>
      <c r="F1217" s="43"/>
    </row>
    <row r="1218" spans="4:6" x14ac:dyDescent="0.25">
      <c r="D1218" s="41" t="s">
        <v>3626</v>
      </c>
      <c r="E1218" s="42" t="s">
        <v>112</v>
      </c>
      <c r="F1218" s="43"/>
    </row>
    <row r="1219" spans="4:6" x14ac:dyDescent="0.25">
      <c r="D1219" s="41" t="s">
        <v>512</v>
      </c>
      <c r="E1219" s="42" t="s">
        <v>111</v>
      </c>
      <c r="F1219" s="43" t="s">
        <v>513</v>
      </c>
    </row>
    <row r="1220" spans="4:6" x14ac:dyDescent="0.25">
      <c r="D1220" s="41" t="s">
        <v>649</v>
      </c>
      <c r="E1220" s="42" t="s">
        <v>111</v>
      </c>
      <c r="F1220" s="43" t="s">
        <v>650</v>
      </c>
    </row>
    <row r="1221" spans="4:6" x14ac:dyDescent="0.25">
      <c r="D1221" s="41" t="s">
        <v>651</v>
      </c>
      <c r="E1221" s="42" t="s">
        <v>111</v>
      </c>
      <c r="F1221" s="43" t="s">
        <v>652</v>
      </c>
    </row>
    <row r="1222" spans="4:6" x14ac:dyDescent="0.25">
      <c r="D1222" s="41" t="s">
        <v>661</v>
      </c>
      <c r="E1222" s="42" t="s">
        <v>111</v>
      </c>
      <c r="F1222" s="43" t="s">
        <v>662</v>
      </c>
    </row>
    <row r="1223" spans="4:6" x14ac:dyDescent="0.25">
      <c r="D1223" s="41" t="s">
        <v>785</v>
      </c>
      <c r="E1223" s="42" t="s">
        <v>111</v>
      </c>
      <c r="F1223" s="43" t="s">
        <v>747</v>
      </c>
    </row>
    <row r="1224" spans="4:6" x14ac:dyDescent="0.25">
      <c r="D1224" s="41" t="s">
        <v>817</v>
      </c>
      <c r="E1224" s="42" t="s">
        <v>111</v>
      </c>
      <c r="F1224" s="43" t="s">
        <v>747</v>
      </c>
    </row>
    <row r="1225" spans="4:6" x14ac:dyDescent="0.25">
      <c r="D1225" s="41" t="s">
        <v>868</v>
      </c>
      <c r="E1225" s="42" t="s">
        <v>111</v>
      </c>
      <c r="F1225" s="43" t="s">
        <v>869</v>
      </c>
    </row>
    <row r="1226" spans="4:6" x14ac:dyDescent="0.25">
      <c r="D1226" s="41" t="s">
        <v>896</v>
      </c>
      <c r="E1226" s="42" t="s">
        <v>111</v>
      </c>
      <c r="F1226" s="43" t="s">
        <v>747</v>
      </c>
    </row>
    <row r="1227" spans="4:6" x14ac:dyDescent="0.25">
      <c r="D1227" s="41" t="s">
        <v>1278</v>
      </c>
      <c r="E1227" s="42" t="s">
        <v>111</v>
      </c>
      <c r="F1227" s="43" t="s">
        <v>747</v>
      </c>
    </row>
    <row r="1228" spans="4:6" x14ac:dyDescent="0.25">
      <c r="D1228" s="41" t="s">
        <v>1302</v>
      </c>
      <c r="E1228" s="42" t="s">
        <v>111</v>
      </c>
      <c r="F1228" s="43" t="s">
        <v>747</v>
      </c>
    </row>
    <row r="1229" spans="4:6" x14ac:dyDescent="0.25">
      <c r="D1229" s="41" t="s">
        <v>2357</v>
      </c>
      <c r="E1229" s="42" t="s">
        <v>111</v>
      </c>
      <c r="F1229" s="43" t="s">
        <v>2358</v>
      </c>
    </row>
    <row r="1230" spans="4:6" x14ac:dyDescent="0.25">
      <c r="D1230" s="41" t="s">
        <v>2359</v>
      </c>
      <c r="E1230" s="42" t="s">
        <v>111</v>
      </c>
      <c r="F1230" s="43"/>
    </row>
    <row r="1231" spans="4:6" x14ac:dyDescent="0.25">
      <c r="D1231" s="41" t="s">
        <v>2360</v>
      </c>
      <c r="E1231" s="42" t="s">
        <v>111</v>
      </c>
      <c r="F1231" s="43"/>
    </row>
    <row r="1232" spans="4:6" x14ac:dyDescent="0.25">
      <c r="D1232" s="41" t="s">
        <v>2948</v>
      </c>
      <c r="E1232" s="42" t="s">
        <v>111</v>
      </c>
      <c r="F1232" s="43" t="s">
        <v>747</v>
      </c>
    </row>
    <row r="1233" spans="4:6" x14ac:dyDescent="0.25">
      <c r="D1233" s="41" t="s">
        <v>3198</v>
      </c>
      <c r="E1233" s="42" t="s">
        <v>111</v>
      </c>
      <c r="F1233" s="43"/>
    </row>
    <row r="1234" spans="4:6" x14ac:dyDescent="0.25">
      <c r="D1234" s="41" t="s">
        <v>3544</v>
      </c>
      <c r="E1234" s="42" t="s">
        <v>111</v>
      </c>
      <c r="F1234" s="43" t="s">
        <v>747</v>
      </c>
    </row>
    <row r="1235" spans="4:6" x14ac:dyDescent="0.25">
      <c r="D1235" s="41" t="s">
        <v>1568</v>
      </c>
      <c r="E1235" s="42" t="s">
        <v>3882</v>
      </c>
      <c r="F1235" s="43" t="s">
        <v>1493</v>
      </c>
    </row>
    <row r="1236" spans="4:6" x14ac:dyDescent="0.25">
      <c r="D1236" s="41" t="s">
        <v>3411</v>
      </c>
      <c r="E1236" s="47" t="s">
        <v>3799</v>
      </c>
      <c r="F1236" s="43" t="s">
        <v>1911</v>
      </c>
    </row>
    <row r="1237" spans="4:6" x14ac:dyDescent="0.25">
      <c r="D1237" s="41" t="s">
        <v>2361</v>
      </c>
      <c r="E1237" s="42" t="s">
        <v>2362</v>
      </c>
      <c r="F1237" s="43" t="s">
        <v>2363</v>
      </c>
    </row>
    <row r="1238" spans="4:6" x14ac:dyDescent="0.25">
      <c r="D1238" s="41" t="s">
        <v>3248</v>
      </c>
      <c r="E1238" s="42" t="s">
        <v>3177</v>
      </c>
      <c r="F1238" s="43" t="s">
        <v>3249</v>
      </c>
    </row>
    <row r="1239" spans="4:6" x14ac:dyDescent="0.25">
      <c r="D1239" s="41" t="s">
        <v>3391</v>
      </c>
      <c r="E1239" s="42" t="s">
        <v>3177</v>
      </c>
      <c r="F1239" s="43"/>
    </row>
    <row r="1240" spans="4:6" x14ac:dyDescent="0.25">
      <c r="D1240" s="41" t="s">
        <v>3426</v>
      </c>
      <c r="E1240" s="42" t="s">
        <v>3177</v>
      </c>
      <c r="F1240" s="43"/>
    </row>
    <row r="1241" spans="4:6" x14ac:dyDescent="0.25">
      <c r="D1241" s="41" t="s">
        <v>3752</v>
      </c>
      <c r="E1241" s="42" t="s">
        <v>3177</v>
      </c>
      <c r="F1241" s="43" t="s">
        <v>747</v>
      </c>
    </row>
    <row r="1242" spans="4:6" x14ac:dyDescent="0.25">
      <c r="D1242" s="41" t="s">
        <v>2364</v>
      </c>
      <c r="E1242" s="42" t="s">
        <v>2365</v>
      </c>
      <c r="F1242" s="43" t="s">
        <v>2132</v>
      </c>
    </row>
    <row r="1243" spans="4:6" x14ac:dyDescent="0.25">
      <c r="D1243" s="44" t="s">
        <v>3277</v>
      </c>
      <c r="E1243" s="45" t="s">
        <v>2365</v>
      </c>
      <c r="F1243" s="46"/>
    </row>
    <row r="1244" spans="4:6" x14ac:dyDescent="0.25">
      <c r="D1244" s="41" t="s">
        <v>3521</v>
      </c>
      <c r="E1244" s="42" t="s">
        <v>2365</v>
      </c>
      <c r="F1244" s="43" t="s">
        <v>747</v>
      </c>
    </row>
    <row r="1245" spans="4:6" x14ac:dyDescent="0.25">
      <c r="D1245" s="41" t="s">
        <v>3567</v>
      </c>
      <c r="E1245" s="42" t="s">
        <v>2365</v>
      </c>
      <c r="F1245" s="43"/>
    </row>
    <row r="1246" spans="4:6" x14ac:dyDescent="0.25">
      <c r="D1246" s="41" t="s">
        <v>3676</v>
      </c>
      <c r="E1246" s="42" t="s">
        <v>2365</v>
      </c>
      <c r="F1246" s="43"/>
    </row>
    <row r="1247" spans="4:6" x14ac:dyDescent="0.25">
      <c r="D1247" s="41" t="s">
        <v>3711</v>
      </c>
      <c r="E1247" s="42" t="s">
        <v>2365</v>
      </c>
      <c r="F1247" s="43"/>
    </row>
    <row r="1248" spans="4:6" x14ac:dyDescent="0.25">
      <c r="D1248" s="41" t="s">
        <v>1217</v>
      </c>
      <c r="E1248" s="42" t="s">
        <v>1068</v>
      </c>
      <c r="F1248" s="43" t="s">
        <v>1218</v>
      </c>
    </row>
    <row r="1249" spans="4:6" x14ac:dyDescent="0.25">
      <c r="D1249" s="41" t="s">
        <v>1484</v>
      </c>
      <c r="E1249" s="42" t="s">
        <v>4154</v>
      </c>
      <c r="F1249" s="43" t="s">
        <v>752</v>
      </c>
    </row>
    <row r="1250" spans="4:6" x14ac:dyDescent="0.25">
      <c r="D1250" s="41" t="s">
        <v>1509</v>
      </c>
      <c r="E1250" s="42" t="s">
        <v>1068</v>
      </c>
      <c r="F1250" s="43"/>
    </row>
    <row r="1251" spans="4:6" x14ac:dyDescent="0.25">
      <c r="D1251" s="41" t="s">
        <v>1902</v>
      </c>
      <c r="E1251" s="42" t="s">
        <v>1068</v>
      </c>
      <c r="F1251" s="43"/>
    </row>
    <row r="1252" spans="4:6" x14ac:dyDescent="0.25">
      <c r="D1252" s="41" t="s">
        <v>2366</v>
      </c>
      <c r="E1252" s="42" t="s">
        <v>1068</v>
      </c>
      <c r="F1252" s="43"/>
    </row>
    <row r="1253" spans="4:6" x14ac:dyDescent="0.25">
      <c r="D1253" s="41" t="s">
        <v>2367</v>
      </c>
      <c r="E1253" s="42" t="s">
        <v>1068</v>
      </c>
      <c r="F1253" s="43"/>
    </row>
    <row r="1254" spans="4:6" x14ac:dyDescent="0.25">
      <c r="D1254" s="41" t="s">
        <v>2368</v>
      </c>
      <c r="E1254" s="42" t="s">
        <v>1068</v>
      </c>
      <c r="F1254" s="43" t="s">
        <v>747</v>
      </c>
    </row>
    <row r="1255" spans="4:6" x14ac:dyDescent="0.25">
      <c r="D1255" s="41" t="s">
        <v>2369</v>
      </c>
      <c r="E1255" s="42" t="s">
        <v>1068</v>
      </c>
      <c r="F1255" s="43"/>
    </row>
    <row r="1256" spans="4:6" x14ac:dyDescent="0.25">
      <c r="D1256" s="41" t="s">
        <v>2370</v>
      </c>
      <c r="E1256" s="42" t="s">
        <v>1068</v>
      </c>
      <c r="F1256" s="43"/>
    </row>
    <row r="1257" spans="4:6" x14ac:dyDescent="0.25">
      <c r="D1257" s="41" t="s">
        <v>2371</v>
      </c>
      <c r="E1257" s="42" t="s">
        <v>1068</v>
      </c>
      <c r="F1257" s="43"/>
    </row>
    <row r="1258" spans="4:6" x14ac:dyDescent="0.25">
      <c r="D1258" s="41" t="s">
        <v>2372</v>
      </c>
      <c r="E1258" s="42" t="s">
        <v>1068</v>
      </c>
      <c r="F1258" s="43"/>
    </row>
    <row r="1259" spans="4:6" x14ac:dyDescent="0.25">
      <c r="D1259" s="41" t="s">
        <v>2373</v>
      </c>
      <c r="E1259" s="42" t="s">
        <v>1068</v>
      </c>
      <c r="F1259" s="43" t="s">
        <v>747</v>
      </c>
    </row>
    <row r="1260" spans="4:6" x14ac:dyDescent="0.25">
      <c r="D1260" s="41" t="s">
        <v>2783</v>
      </c>
      <c r="E1260" s="42" t="s">
        <v>1068</v>
      </c>
      <c r="F1260" s="43"/>
    </row>
    <row r="1261" spans="4:6" x14ac:dyDescent="0.25">
      <c r="D1261" s="41" t="s">
        <v>2998</v>
      </c>
      <c r="E1261" s="42" t="s">
        <v>1068</v>
      </c>
      <c r="F1261" s="43"/>
    </row>
    <row r="1262" spans="4:6" x14ac:dyDescent="0.25">
      <c r="D1262" s="44" t="s">
        <v>3275</v>
      </c>
      <c r="E1262" s="45" t="s">
        <v>1068</v>
      </c>
      <c r="F1262" s="46"/>
    </row>
    <row r="1263" spans="4:6" x14ac:dyDescent="0.25">
      <c r="D1263" s="44" t="s">
        <v>3302</v>
      </c>
      <c r="E1263" s="45" t="s">
        <v>1068</v>
      </c>
      <c r="F1263" s="46" t="s">
        <v>3303</v>
      </c>
    </row>
    <row r="1264" spans="4:6" x14ac:dyDescent="0.25">
      <c r="D1264" s="41" t="s">
        <v>3392</v>
      </c>
      <c r="E1264" s="42" t="s">
        <v>1068</v>
      </c>
      <c r="F1264" s="43"/>
    </row>
    <row r="1265" spans="4:6" x14ac:dyDescent="0.25">
      <c r="D1265" s="41" t="s">
        <v>3691</v>
      </c>
      <c r="E1265" s="42" t="s">
        <v>1068</v>
      </c>
      <c r="F1265" s="43"/>
    </row>
    <row r="1266" spans="4:6" x14ac:dyDescent="0.25">
      <c r="D1266" s="41" t="s">
        <v>3763</v>
      </c>
      <c r="E1266" s="42" t="s">
        <v>1068</v>
      </c>
      <c r="F1266" s="43" t="s">
        <v>747</v>
      </c>
    </row>
    <row r="1267" spans="4:6" x14ac:dyDescent="0.25">
      <c r="D1267" s="41" t="s">
        <v>1326</v>
      </c>
      <c r="E1267" s="42" t="s">
        <v>139</v>
      </c>
      <c r="F1267" s="43" t="s">
        <v>1327</v>
      </c>
    </row>
    <row r="1268" spans="4:6" x14ac:dyDescent="0.25">
      <c r="D1268" s="41" t="s">
        <v>1450</v>
      </c>
      <c r="E1268" s="42" t="s">
        <v>139</v>
      </c>
      <c r="F1268" s="43" t="s">
        <v>747</v>
      </c>
    </row>
    <row r="1269" spans="4:6" x14ac:dyDescent="0.25">
      <c r="D1269" s="41" t="s">
        <v>2374</v>
      </c>
      <c r="E1269" s="42" t="s">
        <v>139</v>
      </c>
      <c r="F1269" s="43" t="s">
        <v>78</v>
      </c>
    </row>
    <row r="1270" spans="4:6" x14ac:dyDescent="0.25">
      <c r="D1270" s="41" t="s">
        <v>2375</v>
      </c>
      <c r="E1270" s="42" t="s">
        <v>139</v>
      </c>
      <c r="F1270" s="43" t="s">
        <v>78</v>
      </c>
    </row>
    <row r="1271" spans="4:6" x14ac:dyDescent="0.25">
      <c r="D1271" s="41" t="s">
        <v>2376</v>
      </c>
      <c r="E1271" s="42" t="s">
        <v>139</v>
      </c>
      <c r="F1271" s="43"/>
    </row>
    <row r="1272" spans="4:6" x14ac:dyDescent="0.25">
      <c r="D1272" s="41" t="s">
        <v>2377</v>
      </c>
      <c r="E1272" s="42" t="s">
        <v>139</v>
      </c>
      <c r="F1272" s="43"/>
    </row>
    <row r="1273" spans="4:6" x14ac:dyDescent="0.25">
      <c r="D1273" s="44" t="s">
        <v>3274</v>
      </c>
      <c r="E1273" s="45" t="s">
        <v>139</v>
      </c>
      <c r="F1273" s="46"/>
    </row>
    <row r="1274" spans="4:6" x14ac:dyDescent="0.25">
      <c r="D1274" s="41" t="s">
        <v>3430</v>
      </c>
      <c r="E1274" s="42" t="s">
        <v>139</v>
      </c>
      <c r="F1274" s="43"/>
    </row>
    <row r="1275" spans="4:6" x14ac:dyDescent="0.25">
      <c r="D1275" s="41" t="s">
        <v>3499</v>
      </c>
      <c r="E1275" s="42" t="s">
        <v>139</v>
      </c>
      <c r="F1275" s="43" t="s">
        <v>747</v>
      </c>
    </row>
    <row r="1276" spans="4:6" x14ac:dyDescent="0.25">
      <c r="D1276" s="41" t="s">
        <v>3585</v>
      </c>
      <c r="E1276" s="42" t="s">
        <v>139</v>
      </c>
      <c r="F1276" s="43"/>
    </row>
    <row r="1277" spans="4:6" x14ac:dyDescent="0.25">
      <c r="D1277" s="41" t="s">
        <v>3710</v>
      </c>
      <c r="E1277" s="42" t="s">
        <v>139</v>
      </c>
      <c r="F1277" s="43"/>
    </row>
    <row r="1278" spans="4:6" x14ac:dyDescent="0.25">
      <c r="D1278" s="41" t="s">
        <v>3677</v>
      </c>
      <c r="E1278" s="42" t="s">
        <v>3658</v>
      </c>
      <c r="F1278" s="43" t="s">
        <v>3658</v>
      </c>
    </row>
    <row r="1279" spans="4:6" x14ac:dyDescent="0.25">
      <c r="D1279" s="44" t="s">
        <v>3329</v>
      </c>
      <c r="E1279" s="45" t="s">
        <v>3883</v>
      </c>
      <c r="F1279" s="46" t="s">
        <v>3307</v>
      </c>
    </row>
    <row r="1280" spans="4:6" x14ac:dyDescent="0.25">
      <c r="D1280" s="41" t="s">
        <v>2378</v>
      </c>
      <c r="E1280" s="42" t="s">
        <v>2379</v>
      </c>
      <c r="F1280" s="43" t="s">
        <v>747</v>
      </c>
    </row>
    <row r="1281" spans="4:6" x14ac:dyDescent="0.25">
      <c r="D1281" s="41" t="s">
        <v>2380</v>
      </c>
      <c r="E1281" s="42" t="s">
        <v>2381</v>
      </c>
      <c r="F1281" s="43" t="s">
        <v>2382</v>
      </c>
    </row>
    <row r="1282" spans="4:6" x14ac:dyDescent="0.25">
      <c r="D1282" s="41" t="s">
        <v>3376</v>
      </c>
      <c r="E1282" s="42" t="s">
        <v>3363</v>
      </c>
      <c r="F1282" s="43" t="s">
        <v>1169</v>
      </c>
    </row>
    <row r="1283" spans="4:6" x14ac:dyDescent="0.25">
      <c r="D1283" s="41" t="s">
        <v>2383</v>
      </c>
      <c r="E1283" s="42" t="s">
        <v>261</v>
      </c>
      <c r="F1283" s="43"/>
    </row>
    <row r="1284" spans="4:6" x14ac:dyDescent="0.25">
      <c r="D1284" s="41" t="s">
        <v>2384</v>
      </c>
      <c r="E1284" s="42" t="s">
        <v>261</v>
      </c>
      <c r="F1284" s="43"/>
    </row>
    <row r="1285" spans="4:6" x14ac:dyDescent="0.25">
      <c r="D1285" s="41" t="s">
        <v>2385</v>
      </c>
      <c r="E1285" s="42" t="s">
        <v>261</v>
      </c>
      <c r="F1285" s="43"/>
    </row>
    <row r="1286" spans="4:6" x14ac:dyDescent="0.25">
      <c r="D1286" s="41" t="s">
        <v>2386</v>
      </c>
      <c r="E1286" s="42" t="s">
        <v>261</v>
      </c>
      <c r="F1286" s="43"/>
    </row>
    <row r="1287" spans="4:6" x14ac:dyDescent="0.25">
      <c r="D1287" s="41" t="s">
        <v>2387</v>
      </c>
      <c r="E1287" s="42" t="s">
        <v>261</v>
      </c>
      <c r="F1287" s="43"/>
    </row>
    <row r="1288" spans="4:6" x14ac:dyDescent="0.25">
      <c r="D1288" s="41" t="s">
        <v>2975</v>
      </c>
      <c r="E1288" s="42" t="s">
        <v>261</v>
      </c>
      <c r="F1288" s="43"/>
    </row>
    <row r="1289" spans="4:6" x14ac:dyDescent="0.25">
      <c r="D1289" s="41" t="s">
        <v>1466</v>
      </c>
      <c r="E1289" s="42" t="s">
        <v>160</v>
      </c>
      <c r="F1289" s="43" t="s">
        <v>747</v>
      </c>
    </row>
    <row r="1290" spans="4:6" x14ac:dyDescent="0.25">
      <c r="D1290" s="41" t="s">
        <v>2388</v>
      </c>
      <c r="E1290" s="42" t="s">
        <v>160</v>
      </c>
      <c r="F1290" s="43"/>
    </row>
    <row r="1291" spans="4:6" x14ac:dyDescent="0.25">
      <c r="D1291" s="41" t="s">
        <v>2984</v>
      </c>
      <c r="E1291" s="42" t="s">
        <v>160</v>
      </c>
      <c r="F1291" s="43"/>
    </row>
    <row r="1292" spans="4:6" x14ac:dyDescent="0.25">
      <c r="D1292" s="41" t="s">
        <v>3618</v>
      </c>
      <c r="E1292" s="42" t="s">
        <v>160</v>
      </c>
      <c r="F1292" s="43"/>
    </row>
    <row r="1293" spans="4:6" x14ac:dyDescent="0.25">
      <c r="D1293" s="41" t="s">
        <v>2389</v>
      </c>
      <c r="E1293" s="42" t="s">
        <v>140</v>
      </c>
      <c r="F1293" s="43"/>
    </row>
    <row r="1294" spans="4:6" x14ac:dyDescent="0.25">
      <c r="D1294" s="41" t="s">
        <v>2390</v>
      </c>
      <c r="E1294" s="42" t="s">
        <v>1069</v>
      </c>
      <c r="F1294" s="43"/>
    </row>
    <row r="1295" spans="4:6" x14ac:dyDescent="0.25">
      <c r="D1295" s="41" t="s">
        <v>3641</v>
      </c>
      <c r="E1295" s="42" t="s">
        <v>1069</v>
      </c>
      <c r="F1295" s="43"/>
    </row>
    <row r="1296" spans="4:6" x14ac:dyDescent="0.25">
      <c r="D1296" s="41" t="s">
        <v>3599</v>
      </c>
      <c r="E1296" s="42" t="s">
        <v>1070</v>
      </c>
      <c r="F1296" s="43"/>
    </row>
    <row r="1297" spans="4:6" x14ac:dyDescent="0.25">
      <c r="D1297" s="41" t="s">
        <v>3694</v>
      </c>
      <c r="E1297" s="42" t="s">
        <v>3654</v>
      </c>
      <c r="F1297" s="43" t="s">
        <v>3654</v>
      </c>
    </row>
    <row r="1298" spans="4:6" x14ac:dyDescent="0.25">
      <c r="D1298" s="41" t="s">
        <v>2395</v>
      </c>
      <c r="E1298" s="47" t="s">
        <v>3800</v>
      </c>
      <c r="F1298" s="43">
        <v>1</v>
      </c>
    </row>
    <row r="1299" spans="4:6" x14ac:dyDescent="0.25">
      <c r="D1299" s="41" t="s">
        <v>2396</v>
      </c>
      <c r="E1299" s="47" t="s">
        <v>3800</v>
      </c>
      <c r="F1299" s="43"/>
    </row>
    <row r="1300" spans="4:6" x14ac:dyDescent="0.25">
      <c r="D1300" s="41" t="s">
        <v>3444</v>
      </c>
      <c r="E1300" s="47" t="s">
        <v>3800</v>
      </c>
      <c r="F1300" s="43"/>
    </row>
    <row r="1301" spans="4:6" x14ac:dyDescent="0.25">
      <c r="D1301" s="41" t="s">
        <v>2397</v>
      </c>
      <c r="E1301" s="47" t="s">
        <v>3800</v>
      </c>
      <c r="F1301" s="43"/>
    </row>
    <row r="1302" spans="4:6" x14ac:dyDescent="0.25">
      <c r="D1302" s="41" t="s">
        <v>2398</v>
      </c>
      <c r="E1302" s="47" t="s">
        <v>3800</v>
      </c>
      <c r="F1302" s="43"/>
    </row>
    <row r="1303" spans="4:6" x14ac:dyDescent="0.25">
      <c r="D1303" s="41" t="s">
        <v>2391</v>
      </c>
      <c r="E1303" s="42" t="s">
        <v>2393</v>
      </c>
      <c r="F1303" s="43" t="s">
        <v>509</v>
      </c>
    </row>
    <row r="1304" spans="4:6" x14ac:dyDescent="0.25">
      <c r="D1304" s="41" t="s">
        <v>3733</v>
      </c>
      <c r="E1304" s="42" t="s">
        <v>2393</v>
      </c>
      <c r="F1304" s="43"/>
    </row>
    <row r="1305" spans="4:6" x14ac:dyDescent="0.25">
      <c r="D1305" s="41" t="s">
        <v>2392</v>
      </c>
      <c r="E1305" s="42" t="s">
        <v>2393</v>
      </c>
      <c r="F1305" s="43" t="s">
        <v>1169</v>
      </c>
    </row>
    <row r="1306" spans="4:6" x14ac:dyDescent="0.25">
      <c r="D1306" s="41" t="s">
        <v>3186</v>
      </c>
      <c r="E1306" s="42" t="s">
        <v>2393</v>
      </c>
      <c r="F1306" s="43"/>
    </row>
    <row r="1307" spans="4:6" x14ac:dyDescent="0.25">
      <c r="D1307" s="41" t="s">
        <v>3646</v>
      </c>
      <c r="E1307" s="42" t="s">
        <v>2393</v>
      </c>
      <c r="F1307" s="43"/>
    </row>
    <row r="1308" spans="4:6" x14ac:dyDescent="0.25">
      <c r="D1308" s="41" t="s">
        <v>3766</v>
      </c>
      <c r="E1308" s="42" t="s">
        <v>2393</v>
      </c>
      <c r="F1308" s="43" t="s">
        <v>747</v>
      </c>
    </row>
    <row r="1309" spans="4:6" x14ac:dyDescent="0.25">
      <c r="D1309" s="41" t="s">
        <v>2394</v>
      </c>
      <c r="E1309" s="42" t="s">
        <v>3885</v>
      </c>
      <c r="F1309" s="43" t="s">
        <v>747</v>
      </c>
    </row>
    <row r="1310" spans="4:6" x14ac:dyDescent="0.25">
      <c r="D1310" s="41" t="s">
        <v>1149</v>
      </c>
      <c r="E1310" s="42" t="s">
        <v>159</v>
      </c>
      <c r="F1310" s="43" t="s">
        <v>1139</v>
      </c>
    </row>
    <row r="1311" spans="4:6" x14ac:dyDescent="0.25">
      <c r="D1311" s="41" t="s">
        <v>1387</v>
      </c>
      <c r="E1311" s="42" t="s">
        <v>159</v>
      </c>
      <c r="F1311" s="43" t="s">
        <v>747</v>
      </c>
    </row>
    <row r="1312" spans="4:6" x14ac:dyDescent="0.25">
      <c r="D1312" s="41" t="s">
        <v>1626</v>
      </c>
      <c r="E1312" s="42" t="s">
        <v>159</v>
      </c>
      <c r="F1312" s="43" t="s">
        <v>494</v>
      </c>
    </row>
    <row r="1313" spans="4:6" x14ac:dyDescent="0.25">
      <c r="D1313" s="41" t="s">
        <v>2399</v>
      </c>
      <c r="E1313" s="42" t="s">
        <v>159</v>
      </c>
      <c r="F1313" s="43"/>
    </row>
    <row r="1314" spans="4:6" x14ac:dyDescent="0.25">
      <c r="D1314" s="41" t="s">
        <v>2400</v>
      </c>
      <c r="E1314" s="42" t="s">
        <v>159</v>
      </c>
      <c r="F1314" s="43" t="s">
        <v>747</v>
      </c>
    </row>
    <row r="1315" spans="4:6" x14ac:dyDescent="0.25">
      <c r="D1315" s="41" t="s">
        <v>3394</v>
      </c>
      <c r="E1315" s="42" t="s">
        <v>159</v>
      </c>
      <c r="F1315" s="43"/>
    </row>
    <row r="1316" spans="4:6" x14ac:dyDescent="0.25">
      <c r="D1316" s="41" t="s">
        <v>3755</v>
      </c>
      <c r="E1316" s="42" t="s">
        <v>159</v>
      </c>
      <c r="F1316" s="43" t="s">
        <v>747</v>
      </c>
    </row>
    <row r="1317" spans="4:6" x14ac:dyDescent="0.25">
      <c r="D1317" s="41" t="s">
        <v>1939</v>
      </c>
      <c r="E1317" s="42" t="s">
        <v>2004</v>
      </c>
      <c r="F1317" s="43" t="s">
        <v>747</v>
      </c>
    </row>
    <row r="1318" spans="4:6" x14ac:dyDescent="0.25">
      <c r="D1318" s="41" t="s">
        <v>2401</v>
      </c>
      <c r="E1318" s="42" t="s">
        <v>2004</v>
      </c>
      <c r="F1318" s="43" t="s">
        <v>747</v>
      </c>
    </row>
    <row r="1319" spans="4:6" x14ac:dyDescent="0.25">
      <c r="D1319" s="41" t="s">
        <v>2402</v>
      </c>
      <c r="E1319" s="42" t="s">
        <v>2004</v>
      </c>
      <c r="F1319" s="43" t="s">
        <v>747</v>
      </c>
    </row>
    <row r="1320" spans="4:6" x14ac:dyDescent="0.25">
      <c r="D1320" s="41" t="s">
        <v>2403</v>
      </c>
      <c r="E1320" s="42" t="s">
        <v>2004</v>
      </c>
      <c r="F1320" s="43" t="s">
        <v>747</v>
      </c>
    </row>
    <row r="1321" spans="4:6" x14ac:dyDescent="0.25">
      <c r="D1321" s="41" t="s">
        <v>2404</v>
      </c>
      <c r="E1321" s="42" t="s">
        <v>2004</v>
      </c>
      <c r="F1321" s="43" t="s">
        <v>2405</v>
      </c>
    </row>
    <row r="1322" spans="4:6" x14ac:dyDescent="0.25">
      <c r="D1322" s="41" t="s">
        <v>3635</v>
      </c>
      <c r="E1322" s="42" t="s">
        <v>2407</v>
      </c>
      <c r="F1322" s="43" t="s">
        <v>3636</v>
      </c>
    </row>
    <row r="1323" spans="4:6" x14ac:dyDescent="0.25">
      <c r="D1323" s="41" t="s">
        <v>3688</v>
      </c>
      <c r="E1323" s="42" t="s">
        <v>2407</v>
      </c>
      <c r="F1323" s="43" t="s">
        <v>3636</v>
      </c>
    </row>
    <row r="1324" spans="4:6" x14ac:dyDescent="0.25">
      <c r="D1324" s="41" t="s">
        <v>2406</v>
      </c>
      <c r="E1324" s="42" t="s">
        <v>2407</v>
      </c>
      <c r="F1324" s="43" t="s">
        <v>2408</v>
      </c>
    </row>
    <row r="1325" spans="4:6" x14ac:dyDescent="0.25">
      <c r="D1325" s="41" t="s">
        <v>2409</v>
      </c>
      <c r="E1325" s="42" t="s">
        <v>3955</v>
      </c>
      <c r="F1325" s="43" t="s">
        <v>2410</v>
      </c>
    </row>
    <row r="1326" spans="4:6" x14ac:dyDescent="0.25">
      <c r="D1326" s="41" t="s">
        <v>2411</v>
      </c>
      <c r="E1326" s="42" t="s">
        <v>3955</v>
      </c>
      <c r="F1326" s="43" t="s">
        <v>747</v>
      </c>
    </row>
    <row r="1327" spans="4:6" x14ac:dyDescent="0.25">
      <c r="D1327" s="41" t="s">
        <v>2412</v>
      </c>
      <c r="E1327" s="42" t="s">
        <v>3956</v>
      </c>
      <c r="F1327" s="43" t="s">
        <v>747</v>
      </c>
    </row>
    <row r="1328" spans="4:6" x14ac:dyDescent="0.25">
      <c r="D1328" s="41" t="s">
        <v>1949</v>
      </c>
      <c r="E1328" s="42" t="s">
        <v>1950</v>
      </c>
      <c r="F1328" s="43" t="s">
        <v>747</v>
      </c>
    </row>
    <row r="1329" spans="4:6" x14ac:dyDescent="0.25">
      <c r="D1329" s="41" t="s">
        <v>3131</v>
      </c>
      <c r="E1329" s="42" t="s">
        <v>3886</v>
      </c>
      <c r="F1329" s="43" t="s">
        <v>747</v>
      </c>
    </row>
    <row r="1330" spans="4:6" x14ac:dyDescent="0.25">
      <c r="D1330" s="41" t="s">
        <v>1954</v>
      </c>
      <c r="E1330" s="42" t="s">
        <v>829</v>
      </c>
      <c r="F1330" s="43" t="s">
        <v>747</v>
      </c>
    </row>
    <row r="1331" spans="4:6" x14ac:dyDescent="0.25">
      <c r="D1331" s="41" t="s">
        <v>2413</v>
      </c>
      <c r="E1331" s="42" t="s">
        <v>829</v>
      </c>
      <c r="F1331" s="43"/>
    </row>
    <row r="1332" spans="4:6" x14ac:dyDescent="0.25">
      <c r="D1332" s="41" t="s">
        <v>2414</v>
      </c>
      <c r="E1332" s="42" t="s">
        <v>1012</v>
      </c>
      <c r="F1332" s="43" t="s">
        <v>747</v>
      </c>
    </row>
    <row r="1333" spans="4:6" x14ac:dyDescent="0.25">
      <c r="D1333" s="41" t="s">
        <v>2415</v>
      </c>
      <c r="E1333" s="42" t="s">
        <v>1012</v>
      </c>
      <c r="F1333" s="43" t="s">
        <v>747</v>
      </c>
    </row>
    <row r="1334" spans="4:6" x14ac:dyDescent="0.25">
      <c r="D1334" s="41" t="s">
        <v>3214</v>
      </c>
      <c r="E1334" s="42" t="s">
        <v>3174</v>
      </c>
      <c r="F1334" s="43" t="s">
        <v>2858</v>
      </c>
    </row>
    <row r="1335" spans="4:6" x14ac:dyDescent="0.25">
      <c r="D1335" s="41" t="s">
        <v>2856</v>
      </c>
      <c r="E1335" s="42" t="s">
        <v>3174</v>
      </c>
      <c r="F1335" s="43" t="s">
        <v>2857</v>
      </c>
    </row>
    <row r="1336" spans="4:6" x14ac:dyDescent="0.25">
      <c r="D1336" s="41" t="s">
        <v>3028</v>
      </c>
      <c r="E1336" s="42" t="s">
        <v>3174</v>
      </c>
      <c r="F1336" s="43"/>
    </row>
    <row r="1337" spans="4:6" x14ac:dyDescent="0.25">
      <c r="D1337" s="44" t="s">
        <v>3308</v>
      </c>
      <c r="E1337" s="42" t="s">
        <v>3174</v>
      </c>
      <c r="F1337" s="46"/>
    </row>
    <row r="1338" spans="4:6" x14ac:dyDescent="0.25">
      <c r="D1338" s="41" t="s">
        <v>3201</v>
      </c>
      <c r="E1338" s="42" t="s">
        <v>3174</v>
      </c>
      <c r="F1338" s="43" t="s">
        <v>2858</v>
      </c>
    </row>
    <row r="1339" spans="4:6" x14ac:dyDescent="0.25">
      <c r="D1339" s="41" t="s">
        <v>3684</v>
      </c>
      <c r="E1339" s="42" t="s">
        <v>3174</v>
      </c>
      <c r="F1339" s="43" t="s">
        <v>3656</v>
      </c>
    </row>
    <row r="1340" spans="4:6" x14ac:dyDescent="0.25">
      <c r="D1340" s="41" t="s">
        <v>1586</v>
      </c>
      <c r="E1340" s="42" t="s">
        <v>3174</v>
      </c>
      <c r="F1340" s="43" t="s">
        <v>1493</v>
      </c>
    </row>
    <row r="1341" spans="4:6" x14ac:dyDescent="0.25">
      <c r="D1341" s="41" t="s">
        <v>1611</v>
      </c>
      <c r="E1341" s="42" t="s">
        <v>3174</v>
      </c>
      <c r="F1341" s="43" t="s">
        <v>1610</v>
      </c>
    </row>
    <row r="1342" spans="4:6" x14ac:dyDescent="0.25">
      <c r="D1342" s="41" t="s">
        <v>1612</v>
      </c>
      <c r="E1342" s="42" t="s">
        <v>3174</v>
      </c>
      <c r="F1342" s="43" t="s">
        <v>1610</v>
      </c>
    </row>
    <row r="1343" spans="4:6" x14ac:dyDescent="0.25">
      <c r="D1343" s="41" t="s">
        <v>1982</v>
      </c>
      <c r="E1343" s="42" t="s">
        <v>3174</v>
      </c>
      <c r="F1343" s="43" t="s">
        <v>747</v>
      </c>
    </row>
    <row r="1344" spans="4:6" x14ac:dyDescent="0.25">
      <c r="D1344" s="41" t="s">
        <v>2895</v>
      </c>
      <c r="E1344" s="42" t="s">
        <v>3174</v>
      </c>
      <c r="F1344" s="43"/>
    </row>
    <row r="1345" spans="4:6" x14ac:dyDescent="0.25">
      <c r="D1345" s="41" t="s">
        <v>2416</v>
      </c>
      <c r="E1345" s="42" t="s">
        <v>3957</v>
      </c>
      <c r="F1345" s="43"/>
    </row>
    <row r="1346" spans="4:6" x14ac:dyDescent="0.25">
      <c r="D1346" s="41" t="s">
        <v>887</v>
      </c>
      <c r="E1346" s="42" t="s">
        <v>3958</v>
      </c>
      <c r="F1346" s="43" t="s">
        <v>888</v>
      </c>
    </row>
    <row r="1347" spans="4:6" x14ac:dyDescent="0.25">
      <c r="D1347" s="41" t="s">
        <v>1173</v>
      </c>
      <c r="E1347" s="42" t="s">
        <v>3958</v>
      </c>
      <c r="F1347" s="43" t="s">
        <v>1139</v>
      </c>
    </row>
    <row r="1348" spans="4:6" x14ac:dyDescent="0.25">
      <c r="D1348" s="41" t="s">
        <v>1191</v>
      </c>
      <c r="E1348" s="42" t="s">
        <v>3958</v>
      </c>
      <c r="F1348" s="43" t="s">
        <v>1192</v>
      </c>
    </row>
    <row r="1349" spans="4:6" x14ac:dyDescent="0.25">
      <c r="D1349" s="41" t="s">
        <v>1195</v>
      </c>
      <c r="E1349" s="42" t="s">
        <v>3958</v>
      </c>
      <c r="F1349" s="43" t="s">
        <v>747</v>
      </c>
    </row>
    <row r="1350" spans="4:6" x14ac:dyDescent="0.25">
      <c r="D1350" s="41" t="s">
        <v>1365</v>
      </c>
      <c r="E1350" s="42" t="s">
        <v>3958</v>
      </c>
      <c r="F1350" s="43" t="s">
        <v>747</v>
      </c>
    </row>
    <row r="1351" spans="4:6" x14ac:dyDescent="0.25">
      <c r="D1351" s="41" t="s">
        <v>1371</v>
      </c>
      <c r="E1351" s="42" t="s">
        <v>3958</v>
      </c>
      <c r="F1351" s="43" t="s">
        <v>747</v>
      </c>
    </row>
    <row r="1352" spans="4:6" x14ac:dyDescent="0.25">
      <c r="D1352" s="41" t="s">
        <v>1408</v>
      </c>
      <c r="E1352" s="42" t="s">
        <v>3958</v>
      </c>
      <c r="F1352" s="43" t="s">
        <v>747</v>
      </c>
    </row>
    <row r="1353" spans="4:6" x14ac:dyDescent="0.25">
      <c r="D1353" s="41" t="s">
        <v>1438</v>
      </c>
      <c r="E1353" s="42" t="s">
        <v>3958</v>
      </c>
      <c r="F1353" s="43" t="s">
        <v>747</v>
      </c>
    </row>
    <row r="1354" spans="4:6" x14ac:dyDescent="0.25">
      <c r="D1354" s="41" t="s">
        <v>1469</v>
      </c>
      <c r="E1354" s="42" t="s">
        <v>3958</v>
      </c>
      <c r="F1354" s="43" t="s">
        <v>747</v>
      </c>
    </row>
    <row r="1355" spans="4:6" x14ac:dyDescent="0.25">
      <c r="D1355" s="41" t="s">
        <v>1528</v>
      </c>
      <c r="E1355" s="42" t="s">
        <v>3958</v>
      </c>
      <c r="F1355" s="43"/>
    </row>
    <row r="1356" spans="4:6" x14ac:dyDescent="0.25">
      <c r="D1356" s="41" t="s">
        <v>1604</v>
      </c>
      <c r="E1356" s="42" t="s">
        <v>3958</v>
      </c>
      <c r="F1356" s="43" t="s">
        <v>1560</v>
      </c>
    </row>
    <row r="1357" spans="4:6" x14ac:dyDescent="0.25">
      <c r="D1357" s="41" t="s">
        <v>1642</v>
      </c>
      <c r="E1357" s="42" t="s">
        <v>3958</v>
      </c>
      <c r="F1357" s="43" t="s">
        <v>1643</v>
      </c>
    </row>
    <row r="1358" spans="4:6" x14ac:dyDescent="0.25">
      <c r="D1358" s="41" t="s">
        <v>1725</v>
      </c>
      <c r="E1358" s="42" t="s">
        <v>3958</v>
      </c>
      <c r="F1358" s="43" t="s">
        <v>936</v>
      </c>
    </row>
    <row r="1359" spans="4:6" x14ac:dyDescent="0.25">
      <c r="D1359" s="41" t="s">
        <v>1873</v>
      </c>
      <c r="E1359" s="42" t="s">
        <v>3958</v>
      </c>
      <c r="F1359" s="43" t="s">
        <v>1560</v>
      </c>
    </row>
    <row r="1360" spans="4:6" x14ac:dyDescent="0.25">
      <c r="D1360" s="41" t="s">
        <v>2417</v>
      </c>
      <c r="E1360" s="42" t="s">
        <v>3958</v>
      </c>
      <c r="F1360" s="43"/>
    </row>
    <row r="1361" spans="4:6" x14ac:dyDescent="0.25">
      <c r="D1361" s="41" t="s">
        <v>3014</v>
      </c>
      <c r="E1361" s="42" t="s">
        <v>3958</v>
      </c>
      <c r="F1361" s="43" t="s">
        <v>3015</v>
      </c>
    </row>
    <row r="1362" spans="4:6" x14ac:dyDescent="0.25">
      <c r="D1362" s="41" t="s">
        <v>3114</v>
      </c>
      <c r="E1362" s="42" t="s">
        <v>3958</v>
      </c>
      <c r="F1362" s="43" t="s">
        <v>747</v>
      </c>
    </row>
    <row r="1363" spans="4:6" x14ac:dyDescent="0.25">
      <c r="D1363" s="41" t="s">
        <v>861</v>
      </c>
      <c r="E1363" s="42" t="s">
        <v>3960</v>
      </c>
      <c r="F1363" s="43" t="s">
        <v>78</v>
      </c>
    </row>
    <row r="1364" spans="4:6" x14ac:dyDescent="0.25">
      <c r="D1364" s="41" t="s">
        <v>920</v>
      </c>
      <c r="E1364" s="42" t="s">
        <v>3960</v>
      </c>
      <c r="F1364" s="43" t="s">
        <v>747</v>
      </c>
    </row>
    <row r="1365" spans="4:6" x14ac:dyDescent="0.25">
      <c r="D1365" s="41" t="s">
        <v>1603</v>
      </c>
      <c r="E1365" s="42" t="s">
        <v>3960</v>
      </c>
      <c r="F1365" s="43" t="s">
        <v>1576</v>
      </c>
    </row>
    <row r="1366" spans="4:6" x14ac:dyDescent="0.25">
      <c r="D1366" s="41" t="s">
        <v>1948</v>
      </c>
      <c r="E1366" s="42" t="s">
        <v>3960</v>
      </c>
      <c r="F1366" s="43" t="s">
        <v>747</v>
      </c>
    </row>
    <row r="1367" spans="4:6" x14ac:dyDescent="0.25">
      <c r="D1367" s="41" t="s">
        <v>1372</v>
      </c>
      <c r="E1367" s="42" t="s">
        <v>161</v>
      </c>
      <c r="F1367" s="43" t="s">
        <v>747</v>
      </c>
    </row>
    <row r="1368" spans="4:6" x14ac:dyDescent="0.25">
      <c r="D1368" s="41" t="s">
        <v>1391</v>
      </c>
      <c r="E1368" s="42" t="s">
        <v>161</v>
      </c>
      <c r="F1368" s="43" t="s">
        <v>747</v>
      </c>
    </row>
    <row r="1369" spans="4:6" x14ac:dyDescent="0.25">
      <c r="D1369" s="41" t="s">
        <v>1409</v>
      </c>
      <c r="E1369" s="42" t="s">
        <v>161</v>
      </c>
      <c r="F1369" s="43" t="s">
        <v>747</v>
      </c>
    </row>
    <row r="1370" spans="4:6" x14ac:dyDescent="0.25">
      <c r="D1370" s="41" t="s">
        <v>541</v>
      </c>
      <c r="E1370" s="42" t="s">
        <v>162</v>
      </c>
      <c r="F1370" s="43" t="s">
        <v>542</v>
      </c>
    </row>
    <row r="1371" spans="4:6" x14ac:dyDescent="0.25">
      <c r="D1371" s="41" t="s">
        <v>849</v>
      </c>
      <c r="E1371" s="42" t="s">
        <v>162</v>
      </c>
      <c r="F1371" s="43" t="s">
        <v>747</v>
      </c>
    </row>
    <row r="1372" spans="4:6" x14ac:dyDescent="0.25">
      <c r="D1372" s="41" t="s">
        <v>2970</v>
      </c>
      <c r="E1372" s="42" t="s">
        <v>3965</v>
      </c>
      <c r="F1372" s="43" t="s">
        <v>747</v>
      </c>
    </row>
    <row r="1373" spans="4:6" x14ac:dyDescent="0.25">
      <c r="D1373" s="41" t="s">
        <v>3629</v>
      </c>
      <c r="E1373" s="42" t="s">
        <v>3965</v>
      </c>
      <c r="F1373" s="43"/>
    </row>
    <row r="1374" spans="4:6" x14ac:dyDescent="0.25">
      <c r="D1374" s="41" t="s">
        <v>2969</v>
      </c>
      <c r="E1374" s="42" t="s">
        <v>3967</v>
      </c>
      <c r="F1374" s="43" t="s">
        <v>747</v>
      </c>
    </row>
    <row r="1375" spans="4:6" x14ac:dyDescent="0.25">
      <c r="D1375" s="41" t="s">
        <v>641</v>
      </c>
      <c r="E1375" s="42" t="s">
        <v>3801</v>
      </c>
      <c r="F1375" s="43" t="s">
        <v>631</v>
      </c>
    </row>
    <row r="1376" spans="4:6" x14ac:dyDescent="0.25">
      <c r="D1376" s="41" t="s">
        <v>998</v>
      </c>
      <c r="E1376" s="42" t="s">
        <v>3801</v>
      </c>
      <c r="F1376" s="43" t="s">
        <v>999</v>
      </c>
    </row>
    <row r="1377" spans="4:6" x14ac:dyDescent="0.25">
      <c r="D1377" s="41" t="s">
        <v>1175</v>
      </c>
      <c r="E1377" s="42" t="s">
        <v>3801</v>
      </c>
      <c r="F1377" s="43" t="s">
        <v>1139</v>
      </c>
    </row>
    <row r="1378" spans="4:6" x14ac:dyDescent="0.25">
      <c r="D1378" s="41" t="s">
        <v>1505</v>
      </c>
      <c r="E1378" s="42" t="s">
        <v>3801</v>
      </c>
      <c r="F1378" s="43" t="s">
        <v>1506</v>
      </c>
    </row>
    <row r="1379" spans="4:6" x14ac:dyDescent="0.25">
      <c r="D1379" s="41" t="s">
        <v>1679</v>
      </c>
      <c r="E1379" s="42" t="s">
        <v>3801</v>
      </c>
      <c r="F1379" s="43" t="s">
        <v>1676</v>
      </c>
    </row>
    <row r="1380" spans="4:6" x14ac:dyDescent="0.25">
      <c r="D1380" s="41" t="s">
        <v>1784</v>
      </c>
      <c r="E1380" s="42" t="s">
        <v>3801</v>
      </c>
      <c r="F1380" s="43" t="s">
        <v>1785</v>
      </c>
    </row>
    <row r="1381" spans="4:6" x14ac:dyDescent="0.25">
      <c r="D1381" s="41" t="s">
        <v>1810</v>
      </c>
      <c r="E1381" s="42" t="s">
        <v>3801</v>
      </c>
      <c r="F1381" s="43" t="s">
        <v>1811</v>
      </c>
    </row>
    <row r="1382" spans="4:6" x14ac:dyDescent="0.25">
      <c r="D1382" s="41" t="s">
        <v>3461</v>
      </c>
      <c r="E1382" s="47" t="s">
        <v>3458</v>
      </c>
      <c r="F1382" s="43" t="s">
        <v>747</v>
      </c>
    </row>
    <row r="1383" spans="4:6" x14ac:dyDescent="0.25">
      <c r="D1383" s="41" t="s">
        <v>315</v>
      </c>
      <c r="E1383" s="47" t="s">
        <v>3458</v>
      </c>
      <c r="F1383" s="43" t="s">
        <v>316</v>
      </c>
    </row>
    <row r="1384" spans="4:6" x14ac:dyDescent="0.25">
      <c r="D1384" s="41" t="s">
        <v>317</v>
      </c>
      <c r="E1384" s="47" t="s">
        <v>3458</v>
      </c>
      <c r="F1384" s="43" t="s">
        <v>318</v>
      </c>
    </row>
    <row r="1385" spans="4:6" x14ac:dyDescent="0.25">
      <c r="D1385" s="41" t="s">
        <v>319</v>
      </c>
      <c r="E1385" s="47" t="s">
        <v>3458</v>
      </c>
      <c r="F1385" s="43" t="s">
        <v>320</v>
      </c>
    </row>
    <row r="1386" spans="4:6" x14ac:dyDescent="0.25">
      <c r="D1386" s="41" t="s">
        <v>321</v>
      </c>
      <c r="E1386" s="47" t="s">
        <v>3458</v>
      </c>
      <c r="F1386" s="43" t="s">
        <v>322</v>
      </c>
    </row>
    <row r="1387" spans="4:6" x14ac:dyDescent="0.25">
      <c r="D1387" s="41" t="s">
        <v>323</v>
      </c>
      <c r="E1387" s="47" t="s">
        <v>3458</v>
      </c>
      <c r="F1387" s="43" t="s">
        <v>324</v>
      </c>
    </row>
    <row r="1388" spans="4:6" x14ac:dyDescent="0.25">
      <c r="D1388" s="41" t="s">
        <v>325</v>
      </c>
      <c r="E1388" s="47" t="s">
        <v>3458</v>
      </c>
      <c r="F1388" s="43" t="s">
        <v>326</v>
      </c>
    </row>
    <row r="1389" spans="4:6" x14ac:dyDescent="0.25">
      <c r="D1389" s="41" t="s">
        <v>327</v>
      </c>
      <c r="E1389" s="47" t="s">
        <v>3458</v>
      </c>
      <c r="F1389" s="43" t="s">
        <v>328</v>
      </c>
    </row>
    <row r="1390" spans="4:6" x14ac:dyDescent="0.25">
      <c r="D1390" s="41" t="s">
        <v>415</v>
      </c>
      <c r="E1390" s="47" t="s">
        <v>3458</v>
      </c>
      <c r="F1390" s="43" t="s">
        <v>318</v>
      </c>
    </row>
    <row r="1391" spans="4:6" x14ac:dyDescent="0.25">
      <c r="D1391" s="41" t="s">
        <v>630</v>
      </c>
      <c r="E1391" s="47" t="s">
        <v>3458</v>
      </c>
      <c r="F1391" s="43" t="s">
        <v>631</v>
      </c>
    </row>
    <row r="1392" spans="4:6" x14ac:dyDescent="0.25">
      <c r="D1392" s="41" t="s">
        <v>632</v>
      </c>
      <c r="E1392" s="47" t="s">
        <v>3458</v>
      </c>
      <c r="F1392" s="43" t="s">
        <v>322</v>
      </c>
    </row>
    <row r="1393" spans="4:6" x14ac:dyDescent="0.25">
      <c r="D1393" s="41" t="s">
        <v>633</v>
      </c>
      <c r="E1393" s="47" t="s">
        <v>3458</v>
      </c>
      <c r="F1393" s="43" t="s">
        <v>322</v>
      </c>
    </row>
    <row r="1394" spans="4:6" x14ac:dyDescent="0.25">
      <c r="D1394" s="41" t="s">
        <v>634</v>
      </c>
      <c r="E1394" s="47" t="s">
        <v>3458</v>
      </c>
      <c r="F1394" s="43" t="s">
        <v>635</v>
      </c>
    </row>
    <row r="1395" spans="4:6" x14ac:dyDescent="0.25">
      <c r="D1395" s="41" t="s">
        <v>636</v>
      </c>
      <c r="E1395" s="47" t="s">
        <v>3458</v>
      </c>
      <c r="F1395" s="43" t="s">
        <v>322</v>
      </c>
    </row>
    <row r="1396" spans="4:6" x14ac:dyDescent="0.25">
      <c r="D1396" s="41" t="s">
        <v>637</v>
      </c>
      <c r="E1396" s="47" t="s">
        <v>3458</v>
      </c>
      <c r="F1396" s="43" t="s">
        <v>638</v>
      </c>
    </row>
    <row r="1397" spans="4:6" x14ac:dyDescent="0.25">
      <c r="D1397" s="41" t="s">
        <v>639</v>
      </c>
      <c r="E1397" s="47" t="s">
        <v>3458</v>
      </c>
      <c r="F1397" s="43" t="s">
        <v>320</v>
      </c>
    </row>
    <row r="1398" spans="4:6" x14ac:dyDescent="0.25">
      <c r="D1398" s="41" t="s">
        <v>640</v>
      </c>
      <c r="E1398" s="47" t="s">
        <v>3458</v>
      </c>
      <c r="F1398" s="43" t="s">
        <v>631</v>
      </c>
    </row>
    <row r="1399" spans="4:6" x14ac:dyDescent="0.25">
      <c r="D1399" s="41" t="s">
        <v>676</v>
      </c>
      <c r="E1399" s="47" t="s">
        <v>3458</v>
      </c>
      <c r="F1399" s="43" t="s">
        <v>677</v>
      </c>
    </row>
    <row r="1400" spans="4:6" x14ac:dyDescent="0.25">
      <c r="D1400" s="41" t="s">
        <v>828</v>
      </c>
      <c r="E1400" s="47" t="s">
        <v>3458</v>
      </c>
      <c r="F1400" s="43" t="s">
        <v>747</v>
      </c>
    </row>
    <row r="1401" spans="4:6" x14ac:dyDescent="0.25">
      <c r="D1401" s="41" t="s">
        <v>1132</v>
      </c>
      <c r="E1401" s="47" t="s">
        <v>3458</v>
      </c>
      <c r="F1401" s="43" t="s">
        <v>941</v>
      </c>
    </row>
    <row r="1402" spans="4:6" x14ac:dyDescent="0.25">
      <c r="D1402" s="41" t="s">
        <v>1159</v>
      </c>
      <c r="E1402" s="47" t="s">
        <v>3458</v>
      </c>
      <c r="F1402" s="43" t="s">
        <v>1139</v>
      </c>
    </row>
    <row r="1403" spans="4:6" x14ac:dyDescent="0.25">
      <c r="D1403" s="41" t="s">
        <v>1179</v>
      </c>
      <c r="E1403" s="47" t="s">
        <v>3458</v>
      </c>
      <c r="F1403" s="43">
        <v>1</v>
      </c>
    </row>
    <row r="1404" spans="4:6" x14ac:dyDescent="0.25">
      <c r="D1404" s="41" t="s">
        <v>1188</v>
      </c>
      <c r="E1404" s="47" t="s">
        <v>3458</v>
      </c>
      <c r="F1404" s="43" t="s">
        <v>324</v>
      </c>
    </row>
    <row r="1405" spans="4:6" x14ac:dyDescent="0.25">
      <c r="D1405" s="41" t="s">
        <v>1205</v>
      </c>
      <c r="E1405" s="47" t="s">
        <v>3458</v>
      </c>
      <c r="F1405" s="43" t="s">
        <v>747</v>
      </c>
    </row>
    <row r="1406" spans="4:6" x14ac:dyDescent="0.25">
      <c r="D1406" s="41" t="s">
        <v>1281</v>
      </c>
      <c r="E1406" s="47" t="s">
        <v>3458</v>
      </c>
      <c r="F1406" s="43" t="s">
        <v>747</v>
      </c>
    </row>
    <row r="1407" spans="4:6" x14ac:dyDescent="0.25">
      <c r="D1407" s="41" t="s">
        <v>1523</v>
      </c>
      <c r="E1407" s="47" t="s">
        <v>3458</v>
      </c>
      <c r="F1407" s="43"/>
    </row>
    <row r="1408" spans="4:6" x14ac:dyDescent="0.25">
      <c r="D1408" s="41" t="s">
        <v>1524</v>
      </c>
      <c r="E1408" s="47" t="s">
        <v>3458</v>
      </c>
      <c r="F1408" s="43"/>
    </row>
    <row r="1409" spans="4:6" x14ac:dyDescent="0.25">
      <c r="D1409" s="41" t="s">
        <v>1525</v>
      </c>
      <c r="E1409" s="47" t="s">
        <v>3458</v>
      </c>
      <c r="F1409" s="43"/>
    </row>
    <row r="1410" spans="4:6" x14ac:dyDescent="0.25">
      <c r="D1410" s="41" t="s">
        <v>1592</v>
      </c>
      <c r="E1410" s="47" t="s">
        <v>3458</v>
      </c>
      <c r="F1410" s="43" t="s">
        <v>747</v>
      </c>
    </row>
    <row r="1411" spans="4:6" x14ac:dyDescent="0.25">
      <c r="D1411" s="41" t="s">
        <v>1614</v>
      </c>
      <c r="E1411" s="47" t="s">
        <v>3458</v>
      </c>
      <c r="F1411" s="43" t="s">
        <v>1610</v>
      </c>
    </row>
    <row r="1412" spans="4:6" x14ac:dyDescent="0.25">
      <c r="D1412" s="41" t="s">
        <v>1621</v>
      </c>
      <c r="E1412" s="47" t="s">
        <v>3458</v>
      </c>
      <c r="F1412" s="43" t="s">
        <v>1622</v>
      </c>
    </row>
    <row r="1413" spans="4:6" x14ac:dyDescent="0.25">
      <c r="D1413" s="41" t="s">
        <v>1640</v>
      </c>
      <c r="E1413" s="47" t="s">
        <v>3458</v>
      </c>
      <c r="F1413" s="43" t="s">
        <v>1641</v>
      </c>
    </row>
    <row r="1414" spans="4:6" x14ac:dyDescent="0.25">
      <c r="D1414" s="41" t="s">
        <v>1694</v>
      </c>
      <c r="E1414" s="47" t="s">
        <v>3458</v>
      </c>
      <c r="F1414" s="43" t="s">
        <v>1695</v>
      </c>
    </row>
    <row r="1415" spans="4:6" x14ac:dyDescent="0.25">
      <c r="D1415" s="41" t="s">
        <v>1738</v>
      </c>
      <c r="E1415" s="47" t="s">
        <v>3458</v>
      </c>
      <c r="F1415" s="43" t="s">
        <v>1739</v>
      </c>
    </row>
    <row r="1416" spans="4:6" x14ac:dyDescent="0.25">
      <c r="D1416" s="41" t="s">
        <v>1774</v>
      </c>
      <c r="E1416" s="47" t="s">
        <v>3458</v>
      </c>
      <c r="F1416" s="43" t="s">
        <v>1775</v>
      </c>
    </row>
    <row r="1417" spans="4:6" x14ac:dyDescent="0.25">
      <c r="D1417" s="41" t="s">
        <v>1836</v>
      </c>
      <c r="E1417" s="47" t="s">
        <v>3458</v>
      </c>
      <c r="F1417" s="43">
        <v>2</v>
      </c>
    </row>
    <row r="1418" spans="4:6" x14ac:dyDescent="0.25">
      <c r="D1418" s="41" t="s">
        <v>1878</v>
      </c>
      <c r="E1418" s="47" t="s">
        <v>3458</v>
      </c>
      <c r="F1418" s="43" t="s">
        <v>1471</v>
      </c>
    </row>
    <row r="1419" spans="4:6" x14ac:dyDescent="0.25">
      <c r="D1419" s="41" t="s">
        <v>1887</v>
      </c>
      <c r="E1419" s="47" t="s">
        <v>3458</v>
      </c>
      <c r="F1419" s="43" t="s">
        <v>1471</v>
      </c>
    </row>
    <row r="1420" spans="4:6" x14ac:dyDescent="0.25">
      <c r="D1420" s="41" t="s">
        <v>1896</v>
      </c>
      <c r="E1420" s="47" t="s">
        <v>3458</v>
      </c>
      <c r="F1420" s="43"/>
    </row>
    <row r="1421" spans="4:6" x14ac:dyDescent="0.25">
      <c r="D1421" s="41" t="s">
        <v>2418</v>
      </c>
      <c r="E1421" s="47" t="s">
        <v>3458</v>
      </c>
      <c r="F1421" s="43"/>
    </row>
    <row r="1422" spans="4:6" x14ac:dyDescent="0.25">
      <c r="D1422" s="41" t="s">
        <v>2419</v>
      </c>
      <c r="E1422" s="47" t="s">
        <v>3458</v>
      </c>
      <c r="F1422" s="43"/>
    </row>
    <row r="1423" spans="4:6" x14ac:dyDescent="0.25">
      <c r="D1423" s="41" t="s">
        <v>2420</v>
      </c>
      <c r="E1423" s="47" t="s">
        <v>3458</v>
      </c>
      <c r="F1423" s="43" t="s">
        <v>2421</v>
      </c>
    </row>
    <row r="1424" spans="4:6" x14ac:dyDescent="0.25">
      <c r="D1424" s="41" t="s">
        <v>2422</v>
      </c>
      <c r="E1424" s="47" t="s">
        <v>3458</v>
      </c>
      <c r="F1424" s="43"/>
    </row>
    <row r="1425" spans="4:6" x14ac:dyDescent="0.25">
      <c r="D1425" s="41" t="s">
        <v>2840</v>
      </c>
      <c r="E1425" s="47" t="s">
        <v>3458</v>
      </c>
      <c r="F1425" s="43" t="s">
        <v>1742</v>
      </c>
    </row>
    <row r="1426" spans="4:6" x14ac:dyDescent="0.25">
      <c r="D1426" s="41" t="s">
        <v>3100</v>
      </c>
      <c r="E1426" s="47" t="s">
        <v>3458</v>
      </c>
      <c r="F1426" s="43" t="s">
        <v>747</v>
      </c>
    </row>
    <row r="1427" spans="4:6" x14ac:dyDescent="0.25">
      <c r="D1427" s="41" t="s">
        <v>3129</v>
      </c>
      <c r="E1427" s="47" t="s">
        <v>3458</v>
      </c>
      <c r="F1427" s="43" t="s">
        <v>747</v>
      </c>
    </row>
    <row r="1428" spans="4:6" x14ac:dyDescent="0.25">
      <c r="D1428" s="44" t="s">
        <v>1887</v>
      </c>
      <c r="E1428" s="48" t="s">
        <v>3458</v>
      </c>
      <c r="F1428" s="46" t="s">
        <v>3337</v>
      </c>
    </row>
    <row r="1429" spans="4:6" x14ac:dyDescent="0.25">
      <c r="D1429" s="41" t="s">
        <v>3369</v>
      </c>
      <c r="E1429" s="47" t="s">
        <v>3458</v>
      </c>
      <c r="F1429" s="43"/>
    </row>
    <row r="1430" spans="4:6" x14ac:dyDescent="0.25">
      <c r="D1430" s="41" t="s">
        <v>3382</v>
      </c>
      <c r="E1430" s="47" t="s">
        <v>3458</v>
      </c>
      <c r="F1430" s="43"/>
    </row>
    <row r="1431" spans="4:6" x14ac:dyDescent="0.25">
      <c r="D1431" s="41" t="s">
        <v>3549</v>
      </c>
      <c r="E1431" s="47" t="s">
        <v>3458</v>
      </c>
      <c r="F1431" s="43"/>
    </row>
    <row r="1432" spans="4:6" x14ac:dyDescent="0.25">
      <c r="D1432" s="41" t="s">
        <v>3613</v>
      </c>
      <c r="E1432" s="47" t="s">
        <v>3458</v>
      </c>
      <c r="F1432" s="43"/>
    </row>
    <row r="1433" spans="4:6" x14ac:dyDescent="0.25">
      <c r="D1433" s="41" t="s">
        <v>1740</v>
      </c>
      <c r="E1433" s="42" t="s">
        <v>1741</v>
      </c>
      <c r="F1433" s="43" t="s">
        <v>1742</v>
      </c>
    </row>
    <row r="1434" spans="4:6" x14ac:dyDescent="0.25">
      <c r="D1434" s="41" t="s">
        <v>968</v>
      </c>
      <c r="E1434" s="47" t="s">
        <v>3802</v>
      </c>
      <c r="F1434" s="43" t="s">
        <v>969</v>
      </c>
    </row>
    <row r="1435" spans="4:6" x14ac:dyDescent="0.25">
      <c r="D1435" s="41" t="s">
        <v>1219</v>
      </c>
      <c r="E1435" s="47" t="s">
        <v>3802</v>
      </c>
      <c r="F1435" s="43" t="s">
        <v>1220</v>
      </c>
    </row>
    <row r="1436" spans="4:6" x14ac:dyDescent="0.25">
      <c r="D1436" s="41" t="s">
        <v>1400</v>
      </c>
      <c r="E1436" s="47" t="s">
        <v>4309</v>
      </c>
      <c r="F1436" s="43" t="s">
        <v>747</v>
      </c>
    </row>
    <row r="1437" spans="4:6" x14ac:dyDescent="0.25">
      <c r="D1437" s="41" t="s">
        <v>1503</v>
      </c>
      <c r="E1437" s="47" t="s">
        <v>3802</v>
      </c>
      <c r="F1437" s="49" t="s">
        <v>1504</v>
      </c>
    </row>
    <row r="1438" spans="4:6" x14ac:dyDescent="0.25">
      <c r="D1438" s="41" t="s">
        <v>1763</v>
      </c>
      <c r="E1438" s="47" t="s">
        <v>3802</v>
      </c>
      <c r="F1438" s="43" t="s">
        <v>1760</v>
      </c>
    </row>
    <row r="1439" spans="4:6" x14ac:dyDescent="0.25">
      <c r="D1439" s="41" t="s">
        <v>1819</v>
      </c>
      <c r="E1439" s="47" t="s">
        <v>3802</v>
      </c>
      <c r="F1439" s="43" t="s">
        <v>1820</v>
      </c>
    </row>
    <row r="1440" spans="4:6" x14ac:dyDescent="0.25">
      <c r="D1440" s="41" t="s">
        <v>1828</v>
      </c>
      <c r="E1440" s="47" t="s">
        <v>3802</v>
      </c>
      <c r="F1440" s="43" t="s">
        <v>1829</v>
      </c>
    </row>
    <row r="1441" spans="4:6" x14ac:dyDescent="0.25">
      <c r="D1441" s="41" t="s">
        <v>2423</v>
      </c>
      <c r="E1441" s="47" t="s">
        <v>3802</v>
      </c>
      <c r="F1441" s="43"/>
    </row>
    <row r="1442" spans="4:6" x14ac:dyDescent="0.25">
      <c r="D1442" s="41" t="s">
        <v>2424</v>
      </c>
      <c r="E1442" s="47" t="s">
        <v>3802</v>
      </c>
      <c r="F1442" s="43" t="s">
        <v>2425</v>
      </c>
    </row>
    <row r="1443" spans="4:6" x14ac:dyDescent="0.25">
      <c r="D1443" s="41" t="s">
        <v>2426</v>
      </c>
      <c r="E1443" s="47" t="s">
        <v>3802</v>
      </c>
      <c r="F1443" s="43"/>
    </row>
    <row r="1444" spans="4:6" x14ac:dyDescent="0.25">
      <c r="D1444" s="41" t="s">
        <v>2427</v>
      </c>
      <c r="E1444" s="47" t="s">
        <v>3802</v>
      </c>
      <c r="F1444" s="43"/>
    </row>
    <row r="1445" spans="4:6" x14ac:dyDescent="0.25">
      <c r="D1445" s="41" t="s">
        <v>2777</v>
      </c>
      <c r="E1445" s="47" t="s">
        <v>3802</v>
      </c>
      <c r="F1445" s="43"/>
    </row>
    <row r="1446" spans="4:6" x14ac:dyDescent="0.25">
      <c r="D1446" s="41" t="s">
        <v>2811</v>
      </c>
      <c r="E1446" s="47" t="s">
        <v>3802</v>
      </c>
      <c r="F1446" s="43"/>
    </row>
    <row r="1447" spans="4:6" x14ac:dyDescent="0.25">
      <c r="D1447" s="41" t="s">
        <v>3403</v>
      </c>
      <c r="E1447" s="47" t="s">
        <v>3802</v>
      </c>
      <c r="F1447" s="43"/>
    </row>
    <row r="1448" spans="4:6" x14ac:dyDescent="0.25">
      <c r="D1448" s="41" t="s">
        <v>3545</v>
      </c>
      <c r="E1448" s="47" t="s">
        <v>3802</v>
      </c>
      <c r="F1448" s="43" t="s">
        <v>747</v>
      </c>
    </row>
    <row r="1449" spans="4:6" x14ac:dyDescent="0.25">
      <c r="D1449" s="41" t="s">
        <v>3583</v>
      </c>
      <c r="E1449" s="47" t="s">
        <v>3802</v>
      </c>
      <c r="F1449" s="43"/>
    </row>
    <row r="1450" spans="4:6" x14ac:dyDescent="0.25">
      <c r="D1450" s="41" t="s">
        <v>3689</v>
      </c>
      <c r="E1450" s="42" t="s">
        <v>3802</v>
      </c>
      <c r="F1450" s="43"/>
    </row>
    <row r="1451" spans="4:6" x14ac:dyDescent="0.25">
      <c r="D1451" s="41" t="s">
        <v>2428</v>
      </c>
      <c r="E1451" s="42" t="s">
        <v>1044</v>
      </c>
      <c r="F1451" s="43"/>
    </row>
    <row r="1452" spans="4:6" x14ac:dyDescent="0.25">
      <c r="D1452" s="41" t="s">
        <v>2429</v>
      </c>
      <c r="E1452" s="42" t="s">
        <v>1044</v>
      </c>
      <c r="F1452" s="43"/>
    </row>
    <row r="1453" spans="4:6" x14ac:dyDescent="0.25">
      <c r="D1453" s="44" t="s">
        <v>3304</v>
      </c>
      <c r="E1453" s="45" t="s">
        <v>1044</v>
      </c>
      <c r="F1453" s="46"/>
    </row>
    <row r="1454" spans="4:6" x14ac:dyDescent="0.25">
      <c r="D1454" s="41" t="s">
        <v>3754</v>
      </c>
      <c r="E1454" s="42" t="s">
        <v>1044</v>
      </c>
      <c r="F1454" s="43" t="s">
        <v>747</v>
      </c>
    </row>
    <row r="1455" spans="4:6" x14ac:dyDescent="0.25">
      <c r="D1455" s="41" t="s">
        <v>3115</v>
      </c>
      <c r="E1455" s="42" t="s">
        <v>3887</v>
      </c>
      <c r="F1455" s="43" t="s">
        <v>747</v>
      </c>
    </row>
    <row r="1456" spans="4:6" x14ac:dyDescent="0.25">
      <c r="D1456" s="41" t="s">
        <v>3414</v>
      </c>
      <c r="E1456" s="42" t="s">
        <v>3362</v>
      </c>
      <c r="F1456" s="43">
        <v>0</v>
      </c>
    </row>
    <row r="1457" spans="4:6" x14ac:dyDescent="0.25">
      <c r="D1457" s="41" t="s">
        <v>1545</v>
      </c>
      <c r="E1457" s="42" t="s">
        <v>1043</v>
      </c>
      <c r="F1457" s="43" t="s">
        <v>1546</v>
      </c>
    </row>
    <row r="1458" spans="4:6" x14ac:dyDescent="0.25">
      <c r="D1458" s="41" t="s">
        <v>1726</v>
      </c>
      <c r="E1458" s="42" t="s">
        <v>1043</v>
      </c>
      <c r="F1458" s="43" t="s">
        <v>1727</v>
      </c>
    </row>
    <row r="1459" spans="4:6" x14ac:dyDescent="0.25">
      <c r="D1459" s="41" t="s">
        <v>1995</v>
      </c>
      <c r="E1459" s="42" t="s">
        <v>1043</v>
      </c>
      <c r="F1459" s="43" t="s">
        <v>73</v>
      </c>
    </row>
    <row r="1460" spans="4:6" x14ac:dyDescent="0.25">
      <c r="D1460" s="41" t="s">
        <v>2430</v>
      </c>
      <c r="E1460" s="42" t="s">
        <v>1043</v>
      </c>
      <c r="F1460" s="43" t="s">
        <v>747</v>
      </c>
    </row>
    <row r="1461" spans="4:6" x14ac:dyDescent="0.25">
      <c r="D1461" s="41" t="s">
        <v>2431</v>
      </c>
      <c r="E1461" s="42" t="s">
        <v>1043</v>
      </c>
      <c r="F1461" s="43"/>
    </row>
    <row r="1462" spans="4:6" x14ac:dyDescent="0.25">
      <c r="D1462" s="41" t="s">
        <v>2432</v>
      </c>
      <c r="E1462" s="42" t="s">
        <v>1043</v>
      </c>
      <c r="F1462" s="43"/>
    </row>
    <row r="1463" spans="4:6" x14ac:dyDescent="0.25">
      <c r="D1463" s="41" t="s">
        <v>2433</v>
      </c>
      <c r="E1463" s="42" t="s">
        <v>1043</v>
      </c>
      <c r="F1463" s="43"/>
    </row>
    <row r="1464" spans="4:6" x14ac:dyDescent="0.25">
      <c r="D1464" s="44" t="s">
        <v>3352</v>
      </c>
      <c r="E1464" s="45" t="s">
        <v>1043</v>
      </c>
      <c r="F1464" s="46" t="s">
        <v>3307</v>
      </c>
    </row>
    <row r="1465" spans="4:6" x14ac:dyDescent="0.25">
      <c r="D1465" s="41" t="s">
        <v>3368</v>
      </c>
      <c r="E1465" s="42" t="s">
        <v>1043</v>
      </c>
      <c r="F1465" s="43"/>
    </row>
    <row r="1466" spans="4:6" x14ac:dyDescent="0.25">
      <c r="D1466" s="41" t="s">
        <v>3704</v>
      </c>
      <c r="E1466" s="42" t="s">
        <v>1043</v>
      </c>
      <c r="F1466" s="43"/>
    </row>
    <row r="1467" spans="4:6" x14ac:dyDescent="0.25">
      <c r="D1467" s="41" t="s">
        <v>793</v>
      </c>
      <c r="E1467" s="42" t="s">
        <v>3888</v>
      </c>
      <c r="F1467" s="43" t="s">
        <v>747</v>
      </c>
    </row>
    <row r="1468" spans="4:6" x14ac:dyDescent="0.25">
      <c r="D1468" s="41" t="s">
        <v>2814</v>
      </c>
      <c r="E1468" s="42" t="s">
        <v>3888</v>
      </c>
      <c r="F1468" s="43"/>
    </row>
    <row r="1469" spans="4:6" x14ac:dyDescent="0.25">
      <c r="D1469" s="41" t="s">
        <v>1543</v>
      </c>
      <c r="E1469" s="42" t="s">
        <v>3889</v>
      </c>
      <c r="F1469" s="43" t="s">
        <v>1544</v>
      </c>
    </row>
    <row r="1470" spans="4:6" x14ac:dyDescent="0.25">
      <c r="D1470" s="41" t="s">
        <v>1772</v>
      </c>
      <c r="E1470" s="42" t="s">
        <v>3889</v>
      </c>
      <c r="F1470" s="43" t="s">
        <v>1773</v>
      </c>
    </row>
    <row r="1471" spans="4:6" x14ac:dyDescent="0.25">
      <c r="D1471" s="41" t="s">
        <v>2882</v>
      </c>
      <c r="E1471" s="42" t="s">
        <v>3889</v>
      </c>
      <c r="F1471" s="43" t="s">
        <v>2883</v>
      </c>
    </row>
    <row r="1472" spans="4:6" x14ac:dyDescent="0.25">
      <c r="D1472" s="41" t="s">
        <v>3104</v>
      </c>
      <c r="E1472" s="42" t="s">
        <v>3889</v>
      </c>
      <c r="F1472" s="43" t="s">
        <v>747</v>
      </c>
    </row>
    <row r="1473" spans="4:6" x14ac:dyDescent="0.25">
      <c r="D1473" s="44" t="s">
        <v>3257</v>
      </c>
      <c r="E1473" s="42" t="s">
        <v>3889</v>
      </c>
      <c r="F1473" s="46"/>
    </row>
    <row r="1474" spans="4:6" x14ac:dyDescent="0.25">
      <c r="D1474" s="41" t="s">
        <v>762</v>
      </c>
      <c r="E1474" s="42" t="s">
        <v>3890</v>
      </c>
      <c r="F1474" s="43" t="s">
        <v>658</v>
      </c>
    </row>
    <row r="1475" spans="4:6" x14ac:dyDescent="0.25">
      <c r="D1475" s="41" t="s">
        <v>763</v>
      </c>
      <c r="E1475" s="42" t="s">
        <v>3890</v>
      </c>
      <c r="F1475" s="43" t="s">
        <v>764</v>
      </c>
    </row>
    <row r="1476" spans="4:6" x14ac:dyDescent="0.25">
      <c r="D1476" s="41" t="s">
        <v>765</v>
      </c>
      <c r="E1476" s="42" t="s">
        <v>3890</v>
      </c>
      <c r="F1476" s="43" t="s">
        <v>658</v>
      </c>
    </row>
    <row r="1477" spans="4:6" x14ac:dyDescent="0.25">
      <c r="D1477" s="41" t="s">
        <v>766</v>
      </c>
      <c r="E1477" s="42" t="s">
        <v>3890</v>
      </c>
      <c r="F1477" s="43" t="s">
        <v>764</v>
      </c>
    </row>
    <row r="1478" spans="4:6" x14ac:dyDescent="0.25">
      <c r="D1478" s="41" t="s">
        <v>767</v>
      </c>
      <c r="E1478" s="42" t="s">
        <v>3890</v>
      </c>
      <c r="F1478" s="43" t="s">
        <v>322</v>
      </c>
    </row>
    <row r="1479" spans="4:6" x14ac:dyDescent="0.25">
      <c r="D1479" s="41" t="s">
        <v>768</v>
      </c>
      <c r="E1479" s="42" t="s">
        <v>3890</v>
      </c>
      <c r="F1479" s="43" t="s">
        <v>322</v>
      </c>
    </row>
    <row r="1480" spans="4:6" x14ac:dyDescent="0.25">
      <c r="D1480" s="41" t="s">
        <v>769</v>
      </c>
      <c r="E1480" s="42" t="s">
        <v>3890</v>
      </c>
      <c r="F1480" s="43" t="s">
        <v>322</v>
      </c>
    </row>
    <row r="1481" spans="4:6" x14ac:dyDescent="0.25">
      <c r="D1481" s="41" t="s">
        <v>804</v>
      </c>
      <c r="E1481" s="42" t="s">
        <v>3890</v>
      </c>
      <c r="F1481" s="43" t="s">
        <v>747</v>
      </c>
    </row>
    <row r="1482" spans="4:6" x14ac:dyDescent="0.25">
      <c r="D1482" s="41" t="s">
        <v>819</v>
      </c>
      <c r="E1482" s="42" t="s">
        <v>3890</v>
      </c>
      <c r="F1482" s="43" t="s">
        <v>747</v>
      </c>
    </row>
    <row r="1483" spans="4:6" x14ac:dyDescent="0.25">
      <c r="D1483" s="41" t="s">
        <v>863</v>
      </c>
      <c r="E1483" s="42" t="s">
        <v>3890</v>
      </c>
      <c r="F1483" s="43" t="s">
        <v>747</v>
      </c>
    </row>
    <row r="1484" spans="4:6" x14ac:dyDescent="0.25">
      <c r="D1484" s="41" t="s">
        <v>917</v>
      </c>
      <c r="E1484" s="42" t="s">
        <v>3890</v>
      </c>
      <c r="F1484" s="43" t="s">
        <v>747</v>
      </c>
    </row>
    <row r="1485" spans="4:6" x14ac:dyDescent="0.25">
      <c r="D1485" s="41" t="s">
        <v>955</v>
      </c>
      <c r="E1485" s="42" t="s">
        <v>3890</v>
      </c>
      <c r="F1485" s="43" t="s">
        <v>948</v>
      </c>
    </row>
    <row r="1486" spans="4:6" x14ac:dyDescent="0.25">
      <c r="D1486" s="41" t="s">
        <v>988</v>
      </c>
      <c r="E1486" s="42" t="s">
        <v>3890</v>
      </c>
      <c r="F1486" s="43">
        <v>6</v>
      </c>
    </row>
    <row r="1487" spans="4:6" x14ac:dyDescent="0.25">
      <c r="D1487" s="41" t="s">
        <v>1324</v>
      </c>
      <c r="E1487" s="42" t="s">
        <v>3890</v>
      </c>
      <c r="F1487" s="43" t="s">
        <v>1325</v>
      </c>
    </row>
    <row r="1488" spans="4:6" x14ac:dyDescent="0.25">
      <c r="D1488" s="41" t="s">
        <v>1764</v>
      </c>
      <c r="E1488" s="42" t="s">
        <v>3890</v>
      </c>
      <c r="F1488" s="43" t="s">
        <v>1765</v>
      </c>
    </row>
    <row r="1489" spans="4:6" x14ac:dyDescent="0.25">
      <c r="D1489" s="41" t="s">
        <v>1804</v>
      </c>
      <c r="E1489" s="42" t="s">
        <v>3890</v>
      </c>
      <c r="F1489" s="43" t="s">
        <v>1805</v>
      </c>
    </row>
    <row r="1490" spans="4:6" x14ac:dyDescent="0.25">
      <c r="D1490" s="41" t="s">
        <v>1815</v>
      </c>
      <c r="E1490" s="42" t="s">
        <v>3890</v>
      </c>
      <c r="F1490" s="43" t="s">
        <v>1816</v>
      </c>
    </row>
    <row r="1491" spans="4:6" x14ac:dyDescent="0.25">
      <c r="D1491" s="41" t="s">
        <v>1967</v>
      </c>
      <c r="E1491" s="42" t="s">
        <v>3890</v>
      </c>
      <c r="F1491" s="43" t="s">
        <v>1560</v>
      </c>
    </row>
    <row r="1492" spans="4:6" x14ac:dyDescent="0.25">
      <c r="D1492" s="41" t="s">
        <v>2434</v>
      </c>
      <c r="E1492" s="42" t="s">
        <v>3890</v>
      </c>
      <c r="F1492" s="43"/>
    </row>
    <row r="1493" spans="4:6" x14ac:dyDescent="0.25">
      <c r="D1493" s="41" t="s">
        <v>2435</v>
      </c>
      <c r="E1493" s="42" t="s">
        <v>3890</v>
      </c>
      <c r="F1493" s="43"/>
    </row>
    <row r="1494" spans="4:6" x14ac:dyDescent="0.25">
      <c r="D1494" s="41" t="s">
        <v>3502</v>
      </c>
      <c r="E1494" s="42" t="s">
        <v>3890</v>
      </c>
      <c r="F1494" s="43" t="s">
        <v>747</v>
      </c>
    </row>
    <row r="1495" spans="4:6" x14ac:dyDescent="0.25">
      <c r="D1495" s="41" t="s">
        <v>3690</v>
      </c>
      <c r="E1495" s="42" t="s">
        <v>3890</v>
      </c>
      <c r="F1495" s="43"/>
    </row>
    <row r="1496" spans="4:6" x14ac:dyDescent="0.25">
      <c r="D1496" s="41" t="s">
        <v>3782</v>
      </c>
      <c r="E1496" s="42" t="s">
        <v>3890</v>
      </c>
      <c r="F1496" s="43" t="s">
        <v>747</v>
      </c>
    </row>
    <row r="1497" spans="4:6" x14ac:dyDescent="0.25">
      <c r="D1497" s="41" t="s">
        <v>657</v>
      </c>
      <c r="E1497" s="42" t="s">
        <v>3891</v>
      </c>
      <c r="F1497" s="43" t="s">
        <v>658</v>
      </c>
    </row>
    <row r="1498" spans="4:6" x14ac:dyDescent="0.25">
      <c r="D1498" s="41" t="s">
        <v>776</v>
      </c>
      <c r="E1498" s="42" t="s">
        <v>3891</v>
      </c>
      <c r="F1498" s="43" t="s">
        <v>747</v>
      </c>
    </row>
    <row r="1499" spans="4:6" x14ac:dyDescent="0.25">
      <c r="D1499" s="41" t="s">
        <v>1547</v>
      </c>
      <c r="E1499" s="42" t="s">
        <v>3891</v>
      </c>
      <c r="F1499" s="43" t="s">
        <v>1185</v>
      </c>
    </row>
    <row r="1500" spans="4:6" x14ac:dyDescent="0.25">
      <c r="D1500" s="41" t="s">
        <v>1766</v>
      </c>
      <c r="E1500" s="42" t="s">
        <v>3891</v>
      </c>
      <c r="F1500" s="43" t="s">
        <v>1767</v>
      </c>
    </row>
    <row r="1501" spans="4:6" x14ac:dyDescent="0.25">
      <c r="D1501" s="41" t="s">
        <v>2436</v>
      </c>
      <c r="E1501" s="42" t="s">
        <v>3891</v>
      </c>
      <c r="F1501" s="43"/>
    </row>
    <row r="1502" spans="4:6" x14ac:dyDescent="0.25">
      <c r="D1502" s="41" t="s">
        <v>3462</v>
      </c>
      <c r="E1502" s="42" t="s">
        <v>3891</v>
      </c>
      <c r="F1502" s="43" t="s">
        <v>747</v>
      </c>
    </row>
    <row r="1503" spans="4:6" x14ac:dyDescent="0.25">
      <c r="D1503" s="41" t="s">
        <v>3220</v>
      </c>
      <c r="E1503" s="42" t="s">
        <v>4024</v>
      </c>
      <c r="F1503" s="43" t="s">
        <v>3221</v>
      </c>
    </row>
    <row r="1504" spans="4:6" x14ac:dyDescent="0.25">
      <c r="D1504" s="41" t="s">
        <v>2943</v>
      </c>
      <c r="E1504" s="42" t="s">
        <v>3969</v>
      </c>
      <c r="F1504" s="43" t="s">
        <v>747</v>
      </c>
    </row>
    <row r="1505" spans="4:6" x14ac:dyDescent="0.25">
      <c r="D1505" s="41" t="s">
        <v>3405</v>
      </c>
      <c r="E1505" s="42" t="s">
        <v>114</v>
      </c>
      <c r="F1505" s="43"/>
    </row>
    <row r="1506" spans="4:6" x14ac:dyDescent="0.25">
      <c r="D1506" s="41" t="s">
        <v>3492</v>
      </c>
      <c r="E1506" s="42" t="s">
        <v>114</v>
      </c>
      <c r="F1506" s="43" t="s">
        <v>747</v>
      </c>
    </row>
    <row r="1507" spans="4:6" x14ac:dyDescent="0.25">
      <c r="D1507" s="41" t="s">
        <v>3781</v>
      </c>
      <c r="E1507" s="42" t="s">
        <v>114</v>
      </c>
      <c r="F1507" s="43" t="s">
        <v>747</v>
      </c>
    </row>
    <row r="1508" spans="4:6" x14ac:dyDescent="0.25">
      <c r="D1508" s="41" t="s">
        <v>2437</v>
      </c>
      <c r="E1508" s="42" t="s">
        <v>2438</v>
      </c>
      <c r="F1508" s="43" t="s">
        <v>2439</v>
      </c>
    </row>
    <row r="1509" spans="4:6" x14ac:dyDescent="0.25">
      <c r="D1509" s="41" t="s">
        <v>2440</v>
      </c>
      <c r="E1509" s="42" t="s">
        <v>3896</v>
      </c>
      <c r="F1509" s="43"/>
    </row>
    <row r="1510" spans="4:6" x14ac:dyDescent="0.25">
      <c r="D1510" s="41" t="s">
        <v>779</v>
      </c>
      <c r="E1510" s="42" t="s">
        <v>262</v>
      </c>
      <c r="F1510" s="43" t="s">
        <v>747</v>
      </c>
    </row>
    <row r="1511" spans="4:6" x14ac:dyDescent="0.25">
      <c r="D1511" s="41" t="s">
        <v>2441</v>
      </c>
      <c r="E1511" s="42" t="s">
        <v>262</v>
      </c>
      <c r="F1511" s="43"/>
    </row>
    <row r="1512" spans="4:6" x14ac:dyDescent="0.25">
      <c r="D1512" s="41" t="s">
        <v>2442</v>
      </c>
      <c r="E1512" s="42" t="s">
        <v>262</v>
      </c>
      <c r="F1512" s="43"/>
    </row>
    <row r="1513" spans="4:6" x14ac:dyDescent="0.25">
      <c r="D1513" s="41" t="s">
        <v>3404</v>
      </c>
      <c r="E1513" s="42" t="s">
        <v>262</v>
      </c>
      <c r="F1513" s="43"/>
    </row>
    <row r="1514" spans="4:6" x14ac:dyDescent="0.25">
      <c r="D1514" s="41" t="s">
        <v>3600</v>
      </c>
      <c r="E1514" s="42" t="s">
        <v>262</v>
      </c>
      <c r="F1514" s="43"/>
    </row>
    <row r="1515" spans="4:6" x14ac:dyDescent="0.25">
      <c r="D1515" s="41" t="s">
        <v>3743</v>
      </c>
      <c r="E1515" s="42" t="s">
        <v>262</v>
      </c>
      <c r="F1515" s="43" t="s">
        <v>747</v>
      </c>
    </row>
    <row r="1516" spans="4:6" x14ac:dyDescent="0.25">
      <c r="D1516" s="41" t="s">
        <v>3760</v>
      </c>
      <c r="E1516" s="42" t="s">
        <v>262</v>
      </c>
      <c r="F1516" s="43" t="s">
        <v>747</v>
      </c>
    </row>
    <row r="1517" spans="4:6" x14ac:dyDescent="0.25">
      <c r="D1517" s="41" t="s">
        <v>1375</v>
      </c>
      <c r="E1517" s="42" t="s">
        <v>3970</v>
      </c>
      <c r="F1517" s="43" t="s">
        <v>747</v>
      </c>
    </row>
    <row r="1518" spans="4:6" x14ac:dyDescent="0.25">
      <c r="D1518" s="41" t="s">
        <v>1410</v>
      </c>
      <c r="E1518" s="42" t="s">
        <v>3970</v>
      </c>
      <c r="F1518" s="43" t="s">
        <v>747</v>
      </c>
    </row>
    <row r="1519" spans="4:6" x14ac:dyDescent="0.25">
      <c r="D1519" s="41" t="s">
        <v>3035</v>
      </c>
      <c r="E1519" s="42" t="s">
        <v>3970</v>
      </c>
      <c r="F1519" s="43"/>
    </row>
    <row r="1520" spans="4:6" x14ac:dyDescent="0.25">
      <c r="D1520" s="41" t="s">
        <v>3367</v>
      </c>
      <c r="E1520" s="42" t="s">
        <v>3970</v>
      </c>
      <c r="F1520" s="43"/>
    </row>
    <row r="1521" spans="4:6" x14ac:dyDescent="0.25">
      <c r="D1521" s="41" t="s">
        <v>2443</v>
      </c>
      <c r="E1521" s="42" t="s">
        <v>3971</v>
      </c>
      <c r="F1521" s="43"/>
    </row>
    <row r="1522" spans="4:6" x14ac:dyDescent="0.25">
      <c r="D1522" s="41" t="s">
        <v>3086</v>
      </c>
      <c r="E1522" s="42" t="s">
        <v>3971</v>
      </c>
      <c r="F1522" s="43" t="s">
        <v>747</v>
      </c>
    </row>
    <row r="1523" spans="4:6" x14ac:dyDescent="0.25">
      <c r="D1523" s="41" t="s">
        <v>1256</v>
      </c>
      <c r="E1523" s="42" t="s">
        <v>3972</v>
      </c>
      <c r="F1523" s="43" t="s">
        <v>747</v>
      </c>
    </row>
    <row r="1524" spans="4:6" x14ac:dyDescent="0.25">
      <c r="D1524" s="41" t="s">
        <v>1376</v>
      </c>
      <c r="E1524" s="42" t="s">
        <v>3972</v>
      </c>
      <c r="F1524" s="43" t="s">
        <v>747</v>
      </c>
    </row>
    <row r="1525" spans="4:6" x14ac:dyDescent="0.25">
      <c r="D1525" s="41" t="s">
        <v>1435</v>
      </c>
      <c r="E1525" s="42" t="s">
        <v>3972</v>
      </c>
      <c r="F1525" s="43" t="s">
        <v>747</v>
      </c>
    </row>
    <row r="1526" spans="4:6" x14ac:dyDescent="0.25">
      <c r="D1526" s="41" t="s">
        <v>1440</v>
      </c>
      <c r="E1526" s="42" t="s">
        <v>3972</v>
      </c>
      <c r="F1526" s="43" t="s">
        <v>747</v>
      </c>
    </row>
    <row r="1527" spans="4:6" x14ac:dyDescent="0.25">
      <c r="D1527" s="41" t="s">
        <v>2444</v>
      </c>
      <c r="E1527" s="42" t="s">
        <v>3972</v>
      </c>
      <c r="F1527" s="43"/>
    </row>
    <row r="1528" spans="4:6" x14ac:dyDescent="0.25">
      <c r="D1528" s="41" t="s">
        <v>2445</v>
      </c>
      <c r="E1528" s="42" t="s">
        <v>3972</v>
      </c>
      <c r="F1528" s="43"/>
    </row>
    <row r="1529" spans="4:6" x14ac:dyDescent="0.25">
      <c r="D1529" s="41" t="s">
        <v>2446</v>
      </c>
      <c r="E1529" s="42" t="s">
        <v>3972</v>
      </c>
      <c r="F1529" s="43"/>
    </row>
    <row r="1530" spans="4:6" x14ac:dyDescent="0.25">
      <c r="D1530" s="41" t="s">
        <v>2447</v>
      </c>
      <c r="E1530" s="42" t="s">
        <v>3972</v>
      </c>
      <c r="F1530" s="43"/>
    </row>
    <row r="1531" spans="4:6" x14ac:dyDescent="0.25">
      <c r="D1531" s="41" t="s">
        <v>2448</v>
      </c>
      <c r="E1531" s="42" t="s">
        <v>3972</v>
      </c>
      <c r="F1531" s="43"/>
    </row>
    <row r="1532" spans="4:6" x14ac:dyDescent="0.25">
      <c r="D1532" s="41" t="s">
        <v>2449</v>
      </c>
      <c r="E1532" s="42" t="s">
        <v>3972</v>
      </c>
      <c r="F1532" s="43"/>
    </row>
    <row r="1533" spans="4:6" x14ac:dyDescent="0.25">
      <c r="D1533" s="41" t="s">
        <v>3092</v>
      </c>
      <c r="E1533" s="42" t="s">
        <v>3972</v>
      </c>
      <c r="F1533" s="43" t="s">
        <v>3093</v>
      </c>
    </row>
    <row r="1534" spans="4:6" x14ac:dyDescent="0.25">
      <c r="D1534" s="41" t="s">
        <v>2450</v>
      </c>
      <c r="E1534" s="42" t="s">
        <v>2451</v>
      </c>
      <c r="F1534" s="43" t="s">
        <v>747</v>
      </c>
    </row>
    <row r="1535" spans="4:6" x14ac:dyDescent="0.25">
      <c r="D1535" s="41" t="s">
        <v>2452</v>
      </c>
      <c r="E1535" s="42" t="s">
        <v>4025</v>
      </c>
      <c r="F1535" s="43" t="s">
        <v>2453</v>
      </c>
    </row>
    <row r="1536" spans="4:6" x14ac:dyDescent="0.25">
      <c r="D1536" s="41" t="s">
        <v>3008</v>
      </c>
      <c r="E1536" s="42" t="s">
        <v>3892</v>
      </c>
      <c r="F1536" s="43" t="s">
        <v>3009</v>
      </c>
    </row>
    <row r="1537" spans="4:6" x14ac:dyDescent="0.25">
      <c r="D1537" s="41" t="s">
        <v>3535</v>
      </c>
      <c r="E1537" s="42" t="s">
        <v>3892</v>
      </c>
      <c r="F1537" s="43" t="s">
        <v>747</v>
      </c>
    </row>
    <row r="1538" spans="4:6" x14ac:dyDescent="0.25">
      <c r="D1538" s="41" t="s">
        <v>1899</v>
      </c>
      <c r="E1538" s="42" t="s">
        <v>191</v>
      </c>
      <c r="F1538" s="43"/>
    </row>
    <row r="1539" spans="4:6" x14ac:dyDescent="0.25">
      <c r="D1539" s="41" t="s">
        <v>2454</v>
      </c>
      <c r="E1539" s="42" t="s">
        <v>191</v>
      </c>
      <c r="F1539" s="43" t="s">
        <v>747</v>
      </c>
    </row>
    <row r="1540" spans="4:6" x14ac:dyDescent="0.25">
      <c r="D1540" s="41" t="s">
        <v>2455</v>
      </c>
      <c r="E1540" s="42" t="s">
        <v>191</v>
      </c>
      <c r="F1540" s="43"/>
    </row>
    <row r="1541" spans="4:6" x14ac:dyDescent="0.25">
      <c r="D1541" s="41" t="s">
        <v>1992</v>
      </c>
      <c r="E1541" s="42" t="s">
        <v>1072</v>
      </c>
      <c r="F1541" s="43">
        <v>11</v>
      </c>
    </row>
    <row r="1542" spans="4:6" x14ac:dyDescent="0.25">
      <c r="D1542" s="41" t="s">
        <v>2456</v>
      </c>
      <c r="E1542" s="42" t="s">
        <v>1072</v>
      </c>
      <c r="F1542" s="43"/>
    </row>
    <row r="1543" spans="4:6" x14ac:dyDescent="0.25">
      <c r="D1543" s="41" t="s">
        <v>2457</v>
      </c>
      <c r="E1543" s="42" t="s">
        <v>1072</v>
      </c>
      <c r="F1543" s="43"/>
    </row>
    <row r="1544" spans="4:6" x14ac:dyDescent="0.25">
      <c r="D1544" s="41" t="s">
        <v>2458</v>
      </c>
      <c r="E1544" s="42" t="s">
        <v>1072</v>
      </c>
      <c r="F1544" s="43"/>
    </row>
    <row r="1545" spans="4:6" x14ac:dyDescent="0.25">
      <c r="D1545" s="41" t="s">
        <v>2459</v>
      </c>
      <c r="E1545" s="42" t="s">
        <v>1072</v>
      </c>
      <c r="F1545" s="43"/>
    </row>
    <row r="1546" spans="4:6" x14ac:dyDescent="0.25">
      <c r="D1546" s="41" t="s">
        <v>3678</v>
      </c>
      <c r="E1546" s="42" t="s">
        <v>1072</v>
      </c>
      <c r="F1546" s="43"/>
    </row>
    <row r="1547" spans="4:6" x14ac:dyDescent="0.25">
      <c r="D1547" s="41" t="s">
        <v>3735</v>
      </c>
      <c r="E1547" s="42" t="s">
        <v>1072</v>
      </c>
      <c r="F1547" s="43"/>
    </row>
    <row r="1548" spans="4:6" x14ac:dyDescent="0.25">
      <c r="D1548" s="41" t="s">
        <v>2925</v>
      </c>
      <c r="E1548" s="42" t="s">
        <v>2830</v>
      </c>
      <c r="F1548" s="43" t="s">
        <v>1139</v>
      </c>
    </row>
    <row r="1549" spans="4:6" x14ac:dyDescent="0.25">
      <c r="D1549" s="41" t="s">
        <v>309</v>
      </c>
      <c r="E1549" s="42" t="s">
        <v>115</v>
      </c>
      <c r="F1549" s="43" t="s">
        <v>310</v>
      </c>
    </row>
    <row r="1550" spans="4:6" x14ac:dyDescent="0.25">
      <c r="D1550" s="41" t="s">
        <v>311</v>
      </c>
      <c r="E1550" s="42" t="s">
        <v>115</v>
      </c>
      <c r="F1550" s="43" t="s">
        <v>312</v>
      </c>
    </row>
    <row r="1551" spans="4:6" x14ac:dyDescent="0.25">
      <c r="D1551" s="41" t="s">
        <v>313</v>
      </c>
      <c r="E1551" s="42" t="s">
        <v>115</v>
      </c>
      <c r="F1551" s="43" t="s">
        <v>310</v>
      </c>
    </row>
    <row r="1552" spans="4:6" x14ac:dyDescent="0.25">
      <c r="D1552" s="41" t="s">
        <v>378</v>
      </c>
      <c r="E1552" s="42" t="s">
        <v>115</v>
      </c>
      <c r="F1552" s="43" t="s">
        <v>379</v>
      </c>
    </row>
    <row r="1553" spans="4:6" x14ac:dyDescent="0.25">
      <c r="D1553" s="41" t="s">
        <v>380</v>
      </c>
      <c r="E1553" s="42" t="s">
        <v>115</v>
      </c>
      <c r="F1553" s="43" t="s">
        <v>381</v>
      </c>
    </row>
    <row r="1554" spans="4:6" x14ac:dyDescent="0.25">
      <c r="D1554" s="41" t="s">
        <v>382</v>
      </c>
      <c r="E1554" s="42" t="s">
        <v>115</v>
      </c>
      <c r="F1554" s="43" t="s">
        <v>383</v>
      </c>
    </row>
    <row r="1555" spans="4:6" x14ac:dyDescent="0.25">
      <c r="D1555" s="41" t="s">
        <v>384</v>
      </c>
      <c r="E1555" s="42" t="s">
        <v>115</v>
      </c>
      <c r="F1555" s="43" t="s">
        <v>385</v>
      </c>
    </row>
    <row r="1556" spans="4:6" x14ac:dyDescent="0.25">
      <c r="D1556" s="41" t="s">
        <v>386</v>
      </c>
      <c r="E1556" s="42" t="s">
        <v>115</v>
      </c>
      <c r="F1556" s="43" t="s">
        <v>387</v>
      </c>
    </row>
    <row r="1557" spans="4:6" x14ac:dyDescent="0.25">
      <c r="D1557" s="41" t="s">
        <v>388</v>
      </c>
      <c r="E1557" s="42" t="s">
        <v>115</v>
      </c>
      <c r="F1557" s="43" t="s">
        <v>379</v>
      </c>
    </row>
    <row r="1558" spans="4:6" x14ac:dyDescent="0.25">
      <c r="D1558" s="41" t="s">
        <v>389</v>
      </c>
      <c r="E1558" s="42" t="s">
        <v>115</v>
      </c>
      <c r="F1558" s="43" t="s">
        <v>379</v>
      </c>
    </row>
    <row r="1559" spans="4:6" x14ac:dyDescent="0.25">
      <c r="D1559" s="41" t="s">
        <v>390</v>
      </c>
      <c r="E1559" s="42" t="s">
        <v>115</v>
      </c>
      <c r="F1559" s="43" t="s">
        <v>391</v>
      </c>
    </row>
    <row r="1560" spans="4:6" x14ac:dyDescent="0.25">
      <c r="D1560" s="41" t="s">
        <v>392</v>
      </c>
      <c r="E1560" s="42" t="s">
        <v>115</v>
      </c>
      <c r="F1560" s="43" t="s">
        <v>385</v>
      </c>
    </row>
    <row r="1561" spans="4:6" x14ac:dyDescent="0.25">
      <c r="D1561" s="41" t="s">
        <v>393</v>
      </c>
      <c r="E1561" s="42" t="s">
        <v>115</v>
      </c>
      <c r="F1561" s="43" t="s">
        <v>391</v>
      </c>
    </row>
    <row r="1562" spans="4:6" x14ac:dyDescent="0.25">
      <c r="D1562" s="41" t="s">
        <v>394</v>
      </c>
      <c r="E1562" s="42" t="s">
        <v>115</v>
      </c>
      <c r="F1562" s="43" t="s">
        <v>379</v>
      </c>
    </row>
    <row r="1563" spans="4:6" x14ac:dyDescent="0.25">
      <c r="D1563" s="41" t="s">
        <v>395</v>
      </c>
      <c r="E1563" s="42" t="s">
        <v>115</v>
      </c>
      <c r="F1563" s="43" t="s">
        <v>391</v>
      </c>
    </row>
    <row r="1564" spans="4:6" x14ac:dyDescent="0.25">
      <c r="D1564" s="41" t="s">
        <v>396</v>
      </c>
      <c r="E1564" s="42" t="s">
        <v>115</v>
      </c>
      <c r="F1564" s="43" t="s">
        <v>397</v>
      </c>
    </row>
    <row r="1565" spans="4:6" x14ac:dyDescent="0.25">
      <c r="D1565" s="41" t="s">
        <v>398</v>
      </c>
      <c r="E1565" s="42" t="s">
        <v>115</v>
      </c>
      <c r="F1565" s="43" t="s">
        <v>399</v>
      </c>
    </row>
    <row r="1566" spans="4:6" x14ac:dyDescent="0.25">
      <c r="D1566" s="41" t="s">
        <v>400</v>
      </c>
      <c r="E1566" s="42" t="s">
        <v>115</v>
      </c>
      <c r="F1566" s="43" t="s">
        <v>387</v>
      </c>
    </row>
    <row r="1567" spans="4:6" x14ac:dyDescent="0.25">
      <c r="D1567" s="41" t="s">
        <v>401</v>
      </c>
      <c r="E1567" s="42" t="s">
        <v>115</v>
      </c>
      <c r="F1567" s="43" t="s">
        <v>385</v>
      </c>
    </row>
    <row r="1568" spans="4:6" x14ac:dyDescent="0.25">
      <c r="D1568" s="41" t="s">
        <v>402</v>
      </c>
      <c r="E1568" s="42" t="s">
        <v>115</v>
      </c>
      <c r="F1568" s="43" t="s">
        <v>399</v>
      </c>
    </row>
    <row r="1569" spans="4:6" x14ac:dyDescent="0.25">
      <c r="D1569" s="41" t="s">
        <v>403</v>
      </c>
      <c r="E1569" s="42" t="s">
        <v>115</v>
      </c>
      <c r="F1569" s="43" t="s">
        <v>399</v>
      </c>
    </row>
    <row r="1570" spans="4:6" x14ac:dyDescent="0.25">
      <c r="D1570" s="41" t="s">
        <v>404</v>
      </c>
      <c r="E1570" s="42" t="s">
        <v>115</v>
      </c>
      <c r="F1570" s="43" t="s">
        <v>391</v>
      </c>
    </row>
    <row r="1571" spans="4:6" x14ac:dyDescent="0.25">
      <c r="D1571" s="41" t="s">
        <v>405</v>
      </c>
      <c r="E1571" s="42" t="s">
        <v>115</v>
      </c>
      <c r="F1571" s="43" t="s">
        <v>379</v>
      </c>
    </row>
    <row r="1572" spans="4:6" x14ac:dyDescent="0.25">
      <c r="D1572" s="41" t="s">
        <v>406</v>
      </c>
      <c r="E1572" s="42" t="s">
        <v>115</v>
      </c>
      <c r="F1572" s="43" t="s">
        <v>407</v>
      </c>
    </row>
    <row r="1573" spans="4:6" x14ac:dyDescent="0.25">
      <c r="D1573" s="41" t="s">
        <v>408</v>
      </c>
      <c r="E1573" s="42" t="s">
        <v>115</v>
      </c>
      <c r="F1573" s="43" t="s">
        <v>385</v>
      </c>
    </row>
    <row r="1574" spans="4:6" x14ac:dyDescent="0.25">
      <c r="D1574" s="41" t="s">
        <v>409</v>
      </c>
      <c r="E1574" s="42" t="s">
        <v>115</v>
      </c>
      <c r="F1574" s="43" t="s">
        <v>387</v>
      </c>
    </row>
    <row r="1575" spans="4:6" x14ac:dyDescent="0.25">
      <c r="D1575" s="41" t="s">
        <v>567</v>
      </c>
      <c r="E1575" s="42" t="s">
        <v>115</v>
      </c>
      <c r="F1575" s="43" t="s">
        <v>391</v>
      </c>
    </row>
    <row r="1576" spans="4:6" x14ac:dyDescent="0.25">
      <c r="D1576" s="41" t="s">
        <v>693</v>
      </c>
      <c r="E1576" s="42" t="s">
        <v>115</v>
      </c>
      <c r="F1576" s="43" t="s">
        <v>399</v>
      </c>
    </row>
    <row r="1577" spans="4:6" x14ac:dyDescent="0.25">
      <c r="D1577" s="41" t="s">
        <v>694</v>
      </c>
      <c r="E1577" s="42" t="s">
        <v>115</v>
      </c>
      <c r="F1577" s="43" t="s">
        <v>399</v>
      </c>
    </row>
    <row r="1578" spans="4:6" x14ac:dyDescent="0.25">
      <c r="D1578" s="41" t="s">
        <v>695</v>
      </c>
      <c r="E1578" s="42" t="s">
        <v>115</v>
      </c>
      <c r="F1578" s="43" t="s">
        <v>379</v>
      </c>
    </row>
    <row r="1579" spans="4:6" x14ac:dyDescent="0.25">
      <c r="D1579" s="41" t="s">
        <v>696</v>
      </c>
      <c r="E1579" s="42" t="s">
        <v>115</v>
      </c>
      <c r="F1579" s="43" t="s">
        <v>385</v>
      </c>
    </row>
    <row r="1580" spans="4:6" x14ac:dyDescent="0.25">
      <c r="D1580" s="41" t="s">
        <v>697</v>
      </c>
      <c r="E1580" s="42" t="s">
        <v>115</v>
      </c>
      <c r="F1580" s="43" t="s">
        <v>379</v>
      </c>
    </row>
    <row r="1581" spans="4:6" x14ac:dyDescent="0.25">
      <c r="D1581" s="41" t="s">
        <v>698</v>
      </c>
      <c r="E1581" s="42" t="s">
        <v>115</v>
      </c>
      <c r="F1581" s="43" t="s">
        <v>379</v>
      </c>
    </row>
    <row r="1582" spans="4:6" x14ac:dyDescent="0.25">
      <c r="D1582" s="41" t="s">
        <v>699</v>
      </c>
      <c r="E1582" s="42" t="s">
        <v>115</v>
      </c>
      <c r="F1582" s="43" t="s">
        <v>399</v>
      </c>
    </row>
    <row r="1583" spans="4:6" x14ac:dyDescent="0.25">
      <c r="D1583" s="41" t="s">
        <v>700</v>
      </c>
      <c r="E1583" s="42" t="s">
        <v>115</v>
      </c>
      <c r="F1583" s="43" t="s">
        <v>399</v>
      </c>
    </row>
    <row r="1584" spans="4:6" x14ac:dyDescent="0.25">
      <c r="D1584" s="41" t="s">
        <v>701</v>
      </c>
      <c r="E1584" s="42" t="s">
        <v>115</v>
      </c>
      <c r="F1584" s="43" t="s">
        <v>379</v>
      </c>
    </row>
    <row r="1585" spans="4:6" x14ac:dyDescent="0.25">
      <c r="D1585" s="41" t="s">
        <v>702</v>
      </c>
      <c r="E1585" s="42" t="s">
        <v>115</v>
      </c>
      <c r="F1585" s="43" t="s">
        <v>399</v>
      </c>
    </row>
    <row r="1586" spans="4:6" x14ac:dyDescent="0.25">
      <c r="D1586" s="41" t="s">
        <v>703</v>
      </c>
      <c r="E1586" s="42" t="s">
        <v>115</v>
      </c>
      <c r="F1586" s="43" t="s">
        <v>399</v>
      </c>
    </row>
    <row r="1587" spans="4:6" x14ac:dyDescent="0.25">
      <c r="D1587" s="41" t="s">
        <v>704</v>
      </c>
      <c r="E1587" s="42" t="s">
        <v>115</v>
      </c>
      <c r="F1587" s="43" t="s">
        <v>385</v>
      </c>
    </row>
    <row r="1588" spans="4:6" x14ac:dyDescent="0.25">
      <c r="D1588" s="41" t="s">
        <v>705</v>
      </c>
      <c r="E1588" s="42" t="s">
        <v>115</v>
      </c>
      <c r="F1588" s="43" t="s">
        <v>706</v>
      </c>
    </row>
    <row r="1589" spans="4:6" x14ac:dyDescent="0.25">
      <c r="D1589" s="41" t="s">
        <v>707</v>
      </c>
      <c r="E1589" s="42" t="s">
        <v>115</v>
      </c>
      <c r="F1589" s="43" t="s">
        <v>399</v>
      </c>
    </row>
    <row r="1590" spans="4:6" x14ac:dyDescent="0.25">
      <c r="D1590" s="41" t="s">
        <v>708</v>
      </c>
      <c r="E1590" s="42" t="s">
        <v>115</v>
      </c>
      <c r="F1590" s="43" t="s">
        <v>399</v>
      </c>
    </row>
    <row r="1591" spans="4:6" x14ac:dyDescent="0.25">
      <c r="D1591" s="41" t="s">
        <v>709</v>
      </c>
      <c r="E1591" s="42" t="s">
        <v>115</v>
      </c>
      <c r="F1591" s="43" t="s">
        <v>379</v>
      </c>
    </row>
    <row r="1592" spans="4:6" x14ac:dyDescent="0.25">
      <c r="D1592" s="41" t="s">
        <v>710</v>
      </c>
      <c r="E1592" s="42" t="s">
        <v>115</v>
      </c>
      <c r="F1592" s="43" t="s">
        <v>706</v>
      </c>
    </row>
    <row r="1593" spans="4:6" x14ac:dyDescent="0.25">
      <c r="D1593" s="41" t="s">
        <v>711</v>
      </c>
      <c r="E1593" s="42" t="s">
        <v>115</v>
      </c>
      <c r="F1593" s="43" t="s">
        <v>379</v>
      </c>
    </row>
    <row r="1594" spans="4:6" x14ac:dyDescent="0.25">
      <c r="D1594" s="41" t="s">
        <v>712</v>
      </c>
      <c r="E1594" s="42" t="s">
        <v>115</v>
      </c>
      <c r="F1594" s="43" t="s">
        <v>379</v>
      </c>
    </row>
    <row r="1595" spans="4:6" x14ac:dyDescent="0.25">
      <c r="D1595" s="41" t="s">
        <v>713</v>
      </c>
      <c r="E1595" s="42" t="s">
        <v>115</v>
      </c>
      <c r="F1595" s="43" t="s">
        <v>379</v>
      </c>
    </row>
    <row r="1596" spans="4:6" x14ac:dyDescent="0.25">
      <c r="D1596" s="41" t="s">
        <v>714</v>
      </c>
      <c r="E1596" s="42" t="s">
        <v>115</v>
      </c>
      <c r="F1596" s="43" t="s">
        <v>715</v>
      </c>
    </row>
    <row r="1597" spans="4:6" x14ac:dyDescent="0.25">
      <c r="D1597" s="41" t="s">
        <v>716</v>
      </c>
      <c r="E1597" s="42" t="s">
        <v>115</v>
      </c>
      <c r="F1597" s="43" t="s">
        <v>391</v>
      </c>
    </row>
    <row r="1598" spans="4:6" x14ac:dyDescent="0.25">
      <c r="D1598" s="41" t="s">
        <v>717</v>
      </c>
      <c r="E1598" s="42" t="s">
        <v>115</v>
      </c>
      <c r="F1598" s="43" t="s">
        <v>399</v>
      </c>
    </row>
    <row r="1599" spans="4:6" x14ac:dyDescent="0.25">
      <c r="D1599" s="41" t="s">
        <v>718</v>
      </c>
      <c r="E1599" s="42" t="s">
        <v>115</v>
      </c>
      <c r="F1599" s="43" t="s">
        <v>385</v>
      </c>
    </row>
    <row r="1600" spans="4:6" x14ac:dyDescent="0.25">
      <c r="D1600" s="41" t="s">
        <v>719</v>
      </c>
      <c r="E1600" s="42" t="s">
        <v>115</v>
      </c>
      <c r="F1600" s="43" t="s">
        <v>379</v>
      </c>
    </row>
    <row r="1601" spans="4:6" x14ac:dyDescent="0.25">
      <c r="D1601" s="41" t="s">
        <v>836</v>
      </c>
      <c r="E1601" s="42" t="s">
        <v>115</v>
      </c>
      <c r="F1601" s="43" t="s">
        <v>747</v>
      </c>
    </row>
    <row r="1602" spans="4:6" x14ac:dyDescent="0.25">
      <c r="D1602" s="41" t="s">
        <v>1000</v>
      </c>
      <c r="E1602" s="42" t="s">
        <v>115</v>
      </c>
      <c r="F1602" s="43" t="s">
        <v>999</v>
      </c>
    </row>
    <row r="1603" spans="4:6" x14ac:dyDescent="0.25">
      <c r="D1603" s="41" t="s">
        <v>1203</v>
      </c>
      <c r="E1603" s="42" t="s">
        <v>115</v>
      </c>
      <c r="F1603" s="43" t="s">
        <v>747</v>
      </c>
    </row>
    <row r="1604" spans="4:6" x14ac:dyDescent="0.25">
      <c r="D1604" s="41" t="s">
        <v>1225</v>
      </c>
      <c r="E1604" s="42" t="s">
        <v>115</v>
      </c>
      <c r="F1604" s="43" t="s">
        <v>1226</v>
      </c>
    </row>
    <row r="1605" spans="4:6" x14ac:dyDescent="0.25">
      <c r="D1605" s="41" t="s">
        <v>1266</v>
      </c>
      <c r="E1605" s="42" t="s">
        <v>115</v>
      </c>
      <c r="F1605" s="43" t="s">
        <v>747</v>
      </c>
    </row>
    <row r="1606" spans="4:6" x14ac:dyDescent="0.25">
      <c r="D1606" s="41" t="s">
        <v>1367</v>
      </c>
      <c r="E1606" s="42" t="s">
        <v>115</v>
      </c>
      <c r="F1606" s="43" t="s">
        <v>747</v>
      </c>
    </row>
    <row r="1607" spans="4:6" x14ac:dyDescent="0.25">
      <c r="D1607" s="41" t="s">
        <v>1384</v>
      </c>
      <c r="E1607" s="42" t="s">
        <v>115</v>
      </c>
      <c r="F1607" s="43" t="s">
        <v>747</v>
      </c>
    </row>
    <row r="1608" spans="4:6" x14ac:dyDescent="0.25">
      <c r="D1608" s="41" t="s">
        <v>1421</v>
      </c>
      <c r="E1608" s="42" t="s">
        <v>115</v>
      </c>
      <c r="F1608" s="43" t="s">
        <v>747</v>
      </c>
    </row>
    <row r="1609" spans="4:6" x14ac:dyDescent="0.25">
      <c r="D1609" s="41" t="s">
        <v>1422</v>
      </c>
      <c r="E1609" s="42" t="s">
        <v>115</v>
      </c>
      <c r="F1609" s="43" t="s">
        <v>747</v>
      </c>
    </row>
    <row r="1610" spans="4:6" x14ac:dyDescent="0.25">
      <c r="D1610" s="41" t="s">
        <v>1425</v>
      </c>
      <c r="E1610" s="42" t="s">
        <v>115</v>
      </c>
      <c r="F1610" s="43" t="s">
        <v>747</v>
      </c>
    </row>
    <row r="1611" spans="4:6" x14ac:dyDescent="0.25">
      <c r="D1611" s="41" t="s">
        <v>1531</v>
      </c>
      <c r="E1611" s="42" t="s">
        <v>115</v>
      </c>
      <c r="F1611" s="43"/>
    </row>
    <row r="1612" spans="4:6" x14ac:dyDescent="0.25">
      <c r="D1612" s="41" t="s">
        <v>1599</v>
      </c>
      <c r="E1612" s="42" t="s">
        <v>115</v>
      </c>
      <c r="F1612" s="43" t="s">
        <v>1600</v>
      </c>
    </row>
    <row r="1613" spans="4:6" x14ac:dyDescent="0.25">
      <c r="D1613" s="41" t="s">
        <v>1634</v>
      </c>
      <c r="E1613" s="42" t="s">
        <v>115</v>
      </c>
      <c r="F1613" s="43" t="s">
        <v>1635</v>
      </c>
    </row>
    <row r="1614" spans="4:6" x14ac:dyDescent="0.25">
      <c r="D1614" s="41" t="s">
        <v>1646</v>
      </c>
      <c r="E1614" s="42" t="s">
        <v>115</v>
      </c>
      <c r="F1614" s="43" t="s">
        <v>1647</v>
      </c>
    </row>
    <row r="1615" spans="4:6" x14ac:dyDescent="0.25">
      <c r="D1615" s="41" t="s">
        <v>1710</v>
      </c>
      <c r="E1615" s="42" t="s">
        <v>115</v>
      </c>
      <c r="F1615" s="43" t="s">
        <v>1711</v>
      </c>
    </row>
    <row r="1616" spans="4:6" x14ac:dyDescent="0.25">
      <c r="D1616" s="41" t="s">
        <v>1809</v>
      </c>
      <c r="E1616" s="42" t="s">
        <v>115</v>
      </c>
      <c r="F1616" s="43" t="s">
        <v>1758</v>
      </c>
    </row>
    <row r="1617" spans="4:6" x14ac:dyDescent="0.25">
      <c r="D1617" s="41" t="s">
        <v>1839</v>
      </c>
      <c r="E1617" s="42" t="s">
        <v>115</v>
      </c>
      <c r="F1617" s="43" t="s">
        <v>1840</v>
      </c>
    </row>
    <row r="1618" spans="4:6" x14ac:dyDescent="0.25">
      <c r="D1618" s="41" t="s">
        <v>1851</v>
      </c>
      <c r="E1618" s="42" t="s">
        <v>115</v>
      </c>
      <c r="F1618" s="43" t="s">
        <v>1852</v>
      </c>
    </row>
    <row r="1619" spans="4:6" x14ac:dyDescent="0.25">
      <c r="D1619" s="41" t="s">
        <v>1884</v>
      </c>
      <c r="E1619" s="42" t="s">
        <v>115</v>
      </c>
      <c r="F1619" s="43" t="s">
        <v>1558</v>
      </c>
    </row>
    <row r="1620" spans="4:6" x14ac:dyDescent="0.25">
      <c r="D1620" s="41" t="s">
        <v>1895</v>
      </c>
      <c r="E1620" s="42" t="s">
        <v>115</v>
      </c>
      <c r="F1620" s="43"/>
    </row>
    <row r="1621" spans="4:6" x14ac:dyDescent="0.25">
      <c r="D1621" s="41" t="s">
        <v>1922</v>
      </c>
      <c r="E1621" s="42" t="s">
        <v>115</v>
      </c>
      <c r="F1621" s="43" t="s">
        <v>747</v>
      </c>
    </row>
    <row r="1622" spans="4:6" x14ac:dyDescent="0.25">
      <c r="D1622" s="41" t="s">
        <v>1937</v>
      </c>
      <c r="E1622" s="42" t="s">
        <v>115</v>
      </c>
      <c r="F1622" s="43" t="s">
        <v>747</v>
      </c>
    </row>
    <row r="1623" spans="4:6" x14ac:dyDescent="0.25">
      <c r="D1623" s="41" t="s">
        <v>1951</v>
      </c>
      <c r="E1623" s="42" t="s">
        <v>115</v>
      </c>
      <c r="F1623" s="43" t="s">
        <v>747</v>
      </c>
    </row>
    <row r="1624" spans="4:6" x14ac:dyDescent="0.25">
      <c r="D1624" s="41" t="s">
        <v>1981</v>
      </c>
      <c r="E1624" s="42" t="s">
        <v>115</v>
      </c>
      <c r="F1624" s="43" t="s">
        <v>747</v>
      </c>
    </row>
    <row r="1625" spans="4:6" x14ac:dyDescent="0.25">
      <c r="D1625" s="41" t="s">
        <v>2460</v>
      </c>
      <c r="E1625" s="42" t="s">
        <v>115</v>
      </c>
      <c r="F1625" s="43"/>
    </row>
    <row r="1626" spans="4:6" x14ac:dyDescent="0.25">
      <c r="D1626" s="41" t="s">
        <v>2461</v>
      </c>
      <c r="E1626" s="42" t="s">
        <v>115</v>
      </c>
      <c r="F1626" s="43"/>
    </row>
    <row r="1627" spans="4:6" x14ac:dyDescent="0.25">
      <c r="D1627" s="41" t="s">
        <v>2462</v>
      </c>
      <c r="E1627" s="42" t="s">
        <v>115</v>
      </c>
      <c r="F1627" s="43"/>
    </row>
    <row r="1628" spans="4:6" x14ac:dyDescent="0.25">
      <c r="D1628" s="41" t="s">
        <v>2463</v>
      </c>
      <c r="E1628" s="42" t="s">
        <v>115</v>
      </c>
      <c r="F1628" s="43"/>
    </row>
    <row r="1629" spans="4:6" x14ac:dyDescent="0.25">
      <c r="D1629" s="41" t="s">
        <v>2464</v>
      </c>
      <c r="E1629" s="42" t="s">
        <v>115</v>
      </c>
      <c r="F1629" s="43"/>
    </row>
    <row r="1630" spans="4:6" x14ac:dyDescent="0.25">
      <c r="D1630" s="41" t="s">
        <v>2465</v>
      </c>
      <c r="E1630" s="42" t="s">
        <v>115</v>
      </c>
      <c r="F1630" s="43"/>
    </row>
    <row r="1631" spans="4:6" x14ac:dyDescent="0.25">
      <c r="D1631" s="41" t="s">
        <v>2466</v>
      </c>
      <c r="E1631" s="42" t="s">
        <v>115</v>
      </c>
      <c r="F1631" s="43"/>
    </row>
    <row r="1632" spans="4:6" x14ac:dyDescent="0.25">
      <c r="D1632" s="41" t="s">
        <v>2467</v>
      </c>
      <c r="E1632" s="42" t="s">
        <v>115</v>
      </c>
      <c r="F1632" s="43"/>
    </row>
    <row r="1633" spans="4:6" x14ac:dyDescent="0.25">
      <c r="D1633" s="41" t="s">
        <v>2468</v>
      </c>
      <c r="E1633" s="42" t="s">
        <v>115</v>
      </c>
      <c r="F1633" s="43"/>
    </row>
    <row r="1634" spans="4:6" x14ac:dyDescent="0.25">
      <c r="D1634" s="41" t="s">
        <v>2469</v>
      </c>
      <c r="E1634" s="42" t="s">
        <v>115</v>
      </c>
      <c r="F1634" s="43"/>
    </row>
    <row r="1635" spans="4:6" x14ac:dyDescent="0.25">
      <c r="D1635" s="41" t="s">
        <v>2470</v>
      </c>
      <c r="E1635" s="42" t="s">
        <v>115</v>
      </c>
      <c r="F1635" s="43"/>
    </row>
    <row r="1636" spans="4:6" x14ac:dyDescent="0.25">
      <c r="D1636" s="41" t="s">
        <v>2471</v>
      </c>
      <c r="E1636" s="42" t="s">
        <v>115</v>
      </c>
      <c r="F1636" s="43"/>
    </row>
    <row r="1637" spans="4:6" x14ac:dyDescent="0.25">
      <c r="D1637" s="41" t="s">
        <v>2472</v>
      </c>
      <c r="E1637" s="42" t="s">
        <v>115</v>
      </c>
      <c r="F1637" s="43"/>
    </row>
    <row r="1638" spans="4:6" x14ac:dyDescent="0.25">
      <c r="D1638" s="41" t="s">
        <v>2792</v>
      </c>
      <c r="E1638" s="42" t="s">
        <v>115</v>
      </c>
      <c r="F1638" s="43"/>
    </row>
    <row r="1639" spans="4:6" x14ac:dyDescent="0.25">
      <c r="D1639" s="41" t="s">
        <v>2793</v>
      </c>
      <c r="E1639" s="42" t="s">
        <v>115</v>
      </c>
      <c r="F1639" s="43"/>
    </row>
    <row r="1640" spans="4:6" x14ac:dyDescent="0.25">
      <c r="D1640" s="41" t="s">
        <v>2864</v>
      </c>
      <c r="E1640" s="42" t="s">
        <v>115</v>
      </c>
      <c r="F1640" s="43"/>
    </row>
    <row r="1641" spans="4:6" x14ac:dyDescent="0.25">
      <c r="D1641" s="41" t="s">
        <v>2962</v>
      </c>
      <c r="E1641" s="42" t="s">
        <v>115</v>
      </c>
      <c r="F1641" s="43"/>
    </row>
    <row r="1642" spans="4:6" x14ac:dyDescent="0.25">
      <c r="D1642" s="41" t="s">
        <v>3181</v>
      </c>
      <c r="E1642" s="42" t="s">
        <v>115</v>
      </c>
      <c r="F1642" s="43"/>
    </row>
    <row r="1643" spans="4:6" x14ac:dyDescent="0.25">
      <c r="D1643" s="41" t="s">
        <v>3191</v>
      </c>
      <c r="E1643" s="42" t="s">
        <v>115</v>
      </c>
      <c r="F1643" s="43"/>
    </row>
    <row r="1644" spans="4:6" x14ac:dyDescent="0.25">
      <c r="D1644" s="44" t="s">
        <v>3316</v>
      </c>
      <c r="E1644" s="45" t="s">
        <v>115</v>
      </c>
      <c r="F1644" s="46"/>
    </row>
    <row r="1645" spans="4:6" x14ac:dyDescent="0.25">
      <c r="D1645" s="44" t="s">
        <v>3349</v>
      </c>
      <c r="E1645" s="45" t="s">
        <v>115</v>
      </c>
      <c r="F1645" s="46" t="s">
        <v>3307</v>
      </c>
    </row>
    <row r="1646" spans="4:6" x14ac:dyDescent="0.25">
      <c r="D1646" s="44" t="s">
        <v>3351</v>
      </c>
      <c r="E1646" s="45" t="s">
        <v>115</v>
      </c>
      <c r="F1646" s="46" t="s">
        <v>3307</v>
      </c>
    </row>
    <row r="1647" spans="4:6" x14ac:dyDescent="0.25">
      <c r="D1647" s="41" t="s">
        <v>3370</v>
      </c>
      <c r="E1647" s="42" t="s">
        <v>115</v>
      </c>
      <c r="F1647" s="43" t="s">
        <v>747</v>
      </c>
    </row>
    <row r="1648" spans="4:6" x14ac:dyDescent="0.25">
      <c r="D1648" s="41" t="s">
        <v>3377</v>
      </c>
      <c r="E1648" s="42" t="s">
        <v>115</v>
      </c>
      <c r="F1648" s="43"/>
    </row>
    <row r="1649" spans="4:6" x14ac:dyDescent="0.25">
      <c r="D1649" s="41" t="s">
        <v>3379</v>
      </c>
      <c r="E1649" s="42" t="s">
        <v>115</v>
      </c>
      <c r="F1649" s="43"/>
    </row>
    <row r="1650" spans="4:6" x14ac:dyDescent="0.25">
      <c r="D1650" s="41" t="s">
        <v>3401</v>
      </c>
      <c r="E1650" s="42" t="s">
        <v>115</v>
      </c>
      <c r="F1650" s="43"/>
    </row>
    <row r="1651" spans="4:6" x14ac:dyDescent="0.25">
      <c r="D1651" s="41" t="s">
        <v>3439</v>
      </c>
      <c r="E1651" s="42" t="s">
        <v>115</v>
      </c>
      <c r="F1651" s="43"/>
    </row>
    <row r="1652" spans="4:6" x14ac:dyDescent="0.25">
      <c r="D1652" s="41" t="s">
        <v>3573</v>
      </c>
      <c r="E1652" s="42" t="s">
        <v>115</v>
      </c>
      <c r="F1652" s="43"/>
    </row>
    <row r="1653" spans="4:6" x14ac:dyDescent="0.25">
      <c r="D1653" s="41" t="s">
        <v>3576</v>
      </c>
      <c r="E1653" s="42" t="s">
        <v>115</v>
      </c>
      <c r="F1653" s="43"/>
    </row>
    <row r="1654" spans="4:6" x14ac:dyDescent="0.25">
      <c r="D1654" s="41" t="s">
        <v>3579</v>
      </c>
      <c r="E1654" s="42" t="s">
        <v>115</v>
      </c>
      <c r="F1654" s="43"/>
    </row>
    <row r="1655" spans="4:6" x14ac:dyDescent="0.25">
      <c r="D1655" s="41" t="s">
        <v>3582</v>
      </c>
      <c r="E1655" s="42" t="s">
        <v>115</v>
      </c>
      <c r="F1655" s="43"/>
    </row>
    <row r="1656" spans="4:6" x14ac:dyDescent="0.25">
      <c r="D1656" s="41" t="s">
        <v>3596</v>
      </c>
      <c r="E1656" s="42" t="s">
        <v>115</v>
      </c>
      <c r="F1656" s="43"/>
    </row>
    <row r="1657" spans="4:6" x14ac:dyDescent="0.25">
      <c r="D1657" s="41" t="s">
        <v>3610</v>
      </c>
      <c r="E1657" s="42" t="s">
        <v>115</v>
      </c>
      <c r="F1657" s="43"/>
    </row>
    <row r="1658" spans="4:6" x14ac:dyDescent="0.25">
      <c r="D1658" s="41" t="s">
        <v>3707</v>
      </c>
      <c r="E1658" s="42" t="s">
        <v>115</v>
      </c>
      <c r="F1658" s="43"/>
    </row>
    <row r="1659" spans="4:6" x14ac:dyDescent="0.25">
      <c r="D1659" s="41" t="s">
        <v>3739</v>
      </c>
      <c r="E1659" s="42" t="s">
        <v>115</v>
      </c>
      <c r="F1659" s="43" t="s">
        <v>747</v>
      </c>
    </row>
    <row r="1660" spans="4:6" x14ac:dyDescent="0.25">
      <c r="D1660" s="41" t="s">
        <v>1569</v>
      </c>
      <c r="E1660" s="42" t="s">
        <v>1020</v>
      </c>
      <c r="F1660" s="43" t="s">
        <v>1563</v>
      </c>
    </row>
    <row r="1661" spans="4:6" x14ac:dyDescent="0.25">
      <c r="D1661" s="41" t="s">
        <v>1979</v>
      </c>
      <c r="E1661" s="42" t="s">
        <v>1020</v>
      </c>
      <c r="F1661" s="43" t="s">
        <v>747</v>
      </c>
    </row>
    <row r="1662" spans="4:6" x14ac:dyDescent="0.25">
      <c r="D1662" s="41" t="s">
        <v>2473</v>
      </c>
      <c r="E1662" s="42" t="s">
        <v>1020</v>
      </c>
      <c r="F1662" s="43"/>
    </row>
    <row r="1663" spans="4:6" x14ac:dyDescent="0.25">
      <c r="D1663" s="41" t="s">
        <v>2474</v>
      </c>
      <c r="E1663" s="42" t="s">
        <v>1020</v>
      </c>
      <c r="F1663" s="43"/>
    </row>
    <row r="1664" spans="4:6" x14ac:dyDescent="0.25">
      <c r="D1664" s="41" t="s">
        <v>2475</v>
      </c>
      <c r="E1664" s="42" t="s">
        <v>1020</v>
      </c>
      <c r="F1664" s="43"/>
    </row>
    <row r="1665" spans="4:6" x14ac:dyDescent="0.25">
      <c r="D1665" s="41" t="s">
        <v>2476</v>
      </c>
      <c r="E1665" s="42" t="s">
        <v>1020</v>
      </c>
      <c r="F1665" s="43"/>
    </row>
    <row r="1666" spans="4:6" x14ac:dyDescent="0.25">
      <c r="D1666" s="41" t="s">
        <v>2477</v>
      </c>
      <c r="E1666" s="42" t="s">
        <v>1020</v>
      </c>
      <c r="F1666" s="43" t="s">
        <v>546</v>
      </c>
    </row>
    <row r="1667" spans="4:6" x14ac:dyDescent="0.25">
      <c r="D1667" s="41" t="s">
        <v>3410</v>
      </c>
      <c r="E1667" s="42" t="s">
        <v>1020</v>
      </c>
      <c r="F1667" s="43"/>
    </row>
    <row r="1668" spans="4:6" x14ac:dyDescent="0.25">
      <c r="D1668" s="41" t="s">
        <v>3536</v>
      </c>
      <c r="E1668" s="42" t="s">
        <v>1020</v>
      </c>
      <c r="F1668" s="43" t="s">
        <v>747</v>
      </c>
    </row>
    <row r="1669" spans="4:6" x14ac:dyDescent="0.25">
      <c r="D1669" s="41" t="s">
        <v>3622</v>
      </c>
      <c r="E1669" s="42" t="s">
        <v>1020</v>
      </c>
      <c r="F1669" s="43"/>
    </row>
    <row r="1670" spans="4:6" x14ac:dyDescent="0.25">
      <c r="D1670" s="41" t="s">
        <v>2478</v>
      </c>
      <c r="E1670" s="42" t="s">
        <v>1027</v>
      </c>
      <c r="F1670" s="43"/>
    </row>
    <row r="1671" spans="4:6" x14ac:dyDescent="0.25">
      <c r="D1671" s="44" t="s">
        <v>3260</v>
      </c>
      <c r="E1671" s="45" t="s">
        <v>1027</v>
      </c>
      <c r="F1671" s="46"/>
    </row>
    <row r="1672" spans="4:6" x14ac:dyDescent="0.25">
      <c r="D1672" s="41" t="s">
        <v>2479</v>
      </c>
      <c r="E1672" s="42" t="s">
        <v>2480</v>
      </c>
      <c r="F1672" s="43" t="s">
        <v>2481</v>
      </c>
    </row>
    <row r="1673" spans="4:6" x14ac:dyDescent="0.25">
      <c r="D1673" s="41" t="s">
        <v>3147</v>
      </c>
      <c r="E1673" s="42" t="s">
        <v>1041</v>
      </c>
      <c r="F1673" s="43"/>
    </row>
    <row r="1674" spans="4:6" x14ac:dyDescent="0.25">
      <c r="D1674" s="41" t="s">
        <v>864</v>
      </c>
      <c r="E1674" s="42" t="s">
        <v>163</v>
      </c>
      <c r="F1674" s="43" t="s">
        <v>747</v>
      </c>
    </row>
    <row r="1675" spans="4:6" x14ac:dyDescent="0.25">
      <c r="D1675" s="41" t="s">
        <v>901</v>
      </c>
      <c r="E1675" s="42" t="s">
        <v>163</v>
      </c>
      <c r="F1675" s="43" t="s">
        <v>747</v>
      </c>
    </row>
    <row r="1676" spans="4:6" x14ac:dyDescent="0.25">
      <c r="D1676" s="41" t="s">
        <v>1498</v>
      </c>
      <c r="E1676" s="42" t="s">
        <v>163</v>
      </c>
      <c r="F1676" s="43" t="s">
        <v>1499</v>
      </c>
    </row>
    <row r="1677" spans="4:6" x14ac:dyDescent="0.25">
      <c r="D1677" s="41" t="s">
        <v>1964</v>
      </c>
      <c r="E1677" s="42" t="s">
        <v>163</v>
      </c>
      <c r="F1677" s="43" t="s">
        <v>747</v>
      </c>
    </row>
    <row r="1678" spans="4:6" x14ac:dyDescent="0.25">
      <c r="D1678" s="41" t="s">
        <v>2482</v>
      </c>
      <c r="E1678" s="42" t="s">
        <v>11</v>
      </c>
      <c r="F1678" s="43"/>
    </row>
    <row r="1679" spans="4:6" x14ac:dyDescent="0.25">
      <c r="D1679" s="41" t="s">
        <v>2483</v>
      </c>
      <c r="E1679" s="42" t="s">
        <v>11</v>
      </c>
      <c r="F1679" s="43"/>
    </row>
    <row r="1680" spans="4:6" x14ac:dyDescent="0.25">
      <c r="D1680" s="41" t="s">
        <v>2484</v>
      </c>
      <c r="E1680" s="58" t="s">
        <v>12</v>
      </c>
      <c r="F1680" s="43" t="s">
        <v>747</v>
      </c>
    </row>
    <row r="1681" spans="4:6" x14ac:dyDescent="0.25">
      <c r="D1681" s="41" t="s">
        <v>2485</v>
      </c>
      <c r="E1681" s="58" t="s">
        <v>12</v>
      </c>
      <c r="F1681" s="43"/>
    </row>
    <row r="1682" spans="4:6" x14ac:dyDescent="0.25">
      <c r="D1682" s="41" t="s">
        <v>2486</v>
      </c>
      <c r="E1682" s="58" t="s">
        <v>12</v>
      </c>
      <c r="F1682" s="43" t="s">
        <v>2190</v>
      </c>
    </row>
    <row r="1683" spans="4:6" x14ac:dyDescent="0.25">
      <c r="D1683" s="41" t="s">
        <v>2487</v>
      </c>
      <c r="E1683" s="58" t="s">
        <v>12</v>
      </c>
      <c r="F1683" s="43" t="s">
        <v>747</v>
      </c>
    </row>
    <row r="1684" spans="4:6" x14ac:dyDescent="0.25">
      <c r="D1684" s="41" t="s">
        <v>2488</v>
      </c>
      <c r="E1684" s="58" t="s">
        <v>12</v>
      </c>
      <c r="F1684" s="43"/>
    </row>
    <row r="1685" spans="4:6" x14ac:dyDescent="0.25">
      <c r="D1685" s="41" t="s">
        <v>559</v>
      </c>
      <c r="E1685" s="58" t="s">
        <v>3893</v>
      </c>
      <c r="F1685" s="43" t="s">
        <v>560</v>
      </c>
    </row>
    <row r="1686" spans="4:6" x14ac:dyDescent="0.25">
      <c r="D1686" s="41" t="s">
        <v>852</v>
      </c>
      <c r="E1686" s="58" t="s">
        <v>3893</v>
      </c>
      <c r="F1686" s="43" t="s">
        <v>747</v>
      </c>
    </row>
    <row r="1687" spans="4:6" x14ac:dyDescent="0.25">
      <c r="D1687" s="41" t="s">
        <v>1530</v>
      </c>
      <c r="E1687" s="58" t="s">
        <v>3893</v>
      </c>
      <c r="F1687" s="43"/>
    </row>
    <row r="1688" spans="4:6" x14ac:dyDescent="0.25">
      <c r="D1688" s="41" t="s">
        <v>2489</v>
      </c>
      <c r="E1688" s="58" t="s">
        <v>3893</v>
      </c>
      <c r="F1688" s="43"/>
    </row>
    <row r="1689" spans="4:6" x14ac:dyDescent="0.25">
      <c r="D1689" s="41" t="s">
        <v>2490</v>
      </c>
      <c r="E1689" s="58" t="s">
        <v>3893</v>
      </c>
      <c r="F1689" s="43"/>
    </row>
    <row r="1690" spans="4:6" x14ac:dyDescent="0.25">
      <c r="D1690" s="41" t="s">
        <v>3438</v>
      </c>
      <c r="E1690" s="58" t="s">
        <v>3893</v>
      </c>
      <c r="F1690" s="43"/>
    </row>
    <row r="1691" spans="4:6" x14ac:dyDescent="0.25">
      <c r="D1691" s="41" t="s">
        <v>1215</v>
      </c>
      <c r="E1691" s="58" t="s">
        <v>3894</v>
      </c>
      <c r="F1691" s="43" t="s">
        <v>1216</v>
      </c>
    </row>
    <row r="1692" spans="4:6" x14ac:dyDescent="0.25">
      <c r="D1692" s="41" t="s">
        <v>2491</v>
      </c>
      <c r="E1692" s="58" t="s">
        <v>3894</v>
      </c>
      <c r="F1692" s="43"/>
    </row>
    <row r="1693" spans="4:6" x14ac:dyDescent="0.25">
      <c r="D1693" s="41" t="s">
        <v>2492</v>
      </c>
      <c r="E1693" s="58" t="s">
        <v>3894</v>
      </c>
      <c r="F1693" s="43"/>
    </row>
    <row r="1694" spans="4:6" x14ac:dyDescent="0.25">
      <c r="D1694" s="41" t="s">
        <v>1221</v>
      </c>
      <c r="E1694" s="51" t="s">
        <v>3895</v>
      </c>
      <c r="F1694" s="43" t="s">
        <v>1222</v>
      </c>
    </row>
    <row r="1695" spans="4:6" x14ac:dyDescent="0.25">
      <c r="D1695" s="41" t="s">
        <v>1458</v>
      </c>
      <c r="E1695" s="51" t="s">
        <v>3895</v>
      </c>
      <c r="F1695" s="43" t="s">
        <v>747</v>
      </c>
    </row>
    <row r="1696" spans="4:6" x14ac:dyDescent="0.25">
      <c r="D1696" s="41" t="s">
        <v>1527</v>
      </c>
      <c r="E1696" s="51" t="s">
        <v>3895</v>
      </c>
      <c r="F1696" s="43"/>
    </row>
    <row r="1697" spans="4:6" x14ac:dyDescent="0.25">
      <c r="D1697" s="41" t="s">
        <v>1893</v>
      </c>
      <c r="E1697" s="51" t="s">
        <v>3895</v>
      </c>
      <c r="F1697" s="43" t="s">
        <v>1123</v>
      </c>
    </row>
    <row r="1698" spans="4:6" x14ac:dyDescent="0.25">
      <c r="D1698" s="41" t="s">
        <v>533</v>
      </c>
      <c r="E1698" s="51" t="s">
        <v>3895</v>
      </c>
      <c r="F1698" s="43" t="s">
        <v>534</v>
      </c>
    </row>
    <row r="1699" spans="4:6" x14ac:dyDescent="0.25">
      <c r="D1699" s="41" t="s">
        <v>537</v>
      </c>
      <c r="E1699" s="51" t="s">
        <v>3895</v>
      </c>
      <c r="F1699" s="43" t="s">
        <v>536</v>
      </c>
    </row>
    <row r="1700" spans="4:6" x14ac:dyDescent="0.25">
      <c r="D1700" s="41" t="s">
        <v>821</v>
      </c>
      <c r="E1700" s="51" t="s">
        <v>3895</v>
      </c>
      <c r="F1700" s="43" t="s">
        <v>747</v>
      </c>
    </row>
    <row r="1701" spans="4:6" x14ac:dyDescent="0.25">
      <c r="D1701" s="41" t="s">
        <v>913</v>
      </c>
      <c r="E1701" s="51" t="s">
        <v>3895</v>
      </c>
      <c r="F1701" s="43" t="s">
        <v>747</v>
      </c>
    </row>
    <row r="1702" spans="4:6" x14ac:dyDescent="0.25">
      <c r="D1702" s="41" t="s">
        <v>914</v>
      </c>
      <c r="E1702" s="51" t="s">
        <v>3895</v>
      </c>
      <c r="F1702" s="43" t="s">
        <v>747</v>
      </c>
    </row>
    <row r="1703" spans="4:6" x14ac:dyDescent="0.25">
      <c r="D1703" s="41" t="s">
        <v>2494</v>
      </c>
      <c r="E1703" s="51" t="s">
        <v>3895</v>
      </c>
      <c r="F1703" s="43"/>
    </row>
    <row r="1704" spans="4:6" x14ac:dyDescent="0.25">
      <c r="D1704" s="41" t="s">
        <v>2495</v>
      </c>
      <c r="E1704" s="51" t="s">
        <v>3895</v>
      </c>
      <c r="F1704" s="43"/>
    </row>
    <row r="1705" spans="4:6" x14ac:dyDescent="0.25">
      <c r="D1705" s="41" t="s">
        <v>2781</v>
      </c>
      <c r="E1705" s="59" t="s">
        <v>3895</v>
      </c>
      <c r="F1705" s="43"/>
    </row>
    <row r="1706" spans="4:6" x14ac:dyDescent="0.25">
      <c r="D1706" s="44" t="s">
        <v>3264</v>
      </c>
      <c r="E1706" s="60" t="s">
        <v>3895</v>
      </c>
      <c r="F1706" s="46" t="s">
        <v>3265</v>
      </c>
    </row>
    <row r="1707" spans="4:6" x14ac:dyDescent="0.25">
      <c r="D1707" s="41" t="s">
        <v>3416</v>
      </c>
      <c r="E1707" s="60" t="s">
        <v>3895</v>
      </c>
      <c r="F1707" s="43"/>
    </row>
    <row r="1708" spans="4:6" x14ac:dyDescent="0.25">
      <c r="D1708" s="41" t="s">
        <v>3428</v>
      </c>
      <c r="E1708" s="60" t="s">
        <v>3895</v>
      </c>
      <c r="F1708" s="43"/>
    </row>
    <row r="1709" spans="4:6" x14ac:dyDescent="0.25">
      <c r="D1709" s="41" t="s">
        <v>3528</v>
      </c>
      <c r="E1709" s="60" t="s">
        <v>3895</v>
      </c>
      <c r="F1709" s="43" t="s">
        <v>747</v>
      </c>
    </row>
    <row r="1710" spans="4:6" x14ac:dyDescent="0.25">
      <c r="D1710" s="41" t="s">
        <v>545</v>
      </c>
      <c r="E1710" s="60" t="s">
        <v>3804</v>
      </c>
      <c r="F1710" s="43" t="s">
        <v>546</v>
      </c>
    </row>
    <row r="1711" spans="4:6" x14ac:dyDescent="0.25">
      <c r="D1711" s="41" t="s">
        <v>1303</v>
      </c>
      <c r="E1711" s="60" t="s">
        <v>3804</v>
      </c>
      <c r="F1711" s="43" t="s">
        <v>747</v>
      </c>
    </row>
    <row r="1712" spans="4:6" x14ac:dyDescent="0.25">
      <c r="D1712" s="41" t="s">
        <v>2496</v>
      </c>
      <c r="E1712" s="60" t="s">
        <v>3804</v>
      </c>
      <c r="F1712" s="43" t="s">
        <v>747</v>
      </c>
    </row>
    <row r="1713" spans="4:6" x14ac:dyDescent="0.25">
      <c r="D1713" s="41" t="s">
        <v>3207</v>
      </c>
      <c r="E1713" s="60" t="s">
        <v>3804</v>
      </c>
      <c r="F1713" s="43"/>
    </row>
    <row r="1714" spans="4:6" x14ac:dyDescent="0.25">
      <c r="D1714" s="41" t="s">
        <v>3505</v>
      </c>
      <c r="E1714" s="42" t="s">
        <v>3454</v>
      </c>
      <c r="F1714" s="43" t="s">
        <v>747</v>
      </c>
    </row>
    <row r="1715" spans="4:6" x14ac:dyDescent="0.25">
      <c r="D1715" s="41" t="s">
        <v>777</v>
      </c>
      <c r="E1715" s="47" t="s">
        <v>3805</v>
      </c>
      <c r="F1715" s="43" t="s">
        <v>747</v>
      </c>
    </row>
    <row r="1716" spans="4:6" x14ac:dyDescent="0.25">
      <c r="D1716" s="41" t="s">
        <v>803</v>
      </c>
      <c r="E1716" s="47" t="s">
        <v>3805</v>
      </c>
      <c r="F1716" s="43" t="s">
        <v>747</v>
      </c>
    </row>
    <row r="1717" spans="4:6" x14ac:dyDescent="0.25">
      <c r="D1717" s="41" t="s">
        <v>1296</v>
      </c>
      <c r="E1717" s="47" t="s">
        <v>3805</v>
      </c>
      <c r="F1717" s="43" t="s">
        <v>747</v>
      </c>
    </row>
    <row r="1718" spans="4:6" x14ac:dyDescent="0.25">
      <c r="D1718" s="41" t="s">
        <v>1518</v>
      </c>
      <c r="E1718" s="47" t="s">
        <v>3805</v>
      </c>
      <c r="F1718" s="43"/>
    </row>
    <row r="1719" spans="4:6" x14ac:dyDescent="0.25">
      <c r="D1719" s="41" t="s">
        <v>1529</v>
      </c>
      <c r="E1719" s="47" t="s">
        <v>3805</v>
      </c>
      <c r="F1719" s="43"/>
    </row>
    <row r="1720" spans="4:6" x14ac:dyDescent="0.25">
      <c r="D1720" s="41" t="s">
        <v>2497</v>
      </c>
      <c r="E1720" s="47" t="s">
        <v>3805</v>
      </c>
      <c r="F1720" s="43"/>
    </row>
    <row r="1721" spans="4:6" x14ac:dyDescent="0.25">
      <c r="D1721" s="41" t="s">
        <v>2498</v>
      </c>
      <c r="E1721" s="47" t="s">
        <v>3805</v>
      </c>
      <c r="F1721" s="43"/>
    </row>
    <row r="1722" spans="4:6" x14ac:dyDescent="0.25">
      <c r="D1722" s="41" t="s">
        <v>2499</v>
      </c>
      <c r="E1722" s="47" t="s">
        <v>3805</v>
      </c>
      <c r="F1722" s="43"/>
    </row>
    <row r="1723" spans="4:6" x14ac:dyDescent="0.25">
      <c r="D1723" s="41" t="s">
        <v>2500</v>
      </c>
      <c r="E1723" s="47" t="s">
        <v>3805</v>
      </c>
      <c r="F1723" s="43" t="s">
        <v>747</v>
      </c>
    </row>
    <row r="1724" spans="4:6" x14ac:dyDescent="0.25">
      <c r="D1724" s="41" t="s">
        <v>2501</v>
      </c>
      <c r="E1724" s="47" t="s">
        <v>3805</v>
      </c>
      <c r="F1724" s="43"/>
    </row>
    <row r="1725" spans="4:6" x14ac:dyDescent="0.25">
      <c r="D1725" s="41" t="s">
        <v>2502</v>
      </c>
      <c r="E1725" s="47" t="s">
        <v>3805</v>
      </c>
      <c r="F1725" s="43"/>
    </row>
    <row r="1726" spans="4:6" x14ac:dyDescent="0.25">
      <c r="D1726" s="41" t="s">
        <v>2503</v>
      </c>
      <c r="E1726" s="47" t="s">
        <v>3805</v>
      </c>
      <c r="F1726" s="43" t="s">
        <v>2504</v>
      </c>
    </row>
    <row r="1727" spans="4:6" x14ac:dyDescent="0.25">
      <c r="D1727" s="41" t="s">
        <v>2505</v>
      </c>
      <c r="E1727" s="47" t="s">
        <v>3805</v>
      </c>
      <c r="F1727" s="43"/>
    </row>
    <row r="1728" spans="4:6" x14ac:dyDescent="0.25">
      <c r="D1728" s="41" t="s">
        <v>2506</v>
      </c>
      <c r="E1728" s="47" t="s">
        <v>3805</v>
      </c>
      <c r="F1728" s="43" t="s">
        <v>78</v>
      </c>
    </row>
    <row r="1729" spans="4:6" x14ac:dyDescent="0.25">
      <c r="D1729" s="41" t="s">
        <v>2918</v>
      </c>
      <c r="E1729" s="47" t="s">
        <v>3805</v>
      </c>
      <c r="F1729" s="43" t="s">
        <v>1139</v>
      </c>
    </row>
    <row r="1730" spans="4:6" x14ac:dyDescent="0.25">
      <c r="D1730" s="41" t="s">
        <v>3586</v>
      </c>
      <c r="E1730" s="47" t="s">
        <v>3805</v>
      </c>
      <c r="F1730" s="43"/>
    </row>
    <row r="1731" spans="4:6" x14ac:dyDescent="0.25">
      <c r="D1731" s="41" t="s">
        <v>540</v>
      </c>
      <c r="E1731" s="60" t="s">
        <v>3803</v>
      </c>
      <c r="F1731" s="43" t="s">
        <v>539</v>
      </c>
    </row>
    <row r="1732" spans="4:6" x14ac:dyDescent="0.25">
      <c r="D1732" s="41" t="s">
        <v>774</v>
      </c>
      <c r="E1732" s="60" t="s">
        <v>3803</v>
      </c>
      <c r="F1732" s="43" t="s">
        <v>747</v>
      </c>
    </row>
    <row r="1733" spans="4:6" x14ac:dyDescent="0.25">
      <c r="D1733" s="41" t="s">
        <v>1291</v>
      </c>
      <c r="E1733" s="60" t="s">
        <v>3803</v>
      </c>
      <c r="F1733" s="43" t="s">
        <v>747</v>
      </c>
    </row>
    <row r="1734" spans="4:6" x14ac:dyDescent="0.25">
      <c r="D1734" s="41" t="s">
        <v>1923</v>
      </c>
      <c r="E1734" s="60" t="s">
        <v>3803</v>
      </c>
      <c r="F1734" s="43" t="s">
        <v>747</v>
      </c>
    </row>
    <row r="1735" spans="4:6" x14ac:dyDescent="0.25">
      <c r="D1735" s="41" t="s">
        <v>2493</v>
      </c>
      <c r="E1735" s="60" t="s">
        <v>3803</v>
      </c>
      <c r="F1735" s="43"/>
    </row>
    <row r="1736" spans="4:6" x14ac:dyDescent="0.25">
      <c r="D1736" s="44" t="s">
        <v>3271</v>
      </c>
      <c r="E1736" s="45" t="s">
        <v>273</v>
      </c>
      <c r="F1736" s="46" t="s">
        <v>3270</v>
      </c>
    </row>
    <row r="1737" spans="4:6" x14ac:dyDescent="0.25">
      <c r="D1737" s="41" t="s">
        <v>801</v>
      </c>
      <c r="E1737" s="42" t="s">
        <v>275</v>
      </c>
      <c r="F1737" s="43" t="s">
        <v>747</v>
      </c>
    </row>
    <row r="1738" spans="4:6" x14ac:dyDescent="0.25">
      <c r="D1738" s="41" t="s">
        <v>943</v>
      </c>
      <c r="E1738" s="42" t="s">
        <v>275</v>
      </c>
      <c r="F1738" s="43" t="s">
        <v>944</v>
      </c>
    </row>
    <row r="1739" spans="4:6" x14ac:dyDescent="0.25">
      <c r="D1739" s="41" t="s">
        <v>1171</v>
      </c>
      <c r="E1739" s="42" t="s">
        <v>275</v>
      </c>
      <c r="F1739" s="43" t="s">
        <v>1172</v>
      </c>
    </row>
    <row r="1740" spans="4:6" x14ac:dyDescent="0.25">
      <c r="D1740" s="41" t="s">
        <v>1207</v>
      </c>
      <c r="E1740" s="42" t="s">
        <v>275</v>
      </c>
      <c r="F1740" s="43" t="s">
        <v>747</v>
      </c>
    </row>
    <row r="1741" spans="4:6" x14ac:dyDescent="0.25">
      <c r="D1741" s="41" t="s">
        <v>1231</v>
      </c>
      <c r="E1741" s="42" t="s">
        <v>275</v>
      </c>
      <c r="F1741" s="43" t="s">
        <v>747</v>
      </c>
    </row>
    <row r="1742" spans="4:6" x14ac:dyDescent="0.25">
      <c r="D1742" s="41" t="s">
        <v>1261</v>
      </c>
      <c r="E1742" s="42" t="s">
        <v>275</v>
      </c>
      <c r="F1742" s="43" t="s">
        <v>747</v>
      </c>
    </row>
    <row r="1743" spans="4:6" x14ac:dyDescent="0.25">
      <c r="D1743" s="41" t="s">
        <v>1310</v>
      </c>
      <c r="E1743" s="42" t="s">
        <v>275</v>
      </c>
      <c r="F1743" s="43" t="s">
        <v>747</v>
      </c>
    </row>
    <row r="1744" spans="4:6" x14ac:dyDescent="0.25">
      <c r="D1744" s="41" t="s">
        <v>1346</v>
      </c>
      <c r="E1744" s="42" t="s">
        <v>275</v>
      </c>
      <c r="F1744" s="43" t="s">
        <v>747</v>
      </c>
    </row>
    <row r="1745" spans="4:6" x14ac:dyDescent="0.25">
      <c r="D1745" s="41" t="s">
        <v>1374</v>
      </c>
      <c r="E1745" s="42" t="s">
        <v>275</v>
      </c>
      <c r="F1745" s="43" t="s">
        <v>747</v>
      </c>
    </row>
    <row r="1746" spans="4:6" x14ac:dyDescent="0.25">
      <c r="D1746" s="41" t="s">
        <v>1485</v>
      </c>
      <c r="E1746" s="42" t="s">
        <v>275</v>
      </c>
      <c r="F1746" s="43" t="s">
        <v>747</v>
      </c>
    </row>
    <row r="1747" spans="4:6" x14ac:dyDescent="0.25">
      <c r="D1747" s="41" t="s">
        <v>1496</v>
      </c>
      <c r="E1747" s="42" t="s">
        <v>275</v>
      </c>
      <c r="F1747" s="43" t="s">
        <v>1497</v>
      </c>
    </row>
    <row r="1748" spans="4:6" x14ac:dyDescent="0.25">
      <c r="D1748" s="41" t="s">
        <v>1609</v>
      </c>
      <c r="E1748" s="42" t="s">
        <v>275</v>
      </c>
      <c r="F1748" s="43" t="s">
        <v>1544</v>
      </c>
    </row>
    <row r="1749" spans="4:6" x14ac:dyDescent="0.25">
      <c r="D1749" s="41" t="s">
        <v>1879</v>
      </c>
      <c r="E1749" s="42" t="s">
        <v>275</v>
      </c>
      <c r="F1749" s="43" t="s">
        <v>1880</v>
      </c>
    </row>
    <row r="1750" spans="4:6" x14ac:dyDescent="0.25">
      <c r="D1750" s="41" t="s">
        <v>1961</v>
      </c>
      <c r="E1750" s="42" t="s">
        <v>275</v>
      </c>
      <c r="F1750" s="43" t="s">
        <v>747</v>
      </c>
    </row>
    <row r="1751" spans="4:6" x14ac:dyDescent="0.25">
      <c r="D1751" s="41" t="s">
        <v>1966</v>
      </c>
      <c r="E1751" s="42" t="s">
        <v>275</v>
      </c>
      <c r="F1751" s="43" t="s">
        <v>747</v>
      </c>
    </row>
    <row r="1752" spans="4:6" x14ac:dyDescent="0.25">
      <c r="D1752" s="41" t="s">
        <v>2507</v>
      </c>
      <c r="E1752" s="42" t="s">
        <v>275</v>
      </c>
      <c r="F1752" s="43" t="s">
        <v>2508</v>
      </c>
    </row>
    <row r="1753" spans="4:6" x14ac:dyDescent="0.25">
      <c r="D1753" s="41" t="s">
        <v>2509</v>
      </c>
      <c r="E1753" s="42" t="s">
        <v>275</v>
      </c>
      <c r="F1753" s="43" t="s">
        <v>747</v>
      </c>
    </row>
    <row r="1754" spans="4:6" x14ac:dyDescent="0.25">
      <c r="D1754" s="41" t="s">
        <v>2510</v>
      </c>
      <c r="E1754" s="50" t="s">
        <v>275</v>
      </c>
      <c r="F1754" s="43" t="s">
        <v>747</v>
      </c>
    </row>
    <row r="1755" spans="4:6" x14ac:dyDescent="0.25">
      <c r="D1755" s="41" t="s">
        <v>2511</v>
      </c>
      <c r="E1755" s="58" t="s">
        <v>275</v>
      </c>
      <c r="F1755" s="43"/>
    </row>
    <row r="1756" spans="4:6" x14ac:dyDescent="0.25">
      <c r="D1756" s="41" t="s">
        <v>2512</v>
      </c>
      <c r="E1756" s="58" t="s">
        <v>275</v>
      </c>
      <c r="F1756" s="43"/>
    </row>
    <row r="1757" spans="4:6" x14ac:dyDescent="0.25">
      <c r="D1757" s="41" t="s">
        <v>2513</v>
      </c>
      <c r="E1757" s="58" t="s">
        <v>275</v>
      </c>
      <c r="F1757" s="43"/>
    </row>
    <row r="1758" spans="4:6" x14ac:dyDescent="0.25">
      <c r="D1758" s="41" t="s">
        <v>2514</v>
      </c>
      <c r="E1758" s="58" t="s">
        <v>275</v>
      </c>
      <c r="F1758" s="43">
        <v>18</v>
      </c>
    </row>
    <row r="1759" spans="4:6" x14ac:dyDescent="0.25">
      <c r="D1759" s="41" t="s">
        <v>2515</v>
      </c>
      <c r="E1759" s="58" t="s">
        <v>275</v>
      </c>
      <c r="F1759" s="43"/>
    </row>
    <row r="1760" spans="4:6" x14ac:dyDescent="0.25">
      <c r="D1760" s="41" t="s">
        <v>2516</v>
      </c>
      <c r="E1760" s="58" t="s">
        <v>275</v>
      </c>
      <c r="F1760" s="43"/>
    </row>
    <row r="1761" spans="4:6" x14ac:dyDescent="0.25">
      <c r="D1761" s="41" t="s">
        <v>2517</v>
      </c>
      <c r="E1761" s="58" t="s">
        <v>275</v>
      </c>
      <c r="F1761" s="43"/>
    </row>
    <row r="1762" spans="4:6" x14ac:dyDescent="0.25">
      <c r="D1762" s="41" t="s">
        <v>2518</v>
      </c>
      <c r="E1762" s="58" t="s">
        <v>275</v>
      </c>
      <c r="F1762" s="43"/>
    </row>
    <row r="1763" spans="4:6" x14ac:dyDescent="0.25">
      <c r="D1763" s="41" t="s">
        <v>2831</v>
      </c>
      <c r="E1763" s="58" t="s">
        <v>275</v>
      </c>
      <c r="F1763" s="43" t="s">
        <v>2832</v>
      </c>
    </row>
    <row r="1764" spans="4:6" x14ac:dyDescent="0.25">
      <c r="D1764" s="41" t="s">
        <v>2973</v>
      </c>
      <c r="E1764" s="58" t="s">
        <v>275</v>
      </c>
      <c r="F1764" s="43"/>
    </row>
    <row r="1765" spans="4:6" x14ac:dyDescent="0.25">
      <c r="D1765" s="41" t="s">
        <v>3161</v>
      </c>
      <c r="E1765" s="58" t="s">
        <v>275</v>
      </c>
      <c r="F1765" s="43" t="s">
        <v>3162</v>
      </c>
    </row>
    <row r="1766" spans="4:6" x14ac:dyDescent="0.25">
      <c r="D1766" s="41" t="s">
        <v>3408</v>
      </c>
      <c r="E1766" s="58" t="s">
        <v>275</v>
      </c>
      <c r="F1766" s="43"/>
    </row>
    <row r="1767" spans="4:6" x14ac:dyDescent="0.25">
      <c r="D1767" s="41" t="s">
        <v>3734</v>
      </c>
      <c r="E1767" s="58" t="s">
        <v>275</v>
      </c>
      <c r="F1767" s="43"/>
    </row>
    <row r="1768" spans="4:6" x14ac:dyDescent="0.25">
      <c r="D1768" s="41" t="s">
        <v>3757</v>
      </c>
      <c r="E1768" s="58" t="s">
        <v>275</v>
      </c>
      <c r="F1768" s="43" t="s">
        <v>747</v>
      </c>
    </row>
    <row r="1769" spans="4:6" x14ac:dyDescent="0.25">
      <c r="D1769" s="41" t="s">
        <v>2524</v>
      </c>
      <c r="E1769" s="58" t="s">
        <v>3807</v>
      </c>
      <c r="F1769" s="43" t="s">
        <v>2525</v>
      </c>
    </row>
    <row r="1770" spans="4:6" x14ac:dyDescent="0.25">
      <c r="D1770" s="41" t="s">
        <v>3089</v>
      </c>
      <c r="E1770" s="61" t="s">
        <v>3808</v>
      </c>
      <c r="F1770" s="43" t="s">
        <v>312</v>
      </c>
    </row>
    <row r="1771" spans="4:6" x14ac:dyDescent="0.25">
      <c r="D1771" s="41" t="s">
        <v>3551</v>
      </c>
      <c r="E1771" s="61" t="s">
        <v>3808</v>
      </c>
      <c r="F1771" s="43"/>
    </row>
    <row r="1772" spans="4:6" x14ac:dyDescent="0.25">
      <c r="D1772" s="41" t="s">
        <v>3632</v>
      </c>
      <c r="E1772" s="56" t="s">
        <v>3808</v>
      </c>
      <c r="F1772" s="43"/>
    </row>
    <row r="1773" spans="4:6" x14ac:dyDescent="0.25">
      <c r="D1773" s="41" t="s">
        <v>2526</v>
      </c>
      <c r="E1773" s="47" t="s">
        <v>3808</v>
      </c>
      <c r="F1773" s="43" t="s">
        <v>747</v>
      </c>
    </row>
    <row r="1774" spans="4:6" x14ac:dyDescent="0.25">
      <c r="D1774" s="41" t="s">
        <v>2527</v>
      </c>
      <c r="E1774" s="47" t="s">
        <v>3808</v>
      </c>
      <c r="F1774" s="43" t="s">
        <v>747</v>
      </c>
    </row>
    <row r="1775" spans="4:6" x14ac:dyDescent="0.25">
      <c r="D1775" s="41" t="s">
        <v>2519</v>
      </c>
      <c r="E1775" s="62" t="s">
        <v>3806</v>
      </c>
      <c r="F1775" s="43" t="s">
        <v>747</v>
      </c>
    </row>
    <row r="1776" spans="4:6" x14ac:dyDescent="0.25">
      <c r="D1776" s="41" t="s">
        <v>899</v>
      </c>
      <c r="E1776" s="62" t="s">
        <v>3806</v>
      </c>
      <c r="F1776" s="43" t="s">
        <v>747</v>
      </c>
    </row>
    <row r="1777" spans="4:6" x14ac:dyDescent="0.25">
      <c r="D1777" s="41" t="s">
        <v>1786</v>
      </c>
      <c r="E1777" s="62" t="s">
        <v>3806</v>
      </c>
      <c r="F1777" s="43" t="s">
        <v>1787</v>
      </c>
    </row>
    <row r="1778" spans="4:6" x14ac:dyDescent="0.25">
      <c r="D1778" s="41" t="s">
        <v>1790</v>
      </c>
      <c r="E1778" s="62" t="s">
        <v>3806</v>
      </c>
      <c r="F1778" s="43" t="s">
        <v>1791</v>
      </c>
    </row>
    <row r="1779" spans="4:6" x14ac:dyDescent="0.25">
      <c r="D1779" s="41" t="s">
        <v>1823</v>
      </c>
      <c r="E1779" s="62" t="s">
        <v>3806</v>
      </c>
      <c r="F1779" s="43" t="s">
        <v>1824</v>
      </c>
    </row>
    <row r="1780" spans="4:6" x14ac:dyDescent="0.25">
      <c r="D1780" s="41" t="s">
        <v>1858</v>
      </c>
      <c r="E1780" s="62" t="s">
        <v>3806</v>
      </c>
      <c r="F1780" s="43" t="s">
        <v>1737</v>
      </c>
    </row>
    <row r="1781" spans="4:6" x14ac:dyDescent="0.25">
      <c r="D1781" s="41" t="s">
        <v>1912</v>
      </c>
      <c r="E1781" s="62" t="s">
        <v>3806</v>
      </c>
      <c r="F1781" s="43" t="s">
        <v>1913</v>
      </c>
    </row>
    <row r="1782" spans="4:6" x14ac:dyDescent="0.25">
      <c r="D1782" s="41" t="s">
        <v>1930</v>
      </c>
      <c r="E1782" s="62" t="s">
        <v>3806</v>
      </c>
      <c r="F1782" s="43" t="s">
        <v>747</v>
      </c>
    </row>
    <row r="1783" spans="4:6" x14ac:dyDescent="0.25">
      <c r="D1783" s="41" t="s">
        <v>1940</v>
      </c>
      <c r="E1783" s="62" t="s">
        <v>3806</v>
      </c>
      <c r="F1783" s="43" t="s">
        <v>747</v>
      </c>
    </row>
    <row r="1784" spans="4:6" x14ac:dyDescent="0.25">
      <c r="D1784" s="41" t="s">
        <v>1946</v>
      </c>
      <c r="E1784" s="62" t="s">
        <v>3806</v>
      </c>
      <c r="F1784" s="43" t="s">
        <v>747</v>
      </c>
    </row>
    <row r="1785" spans="4:6" x14ac:dyDescent="0.25">
      <c r="D1785" s="41" t="s">
        <v>1970</v>
      </c>
      <c r="E1785" s="62" t="s">
        <v>3806</v>
      </c>
      <c r="F1785" s="43" t="s">
        <v>1867</v>
      </c>
    </row>
    <row r="1786" spans="4:6" x14ac:dyDescent="0.25">
      <c r="D1786" s="41" t="s">
        <v>1976</v>
      </c>
      <c r="E1786" s="62" t="s">
        <v>3806</v>
      </c>
      <c r="F1786" s="43" t="s">
        <v>747</v>
      </c>
    </row>
    <row r="1787" spans="4:6" x14ac:dyDescent="0.25">
      <c r="D1787" s="41" t="s">
        <v>2520</v>
      </c>
      <c r="E1787" s="62" t="s">
        <v>3806</v>
      </c>
      <c r="F1787" s="43"/>
    </row>
    <row r="1788" spans="4:6" x14ac:dyDescent="0.25">
      <c r="D1788" s="41" t="s">
        <v>2521</v>
      </c>
      <c r="E1788" s="62" t="s">
        <v>3806</v>
      </c>
      <c r="F1788" s="43"/>
    </row>
    <row r="1789" spans="4:6" x14ac:dyDescent="0.25">
      <c r="D1789" s="41" t="s">
        <v>2522</v>
      </c>
      <c r="E1789" s="62" t="s">
        <v>3806</v>
      </c>
      <c r="F1789" s="43"/>
    </row>
    <row r="1790" spans="4:6" x14ac:dyDescent="0.25">
      <c r="D1790" s="41" t="s">
        <v>2523</v>
      </c>
      <c r="E1790" s="62" t="s">
        <v>3806</v>
      </c>
      <c r="F1790" s="43"/>
    </row>
    <row r="1791" spans="4:6" x14ac:dyDescent="0.25">
      <c r="D1791" s="41" t="s">
        <v>3590</v>
      </c>
      <c r="E1791" s="62" t="s">
        <v>3806</v>
      </c>
      <c r="F1791" s="43"/>
    </row>
    <row r="1792" spans="4:6" x14ac:dyDescent="0.25">
      <c r="D1792" s="41" t="s">
        <v>3606</v>
      </c>
      <c r="E1792" s="47" t="s">
        <v>3809</v>
      </c>
      <c r="F1792" s="43" t="s">
        <v>747</v>
      </c>
    </row>
    <row r="1793" spans="4:6" x14ac:dyDescent="0.25">
      <c r="D1793" s="41" t="s">
        <v>2528</v>
      </c>
      <c r="E1793" s="42" t="s">
        <v>2529</v>
      </c>
      <c r="F1793" s="43" t="s">
        <v>747</v>
      </c>
    </row>
    <row r="1794" spans="4:6" x14ac:dyDescent="0.25">
      <c r="D1794" s="44" t="s">
        <v>3342</v>
      </c>
      <c r="E1794" s="45" t="s">
        <v>3343</v>
      </c>
      <c r="F1794" s="46" t="s">
        <v>3307</v>
      </c>
    </row>
    <row r="1795" spans="4:6" x14ac:dyDescent="0.25">
      <c r="D1795" s="41" t="s">
        <v>2530</v>
      </c>
      <c r="E1795" s="47" t="s">
        <v>3897</v>
      </c>
      <c r="F1795" s="43" t="s">
        <v>2531</v>
      </c>
    </row>
    <row r="1796" spans="4:6" x14ac:dyDescent="0.25">
      <c r="D1796" s="41" t="s">
        <v>3756</v>
      </c>
      <c r="E1796" s="47" t="s">
        <v>3897</v>
      </c>
      <c r="F1796" s="43" t="s">
        <v>747</v>
      </c>
    </row>
    <row r="1797" spans="4:6" x14ac:dyDescent="0.25">
      <c r="D1797" s="41" t="s">
        <v>2532</v>
      </c>
      <c r="E1797" s="47" t="s">
        <v>3898</v>
      </c>
      <c r="F1797" s="43" t="s">
        <v>2533</v>
      </c>
    </row>
    <row r="1798" spans="4:6" x14ac:dyDescent="0.25">
      <c r="D1798" s="41" t="s">
        <v>945</v>
      </c>
      <c r="E1798" s="47" t="s">
        <v>3810</v>
      </c>
      <c r="F1798" s="43" t="s">
        <v>946</v>
      </c>
    </row>
    <row r="1799" spans="4:6" x14ac:dyDescent="0.25">
      <c r="D1799" s="41" t="s">
        <v>1178</v>
      </c>
      <c r="E1799" s="47" t="s">
        <v>3810</v>
      </c>
      <c r="F1799" s="43" t="s">
        <v>1139</v>
      </c>
    </row>
    <row r="1800" spans="4:6" x14ac:dyDescent="0.25">
      <c r="D1800" s="41" t="s">
        <v>2534</v>
      </c>
      <c r="E1800" s="47" t="s">
        <v>3810</v>
      </c>
      <c r="F1800" s="43" t="s">
        <v>2535</v>
      </c>
    </row>
    <row r="1801" spans="4:6" x14ac:dyDescent="0.25">
      <c r="D1801" s="41" t="s">
        <v>2536</v>
      </c>
      <c r="E1801" s="47" t="s">
        <v>3810</v>
      </c>
      <c r="F1801" s="43"/>
    </row>
    <row r="1802" spans="4:6" x14ac:dyDescent="0.25">
      <c r="D1802" s="41" t="s">
        <v>2537</v>
      </c>
      <c r="E1802" s="47" t="s">
        <v>3810</v>
      </c>
      <c r="F1802" s="43"/>
    </row>
    <row r="1803" spans="4:6" x14ac:dyDescent="0.25">
      <c r="D1803" s="41" t="s">
        <v>2538</v>
      </c>
      <c r="E1803" s="47" t="s">
        <v>3811</v>
      </c>
      <c r="F1803" s="43" t="s">
        <v>2539</v>
      </c>
    </row>
    <row r="1804" spans="4:6" x14ac:dyDescent="0.25">
      <c r="D1804" s="41" t="s">
        <v>3741</v>
      </c>
      <c r="E1804" s="47" t="s">
        <v>3811</v>
      </c>
      <c r="F1804" s="43" t="s">
        <v>747</v>
      </c>
    </row>
    <row r="1805" spans="4:6" x14ac:dyDescent="0.25">
      <c r="D1805" s="41" t="s">
        <v>1566</v>
      </c>
      <c r="E1805" s="47" t="s">
        <v>3815</v>
      </c>
      <c r="F1805" s="43" t="s">
        <v>1544</v>
      </c>
    </row>
    <row r="1806" spans="4:6" x14ac:dyDescent="0.25">
      <c r="D1806" s="41" t="s">
        <v>905</v>
      </c>
      <c r="E1806" s="42" t="s">
        <v>866</v>
      </c>
      <c r="F1806" s="43" t="s">
        <v>747</v>
      </c>
    </row>
    <row r="1807" spans="4:6" x14ac:dyDescent="0.25">
      <c r="D1807" s="41" t="s">
        <v>1865</v>
      </c>
      <c r="E1807" s="42" t="s">
        <v>866</v>
      </c>
      <c r="F1807" s="43" t="s">
        <v>1558</v>
      </c>
    </row>
    <row r="1808" spans="4:6" x14ac:dyDescent="0.25">
      <c r="D1808" s="41" t="s">
        <v>1983</v>
      </c>
      <c r="E1808" s="42" t="s">
        <v>866</v>
      </c>
      <c r="F1808" s="43" t="s">
        <v>747</v>
      </c>
    </row>
    <row r="1809" spans="4:6" x14ac:dyDescent="0.25">
      <c r="D1809" s="41" t="s">
        <v>2540</v>
      </c>
      <c r="E1809" s="42" t="s">
        <v>866</v>
      </c>
      <c r="F1809" s="43"/>
    </row>
    <row r="1810" spans="4:6" x14ac:dyDescent="0.25">
      <c r="D1810" s="41" t="s">
        <v>3664</v>
      </c>
      <c r="E1810" s="42" t="s">
        <v>866</v>
      </c>
      <c r="F1810" s="43"/>
    </row>
    <row r="1811" spans="4:6" x14ac:dyDescent="0.25">
      <c r="D1811" s="41" t="s">
        <v>446</v>
      </c>
      <c r="E1811" s="42" t="s">
        <v>119</v>
      </c>
      <c r="F1811" s="43" t="s">
        <v>447</v>
      </c>
    </row>
    <row r="1812" spans="4:6" x14ac:dyDescent="0.25">
      <c r="D1812" s="41" t="s">
        <v>448</v>
      </c>
      <c r="E1812" s="42" t="s">
        <v>119</v>
      </c>
      <c r="F1812" s="43" t="s">
        <v>449</v>
      </c>
    </row>
    <row r="1813" spans="4:6" x14ac:dyDescent="0.25">
      <c r="D1813" s="41" t="s">
        <v>450</v>
      </c>
      <c r="E1813" s="42" t="s">
        <v>119</v>
      </c>
      <c r="F1813" s="43" t="s">
        <v>451</v>
      </c>
    </row>
    <row r="1814" spans="4:6" x14ac:dyDescent="0.25">
      <c r="D1814" s="41" t="s">
        <v>452</v>
      </c>
      <c r="E1814" s="42" t="s">
        <v>119</v>
      </c>
      <c r="F1814" s="43" t="s">
        <v>453</v>
      </c>
    </row>
    <row r="1815" spans="4:6" x14ac:dyDescent="0.25">
      <c r="D1815" s="41" t="s">
        <v>786</v>
      </c>
      <c r="E1815" s="42" t="s">
        <v>119</v>
      </c>
      <c r="F1815" s="43" t="s">
        <v>747</v>
      </c>
    </row>
    <row r="1816" spans="4:6" x14ac:dyDescent="0.25">
      <c r="D1816" s="41" t="s">
        <v>827</v>
      </c>
      <c r="E1816" s="42" t="s">
        <v>119</v>
      </c>
      <c r="F1816" s="43" t="s">
        <v>747</v>
      </c>
    </row>
    <row r="1817" spans="4:6" x14ac:dyDescent="0.25">
      <c r="D1817" s="41" t="s">
        <v>831</v>
      </c>
      <c r="E1817" s="42" t="s">
        <v>119</v>
      </c>
      <c r="F1817" s="43" t="s">
        <v>832</v>
      </c>
    </row>
    <row r="1818" spans="4:6" x14ac:dyDescent="0.25">
      <c r="D1818" s="41" t="s">
        <v>833</v>
      </c>
      <c r="E1818" s="42" t="s">
        <v>119</v>
      </c>
      <c r="F1818" s="43" t="s">
        <v>834</v>
      </c>
    </row>
    <row r="1819" spans="4:6" x14ac:dyDescent="0.25">
      <c r="D1819" s="41" t="s">
        <v>837</v>
      </c>
      <c r="E1819" s="42" t="s">
        <v>119</v>
      </c>
      <c r="F1819" s="43" t="s">
        <v>747</v>
      </c>
    </row>
    <row r="1820" spans="4:6" x14ac:dyDescent="0.25">
      <c r="D1820" s="41" t="s">
        <v>904</v>
      </c>
      <c r="E1820" s="42" t="s">
        <v>119</v>
      </c>
      <c r="F1820" s="43" t="s">
        <v>747</v>
      </c>
    </row>
    <row r="1821" spans="4:6" x14ac:dyDescent="0.25">
      <c r="D1821" s="41" t="s">
        <v>918</v>
      </c>
      <c r="E1821" s="42" t="s">
        <v>119</v>
      </c>
      <c r="F1821" s="43" t="s">
        <v>747</v>
      </c>
    </row>
    <row r="1822" spans="4:6" x14ac:dyDescent="0.25">
      <c r="D1822" s="41" t="s">
        <v>951</v>
      </c>
      <c r="E1822" s="42" t="s">
        <v>119</v>
      </c>
      <c r="F1822" s="43" t="s">
        <v>952</v>
      </c>
    </row>
    <row r="1823" spans="4:6" x14ac:dyDescent="0.25">
      <c r="D1823" s="41" t="s">
        <v>959</v>
      </c>
      <c r="E1823" s="42" t="s">
        <v>119</v>
      </c>
      <c r="F1823" s="43" t="s">
        <v>960</v>
      </c>
    </row>
    <row r="1824" spans="4:6" x14ac:dyDescent="0.25">
      <c r="D1824" s="41" t="s">
        <v>961</v>
      </c>
      <c r="E1824" s="42" t="s">
        <v>119</v>
      </c>
      <c r="F1824" s="43" t="s">
        <v>962</v>
      </c>
    </row>
    <row r="1825" spans="4:6" x14ac:dyDescent="0.25">
      <c r="D1825" s="41" t="s">
        <v>1124</v>
      </c>
      <c r="E1825" s="42" t="s">
        <v>119</v>
      </c>
      <c r="F1825" s="43" t="s">
        <v>1125</v>
      </c>
    </row>
    <row r="1826" spans="4:6" x14ac:dyDescent="0.25">
      <c r="D1826" s="41" t="s">
        <v>1168</v>
      </c>
      <c r="E1826" s="42" t="s">
        <v>119</v>
      </c>
      <c r="F1826" s="43" t="s">
        <v>1169</v>
      </c>
    </row>
    <row r="1827" spans="4:6" x14ac:dyDescent="0.25">
      <c r="D1827" s="41" t="s">
        <v>1177</v>
      </c>
      <c r="E1827" s="42" t="s">
        <v>119</v>
      </c>
      <c r="F1827" s="43" t="s">
        <v>936</v>
      </c>
    </row>
    <row r="1828" spans="4:6" x14ac:dyDescent="0.25">
      <c r="D1828" s="41" t="s">
        <v>1431</v>
      </c>
      <c r="E1828" s="42" t="s">
        <v>119</v>
      </c>
      <c r="F1828" s="43" t="s">
        <v>747</v>
      </c>
    </row>
    <row r="1829" spans="4:6" x14ac:dyDescent="0.25">
      <c r="D1829" s="41" t="s">
        <v>1467</v>
      </c>
      <c r="E1829" s="42" t="s">
        <v>119</v>
      </c>
      <c r="F1829" s="43" t="s">
        <v>747</v>
      </c>
    </row>
    <row r="1830" spans="4:6" x14ac:dyDescent="0.25">
      <c r="D1830" s="41" t="s">
        <v>1587</v>
      </c>
      <c r="E1830" s="42" t="s">
        <v>119</v>
      </c>
      <c r="F1830" s="43" t="s">
        <v>1185</v>
      </c>
    </row>
    <row r="1831" spans="4:6" x14ac:dyDescent="0.25">
      <c r="D1831" s="41" t="s">
        <v>1656</v>
      </c>
      <c r="E1831" s="42" t="s">
        <v>119</v>
      </c>
      <c r="F1831" s="43" t="s">
        <v>1657</v>
      </c>
    </row>
    <row r="1832" spans="4:6" x14ac:dyDescent="0.25">
      <c r="D1832" s="41" t="s">
        <v>1808</v>
      </c>
      <c r="E1832" s="42" t="s">
        <v>119</v>
      </c>
      <c r="F1832" s="43" t="s">
        <v>1739</v>
      </c>
    </row>
    <row r="1833" spans="4:6" x14ac:dyDescent="0.25">
      <c r="D1833" s="41" t="s">
        <v>1956</v>
      </c>
      <c r="E1833" s="42" t="s">
        <v>119</v>
      </c>
      <c r="F1833" s="43" t="s">
        <v>747</v>
      </c>
    </row>
    <row r="1834" spans="4:6" x14ac:dyDescent="0.25">
      <c r="D1834" s="41" t="s">
        <v>1959</v>
      </c>
      <c r="E1834" s="42" t="s">
        <v>119</v>
      </c>
      <c r="F1834" s="43" t="s">
        <v>747</v>
      </c>
    </row>
    <row r="1835" spans="4:6" x14ac:dyDescent="0.25">
      <c r="D1835" s="41" t="s">
        <v>2541</v>
      </c>
      <c r="E1835" s="42" t="s">
        <v>119</v>
      </c>
      <c r="F1835" s="43"/>
    </row>
    <row r="1836" spans="4:6" x14ac:dyDescent="0.25">
      <c r="D1836" s="41" t="s">
        <v>2542</v>
      </c>
      <c r="E1836" s="42" t="s">
        <v>119</v>
      </c>
      <c r="F1836" s="43"/>
    </row>
    <row r="1837" spans="4:6" x14ac:dyDescent="0.25">
      <c r="D1837" s="41" t="s">
        <v>2543</v>
      </c>
      <c r="E1837" s="42" t="s">
        <v>119</v>
      </c>
      <c r="F1837" s="43" t="s">
        <v>2148</v>
      </c>
    </row>
    <row r="1838" spans="4:6" x14ac:dyDescent="0.25">
      <c r="D1838" s="41" t="s">
        <v>2544</v>
      </c>
      <c r="E1838" s="42" t="s">
        <v>119</v>
      </c>
      <c r="F1838" s="43"/>
    </row>
    <row r="1839" spans="4:6" x14ac:dyDescent="0.25">
      <c r="D1839" s="41" t="s">
        <v>2545</v>
      </c>
      <c r="E1839" s="42" t="s">
        <v>119</v>
      </c>
      <c r="F1839" s="43"/>
    </row>
    <row r="1840" spans="4:6" x14ac:dyDescent="0.25">
      <c r="D1840" s="41" t="s">
        <v>2767</v>
      </c>
      <c r="E1840" s="42" t="s">
        <v>119</v>
      </c>
      <c r="F1840" s="43" t="s">
        <v>938</v>
      </c>
    </row>
    <row r="1841" spans="4:6" x14ac:dyDescent="0.25">
      <c r="D1841" s="41" t="s">
        <v>2958</v>
      </c>
      <c r="E1841" s="42" t="s">
        <v>119</v>
      </c>
      <c r="F1841" s="43"/>
    </row>
    <row r="1842" spans="4:6" x14ac:dyDescent="0.25">
      <c r="D1842" s="41" t="s">
        <v>3122</v>
      </c>
      <c r="E1842" s="42" t="s">
        <v>119</v>
      </c>
      <c r="F1842" s="43" t="s">
        <v>747</v>
      </c>
    </row>
    <row r="1843" spans="4:6" x14ac:dyDescent="0.25">
      <c r="D1843" s="41" t="s">
        <v>3396</v>
      </c>
      <c r="E1843" s="42" t="s">
        <v>119</v>
      </c>
      <c r="F1843" s="43"/>
    </row>
    <row r="1844" spans="4:6" x14ac:dyDescent="0.25">
      <c r="D1844" s="41" t="s">
        <v>3619</v>
      </c>
      <c r="E1844" s="42" t="s">
        <v>119</v>
      </c>
      <c r="F1844" s="43"/>
    </row>
    <row r="1845" spans="4:6" x14ac:dyDescent="0.25">
      <c r="D1845" s="41" t="s">
        <v>3701</v>
      </c>
      <c r="E1845" s="42" t="s">
        <v>119</v>
      </c>
      <c r="F1845" s="43"/>
    </row>
    <row r="1846" spans="4:6" x14ac:dyDescent="0.25">
      <c r="D1846" s="41" t="s">
        <v>1488</v>
      </c>
      <c r="E1846" s="47" t="s">
        <v>3899</v>
      </c>
      <c r="F1846" s="43" t="s">
        <v>1489</v>
      </c>
    </row>
    <row r="1847" spans="4:6" x14ac:dyDescent="0.25">
      <c r="D1847" s="41" t="s">
        <v>2546</v>
      </c>
      <c r="E1847" s="47" t="s">
        <v>3812</v>
      </c>
      <c r="F1847" s="43"/>
    </row>
    <row r="1848" spans="4:6" x14ac:dyDescent="0.25">
      <c r="D1848" s="41" t="s">
        <v>2547</v>
      </c>
      <c r="E1848" s="47" t="s">
        <v>3812</v>
      </c>
      <c r="F1848" s="43"/>
    </row>
    <row r="1849" spans="4:6" x14ac:dyDescent="0.25">
      <c r="D1849" s="41" t="s">
        <v>3413</v>
      </c>
      <c r="E1849" s="47" t="s">
        <v>3812</v>
      </c>
      <c r="F1849" s="43"/>
    </row>
    <row r="1850" spans="4:6" x14ac:dyDescent="0.25">
      <c r="D1850" s="41" t="s">
        <v>1929</v>
      </c>
      <c r="E1850" s="42" t="s">
        <v>147</v>
      </c>
      <c r="F1850" s="43" t="s">
        <v>747</v>
      </c>
    </row>
    <row r="1851" spans="4:6" x14ac:dyDescent="0.25">
      <c r="D1851" s="41" t="s">
        <v>800</v>
      </c>
      <c r="E1851" s="47" t="s">
        <v>3813</v>
      </c>
      <c r="F1851" s="43" t="s">
        <v>747</v>
      </c>
    </row>
    <row r="1852" spans="4:6" x14ac:dyDescent="0.25">
      <c r="D1852" s="41" t="s">
        <v>1267</v>
      </c>
      <c r="E1852" s="47" t="s">
        <v>3813</v>
      </c>
      <c r="F1852" s="43" t="s">
        <v>747</v>
      </c>
    </row>
    <row r="1853" spans="4:6" x14ac:dyDescent="0.25">
      <c r="D1853" s="41" t="s">
        <v>1459</v>
      </c>
      <c r="E1853" s="47" t="s">
        <v>3813</v>
      </c>
      <c r="F1853" s="43" t="s">
        <v>747</v>
      </c>
    </row>
    <row r="1854" spans="4:6" x14ac:dyDescent="0.25">
      <c r="D1854" s="41" t="s">
        <v>1522</v>
      </c>
      <c r="E1854" s="47" t="s">
        <v>3813</v>
      </c>
      <c r="F1854" s="43"/>
    </row>
    <row r="1855" spans="4:6" x14ac:dyDescent="0.25">
      <c r="D1855" s="41" t="s">
        <v>2548</v>
      </c>
      <c r="E1855" s="47" t="s">
        <v>3813</v>
      </c>
      <c r="F1855" s="43" t="s">
        <v>938</v>
      </c>
    </row>
    <row r="1856" spans="4:6" x14ac:dyDescent="0.25">
      <c r="D1856" s="41" t="s">
        <v>2549</v>
      </c>
      <c r="E1856" s="47" t="s">
        <v>3813</v>
      </c>
      <c r="F1856" s="43"/>
    </row>
    <row r="1857" spans="4:6" x14ac:dyDescent="0.25">
      <c r="D1857" s="41" t="s">
        <v>2550</v>
      </c>
      <c r="E1857" s="47" t="s">
        <v>3813</v>
      </c>
      <c r="F1857" s="43"/>
    </row>
    <row r="1858" spans="4:6" x14ac:dyDescent="0.25">
      <c r="D1858" s="41" t="s">
        <v>2551</v>
      </c>
      <c r="E1858" s="47" t="s">
        <v>3814</v>
      </c>
      <c r="F1858" s="43"/>
    </row>
    <row r="1859" spans="4:6" x14ac:dyDescent="0.25">
      <c r="D1859" s="41" t="s">
        <v>2552</v>
      </c>
      <c r="E1859" s="47" t="s">
        <v>2553</v>
      </c>
      <c r="F1859" s="43" t="s">
        <v>873</v>
      </c>
    </row>
    <row r="1860" spans="4:6" x14ac:dyDescent="0.25">
      <c r="D1860" s="41" t="s">
        <v>2554</v>
      </c>
      <c r="E1860" s="42" t="s">
        <v>2555</v>
      </c>
      <c r="F1860" s="43" t="s">
        <v>660</v>
      </c>
    </row>
    <row r="1861" spans="4:6" x14ac:dyDescent="0.25">
      <c r="D1861" s="41" t="s">
        <v>3434</v>
      </c>
      <c r="E1861" s="42" t="s">
        <v>2555</v>
      </c>
      <c r="F1861" s="43"/>
    </row>
    <row r="1862" spans="4:6" x14ac:dyDescent="0.25">
      <c r="D1862" s="41" t="s">
        <v>3489</v>
      </c>
      <c r="E1862" s="42" t="s">
        <v>2555</v>
      </c>
      <c r="F1862" s="43" t="s">
        <v>747</v>
      </c>
    </row>
    <row r="1863" spans="4:6" x14ac:dyDescent="0.25">
      <c r="D1863" s="41" t="s">
        <v>2556</v>
      </c>
      <c r="E1863" s="42" t="s">
        <v>2557</v>
      </c>
      <c r="F1863" s="43" t="s">
        <v>938</v>
      </c>
    </row>
    <row r="1864" spans="4:6" x14ac:dyDescent="0.25">
      <c r="D1864" s="41" t="s">
        <v>1996</v>
      </c>
      <c r="E1864" s="42" t="s">
        <v>1108</v>
      </c>
      <c r="F1864" s="43"/>
    </row>
    <row r="1865" spans="4:6" x14ac:dyDescent="0.25">
      <c r="D1865" s="41" t="s">
        <v>2559</v>
      </c>
      <c r="E1865" s="42" t="s">
        <v>1108</v>
      </c>
      <c r="F1865" s="43"/>
    </row>
    <row r="1866" spans="4:6" x14ac:dyDescent="0.25">
      <c r="D1866" s="41" t="s">
        <v>3540</v>
      </c>
      <c r="E1866" s="42" t="s">
        <v>3974</v>
      </c>
      <c r="F1866" s="43" t="s">
        <v>747</v>
      </c>
    </row>
    <row r="1867" spans="4:6" x14ac:dyDescent="0.25">
      <c r="D1867" s="41" t="s">
        <v>1312</v>
      </c>
      <c r="E1867" s="42" t="s">
        <v>190</v>
      </c>
      <c r="F1867" s="43" t="s">
        <v>747</v>
      </c>
    </row>
    <row r="1868" spans="4:6" x14ac:dyDescent="0.25">
      <c r="D1868" s="41" t="s">
        <v>1792</v>
      </c>
      <c r="E1868" s="42" t="s">
        <v>190</v>
      </c>
      <c r="F1868" s="43" t="s">
        <v>1793</v>
      </c>
    </row>
    <row r="1869" spans="4:6" x14ac:dyDescent="0.25">
      <c r="D1869" s="41" t="s">
        <v>1806</v>
      </c>
      <c r="E1869" s="42" t="s">
        <v>190</v>
      </c>
      <c r="F1869" s="43" t="s">
        <v>1807</v>
      </c>
    </row>
    <row r="1870" spans="4:6" x14ac:dyDescent="0.25">
      <c r="D1870" s="41" t="s">
        <v>2558</v>
      </c>
      <c r="E1870" s="42" t="s">
        <v>190</v>
      </c>
      <c r="F1870" s="43"/>
    </row>
    <row r="1871" spans="4:6" x14ac:dyDescent="0.25">
      <c r="D1871" s="41" t="s">
        <v>302</v>
      </c>
      <c r="E1871" s="42" t="s">
        <v>190</v>
      </c>
      <c r="F1871" s="43" t="s">
        <v>303</v>
      </c>
    </row>
    <row r="1872" spans="4:6" x14ac:dyDescent="0.25">
      <c r="D1872" s="41" t="s">
        <v>308</v>
      </c>
      <c r="E1872" s="42" t="s">
        <v>190</v>
      </c>
      <c r="F1872" s="43" t="s">
        <v>291</v>
      </c>
    </row>
    <row r="1873" spans="4:6" x14ac:dyDescent="0.25">
      <c r="D1873" s="41" t="s">
        <v>617</v>
      </c>
      <c r="E1873" s="42" t="s">
        <v>190</v>
      </c>
      <c r="F1873" s="43" t="s">
        <v>598</v>
      </c>
    </row>
    <row r="1874" spans="4:6" x14ac:dyDescent="0.25">
      <c r="D1874" s="41" t="s">
        <v>618</v>
      </c>
      <c r="E1874" s="42" t="s">
        <v>190</v>
      </c>
      <c r="F1874" s="43" t="s">
        <v>619</v>
      </c>
    </row>
    <row r="1875" spans="4:6" x14ac:dyDescent="0.25">
      <c r="D1875" s="41" t="s">
        <v>620</v>
      </c>
      <c r="E1875" s="42" t="s">
        <v>190</v>
      </c>
      <c r="F1875" s="43" t="s">
        <v>619</v>
      </c>
    </row>
    <row r="1876" spans="4:6" x14ac:dyDescent="0.25">
      <c r="D1876" s="41" t="s">
        <v>621</v>
      </c>
      <c r="E1876" s="42" t="s">
        <v>190</v>
      </c>
      <c r="F1876" s="43" t="s">
        <v>622</v>
      </c>
    </row>
    <row r="1877" spans="4:6" x14ac:dyDescent="0.25">
      <c r="D1877" s="41" t="s">
        <v>623</v>
      </c>
      <c r="E1877" s="42" t="s">
        <v>190</v>
      </c>
      <c r="F1877" s="43" t="s">
        <v>470</v>
      </c>
    </row>
    <row r="1878" spans="4:6" x14ac:dyDescent="0.25">
      <c r="D1878" s="41" t="s">
        <v>624</v>
      </c>
      <c r="E1878" s="42" t="s">
        <v>190</v>
      </c>
      <c r="F1878" s="43" t="s">
        <v>622</v>
      </c>
    </row>
    <row r="1879" spans="4:6" x14ac:dyDescent="0.25">
      <c r="D1879" s="41" t="s">
        <v>625</v>
      </c>
      <c r="E1879" s="42" t="s">
        <v>190</v>
      </c>
      <c r="F1879" s="43" t="s">
        <v>581</v>
      </c>
    </row>
    <row r="1880" spans="4:6" x14ac:dyDescent="0.25">
      <c r="D1880" s="41" t="s">
        <v>788</v>
      </c>
      <c r="E1880" s="42" t="s">
        <v>190</v>
      </c>
      <c r="F1880" s="43" t="s">
        <v>747</v>
      </c>
    </row>
    <row r="1881" spans="4:6" x14ac:dyDescent="0.25">
      <c r="D1881" s="41" t="s">
        <v>923</v>
      </c>
      <c r="E1881" s="42" t="s">
        <v>190</v>
      </c>
      <c r="F1881" s="43" t="s">
        <v>747</v>
      </c>
    </row>
    <row r="1882" spans="4:6" x14ac:dyDescent="0.25">
      <c r="D1882" s="41" t="s">
        <v>1182</v>
      </c>
      <c r="E1882" s="42" t="s">
        <v>190</v>
      </c>
      <c r="F1882" s="43">
        <v>1</v>
      </c>
    </row>
    <row r="1883" spans="4:6" x14ac:dyDescent="0.25">
      <c r="D1883" s="41" t="s">
        <v>1186</v>
      </c>
      <c r="E1883" s="42" t="s">
        <v>190</v>
      </c>
      <c r="F1883" s="43" t="s">
        <v>934</v>
      </c>
    </row>
    <row r="1884" spans="4:6" x14ac:dyDescent="0.25">
      <c r="D1884" s="41" t="s">
        <v>1315</v>
      </c>
      <c r="E1884" s="42" t="s">
        <v>190</v>
      </c>
      <c r="F1884" s="43" t="s">
        <v>747</v>
      </c>
    </row>
    <row r="1885" spans="4:6" x14ac:dyDescent="0.25">
      <c r="D1885" s="41" t="s">
        <v>1344</v>
      </c>
      <c r="E1885" s="42" t="s">
        <v>190</v>
      </c>
      <c r="F1885" s="43" t="s">
        <v>747</v>
      </c>
    </row>
    <row r="1886" spans="4:6" x14ac:dyDescent="0.25">
      <c r="D1886" s="41" t="s">
        <v>1402</v>
      </c>
      <c r="E1886" s="42" t="s">
        <v>190</v>
      </c>
      <c r="F1886" s="43" t="s">
        <v>747</v>
      </c>
    </row>
    <row r="1887" spans="4:6" x14ac:dyDescent="0.25">
      <c r="D1887" s="41" t="s">
        <v>1490</v>
      </c>
      <c r="E1887" s="42" t="s">
        <v>190</v>
      </c>
      <c r="F1887" s="43" t="s">
        <v>949</v>
      </c>
    </row>
    <row r="1888" spans="4:6" x14ac:dyDescent="0.25">
      <c r="D1888" s="41" t="s">
        <v>1512</v>
      </c>
      <c r="E1888" s="42" t="s">
        <v>190</v>
      </c>
      <c r="F1888" s="43"/>
    </row>
    <row r="1889" spans="4:6" x14ac:dyDescent="0.25">
      <c r="D1889" s="41" t="s">
        <v>1572</v>
      </c>
      <c r="E1889" s="42" t="s">
        <v>190</v>
      </c>
      <c r="F1889" s="43" t="s">
        <v>1493</v>
      </c>
    </row>
    <row r="1890" spans="4:6" x14ac:dyDescent="0.25">
      <c r="D1890" s="41" t="s">
        <v>1615</v>
      </c>
      <c r="E1890" s="42" t="s">
        <v>190</v>
      </c>
      <c r="F1890" s="43" t="s">
        <v>1616</v>
      </c>
    </row>
    <row r="1891" spans="4:6" x14ac:dyDescent="0.25">
      <c r="D1891" s="41" t="s">
        <v>1688</v>
      </c>
      <c r="E1891" s="42" t="s">
        <v>190</v>
      </c>
      <c r="F1891" s="43" t="s">
        <v>1689</v>
      </c>
    </row>
    <row r="1892" spans="4:6" x14ac:dyDescent="0.25">
      <c r="D1892" s="41" t="s">
        <v>1794</v>
      </c>
      <c r="E1892" s="42" t="s">
        <v>190</v>
      </c>
      <c r="F1892" s="43" t="s">
        <v>1795</v>
      </c>
    </row>
    <row r="1893" spans="4:6" x14ac:dyDescent="0.25">
      <c r="D1893" s="41" t="s">
        <v>1917</v>
      </c>
      <c r="E1893" s="50" t="s">
        <v>190</v>
      </c>
      <c r="F1893" s="43" t="s">
        <v>967</v>
      </c>
    </row>
    <row r="1894" spans="4:6" x14ac:dyDescent="0.25">
      <c r="D1894" s="41" t="s">
        <v>1926</v>
      </c>
      <c r="E1894" s="58" t="s">
        <v>190</v>
      </c>
      <c r="F1894" s="43" t="s">
        <v>747</v>
      </c>
    </row>
    <row r="1895" spans="4:6" x14ac:dyDescent="0.25">
      <c r="D1895" s="41" t="s">
        <v>2001</v>
      </c>
      <c r="E1895" s="58" t="s">
        <v>190</v>
      </c>
      <c r="F1895" s="43" t="s">
        <v>1994</v>
      </c>
    </row>
    <row r="1896" spans="4:6" x14ac:dyDescent="0.25">
      <c r="D1896" s="41" t="s">
        <v>2860</v>
      </c>
      <c r="E1896" s="58" t="s">
        <v>190</v>
      </c>
      <c r="F1896" s="43" t="s">
        <v>2861</v>
      </c>
    </row>
    <row r="1897" spans="4:6" x14ac:dyDescent="0.25">
      <c r="D1897" s="41" t="s">
        <v>3094</v>
      </c>
      <c r="E1897" s="58" t="s">
        <v>190</v>
      </c>
      <c r="F1897" s="43" t="s">
        <v>291</v>
      </c>
    </row>
    <row r="1898" spans="4:6" x14ac:dyDescent="0.25">
      <c r="D1898" s="41" t="s">
        <v>3150</v>
      </c>
      <c r="E1898" s="58" t="s">
        <v>190</v>
      </c>
      <c r="F1898" s="43"/>
    </row>
    <row r="1899" spans="4:6" x14ac:dyDescent="0.25">
      <c r="D1899" s="53" t="s">
        <v>3230</v>
      </c>
      <c r="E1899" s="58" t="s">
        <v>190</v>
      </c>
      <c r="F1899" s="54" t="s">
        <v>3231</v>
      </c>
    </row>
    <row r="1900" spans="4:6" x14ac:dyDescent="0.25">
      <c r="D1900" s="41" t="s">
        <v>3424</v>
      </c>
      <c r="E1900" s="58" t="s">
        <v>190</v>
      </c>
      <c r="F1900" s="43"/>
    </row>
    <row r="1901" spans="4:6" x14ac:dyDescent="0.25">
      <c r="D1901" s="41" t="s">
        <v>3482</v>
      </c>
      <c r="E1901" s="58" t="s">
        <v>190</v>
      </c>
      <c r="F1901" s="43" t="s">
        <v>747</v>
      </c>
    </row>
    <row r="1902" spans="4:6" x14ac:dyDescent="0.25">
      <c r="D1902" s="41" t="s">
        <v>626</v>
      </c>
      <c r="E1902" s="58" t="s">
        <v>266</v>
      </c>
      <c r="F1902" s="43" t="s">
        <v>470</v>
      </c>
    </row>
    <row r="1903" spans="4:6" x14ac:dyDescent="0.25">
      <c r="D1903" s="41" t="s">
        <v>3366</v>
      </c>
      <c r="E1903" s="58" t="s">
        <v>266</v>
      </c>
      <c r="F1903" s="43"/>
    </row>
    <row r="1904" spans="4:6" x14ac:dyDescent="0.25">
      <c r="D1904" s="41" t="s">
        <v>1381</v>
      </c>
      <c r="E1904" s="58" t="s">
        <v>3982</v>
      </c>
      <c r="F1904" s="43" t="s">
        <v>747</v>
      </c>
    </row>
    <row r="1905" spans="4:6" x14ac:dyDescent="0.25">
      <c r="D1905" s="41" t="s">
        <v>616</v>
      </c>
      <c r="E1905" s="58" t="s">
        <v>4026</v>
      </c>
      <c r="F1905" s="43" t="s">
        <v>598</v>
      </c>
    </row>
    <row r="1906" spans="4:6" x14ac:dyDescent="0.25">
      <c r="D1906" s="41" t="s">
        <v>2560</v>
      </c>
      <c r="E1906" s="58" t="s">
        <v>1074</v>
      </c>
      <c r="F1906" s="43"/>
    </row>
    <row r="1907" spans="4:6" x14ac:dyDescent="0.25">
      <c r="D1907" s="41" t="s">
        <v>3765</v>
      </c>
      <c r="E1907" s="58" t="s">
        <v>1074</v>
      </c>
      <c r="F1907" s="43" t="s">
        <v>747</v>
      </c>
    </row>
    <row r="1908" spans="4:6" x14ac:dyDescent="0.25">
      <c r="D1908" s="41" t="s">
        <v>3623</v>
      </c>
      <c r="E1908" s="58" t="s">
        <v>3900</v>
      </c>
      <c r="F1908" s="43" t="s">
        <v>747</v>
      </c>
    </row>
    <row r="1909" spans="4:6" x14ac:dyDescent="0.25">
      <c r="D1909" s="41" t="s">
        <v>474</v>
      </c>
      <c r="E1909" s="59" t="s">
        <v>3816</v>
      </c>
      <c r="F1909" s="43" t="s">
        <v>475</v>
      </c>
    </row>
    <row r="1910" spans="4:6" x14ac:dyDescent="0.25">
      <c r="D1910" s="41" t="s">
        <v>476</v>
      </c>
      <c r="E1910" s="60" t="s">
        <v>3816</v>
      </c>
      <c r="F1910" s="43" t="s">
        <v>477</v>
      </c>
    </row>
    <row r="1911" spans="4:6" x14ac:dyDescent="0.25">
      <c r="D1911" s="41" t="s">
        <v>478</v>
      </c>
      <c r="E1911" s="60" t="s">
        <v>3816</v>
      </c>
      <c r="F1911" s="43" t="s">
        <v>479</v>
      </c>
    </row>
    <row r="1912" spans="4:6" x14ac:dyDescent="0.25">
      <c r="D1912" s="41" t="s">
        <v>480</v>
      </c>
      <c r="E1912" s="60" t="s">
        <v>3816</v>
      </c>
      <c r="F1912" s="43" t="s">
        <v>481</v>
      </c>
    </row>
    <row r="1913" spans="4:6" x14ac:dyDescent="0.25">
      <c r="D1913" s="41" t="s">
        <v>659</v>
      </c>
      <c r="E1913" s="60" t="s">
        <v>3816</v>
      </c>
      <c r="F1913" s="43" t="s">
        <v>660</v>
      </c>
    </row>
    <row r="1914" spans="4:6" x14ac:dyDescent="0.25">
      <c r="D1914" s="41" t="s">
        <v>780</v>
      </c>
      <c r="E1914" s="60" t="s">
        <v>3816</v>
      </c>
      <c r="F1914" s="43" t="s">
        <v>747</v>
      </c>
    </row>
    <row r="1915" spans="4:6" x14ac:dyDescent="0.25">
      <c r="D1915" s="41" t="s">
        <v>854</v>
      </c>
      <c r="E1915" s="60" t="s">
        <v>3816</v>
      </c>
      <c r="F1915" s="43" t="s">
        <v>747</v>
      </c>
    </row>
    <row r="1916" spans="4:6" x14ac:dyDescent="0.25">
      <c r="D1916" s="41" t="s">
        <v>1140</v>
      </c>
      <c r="E1916" s="60" t="s">
        <v>3816</v>
      </c>
      <c r="F1916" s="43" t="s">
        <v>1139</v>
      </c>
    </row>
    <row r="1917" spans="4:6" x14ac:dyDescent="0.25">
      <c r="D1917" s="41" t="s">
        <v>1430</v>
      </c>
      <c r="E1917" s="60" t="s">
        <v>3816</v>
      </c>
      <c r="F1917" s="43" t="s">
        <v>747</v>
      </c>
    </row>
    <row r="1918" spans="4:6" x14ac:dyDescent="0.25">
      <c r="D1918" s="41" t="s">
        <v>1853</v>
      </c>
      <c r="E1918" s="60" t="s">
        <v>3816</v>
      </c>
      <c r="F1918" s="43" t="s">
        <v>1822</v>
      </c>
    </row>
    <row r="1919" spans="4:6" x14ac:dyDescent="0.25">
      <c r="D1919" s="41" t="s">
        <v>1900</v>
      </c>
      <c r="E1919" s="60" t="s">
        <v>3816</v>
      </c>
      <c r="F1919" s="43"/>
    </row>
    <row r="1920" spans="4:6" x14ac:dyDescent="0.25">
      <c r="D1920" s="41" t="s">
        <v>2561</v>
      </c>
      <c r="E1920" s="60" t="s">
        <v>3816</v>
      </c>
      <c r="F1920" s="43"/>
    </row>
    <row r="1921" spans="4:6" x14ac:dyDescent="0.25">
      <c r="D1921" s="41" t="s">
        <v>2562</v>
      </c>
      <c r="E1921" s="60" t="s">
        <v>3816</v>
      </c>
      <c r="F1921" s="43"/>
    </row>
    <row r="1922" spans="4:6" x14ac:dyDescent="0.25">
      <c r="D1922" s="41" t="s">
        <v>2784</v>
      </c>
      <c r="E1922" s="60" t="s">
        <v>3816</v>
      </c>
      <c r="F1922" s="43"/>
    </row>
    <row r="1923" spans="4:6" x14ac:dyDescent="0.25">
      <c r="D1923" s="41" t="s">
        <v>2979</v>
      </c>
      <c r="E1923" s="60" t="s">
        <v>3816</v>
      </c>
      <c r="F1923" s="43"/>
    </row>
    <row r="1924" spans="4:6" x14ac:dyDescent="0.25">
      <c r="D1924" s="41" t="s">
        <v>2566</v>
      </c>
      <c r="E1924" s="42" t="s">
        <v>1077</v>
      </c>
      <c r="F1924" s="43"/>
    </row>
    <row r="1925" spans="4:6" x14ac:dyDescent="0.25">
      <c r="D1925" s="41" t="s">
        <v>2567</v>
      </c>
      <c r="E1925" s="42" t="s">
        <v>1077</v>
      </c>
      <c r="F1925" s="43"/>
    </row>
    <row r="1926" spans="4:6" x14ac:dyDescent="0.25">
      <c r="D1926" s="41" t="s">
        <v>3141</v>
      </c>
      <c r="E1926" s="42" t="s">
        <v>2002</v>
      </c>
      <c r="F1926" s="43"/>
    </row>
    <row r="1927" spans="4:6" x14ac:dyDescent="0.25">
      <c r="D1927" s="41" t="s">
        <v>3206</v>
      </c>
      <c r="E1927" s="42" t="s">
        <v>2002</v>
      </c>
      <c r="F1927" s="43"/>
    </row>
    <row r="1928" spans="4:6" x14ac:dyDescent="0.25">
      <c r="D1928" s="41" t="s">
        <v>3250</v>
      </c>
      <c r="E1928" s="42" t="s">
        <v>2002</v>
      </c>
      <c r="F1928" s="43" t="s">
        <v>3251</v>
      </c>
    </row>
    <row r="1929" spans="4:6" x14ac:dyDescent="0.25">
      <c r="D1929" s="44" t="s">
        <v>3310</v>
      </c>
      <c r="E1929" s="45" t="s">
        <v>2002</v>
      </c>
      <c r="F1929" s="46"/>
    </row>
    <row r="1930" spans="4:6" x14ac:dyDescent="0.25">
      <c r="D1930" s="44" t="s">
        <v>3325</v>
      </c>
      <c r="E1930" s="45" t="s">
        <v>2003</v>
      </c>
      <c r="F1930" s="46" t="s">
        <v>3307</v>
      </c>
    </row>
    <row r="1931" spans="4:6" x14ac:dyDescent="0.25">
      <c r="D1931" s="41" t="s">
        <v>1005</v>
      </c>
      <c r="E1931" s="42" t="s">
        <v>1079</v>
      </c>
      <c r="F1931" s="43" t="s">
        <v>982</v>
      </c>
    </row>
    <row r="1932" spans="4:6" x14ac:dyDescent="0.25">
      <c r="D1932" s="41" t="s">
        <v>2568</v>
      </c>
      <c r="E1932" s="42" t="s">
        <v>1079</v>
      </c>
      <c r="F1932" s="43"/>
    </row>
    <row r="1933" spans="4:6" x14ac:dyDescent="0.25">
      <c r="D1933" s="41" t="s">
        <v>2569</v>
      </c>
      <c r="E1933" s="42" t="s">
        <v>2570</v>
      </c>
      <c r="F1933" s="43" t="s">
        <v>2571</v>
      </c>
    </row>
    <row r="1934" spans="4:6" x14ac:dyDescent="0.25">
      <c r="D1934" s="41" t="s">
        <v>1293</v>
      </c>
      <c r="E1934" s="42" t="s">
        <v>1250</v>
      </c>
      <c r="F1934" s="43" t="s">
        <v>747</v>
      </c>
    </row>
    <row r="1935" spans="4:6" x14ac:dyDescent="0.25">
      <c r="D1935" s="41" t="s">
        <v>1347</v>
      </c>
      <c r="E1935" s="42" t="s">
        <v>1250</v>
      </c>
      <c r="F1935" s="43" t="s">
        <v>747</v>
      </c>
    </row>
    <row r="1936" spans="4:6" x14ac:dyDescent="0.25">
      <c r="D1936" s="41" t="s">
        <v>1373</v>
      </c>
      <c r="E1936" s="42" t="s">
        <v>1250</v>
      </c>
      <c r="F1936" s="43" t="s">
        <v>747</v>
      </c>
    </row>
    <row r="1937" spans="4:6" x14ac:dyDescent="0.25">
      <c r="D1937" s="41" t="s">
        <v>2809</v>
      </c>
      <c r="E1937" s="42" t="s">
        <v>1055</v>
      </c>
      <c r="F1937" s="43"/>
    </row>
    <row r="1938" spans="4:6" x14ac:dyDescent="0.25">
      <c r="D1938" s="41" t="s">
        <v>1453</v>
      </c>
      <c r="E1938" s="42" t="s">
        <v>1247</v>
      </c>
      <c r="F1938" s="43" t="s">
        <v>747</v>
      </c>
    </row>
    <row r="1939" spans="4:6" x14ac:dyDescent="0.25">
      <c r="D1939" s="41" t="s">
        <v>667</v>
      </c>
      <c r="E1939" s="42" t="s">
        <v>39</v>
      </c>
      <c r="F1939" s="43" t="s">
        <v>664</v>
      </c>
    </row>
    <row r="1940" spans="4:6" x14ac:dyDescent="0.25">
      <c r="D1940" s="41" t="s">
        <v>851</v>
      </c>
      <c r="E1940" s="42" t="s">
        <v>39</v>
      </c>
      <c r="F1940" s="43" t="s">
        <v>747</v>
      </c>
    </row>
    <row r="1941" spans="4:6" x14ac:dyDescent="0.25">
      <c r="D1941" s="41" t="s">
        <v>963</v>
      </c>
      <c r="E1941" s="42" t="s">
        <v>39</v>
      </c>
      <c r="F1941" s="43" t="s">
        <v>964</v>
      </c>
    </row>
    <row r="1942" spans="4:6" x14ac:dyDescent="0.25">
      <c r="D1942" s="41" t="s">
        <v>1114</v>
      </c>
      <c r="E1942" s="42" t="s">
        <v>39</v>
      </c>
      <c r="F1942" s="43" t="s">
        <v>1115</v>
      </c>
    </row>
    <row r="1943" spans="4:6" x14ac:dyDescent="0.25">
      <c r="D1943" s="41" t="s">
        <v>1155</v>
      </c>
      <c r="E1943" s="42" t="s">
        <v>39</v>
      </c>
      <c r="F1943" s="43" t="s">
        <v>1139</v>
      </c>
    </row>
    <row r="1944" spans="4:6" x14ac:dyDescent="0.25">
      <c r="D1944" s="41" t="s">
        <v>1386</v>
      </c>
      <c r="E1944" s="42" t="s">
        <v>39</v>
      </c>
      <c r="F1944" s="43" t="s">
        <v>747</v>
      </c>
    </row>
    <row r="1945" spans="4:6" x14ac:dyDescent="0.25">
      <c r="D1945" s="41" t="s">
        <v>1483</v>
      </c>
      <c r="E1945" s="42" t="s">
        <v>39</v>
      </c>
      <c r="F1945" s="43" t="s">
        <v>747</v>
      </c>
    </row>
    <row r="1946" spans="4:6" x14ac:dyDescent="0.25">
      <c r="D1946" s="41" t="s">
        <v>1516</v>
      </c>
      <c r="E1946" s="42" t="s">
        <v>39</v>
      </c>
      <c r="F1946" s="43"/>
    </row>
    <row r="1947" spans="4:6" x14ac:dyDescent="0.25">
      <c r="D1947" s="41" t="s">
        <v>2584</v>
      </c>
      <c r="E1947" s="42" t="s">
        <v>39</v>
      </c>
      <c r="F1947" s="43"/>
    </row>
    <row r="1948" spans="4:6" x14ac:dyDescent="0.25">
      <c r="D1948" s="41" t="s">
        <v>2585</v>
      </c>
      <c r="E1948" s="42" t="s">
        <v>39</v>
      </c>
      <c r="F1948" s="43"/>
    </row>
    <row r="1949" spans="4:6" x14ac:dyDescent="0.25">
      <c r="D1949" s="41" t="s">
        <v>2586</v>
      </c>
      <c r="E1949" s="42" t="s">
        <v>39</v>
      </c>
      <c r="F1949" s="43"/>
    </row>
    <row r="1950" spans="4:6" x14ac:dyDescent="0.25">
      <c r="D1950" s="41" t="s">
        <v>2587</v>
      </c>
      <c r="E1950" s="42" t="s">
        <v>39</v>
      </c>
      <c r="F1950" s="43"/>
    </row>
    <row r="1951" spans="4:6" x14ac:dyDescent="0.25">
      <c r="D1951" s="41" t="s">
        <v>2875</v>
      </c>
      <c r="E1951" s="42" t="s">
        <v>39</v>
      </c>
      <c r="F1951" s="43" t="s">
        <v>2363</v>
      </c>
    </row>
    <row r="1952" spans="4:6" x14ac:dyDescent="0.25">
      <c r="D1952" s="41" t="s">
        <v>2939</v>
      </c>
      <c r="E1952" s="42" t="s">
        <v>39</v>
      </c>
      <c r="F1952" s="43" t="s">
        <v>877</v>
      </c>
    </row>
    <row r="1953" spans="4:6" x14ac:dyDescent="0.25">
      <c r="D1953" s="41" t="s">
        <v>3010</v>
      </c>
      <c r="E1953" s="42" t="s">
        <v>39</v>
      </c>
      <c r="F1953" s="43"/>
    </row>
    <row r="1954" spans="4:6" x14ac:dyDescent="0.25">
      <c r="D1954" s="44" t="s">
        <v>3350</v>
      </c>
      <c r="E1954" s="45" t="s">
        <v>39</v>
      </c>
      <c r="F1954" s="46" t="s">
        <v>3307</v>
      </c>
    </row>
    <row r="1955" spans="4:6" x14ac:dyDescent="0.25">
      <c r="D1955" s="41" t="s">
        <v>3386</v>
      </c>
      <c r="E1955" s="42" t="s">
        <v>39</v>
      </c>
      <c r="F1955" s="43"/>
    </row>
    <row r="1956" spans="4:6" x14ac:dyDescent="0.25">
      <c r="D1956" s="41" t="s">
        <v>671</v>
      </c>
      <c r="E1956" s="42" t="s">
        <v>40</v>
      </c>
      <c r="F1956" s="43" t="s">
        <v>664</v>
      </c>
    </row>
    <row r="1957" spans="4:6" x14ac:dyDescent="0.25">
      <c r="D1957" s="41" t="s">
        <v>1351</v>
      </c>
      <c r="E1957" s="42" t="s">
        <v>40</v>
      </c>
      <c r="F1957" s="43" t="s">
        <v>747</v>
      </c>
    </row>
    <row r="1958" spans="4:6" x14ac:dyDescent="0.25">
      <c r="D1958" s="41" t="s">
        <v>1398</v>
      </c>
      <c r="E1958" s="42" t="s">
        <v>40</v>
      </c>
      <c r="F1958" s="43" t="s">
        <v>747</v>
      </c>
    </row>
    <row r="1959" spans="4:6" x14ac:dyDescent="0.25">
      <c r="D1959" s="41" t="s">
        <v>1447</v>
      </c>
      <c r="E1959" s="42" t="s">
        <v>40</v>
      </c>
      <c r="F1959" s="43" t="s">
        <v>747</v>
      </c>
    </row>
    <row r="1960" spans="4:6" x14ac:dyDescent="0.25">
      <c r="D1960" s="41" t="s">
        <v>1619</v>
      </c>
      <c r="E1960" s="42" t="s">
        <v>40</v>
      </c>
      <c r="F1960" s="43" t="s">
        <v>1620</v>
      </c>
    </row>
    <row r="1961" spans="4:6" x14ac:dyDescent="0.25">
      <c r="D1961" s="41" t="s">
        <v>1841</v>
      </c>
      <c r="E1961" s="42" t="s">
        <v>40</v>
      </c>
      <c r="F1961" s="43" t="s">
        <v>1842</v>
      </c>
    </row>
    <row r="1962" spans="4:6" x14ac:dyDescent="0.25">
      <c r="D1962" s="41" t="s">
        <v>2588</v>
      </c>
      <c r="E1962" s="42" t="s">
        <v>40</v>
      </c>
      <c r="F1962" s="43" t="s">
        <v>666</v>
      </c>
    </row>
    <row r="1963" spans="4:6" x14ac:dyDescent="0.25">
      <c r="D1963" s="41" t="s">
        <v>2589</v>
      </c>
      <c r="E1963" s="42" t="s">
        <v>40</v>
      </c>
      <c r="F1963" s="43"/>
    </row>
    <row r="1964" spans="4:6" x14ac:dyDescent="0.25">
      <c r="D1964" s="41" t="s">
        <v>2590</v>
      </c>
      <c r="E1964" s="42" t="s">
        <v>40</v>
      </c>
      <c r="F1964" s="43"/>
    </row>
    <row r="1965" spans="4:6" x14ac:dyDescent="0.25">
      <c r="D1965" s="41" t="s">
        <v>2591</v>
      </c>
      <c r="E1965" s="42" t="s">
        <v>40</v>
      </c>
      <c r="F1965" s="43"/>
    </row>
    <row r="1966" spans="4:6" x14ac:dyDescent="0.25">
      <c r="D1966" s="41" t="s">
        <v>2592</v>
      </c>
      <c r="E1966" s="42" t="s">
        <v>40</v>
      </c>
      <c r="F1966" s="43"/>
    </row>
    <row r="1967" spans="4:6" x14ac:dyDescent="0.25">
      <c r="D1967" s="41" t="s">
        <v>3030</v>
      </c>
      <c r="E1967" s="42" t="s">
        <v>40</v>
      </c>
      <c r="F1967" s="43" t="s">
        <v>2363</v>
      </c>
    </row>
    <row r="1968" spans="4:6" x14ac:dyDescent="0.25">
      <c r="D1968" s="44" t="s">
        <v>3268</v>
      </c>
      <c r="E1968" s="45" t="s">
        <v>40</v>
      </c>
      <c r="F1968" s="46" t="s">
        <v>3269</v>
      </c>
    </row>
    <row r="1969" spans="4:6" x14ac:dyDescent="0.25">
      <c r="D1969" s="41" t="s">
        <v>3779</v>
      </c>
      <c r="E1969" s="42" t="s">
        <v>40</v>
      </c>
      <c r="F1969" s="43" t="s">
        <v>747</v>
      </c>
    </row>
    <row r="1970" spans="4:6" x14ac:dyDescent="0.25">
      <c r="D1970" s="41" t="s">
        <v>1399</v>
      </c>
      <c r="E1970" s="42" t="s">
        <v>41</v>
      </c>
      <c r="F1970" s="43" t="s">
        <v>747</v>
      </c>
    </row>
    <row r="1971" spans="4:6" x14ac:dyDescent="0.25">
      <c r="D1971" s="41" t="s">
        <v>3670</v>
      </c>
      <c r="E1971" s="42" t="s">
        <v>41</v>
      </c>
      <c r="F1971" s="43"/>
    </row>
    <row r="1972" spans="4:6" x14ac:dyDescent="0.25">
      <c r="D1972" s="41" t="s">
        <v>493</v>
      </c>
      <c r="E1972" s="42" t="s">
        <v>3976</v>
      </c>
      <c r="F1972" s="43" t="s">
        <v>494</v>
      </c>
    </row>
    <row r="1973" spans="4:6" x14ac:dyDescent="0.25">
      <c r="D1973" s="41" t="s">
        <v>498</v>
      </c>
      <c r="E1973" s="42" t="s">
        <v>3976</v>
      </c>
      <c r="F1973" s="43" t="s">
        <v>499</v>
      </c>
    </row>
    <row r="1974" spans="4:6" x14ac:dyDescent="0.25">
      <c r="D1974" s="41" t="s">
        <v>663</v>
      </c>
      <c r="E1974" s="42" t="s">
        <v>3976</v>
      </c>
      <c r="F1974" s="43" t="s">
        <v>664</v>
      </c>
    </row>
    <row r="1975" spans="4:6" x14ac:dyDescent="0.25">
      <c r="D1975" s="41" t="s">
        <v>665</v>
      </c>
      <c r="E1975" s="42" t="s">
        <v>3976</v>
      </c>
      <c r="F1975" s="43" t="s">
        <v>666</v>
      </c>
    </row>
    <row r="1976" spans="4:6" x14ac:dyDescent="0.25">
      <c r="D1976" s="41" t="s">
        <v>668</v>
      </c>
      <c r="E1976" s="42" t="s">
        <v>3976</v>
      </c>
      <c r="F1976" s="43" t="s">
        <v>664</v>
      </c>
    </row>
    <row r="1977" spans="4:6" x14ac:dyDescent="0.25">
      <c r="D1977" s="41" t="s">
        <v>669</v>
      </c>
      <c r="E1977" s="42" t="s">
        <v>3976</v>
      </c>
      <c r="F1977" s="43" t="s">
        <v>670</v>
      </c>
    </row>
    <row r="1978" spans="4:6" x14ac:dyDescent="0.25">
      <c r="D1978" s="41" t="s">
        <v>672</v>
      </c>
      <c r="E1978" s="42" t="s">
        <v>3976</v>
      </c>
      <c r="F1978" s="43" t="s">
        <v>664</v>
      </c>
    </row>
    <row r="1979" spans="4:6" x14ac:dyDescent="0.25">
      <c r="D1979" s="41" t="s">
        <v>840</v>
      </c>
      <c r="E1979" s="42" t="s">
        <v>3976</v>
      </c>
      <c r="F1979" s="43" t="s">
        <v>747</v>
      </c>
    </row>
    <row r="1980" spans="4:6" x14ac:dyDescent="0.25">
      <c r="D1980" s="41" t="s">
        <v>876</v>
      </c>
      <c r="E1980" s="42" t="s">
        <v>3976</v>
      </c>
      <c r="F1980" s="43" t="s">
        <v>877</v>
      </c>
    </row>
    <row r="1981" spans="4:6" x14ac:dyDescent="0.25">
      <c r="D1981" s="41" t="s">
        <v>977</v>
      </c>
      <c r="E1981" s="42" t="s">
        <v>3976</v>
      </c>
      <c r="F1981" s="43" t="s">
        <v>975</v>
      </c>
    </row>
    <row r="1982" spans="4:6" x14ac:dyDescent="0.25">
      <c r="D1982" s="41" t="s">
        <v>1213</v>
      </c>
      <c r="E1982" s="42" t="s">
        <v>3976</v>
      </c>
      <c r="F1982" s="43" t="s">
        <v>1214</v>
      </c>
    </row>
    <row r="1983" spans="4:6" x14ac:dyDescent="0.25">
      <c r="D1983" s="41" t="s">
        <v>1446</v>
      </c>
      <c r="E1983" s="42" t="s">
        <v>3976</v>
      </c>
      <c r="F1983" s="43" t="s">
        <v>747</v>
      </c>
    </row>
    <row r="1984" spans="4:6" x14ac:dyDescent="0.25">
      <c r="D1984" s="41" t="s">
        <v>1580</v>
      </c>
      <c r="E1984" s="42" t="s">
        <v>3976</v>
      </c>
      <c r="F1984" s="43" t="s">
        <v>1493</v>
      </c>
    </row>
    <row r="1985" spans="4:6" x14ac:dyDescent="0.25">
      <c r="D1985" s="41" t="s">
        <v>1662</v>
      </c>
      <c r="E1985" s="42" t="s">
        <v>3976</v>
      </c>
      <c r="F1985" s="43" t="s">
        <v>1661</v>
      </c>
    </row>
    <row r="1986" spans="4:6" x14ac:dyDescent="0.25">
      <c r="D1986" s="41" t="s">
        <v>2572</v>
      </c>
      <c r="E1986" s="42" t="s">
        <v>3976</v>
      </c>
      <c r="F1986" s="43"/>
    </row>
    <row r="1987" spans="4:6" x14ac:dyDescent="0.25">
      <c r="D1987" s="41" t="s">
        <v>2573</v>
      </c>
      <c r="E1987" s="42" t="s">
        <v>3976</v>
      </c>
      <c r="F1987" s="43"/>
    </row>
    <row r="1988" spans="4:6" x14ac:dyDescent="0.25">
      <c r="D1988" s="41" t="s">
        <v>2574</v>
      </c>
      <c r="E1988" s="42" t="s">
        <v>3976</v>
      </c>
      <c r="F1988" s="43"/>
    </row>
    <row r="1989" spans="4:6" x14ac:dyDescent="0.25">
      <c r="D1989" s="41" t="s">
        <v>2575</v>
      </c>
      <c r="E1989" s="42" t="s">
        <v>3976</v>
      </c>
      <c r="F1989" s="43"/>
    </row>
    <row r="1990" spans="4:6" x14ac:dyDescent="0.25">
      <c r="D1990" s="41" t="s">
        <v>2576</v>
      </c>
      <c r="E1990" s="42" t="s">
        <v>3976</v>
      </c>
      <c r="F1990" s="43"/>
    </row>
    <row r="1991" spans="4:6" x14ac:dyDescent="0.25">
      <c r="D1991" s="41" t="s">
        <v>2577</v>
      </c>
      <c r="E1991" s="42" t="s">
        <v>3976</v>
      </c>
      <c r="F1991" s="43"/>
    </row>
    <row r="1992" spans="4:6" x14ac:dyDescent="0.25">
      <c r="D1992" s="41" t="s">
        <v>2578</v>
      </c>
      <c r="E1992" s="42" t="s">
        <v>3976</v>
      </c>
      <c r="F1992" s="43"/>
    </row>
    <row r="1993" spans="4:6" x14ac:dyDescent="0.25">
      <c r="D1993" s="41" t="s">
        <v>2579</v>
      </c>
      <c r="E1993" s="42" t="s">
        <v>3976</v>
      </c>
      <c r="F1993" s="43"/>
    </row>
    <row r="1994" spans="4:6" x14ac:dyDescent="0.25">
      <c r="D1994" s="41" t="s">
        <v>3393</v>
      </c>
      <c r="E1994" s="42" t="s">
        <v>3976</v>
      </c>
      <c r="F1994" s="43"/>
    </row>
    <row r="1995" spans="4:6" x14ac:dyDescent="0.25">
      <c r="D1995" s="41" t="s">
        <v>3574</v>
      </c>
      <c r="E1995" s="42" t="s">
        <v>3976</v>
      </c>
      <c r="F1995" s="43"/>
    </row>
    <row r="1996" spans="4:6" x14ac:dyDescent="0.25">
      <c r="D1996" s="41" t="s">
        <v>3617</v>
      </c>
      <c r="E1996" s="42" t="s">
        <v>3976</v>
      </c>
      <c r="F1996" s="43"/>
    </row>
    <row r="1997" spans="4:6" x14ac:dyDescent="0.25">
      <c r="D1997" s="41" t="s">
        <v>3753</v>
      </c>
      <c r="E1997" s="42" t="s">
        <v>3976</v>
      </c>
      <c r="F1997" s="43" t="s">
        <v>747</v>
      </c>
    </row>
    <row r="1998" spans="4:6" x14ac:dyDescent="0.25">
      <c r="D1998" s="41" t="s">
        <v>673</v>
      </c>
      <c r="E1998" s="42" t="s">
        <v>3977</v>
      </c>
      <c r="F1998" s="43" t="s">
        <v>494</v>
      </c>
    </row>
    <row r="1999" spans="4:6" x14ac:dyDescent="0.25">
      <c r="D1999" s="41" t="s">
        <v>794</v>
      </c>
      <c r="E1999" s="42" t="s">
        <v>3977</v>
      </c>
      <c r="F1999" s="43" t="s">
        <v>747</v>
      </c>
    </row>
    <row r="2000" spans="4:6" x14ac:dyDescent="0.25">
      <c r="D2000" s="41" t="s">
        <v>874</v>
      </c>
      <c r="E2000" s="42" t="s">
        <v>3977</v>
      </c>
      <c r="F2000" s="43" t="s">
        <v>875</v>
      </c>
    </row>
    <row r="2001" spans="4:6" x14ac:dyDescent="0.25">
      <c r="D2001" s="41" t="s">
        <v>1663</v>
      </c>
      <c r="E2001" s="42" t="s">
        <v>3977</v>
      </c>
      <c r="F2001" s="43" t="s">
        <v>1664</v>
      </c>
    </row>
    <row r="2002" spans="4:6" x14ac:dyDescent="0.25">
      <c r="D2002" s="41" t="s">
        <v>1885</v>
      </c>
      <c r="E2002" s="42" t="s">
        <v>3977</v>
      </c>
      <c r="F2002" s="43" t="s">
        <v>1471</v>
      </c>
    </row>
    <row r="2003" spans="4:6" x14ac:dyDescent="0.25">
      <c r="D2003" s="41" t="s">
        <v>1915</v>
      </c>
      <c r="E2003" s="42" t="s">
        <v>3977</v>
      </c>
      <c r="F2003" s="43" t="s">
        <v>1139</v>
      </c>
    </row>
    <row r="2004" spans="4:6" x14ac:dyDescent="0.25">
      <c r="D2004" s="41" t="s">
        <v>2580</v>
      </c>
      <c r="E2004" s="42" t="s">
        <v>3977</v>
      </c>
      <c r="F2004" s="43"/>
    </row>
    <row r="2005" spans="4:6" x14ac:dyDescent="0.25">
      <c r="D2005" s="41" t="s">
        <v>2581</v>
      </c>
      <c r="E2005" s="42" t="s">
        <v>3977</v>
      </c>
      <c r="F2005" s="43"/>
    </row>
    <row r="2006" spans="4:6" x14ac:dyDescent="0.25">
      <c r="D2006" s="41" t="s">
        <v>2582</v>
      </c>
      <c r="E2006" s="42" t="s">
        <v>3977</v>
      </c>
      <c r="F2006" s="43"/>
    </row>
    <row r="2007" spans="4:6" x14ac:dyDescent="0.25">
      <c r="D2007" s="41" t="s">
        <v>2583</v>
      </c>
      <c r="E2007" s="42" t="s">
        <v>3977</v>
      </c>
      <c r="F2007" s="43"/>
    </row>
    <row r="2008" spans="4:6" x14ac:dyDescent="0.25">
      <c r="D2008" s="41" t="s">
        <v>3671</v>
      </c>
      <c r="E2008" s="42" t="s">
        <v>3977</v>
      </c>
      <c r="F2008" s="43"/>
    </row>
    <row r="2009" spans="4:6" x14ac:dyDescent="0.25">
      <c r="D2009" s="41" t="s">
        <v>3672</v>
      </c>
      <c r="E2009" s="42" t="s">
        <v>3977</v>
      </c>
      <c r="F2009" s="43"/>
    </row>
    <row r="2010" spans="4:6" x14ac:dyDescent="0.25">
      <c r="D2010" s="41" t="s">
        <v>3725</v>
      </c>
      <c r="E2010" s="42" t="s">
        <v>3977</v>
      </c>
      <c r="F2010" s="43"/>
    </row>
    <row r="2011" spans="4:6" x14ac:dyDescent="0.25">
      <c r="D2011" s="41" t="s">
        <v>3720</v>
      </c>
      <c r="E2011" s="42" t="s">
        <v>3978</v>
      </c>
      <c r="F2011" s="43" t="s">
        <v>747</v>
      </c>
    </row>
    <row r="2012" spans="4:6" x14ac:dyDescent="0.25">
      <c r="D2012" s="41" t="s">
        <v>1272</v>
      </c>
      <c r="E2012" s="42" t="s">
        <v>1248</v>
      </c>
      <c r="F2012" s="43" t="s">
        <v>747</v>
      </c>
    </row>
    <row r="2013" spans="4:6" x14ac:dyDescent="0.25">
      <c r="D2013" s="41" t="s">
        <v>495</v>
      </c>
      <c r="E2013" s="42" t="s">
        <v>42</v>
      </c>
      <c r="F2013" s="43" t="s">
        <v>494</v>
      </c>
    </row>
    <row r="2014" spans="4:6" x14ac:dyDescent="0.25">
      <c r="D2014" s="41" t="s">
        <v>994</v>
      </c>
      <c r="E2014" s="42" t="s">
        <v>42</v>
      </c>
      <c r="F2014" s="43" t="s">
        <v>949</v>
      </c>
    </row>
    <row r="2015" spans="4:6" x14ac:dyDescent="0.25">
      <c r="D2015" s="41" t="s">
        <v>1723</v>
      </c>
      <c r="E2015" s="42" t="s">
        <v>42</v>
      </c>
      <c r="F2015" s="43" t="s">
        <v>1724</v>
      </c>
    </row>
    <row r="2016" spans="4:6" x14ac:dyDescent="0.25">
      <c r="D2016" s="41" t="s">
        <v>2593</v>
      </c>
      <c r="E2016" s="42" t="s">
        <v>42</v>
      </c>
      <c r="F2016" s="43" t="s">
        <v>2594</v>
      </c>
    </row>
    <row r="2017" spans="4:6" x14ac:dyDescent="0.25">
      <c r="D2017" s="41" t="s">
        <v>3666</v>
      </c>
      <c r="E2017" s="42" t="s">
        <v>3979</v>
      </c>
      <c r="F2017" s="43" t="s">
        <v>3663</v>
      </c>
    </row>
    <row r="2018" spans="4:6" x14ac:dyDescent="0.25">
      <c r="D2018" s="41" t="s">
        <v>3254</v>
      </c>
      <c r="E2018" s="42" t="s">
        <v>3176</v>
      </c>
      <c r="F2018" s="43" t="s">
        <v>879</v>
      </c>
    </row>
    <row r="2019" spans="4:6" x14ac:dyDescent="0.25">
      <c r="D2019" s="41" t="s">
        <v>3441</v>
      </c>
      <c r="E2019" s="42" t="s">
        <v>3176</v>
      </c>
      <c r="F2019" s="43"/>
    </row>
    <row r="2020" spans="4:6" x14ac:dyDescent="0.25">
      <c r="D2020" s="41" t="s">
        <v>3518</v>
      </c>
      <c r="E2020" s="42" t="s">
        <v>3176</v>
      </c>
      <c r="F2020" s="43" t="s">
        <v>747</v>
      </c>
    </row>
    <row r="2021" spans="4:6" x14ac:dyDescent="0.25">
      <c r="D2021" s="41" t="s">
        <v>3724</v>
      </c>
      <c r="E2021" s="42" t="s">
        <v>3176</v>
      </c>
      <c r="F2021" s="43"/>
    </row>
    <row r="2022" spans="4:6" x14ac:dyDescent="0.25">
      <c r="D2022" s="41" t="s">
        <v>3776</v>
      </c>
      <c r="E2022" s="42" t="s">
        <v>3176</v>
      </c>
      <c r="F2022" s="43" t="s">
        <v>747</v>
      </c>
    </row>
    <row r="2023" spans="4:6" x14ac:dyDescent="0.25">
      <c r="D2023" s="41" t="s">
        <v>814</v>
      </c>
      <c r="E2023" s="42" t="s">
        <v>43</v>
      </c>
      <c r="F2023" s="43" t="s">
        <v>747</v>
      </c>
    </row>
    <row r="2024" spans="4:6" x14ac:dyDescent="0.25">
      <c r="D2024" s="41" t="s">
        <v>922</v>
      </c>
      <c r="E2024" s="42" t="s">
        <v>43</v>
      </c>
      <c r="F2024" s="43" t="s">
        <v>747</v>
      </c>
    </row>
    <row r="2025" spans="4:6" x14ac:dyDescent="0.25">
      <c r="D2025" s="41" t="s">
        <v>1357</v>
      </c>
      <c r="E2025" s="42" t="s">
        <v>43</v>
      </c>
      <c r="F2025" s="43" t="s">
        <v>747</v>
      </c>
    </row>
    <row r="2026" spans="4:6" x14ac:dyDescent="0.25">
      <c r="D2026" s="41" t="s">
        <v>1595</v>
      </c>
      <c r="E2026" s="42" t="s">
        <v>43</v>
      </c>
      <c r="F2026" s="43" t="s">
        <v>1574</v>
      </c>
    </row>
    <row r="2027" spans="4:6" x14ac:dyDescent="0.25">
      <c r="D2027" s="41" t="s">
        <v>2595</v>
      </c>
      <c r="E2027" s="42" t="s">
        <v>43</v>
      </c>
      <c r="F2027" s="43"/>
    </row>
    <row r="2028" spans="4:6" x14ac:dyDescent="0.25">
      <c r="D2028" s="41" t="s">
        <v>3517</v>
      </c>
      <c r="E2028" s="42" t="s">
        <v>43</v>
      </c>
      <c r="F2028" s="43" t="s">
        <v>747</v>
      </c>
    </row>
    <row r="2029" spans="4:6" x14ac:dyDescent="0.25">
      <c r="D2029" s="41" t="s">
        <v>3624</v>
      </c>
      <c r="E2029" s="42" t="s">
        <v>3625</v>
      </c>
      <c r="F2029" s="43" t="s">
        <v>747</v>
      </c>
    </row>
    <row r="2030" spans="4:6" x14ac:dyDescent="0.25">
      <c r="D2030" s="41" t="s">
        <v>3232</v>
      </c>
      <c r="E2030" s="42" t="s">
        <v>3178</v>
      </c>
      <c r="F2030" s="43" t="s">
        <v>879</v>
      </c>
    </row>
    <row r="2031" spans="4:6" x14ac:dyDescent="0.25">
      <c r="D2031" s="41" t="s">
        <v>3418</v>
      </c>
      <c r="E2031" s="42" t="s">
        <v>3178</v>
      </c>
      <c r="F2031" s="43" t="s">
        <v>941</v>
      </c>
    </row>
    <row r="2032" spans="4:6" x14ac:dyDescent="0.25">
      <c r="D2032" s="41" t="s">
        <v>3552</v>
      </c>
      <c r="E2032" s="42" t="s">
        <v>3178</v>
      </c>
      <c r="F2032" s="43"/>
    </row>
    <row r="2033" spans="4:6" x14ac:dyDescent="0.25">
      <c r="D2033" s="41" t="s">
        <v>1234</v>
      </c>
      <c r="E2033" s="42" t="s">
        <v>44</v>
      </c>
      <c r="F2033" s="43" t="s">
        <v>747</v>
      </c>
    </row>
    <row r="2034" spans="4:6" x14ac:dyDescent="0.25">
      <c r="D2034" s="41" t="s">
        <v>1356</v>
      </c>
      <c r="E2034" s="42" t="s">
        <v>44</v>
      </c>
      <c r="F2034" s="43" t="s">
        <v>747</v>
      </c>
    </row>
    <row r="2035" spans="4:6" x14ac:dyDescent="0.25">
      <c r="D2035" s="41" t="s">
        <v>1743</v>
      </c>
      <c r="E2035" s="42" t="s">
        <v>44</v>
      </c>
      <c r="F2035" s="43" t="s">
        <v>1635</v>
      </c>
    </row>
    <row r="2036" spans="4:6" x14ac:dyDescent="0.25">
      <c r="D2036" s="41" t="s">
        <v>2596</v>
      </c>
      <c r="E2036" s="42" t="s">
        <v>44</v>
      </c>
      <c r="F2036" s="43" t="s">
        <v>747</v>
      </c>
    </row>
    <row r="2037" spans="4:6" x14ac:dyDescent="0.25">
      <c r="D2037" s="41" t="s">
        <v>2597</v>
      </c>
      <c r="E2037" s="42" t="s">
        <v>44</v>
      </c>
      <c r="F2037" s="43" t="s">
        <v>747</v>
      </c>
    </row>
    <row r="2038" spans="4:6" x14ac:dyDescent="0.25">
      <c r="D2038" s="41" t="s">
        <v>2598</v>
      </c>
      <c r="E2038" s="42" t="s">
        <v>44</v>
      </c>
      <c r="F2038" s="43"/>
    </row>
    <row r="2039" spans="4:6" x14ac:dyDescent="0.25">
      <c r="D2039" s="41" t="s">
        <v>2775</v>
      </c>
      <c r="E2039" s="42" t="s">
        <v>44</v>
      </c>
      <c r="F2039" s="43"/>
    </row>
    <row r="2040" spans="4:6" x14ac:dyDescent="0.25">
      <c r="D2040" s="41" t="s">
        <v>3106</v>
      </c>
      <c r="E2040" s="42" t="s">
        <v>44</v>
      </c>
      <c r="F2040" s="43" t="s">
        <v>747</v>
      </c>
    </row>
    <row r="2041" spans="4:6" x14ac:dyDescent="0.25">
      <c r="D2041" s="41" t="s">
        <v>454</v>
      </c>
      <c r="E2041" s="42" t="s">
        <v>45</v>
      </c>
      <c r="F2041" s="43" t="s">
        <v>455</v>
      </c>
    </row>
    <row r="2042" spans="4:6" x14ac:dyDescent="0.25">
      <c r="D2042" s="41" t="s">
        <v>456</v>
      </c>
      <c r="E2042" s="42" t="s">
        <v>45</v>
      </c>
      <c r="F2042" s="43" t="s">
        <v>457</v>
      </c>
    </row>
    <row r="2043" spans="4:6" x14ac:dyDescent="0.25">
      <c r="D2043" s="41" t="s">
        <v>458</v>
      </c>
      <c r="E2043" s="42" t="s">
        <v>45</v>
      </c>
      <c r="F2043" s="43" t="s">
        <v>457</v>
      </c>
    </row>
    <row r="2044" spans="4:6" x14ac:dyDescent="0.25">
      <c r="D2044" s="41" t="s">
        <v>482</v>
      </c>
      <c r="E2044" s="42" t="s">
        <v>45</v>
      </c>
      <c r="F2044" s="43" t="s">
        <v>455</v>
      </c>
    </row>
    <row r="2045" spans="4:6" x14ac:dyDescent="0.25">
      <c r="D2045" s="41" t="s">
        <v>835</v>
      </c>
      <c r="E2045" s="42" t="s">
        <v>45</v>
      </c>
      <c r="F2045" s="43" t="s">
        <v>747</v>
      </c>
    </row>
    <row r="2046" spans="4:6" x14ac:dyDescent="0.25">
      <c r="D2046" s="41" t="s">
        <v>897</v>
      </c>
      <c r="E2046" s="42" t="s">
        <v>45</v>
      </c>
      <c r="F2046" s="43" t="s">
        <v>747</v>
      </c>
    </row>
    <row r="2047" spans="4:6" x14ac:dyDescent="0.25">
      <c r="D2047" s="41" t="s">
        <v>1284</v>
      </c>
      <c r="E2047" s="42" t="s">
        <v>45</v>
      </c>
      <c r="F2047" s="43" t="s">
        <v>747</v>
      </c>
    </row>
    <row r="2048" spans="4:6" x14ac:dyDescent="0.25">
      <c r="D2048" s="41" t="s">
        <v>1285</v>
      </c>
      <c r="E2048" s="42" t="s">
        <v>45</v>
      </c>
      <c r="F2048" s="43" t="s">
        <v>747</v>
      </c>
    </row>
    <row r="2049" spans="4:6" x14ac:dyDescent="0.25">
      <c r="D2049" s="41" t="s">
        <v>1353</v>
      </c>
      <c r="E2049" s="42" t="s">
        <v>45</v>
      </c>
      <c r="F2049" s="43" t="s">
        <v>747</v>
      </c>
    </row>
    <row r="2050" spans="4:6" x14ac:dyDescent="0.25">
      <c r="D2050" s="41" t="s">
        <v>1355</v>
      </c>
      <c r="E2050" s="42" t="s">
        <v>45</v>
      </c>
      <c r="F2050" s="43" t="s">
        <v>747</v>
      </c>
    </row>
    <row r="2051" spans="4:6" x14ac:dyDescent="0.25">
      <c r="D2051" s="41" t="s">
        <v>1415</v>
      </c>
      <c r="E2051" s="42" t="s">
        <v>1416</v>
      </c>
      <c r="F2051" s="43" t="s">
        <v>747</v>
      </c>
    </row>
    <row r="2052" spans="4:6" x14ac:dyDescent="0.25">
      <c r="D2052" s="41" t="s">
        <v>1465</v>
      </c>
      <c r="E2052" s="42" t="s">
        <v>45</v>
      </c>
      <c r="F2052" s="43" t="s">
        <v>747</v>
      </c>
    </row>
    <row r="2053" spans="4:6" x14ac:dyDescent="0.25">
      <c r="D2053" s="53" t="s">
        <v>1802</v>
      </c>
      <c r="E2053" s="50" t="s">
        <v>45</v>
      </c>
      <c r="F2053" s="54" t="s">
        <v>1803</v>
      </c>
    </row>
    <row r="2054" spans="4:6" x14ac:dyDescent="0.25">
      <c r="D2054" s="41" t="s">
        <v>1855</v>
      </c>
      <c r="E2054" s="42" t="s">
        <v>45</v>
      </c>
      <c r="F2054" s="43" t="s">
        <v>1856</v>
      </c>
    </row>
    <row r="2055" spans="4:6" x14ac:dyDescent="0.25">
      <c r="D2055" s="41" t="s">
        <v>1916</v>
      </c>
      <c r="E2055" s="42" t="s">
        <v>45</v>
      </c>
      <c r="F2055" s="43" t="s">
        <v>1562</v>
      </c>
    </row>
    <row r="2056" spans="4:6" x14ac:dyDescent="0.25">
      <c r="D2056" s="41" t="s">
        <v>1933</v>
      </c>
      <c r="E2056" s="42" t="s">
        <v>45</v>
      </c>
      <c r="F2056" s="43" t="s">
        <v>747</v>
      </c>
    </row>
    <row r="2057" spans="4:6" x14ac:dyDescent="0.25">
      <c r="D2057" s="41" t="s">
        <v>2599</v>
      </c>
      <c r="E2057" s="42" t="s">
        <v>45</v>
      </c>
      <c r="F2057" s="43" t="s">
        <v>2600</v>
      </c>
    </row>
    <row r="2058" spans="4:6" x14ac:dyDescent="0.25">
      <c r="D2058" s="41" t="s">
        <v>3055</v>
      </c>
      <c r="E2058" s="42" t="s">
        <v>45</v>
      </c>
      <c r="F2058" s="43"/>
    </row>
    <row r="2059" spans="4:6" x14ac:dyDescent="0.25">
      <c r="D2059" s="41" t="s">
        <v>3529</v>
      </c>
      <c r="E2059" s="42" t="s">
        <v>45</v>
      </c>
      <c r="F2059" s="43" t="s">
        <v>747</v>
      </c>
    </row>
    <row r="2060" spans="4:6" x14ac:dyDescent="0.25">
      <c r="D2060" s="41" t="s">
        <v>3627</v>
      </c>
      <c r="E2060" s="42" t="s">
        <v>45</v>
      </c>
      <c r="F2060" s="43"/>
    </row>
    <row r="2061" spans="4:6" x14ac:dyDescent="0.25">
      <c r="D2061" s="41" t="s">
        <v>3777</v>
      </c>
      <c r="E2061" s="42" t="s">
        <v>45</v>
      </c>
      <c r="F2061" s="43" t="s">
        <v>747</v>
      </c>
    </row>
    <row r="2062" spans="4:6" x14ac:dyDescent="0.25">
      <c r="D2062" s="41" t="s">
        <v>459</v>
      </c>
      <c r="E2062" s="42" t="s">
        <v>46</v>
      </c>
      <c r="F2062" s="43" t="s">
        <v>457</v>
      </c>
    </row>
    <row r="2063" spans="4:6" x14ac:dyDescent="0.25">
      <c r="D2063" s="41" t="s">
        <v>460</v>
      </c>
      <c r="E2063" s="42" t="s">
        <v>46</v>
      </c>
      <c r="F2063" s="43" t="s">
        <v>461</v>
      </c>
    </row>
    <row r="2064" spans="4:6" x14ac:dyDescent="0.25">
      <c r="D2064" s="41" t="s">
        <v>462</v>
      </c>
      <c r="E2064" s="42" t="s">
        <v>46</v>
      </c>
      <c r="F2064" s="43" t="s">
        <v>455</v>
      </c>
    </row>
    <row r="2065" spans="4:6" x14ac:dyDescent="0.25">
      <c r="D2065" s="41" t="s">
        <v>463</v>
      </c>
      <c r="E2065" s="42" t="s">
        <v>46</v>
      </c>
      <c r="F2065" s="43" t="s">
        <v>461</v>
      </c>
    </row>
    <row r="2066" spans="4:6" x14ac:dyDescent="0.25">
      <c r="D2066" s="41" t="s">
        <v>464</v>
      </c>
      <c r="E2066" s="42" t="s">
        <v>46</v>
      </c>
      <c r="F2066" s="43" t="s">
        <v>455</v>
      </c>
    </row>
    <row r="2067" spans="4:6" x14ac:dyDescent="0.25">
      <c r="D2067" s="41" t="s">
        <v>795</v>
      </c>
      <c r="E2067" s="42" t="s">
        <v>46</v>
      </c>
      <c r="F2067" s="43" t="s">
        <v>747</v>
      </c>
    </row>
    <row r="2068" spans="4:6" x14ac:dyDescent="0.25">
      <c r="D2068" s="41" t="s">
        <v>815</v>
      </c>
      <c r="E2068" s="42" t="s">
        <v>46</v>
      </c>
      <c r="F2068" s="43" t="s">
        <v>747</v>
      </c>
    </row>
    <row r="2069" spans="4:6" x14ac:dyDescent="0.25">
      <c r="D2069" s="41" t="s">
        <v>878</v>
      </c>
      <c r="E2069" s="42" t="s">
        <v>46</v>
      </c>
      <c r="F2069" s="43" t="s">
        <v>879</v>
      </c>
    </row>
    <row r="2070" spans="4:6" x14ac:dyDescent="0.25">
      <c r="D2070" s="41" t="s">
        <v>911</v>
      </c>
      <c r="E2070" s="42" t="s">
        <v>46</v>
      </c>
      <c r="F2070" s="43" t="s">
        <v>747</v>
      </c>
    </row>
    <row r="2071" spans="4:6" x14ac:dyDescent="0.25">
      <c r="D2071" s="41" t="s">
        <v>921</v>
      </c>
      <c r="E2071" s="42" t="s">
        <v>46</v>
      </c>
      <c r="F2071" s="43" t="s">
        <v>747</v>
      </c>
    </row>
    <row r="2072" spans="4:6" x14ac:dyDescent="0.25">
      <c r="D2072" s="41" t="s">
        <v>981</v>
      </c>
      <c r="E2072" s="42" t="s">
        <v>46</v>
      </c>
      <c r="F2072" s="43" t="s">
        <v>982</v>
      </c>
    </row>
    <row r="2073" spans="4:6" x14ac:dyDescent="0.25">
      <c r="D2073" s="41" t="s">
        <v>1118</v>
      </c>
      <c r="E2073" s="42" t="s">
        <v>46</v>
      </c>
      <c r="F2073" s="43" t="s">
        <v>1119</v>
      </c>
    </row>
    <row r="2074" spans="4:6" x14ac:dyDescent="0.25">
      <c r="D2074" s="41" t="s">
        <v>1258</v>
      </c>
      <c r="E2074" s="42" t="s">
        <v>46</v>
      </c>
      <c r="F2074" s="43" t="s">
        <v>747</v>
      </c>
    </row>
    <row r="2075" spans="4:6" x14ac:dyDescent="0.25">
      <c r="D2075" s="41" t="s">
        <v>1269</v>
      </c>
      <c r="E2075" s="42" t="s">
        <v>46</v>
      </c>
      <c r="F2075" s="43" t="s">
        <v>747</v>
      </c>
    </row>
    <row r="2076" spans="4:6" x14ac:dyDescent="0.25">
      <c r="D2076" s="41" t="s">
        <v>1401</v>
      </c>
      <c r="E2076" s="42" t="s">
        <v>46</v>
      </c>
      <c r="F2076" s="43" t="s">
        <v>747</v>
      </c>
    </row>
    <row r="2077" spans="4:6" x14ac:dyDescent="0.25">
      <c r="D2077" s="41" t="s">
        <v>1456</v>
      </c>
      <c r="E2077" s="42" t="s">
        <v>46</v>
      </c>
      <c r="F2077" s="43" t="s">
        <v>747</v>
      </c>
    </row>
    <row r="2078" spans="4:6" x14ac:dyDescent="0.25">
      <c r="D2078" s="41" t="s">
        <v>1535</v>
      </c>
      <c r="E2078" s="42" t="s">
        <v>46</v>
      </c>
      <c r="F2078" s="43" t="s">
        <v>1536</v>
      </c>
    </row>
    <row r="2079" spans="4:6" x14ac:dyDescent="0.25">
      <c r="D2079" s="41" t="s">
        <v>1704</v>
      </c>
      <c r="E2079" s="42" t="s">
        <v>46</v>
      </c>
      <c r="F2079" s="43" t="s">
        <v>1705</v>
      </c>
    </row>
    <row r="2080" spans="4:6" x14ac:dyDescent="0.25">
      <c r="D2080" s="41" t="s">
        <v>2601</v>
      </c>
      <c r="E2080" s="42" t="s">
        <v>46</v>
      </c>
      <c r="F2080" s="43"/>
    </row>
    <row r="2081" spans="4:6" x14ac:dyDescent="0.25">
      <c r="D2081" s="41" t="s">
        <v>2978</v>
      </c>
      <c r="E2081" s="42" t="s">
        <v>46</v>
      </c>
      <c r="F2081" s="43"/>
    </row>
    <row r="2082" spans="4:6" x14ac:dyDescent="0.25">
      <c r="D2082" s="41" t="s">
        <v>3045</v>
      </c>
      <c r="E2082" s="42" t="s">
        <v>46</v>
      </c>
      <c r="F2082" s="43"/>
    </row>
    <row r="2083" spans="4:6" x14ac:dyDescent="0.25">
      <c r="D2083" s="41" t="s">
        <v>1120</v>
      </c>
      <c r="E2083" s="42" t="s">
        <v>4027</v>
      </c>
      <c r="F2083" s="43" t="s">
        <v>1121</v>
      </c>
    </row>
    <row r="2084" spans="4:6" x14ac:dyDescent="0.25">
      <c r="D2084" s="41" t="s">
        <v>1144</v>
      </c>
      <c r="E2084" s="42" t="s">
        <v>3981</v>
      </c>
      <c r="F2084" s="43" t="s">
        <v>1139</v>
      </c>
    </row>
    <row r="2085" spans="4:6" x14ac:dyDescent="0.25">
      <c r="D2085" s="53" t="s">
        <v>2602</v>
      </c>
      <c r="E2085" s="47" t="s">
        <v>3818</v>
      </c>
      <c r="F2085" s="54"/>
    </row>
    <row r="2086" spans="4:6" x14ac:dyDescent="0.25">
      <c r="D2086" s="41" t="s">
        <v>2603</v>
      </c>
      <c r="E2086" s="47" t="s">
        <v>3818</v>
      </c>
      <c r="F2086" s="43"/>
    </row>
    <row r="2087" spans="4:6" x14ac:dyDescent="0.25">
      <c r="D2087" s="41" t="s">
        <v>2604</v>
      </c>
      <c r="E2087" s="47" t="s">
        <v>3818</v>
      </c>
      <c r="F2087" s="43"/>
    </row>
    <row r="2088" spans="4:6" x14ac:dyDescent="0.25">
      <c r="D2088" s="41" t="s">
        <v>2605</v>
      </c>
      <c r="E2088" s="42" t="s">
        <v>2608</v>
      </c>
      <c r="F2088" s="43" t="s">
        <v>2606</v>
      </c>
    </row>
    <row r="2089" spans="4:6" x14ac:dyDescent="0.25">
      <c r="D2089" s="41" t="s">
        <v>2607</v>
      </c>
      <c r="E2089" s="42" t="s">
        <v>2608</v>
      </c>
      <c r="F2089" s="43" t="s">
        <v>2609</v>
      </c>
    </row>
    <row r="2090" spans="4:6" x14ac:dyDescent="0.25">
      <c r="D2090" s="41" t="s">
        <v>2610</v>
      </c>
      <c r="E2090" s="42" t="s">
        <v>3819</v>
      </c>
      <c r="F2090" s="43"/>
    </row>
    <row r="2091" spans="4:6" x14ac:dyDescent="0.25">
      <c r="D2091" s="41" t="s">
        <v>3687</v>
      </c>
      <c r="E2091" s="42" t="s">
        <v>3983</v>
      </c>
      <c r="F2091" s="43" t="s">
        <v>3655</v>
      </c>
    </row>
    <row r="2092" spans="4:6" x14ac:dyDescent="0.25">
      <c r="D2092" s="44" t="s">
        <v>3306</v>
      </c>
      <c r="E2092" s="45" t="s">
        <v>3984</v>
      </c>
      <c r="F2092" s="46" t="s">
        <v>3307</v>
      </c>
    </row>
    <row r="2093" spans="4:6" x14ac:dyDescent="0.25">
      <c r="D2093" s="41" t="s">
        <v>1305</v>
      </c>
      <c r="E2093" s="42" t="s">
        <v>3821</v>
      </c>
      <c r="F2093" s="43" t="s">
        <v>747</v>
      </c>
    </row>
    <row r="2094" spans="4:6" x14ac:dyDescent="0.25">
      <c r="D2094" s="41" t="s">
        <v>2611</v>
      </c>
      <c r="E2094" s="42" t="s">
        <v>3821</v>
      </c>
      <c r="F2094" s="43" t="s">
        <v>747</v>
      </c>
    </row>
    <row r="2095" spans="4:6" x14ac:dyDescent="0.25">
      <c r="D2095" s="41" t="s">
        <v>2612</v>
      </c>
      <c r="E2095" s="42" t="s">
        <v>3821</v>
      </c>
      <c r="F2095" s="43"/>
    </row>
    <row r="2096" spans="4:6" x14ac:dyDescent="0.25">
      <c r="D2096" s="41" t="s">
        <v>2613</v>
      </c>
      <c r="E2096" s="42" t="s">
        <v>3821</v>
      </c>
      <c r="F2096" s="43"/>
    </row>
    <row r="2097" spans="4:6" x14ac:dyDescent="0.25">
      <c r="D2097" s="41" t="s">
        <v>2614</v>
      </c>
      <c r="E2097" s="42" t="s">
        <v>3821</v>
      </c>
      <c r="F2097" s="43"/>
    </row>
    <row r="2098" spans="4:6" x14ac:dyDescent="0.25">
      <c r="D2098" s="41" t="s">
        <v>2615</v>
      </c>
      <c r="E2098" s="42" t="s">
        <v>3821</v>
      </c>
      <c r="F2098" s="43"/>
    </row>
    <row r="2099" spans="4:6" x14ac:dyDescent="0.25">
      <c r="D2099" s="41" t="s">
        <v>2616</v>
      </c>
      <c r="E2099" s="42" t="s">
        <v>3821</v>
      </c>
      <c r="F2099" s="43"/>
    </row>
    <row r="2100" spans="4:6" x14ac:dyDescent="0.25">
      <c r="D2100" s="41" t="s">
        <v>2617</v>
      </c>
      <c r="E2100" s="42" t="s">
        <v>3821</v>
      </c>
      <c r="F2100" s="43"/>
    </row>
    <row r="2101" spans="4:6" x14ac:dyDescent="0.25">
      <c r="D2101" s="41" t="s">
        <v>2909</v>
      </c>
      <c r="E2101" s="42" t="s">
        <v>3821</v>
      </c>
      <c r="F2101" s="43" t="s">
        <v>938</v>
      </c>
    </row>
    <row r="2102" spans="4:6" x14ac:dyDescent="0.25">
      <c r="D2102" s="41" t="s">
        <v>3503</v>
      </c>
      <c r="E2102" s="42" t="s">
        <v>3821</v>
      </c>
      <c r="F2102" s="43">
        <v>3</v>
      </c>
    </row>
    <row r="2103" spans="4:6" x14ac:dyDescent="0.25">
      <c r="D2103" s="41" t="s">
        <v>3705</v>
      </c>
      <c r="E2103" s="42" t="s">
        <v>3821</v>
      </c>
      <c r="F2103" s="43"/>
    </row>
    <row r="2104" spans="4:6" x14ac:dyDescent="0.25">
      <c r="D2104" s="41" t="s">
        <v>2618</v>
      </c>
      <c r="E2104" s="42" t="s">
        <v>3822</v>
      </c>
      <c r="F2104" s="43" t="s">
        <v>938</v>
      </c>
    </row>
    <row r="2105" spans="4:6" x14ac:dyDescent="0.25">
      <c r="D2105" s="41" t="s">
        <v>2912</v>
      </c>
      <c r="E2105" s="42" t="s">
        <v>3823</v>
      </c>
      <c r="F2105" s="43" t="s">
        <v>747</v>
      </c>
    </row>
    <row r="2106" spans="4:6" x14ac:dyDescent="0.25">
      <c r="D2106" s="41" t="s">
        <v>1480</v>
      </c>
      <c r="E2106" s="42" t="s">
        <v>3824</v>
      </c>
      <c r="F2106" s="43" t="s">
        <v>747</v>
      </c>
    </row>
    <row r="2107" spans="4:6" x14ac:dyDescent="0.25">
      <c r="D2107" s="41" t="s">
        <v>1567</v>
      </c>
      <c r="E2107" s="42" t="s">
        <v>3824</v>
      </c>
      <c r="F2107" s="43" t="s">
        <v>1123</v>
      </c>
    </row>
    <row r="2108" spans="4:6" x14ac:dyDescent="0.25">
      <c r="D2108" s="41" t="s">
        <v>2619</v>
      </c>
      <c r="E2108" s="42" t="s">
        <v>3824</v>
      </c>
      <c r="F2108" s="43" t="s">
        <v>747</v>
      </c>
    </row>
    <row r="2109" spans="4:6" x14ac:dyDescent="0.25">
      <c r="D2109" s="41" t="s">
        <v>2620</v>
      </c>
      <c r="E2109" s="42" t="s">
        <v>3824</v>
      </c>
      <c r="F2109" s="43"/>
    </row>
    <row r="2110" spans="4:6" x14ac:dyDescent="0.25">
      <c r="D2110" s="41" t="s">
        <v>3409</v>
      </c>
      <c r="E2110" s="42" t="s">
        <v>3824</v>
      </c>
      <c r="F2110" s="43"/>
    </row>
    <row r="2111" spans="4:6" x14ac:dyDescent="0.25">
      <c r="D2111" s="41" t="s">
        <v>1241</v>
      </c>
      <c r="E2111" s="42" t="s">
        <v>865</v>
      </c>
      <c r="F2111" s="43" t="s">
        <v>1242</v>
      </c>
    </row>
    <row r="2112" spans="4:6" x14ac:dyDescent="0.25">
      <c r="D2112" s="41" t="s">
        <v>2621</v>
      </c>
      <c r="E2112" s="42" t="s">
        <v>865</v>
      </c>
      <c r="F2112" s="43" t="s">
        <v>2622</v>
      </c>
    </row>
    <row r="2113" spans="4:6" x14ac:dyDescent="0.25">
      <c r="D2113" s="41" t="s">
        <v>2623</v>
      </c>
      <c r="E2113" s="42" t="s">
        <v>865</v>
      </c>
      <c r="F2113" s="43" t="s">
        <v>747</v>
      </c>
    </row>
    <row r="2114" spans="4:6" x14ac:dyDescent="0.25">
      <c r="D2114" s="41" t="s">
        <v>2624</v>
      </c>
      <c r="E2114" s="42" t="s">
        <v>2625</v>
      </c>
      <c r="F2114" s="43" t="s">
        <v>2063</v>
      </c>
    </row>
    <row r="2115" spans="4:6" x14ac:dyDescent="0.25">
      <c r="D2115" s="41" t="s">
        <v>2626</v>
      </c>
      <c r="E2115" s="42" t="s">
        <v>2625</v>
      </c>
      <c r="F2115" s="43" t="s">
        <v>78</v>
      </c>
    </row>
    <row r="2116" spans="4:6" x14ac:dyDescent="0.25">
      <c r="D2116" s="41" t="s">
        <v>3432</v>
      </c>
      <c r="E2116" s="42" t="s">
        <v>2625</v>
      </c>
      <c r="F2116" s="43"/>
    </row>
    <row r="2117" spans="4:6" x14ac:dyDescent="0.25">
      <c r="D2117" s="41" t="s">
        <v>1521</v>
      </c>
      <c r="E2117" s="42" t="s">
        <v>3985</v>
      </c>
      <c r="F2117" s="43"/>
    </row>
    <row r="2118" spans="4:6" x14ac:dyDescent="0.25">
      <c r="D2118" s="41" t="s">
        <v>2627</v>
      </c>
      <c r="E2118" s="42" t="s">
        <v>3903</v>
      </c>
      <c r="F2118" s="43" t="s">
        <v>2628</v>
      </c>
    </row>
    <row r="2119" spans="4:6" x14ac:dyDescent="0.25">
      <c r="D2119" s="41" t="s">
        <v>2629</v>
      </c>
      <c r="E2119" s="42" t="s">
        <v>3825</v>
      </c>
      <c r="F2119" s="43" t="s">
        <v>2630</v>
      </c>
    </row>
    <row r="2120" spans="4:6" x14ac:dyDescent="0.25">
      <c r="D2120" s="41" t="s">
        <v>2631</v>
      </c>
      <c r="E2120" s="42" t="s">
        <v>2632</v>
      </c>
      <c r="F2120" s="43" t="s">
        <v>1242</v>
      </c>
    </row>
    <row r="2121" spans="4:6" x14ac:dyDescent="0.25">
      <c r="D2121" s="41" t="s">
        <v>2633</v>
      </c>
      <c r="E2121" s="42" t="s">
        <v>2634</v>
      </c>
      <c r="F2121" s="43" t="s">
        <v>747</v>
      </c>
    </row>
    <row r="2122" spans="4:6" x14ac:dyDescent="0.25">
      <c r="D2122" s="41" t="s">
        <v>3406</v>
      </c>
      <c r="E2122" s="42" t="s">
        <v>3826</v>
      </c>
      <c r="F2122" s="43" t="s">
        <v>938</v>
      </c>
    </row>
    <row r="2123" spans="4:6" x14ac:dyDescent="0.25">
      <c r="D2123" s="41" t="s">
        <v>2635</v>
      </c>
      <c r="E2123" s="42" t="s">
        <v>3986</v>
      </c>
      <c r="F2123" s="43" t="s">
        <v>747</v>
      </c>
    </row>
    <row r="2124" spans="4:6" x14ac:dyDescent="0.25">
      <c r="D2124" s="41" t="s">
        <v>3562</v>
      </c>
      <c r="E2124" s="42" t="s">
        <v>3563</v>
      </c>
      <c r="F2124" s="43" t="s">
        <v>747</v>
      </c>
    </row>
    <row r="2125" spans="4:6" x14ac:dyDescent="0.25">
      <c r="D2125" s="41" t="s">
        <v>2636</v>
      </c>
      <c r="E2125" s="42" t="s">
        <v>2637</v>
      </c>
      <c r="F2125" s="43" t="s">
        <v>747</v>
      </c>
    </row>
    <row r="2126" spans="4:6" x14ac:dyDescent="0.25">
      <c r="D2126" s="41" t="s">
        <v>3785</v>
      </c>
      <c r="E2126" s="42" t="s">
        <v>2637</v>
      </c>
      <c r="F2126" s="43" t="s">
        <v>747</v>
      </c>
    </row>
    <row r="2127" spans="4:6" x14ac:dyDescent="0.25">
      <c r="D2127" s="41" t="s">
        <v>3135</v>
      </c>
      <c r="E2127" s="42" t="s">
        <v>3140</v>
      </c>
      <c r="F2127" s="43" t="s">
        <v>747</v>
      </c>
    </row>
    <row r="2128" spans="4:6" x14ac:dyDescent="0.25">
      <c r="D2128" s="41" t="s">
        <v>2638</v>
      </c>
      <c r="E2128" s="42" t="s">
        <v>3904</v>
      </c>
      <c r="F2128" s="43" t="s">
        <v>747</v>
      </c>
    </row>
    <row r="2129" spans="4:6" x14ac:dyDescent="0.25">
      <c r="D2129" s="41" t="s">
        <v>2639</v>
      </c>
      <c r="E2129" s="42" t="s">
        <v>3904</v>
      </c>
      <c r="F2129" s="43"/>
    </row>
    <row r="2130" spans="4:6" x14ac:dyDescent="0.25">
      <c r="D2130" s="41" t="s">
        <v>2640</v>
      </c>
      <c r="E2130" s="42" t="s">
        <v>3904</v>
      </c>
      <c r="F2130" s="43"/>
    </row>
    <row r="2131" spans="4:6" x14ac:dyDescent="0.25">
      <c r="D2131" s="41" t="s">
        <v>2641</v>
      </c>
      <c r="E2131" s="42" t="s">
        <v>3904</v>
      </c>
      <c r="F2131" s="43" t="s">
        <v>78</v>
      </c>
    </row>
    <row r="2132" spans="4:6" x14ac:dyDescent="0.25">
      <c r="D2132" s="41" t="s">
        <v>3412</v>
      </c>
      <c r="E2132" s="42" t="s">
        <v>3904</v>
      </c>
      <c r="F2132" s="43"/>
    </row>
    <row r="2133" spans="4:6" x14ac:dyDescent="0.25">
      <c r="D2133" s="41" t="s">
        <v>3511</v>
      </c>
      <c r="E2133" s="42" t="s">
        <v>3904</v>
      </c>
      <c r="F2133" s="43" t="s">
        <v>747</v>
      </c>
    </row>
    <row r="2134" spans="4:6" x14ac:dyDescent="0.25">
      <c r="D2134" s="41" t="s">
        <v>3542</v>
      </c>
      <c r="E2134" s="42" t="s">
        <v>3449</v>
      </c>
      <c r="F2134" s="43" t="s">
        <v>747</v>
      </c>
    </row>
    <row r="2135" spans="4:6" x14ac:dyDescent="0.25">
      <c r="D2135" s="41" t="s">
        <v>859</v>
      </c>
      <c r="E2135" s="42" t="s">
        <v>271</v>
      </c>
      <c r="F2135" s="43" t="s">
        <v>747</v>
      </c>
    </row>
    <row r="2136" spans="4:6" x14ac:dyDescent="0.25">
      <c r="D2136" s="41" t="s">
        <v>891</v>
      </c>
      <c r="E2136" s="42" t="s">
        <v>271</v>
      </c>
      <c r="F2136" s="43" t="s">
        <v>892</v>
      </c>
    </row>
    <row r="2137" spans="4:6" x14ac:dyDescent="0.25">
      <c r="D2137" s="41" t="s">
        <v>1510</v>
      </c>
      <c r="E2137" s="42" t="s">
        <v>271</v>
      </c>
      <c r="F2137" s="43"/>
    </row>
    <row r="2138" spans="4:6" x14ac:dyDescent="0.25">
      <c r="D2138" s="41" t="s">
        <v>1591</v>
      </c>
      <c r="E2138" s="42" t="s">
        <v>271</v>
      </c>
      <c r="F2138" s="43" t="s">
        <v>747</v>
      </c>
    </row>
    <row r="2139" spans="4:6" x14ac:dyDescent="0.25">
      <c r="D2139" s="41" t="s">
        <v>1613</v>
      </c>
      <c r="E2139" s="42" t="s">
        <v>271</v>
      </c>
      <c r="F2139" s="43" t="s">
        <v>1610</v>
      </c>
    </row>
    <row r="2140" spans="4:6" x14ac:dyDescent="0.25">
      <c r="D2140" s="41" t="s">
        <v>1700</v>
      </c>
      <c r="E2140" s="42" t="s">
        <v>271</v>
      </c>
      <c r="F2140" s="43" t="s">
        <v>1701</v>
      </c>
    </row>
    <row r="2141" spans="4:6" x14ac:dyDescent="0.25">
      <c r="D2141" s="41" t="s">
        <v>2642</v>
      </c>
      <c r="E2141" s="42" t="s">
        <v>271</v>
      </c>
      <c r="F2141" s="43" t="s">
        <v>747</v>
      </c>
    </row>
    <row r="2142" spans="4:6" x14ac:dyDescent="0.25">
      <c r="D2142" s="41" t="s">
        <v>2806</v>
      </c>
      <c r="E2142" s="42" t="s">
        <v>271</v>
      </c>
      <c r="F2142" s="43"/>
    </row>
    <row r="2143" spans="4:6" x14ac:dyDescent="0.25">
      <c r="D2143" s="44" t="s">
        <v>3344</v>
      </c>
      <c r="E2143" s="45" t="s">
        <v>271</v>
      </c>
      <c r="F2143" s="46" t="s">
        <v>3307</v>
      </c>
    </row>
    <row r="2144" spans="4:6" x14ac:dyDescent="0.25">
      <c r="D2144" s="41" t="s">
        <v>3547</v>
      </c>
      <c r="E2144" s="42" t="s">
        <v>271</v>
      </c>
      <c r="F2144" s="43"/>
    </row>
    <row r="2145" spans="4:6" x14ac:dyDescent="0.25">
      <c r="D2145" s="41" t="s">
        <v>2643</v>
      </c>
      <c r="E2145" s="42" t="s">
        <v>3989</v>
      </c>
      <c r="F2145" s="43" t="s">
        <v>2644</v>
      </c>
    </row>
    <row r="2146" spans="4:6" x14ac:dyDescent="0.25">
      <c r="D2146" s="41" t="s">
        <v>615</v>
      </c>
      <c r="E2146" s="42" t="s">
        <v>47</v>
      </c>
      <c r="F2146" s="43" t="s">
        <v>470</v>
      </c>
    </row>
    <row r="2147" spans="4:6" x14ac:dyDescent="0.25">
      <c r="D2147" s="41" t="s">
        <v>843</v>
      </c>
      <c r="E2147" s="42" t="s">
        <v>47</v>
      </c>
      <c r="F2147" s="43" t="s">
        <v>747</v>
      </c>
    </row>
    <row r="2148" spans="4:6" x14ac:dyDescent="0.25">
      <c r="D2148" s="41" t="s">
        <v>1594</v>
      </c>
      <c r="E2148" s="42" t="s">
        <v>47</v>
      </c>
      <c r="F2148" s="43" t="s">
        <v>1574</v>
      </c>
    </row>
    <row r="2149" spans="4:6" x14ac:dyDescent="0.25">
      <c r="D2149" s="41" t="s">
        <v>3686</v>
      </c>
      <c r="E2149" s="42" t="s">
        <v>47</v>
      </c>
      <c r="F2149" s="43"/>
    </row>
    <row r="2150" spans="4:6" x14ac:dyDescent="0.25">
      <c r="D2150" s="41" t="s">
        <v>504</v>
      </c>
      <c r="E2150" s="42" t="s">
        <v>3990</v>
      </c>
      <c r="F2150" s="43" t="s">
        <v>470</v>
      </c>
    </row>
    <row r="2151" spans="4:6" x14ac:dyDescent="0.25">
      <c r="D2151" s="41" t="s">
        <v>614</v>
      </c>
      <c r="E2151" s="42" t="s">
        <v>3990</v>
      </c>
      <c r="F2151" s="43" t="s">
        <v>473</v>
      </c>
    </row>
    <row r="2152" spans="4:6" x14ac:dyDescent="0.25">
      <c r="D2152" s="41" t="s">
        <v>979</v>
      </c>
      <c r="E2152" s="42" t="s">
        <v>3990</v>
      </c>
      <c r="F2152" s="43" t="s">
        <v>980</v>
      </c>
    </row>
    <row r="2153" spans="4:6" x14ac:dyDescent="0.25">
      <c r="D2153" s="41" t="s">
        <v>2645</v>
      </c>
      <c r="E2153" s="42" t="s">
        <v>3990</v>
      </c>
      <c r="F2153" s="43"/>
    </row>
    <row r="2154" spans="4:6" x14ac:dyDescent="0.25">
      <c r="D2154" s="41" t="s">
        <v>3062</v>
      </c>
      <c r="E2154" s="42" t="s">
        <v>3990</v>
      </c>
      <c r="F2154" s="43"/>
    </row>
    <row r="2155" spans="4:6" x14ac:dyDescent="0.25">
      <c r="D2155" s="41" t="s">
        <v>3067</v>
      </c>
      <c r="E2155" s="42" t="s">
        <v>3990</v>
      </c>
      <c r="F2155" s="43"/>
    </row>
    <row r="2156" spans="4:6" x14ac:dyDescent="0.25">
      <c r="D2156" s="41" t="s">
        <v>3570</v>
      </c>
      <c r="E2156" s="42" t="s">
        <v>3990</v>
      </c>
      <c r="F2156" s="43"/>
    </row>
    <row r="2157" spans="4:6" x14ac:dyDescent="0.25">
      <c r="D2157" s="41" t="s">
        <v>3727</v>
      </c>
      <c r="E2157" s="42" t="s">
        <v>3990</v>
      </c>
      <c r="F2157" s="43"/>
    </row>
    <row r="2158" spans="4:6" x14ac:dyDescent="0.25">
      <c r="D2158" s="41" t="s">
        <v>3165</v>
      </c>
      <c r="E2158" s="42" t="s">
        <v>3991</v>
      </c>
      <c r="F2158" s="43" t="s">
        <v>3166</v>
      </c>
    </row>
    <row r="2159" spans="4:6" x14ac:dyDescent="0.25">
      <c r="D2159" s="41" t="s">
        <v>550</v>
      </c>
      <c r="E2159" s="42" t="s">
        <v>49</v>
      </c>
      <c r="F2159" s="43" t="s">
        <v>551</v>
      </c>
    </row>
    <row r="2160" spans="4:6" x14ac:dyDescent="0.25">
      <c r="D2160" s="41" t="s">
        <v>595</v>
      </c>
      <c r="E2160" s="42" t="s">
        <v>49</v>
      </c>
      <c r="F2160" s="43" t="s">
        <v>596</v>
      </c>
    </row>
    <row r="2161" spans="4:6" x14ac:dyDescent="0.25">
      <c r="D2161" s="41" t="s">
        <v>599</v>
      </c>
      <c r="E2161" s="42" t="s">
        <v>49</v>
      </c>
      <c r="F2161" s="43" t="s">
        <v>551</v>
      </c>
    </row>
    <row r="2162" spans="4:6" x14ac:dyDescent="0.25">
      <c r="D2162" s="41" t="s">
        <v>600</v>
      </c>
      <c r="E2162" s="42" t="s">
        <v>49</v>
      </c>
      <c r="F2162" s="43" t="s">
        <v>598</v>
      </c>
    </row>
    <row r="2163" spans="4:6" x14ac:dyDescent="0.25">
      <c r="D2163" s="41" t="s">
        <v>787</v>
      </c>
      <c r="E2163" s="42" t="s">
        <v>49</v>
      </c>
      <c r="F2163" s="43" t="s">
        <v>747</v>
      </c>
    </row>
    <row r="2164" spans="4:6" x14ac:dyDescent="0.25">
      <c r="D2164" s="41" t="s">
        <v>893</v>
      </c>
      <c r="E2164" s="42" t="s">
        <v>49</v>
      </c>
      <c r="F2164" s="43" t="s">
        <v>747</v>
      </c>
    </row>
    <row r="2165" spans="4:6" x14ac:dyDescent="0.25">
      <c r="D2165" s="41" t="s">
        <v>932</v>
      </c>
      <c r="E2165" s="42" t="s">
        <v>49</v>
      </c>
      <c r="F2165" s="43" t="s">
        <v>747</v>
      </c>
    </row>
    <row r="2166" spans="4:6" x14ac:dyDescent="0.25">
      <c r="D2166" s="41" t="s">
        <v>1157</v>
      </c>
      <c r="E2166" s="42" t="s">
        <v>49</v>
      </c>
      <c r="F2166" s="43" t="s">
        <v>1139</v>
      </c>
    </row>
    <row r="2167" spans="4:6" x14ac:dyDescent="0.25">
      <c r="D2167" s="41" t="s">
        <v>1208</v>
      </c>
      <c r="E2167" s="42" t="s">
        <v>49</v>
      </c>
      <c r="F2167" s="43" t="s">
        <v>1209</v>
      </c>
    </row>
    <row r="2168" spans="4:6" x14ac:dyDescent="0.25">
      <c r="D2168" s="41" t="s">
        <v>1475</v>
      </c>
      <c r="E2168" s="42" t="s">
        <v>49</v>
      </c>
      <c r="F2168" s="43" t="s">
        <v>1476</v>
      </c>
    </row>
    <row r="2169" spans="4:6" x14ac:dyDescent="0.25">
      <c r="D2169" s="41" t="s">
        <v>1526</v>
      </c>
      <c r="E2169" s="42" t="s">
        <v>49</v>
      </c>
      <c r="F2169" s="43"/>
    </row>
    <row r="2170" spans="4:6" x14ac:dyDescent="0.25">
      <c r="D2170" s="41" t="s">
        <v>1618</v>
      </c>
      <c r="E2170" s="42" t="s">
        <v>49</v>
      </c>
      <c r="F2170" s="43" t="s">
        <v>1471</v>
      </c>
    </row>
    <row r="2171" spans="4:6" x14ac:dyDescent="0.25">
      <c r="D2171" s="41" t="s">
        <v>2646</v>
      </c>
      <c r="E2171" s="42" t="s">
        <v>49</v>
      </c>
      <c r="F2171" s="43" t="s">
        <v>78</v>
      </c>
    </row>
    <row r="2172" spans="4:6" x14ac:dyDescent="0.25">
      <c r="D2172" s="41" t="s">
        <v>2647</v>
      </c>
      <c r="E2172" s="42" t="s">
        <v>49</v>
      </c>
      <c r="F2172" s="43"/>
    </row>
    <row r="2173" spans="4:6" x14ac:dyDescent="0.25">
      <c r="D2173" s="44" t="s">
        <v>3279</v>
      </c>
      <c r="E2173" s="45" t="s">
        <v>49</v>
      </c>
      <c r="F2173" s="46"/>
    </row>
    <row r="2174" spans="4:6" x14ac:dyDescent="0.25">
      <c r="D2174" s="41" t="s">
        <v>3512</v>
      </c>
      <c r="E2174" s="42" t="s">
        <v>49</v>
      </c>
      <c r="F2174" s="43" t="s">
        <v>747</v>
      </c>
    </row>
    <row r="2175" spans="4:6" x14ac:dyDescent="0.25">
      <c r="D2175" s="41" t="s">
        <v>930</v>
      </c>
      <c r="E2175" s="42" t="s">
        <v>3992</v>
      </c>
      <c r="F2175" s="43" t="s">
        <v>747</v>
      </c>
    </row>
    <row r="2176" spans="4:6" x14ac:dyDescent="0.25">
      <c r="D2176" s="41" t="s">
        <v>1424</v>
      </c>
      <c r="E2176" s="42" t="s">
        <v>4028</v>
      </c>
      <c r="F2176" s="43" t="s">
        <v>747</v>
      </c>
    </row>
    <row r="2177" spans="4:6" x14ac:dyDescent="0.25">
      <c r="D2177" s="41" t="s">
        <v>300</v>
      </c>
      <c r="E2177" s="42" t="s">
        <v>50</v>
      </c>
      <c r="F2177" s="43" t="s">
        <v>301</v>
      </c>
    </row>
    <row r="2178" spans="4:6" x14ac:dyDescent="0.25">
      <c r="D2178" s="41" t="s">
        <v>601</v>
      </c>
      <c r="E2178" s="42" t="s">
        <v>50</v>
      </c>
      <c r="F2178" s="43" t="s">
        <v>602</v>
      </c>
    </row>
    <row r="2179" spans="4:6" x14ac:dyDescent="0.25">
      <c r="D2179" s="41" t="s">
        <v>825</v>
      </c>
      <c r="E2179" s="42" t="s">
        <v>50</v>
      </c>
      <c r="F2179" s="43" t="s">
        <v>747</v>
      </c>
    </row>
    <row r="2180" spans="4:6" x14ac:dyDescent="0.25">
      <c r="D2180" s="41" t="s">
        <v>1289</v>
      </c>
      <c r="E2180" s="42" t="s">
        <v>50</v>
      </c>
      <c r="F2180" s="43" t="s">
        <v>747</v>
      </c>
    </row>
    <row r="2181" spans="4:6" x14ac:dyDescent="0.25">
      <c r="D2181" s="41" t="s">
        <v>1388</v>
      </c>
      <c r="E2181" s="42" t="s">
        <v>50</v>
      </c>
      <c r="F2181" s="43" t="s">
        <v>747</v>
      </c>
    </row>
    <row r="2182" spans="4:6" x14ac:dyDescent="0.25">
      <c r="D2182" s="41" t="s">
        <v>1460</v>
      </c>
      <c r="E2182" s="42" t="s">
        <v>50</v>
      </c>
      <c r="F2182" s="43" t="s">
        <v>747</v>
      </c>
    </row>
    <row r="2183" spans="4:6" x14ac:dyDescent="0.25">
      <c r="D2183" s="41" t="s">
        <v>1517</v>
      </c>
      <c r="E2183" s="42" t="s">
        <v>50</v>
      </c>
      <c r="F2183" s="43"/>
    </row>
    <row r="2184" spans="4:6" x14ac:dyDescent="0.25">
      <c r="D2184" s="41" t="s">
        <v>1904</v>
      </c>
      <c r="E2184" s="42" t="s">
        <v>50</v>
      </c>
      <c r="F2184" s="43"/>
    </row>
    <row r="2185" spans="4:6" x14ac:dyDescent="0.25">
      <c r="D2185" s="41" t="s">
        <v>2911</v>
      </c>
      <c r="E2185" s="42" t="s">
        <v>50</v>
      </c>
      <c r="F2185" s="43" t="s">
        <v>938</v>
      </c>
    </row>
    <row r="2186" spans="4:6" x14ac:dyDescent="0.25">
      <c r="D2186" s="41" t="s">
        <v>3004</v>
      </c>
      <c r="E2186" s="42" t="s">
        <v>50</v>
      </c>
      <c r="F2186" s="43"/>
    </row>
    <row r="2187" spans="4:6" x14ac:dyDescent="0.25">
      <c r="D2187" s="41" t="s">
        <v>3630</v>
      </c>
      <c r="E2187" s="42" t="s">
        <v>50</v>
      </c>
      <c r="F2187" s="43"/>
    </row>
    <row r="2188" spans="4:6" x14ac:dyDescent="0.25">
      <c r="D2188" s="41" t="s">
        <v>1262</v>
      </c>
      <c r="E2188" s="42" t="s">
        <v>51</v>
      </c>
      <c r="F2188" s="43" t="s">
        <v>747</v>
      </c>
    </row>
    <row r="2189" spans="4:6" x14ac:dyDescent="0.25">
      <c r="D2189" s="41" t="s">
        <v>1877</v>
      </c>
      <c r="E2189" s="42" t="s">
        <v>51</v>
      </c>
      <c r="F2189" s="43" t="s">
        <v>1560</v>
      </c>
    </row>
    <row r="2190" spans="4:6" x14ac:dyDescent="0.25">
      <c r="D2190" s="41" t="s">
        <v>2926</v>
      </c>
      <c r="E2190" s="42" t="s">
        <v>51</v>
      </c>
      <c r="F2190" s="43" t="s">
        <v>1139</v>
      </c>
    </row>
    <row r="2191" spans="4:6" x14ac:dyDescent="0.25">
      <c r="D2191" s="53" t="s">
        <v>2648</v>
      </c>
      <c r="E2191" s="42" t="s">
        <v>3993</v>
      </c>
      <c r="F2191" s="54" t="s">
        <v>941</v>
      </c>
    </row>
    <row r="2192" spans="4:6" x14ac:dyDescent="0.25">
      <c r="D2192" s="41" t="s">
        <v>3120</v>
      </c>
      <c r="E2192" s="42" t="s">
        <v>3993</v>
      </c>
      <c r="F2192" s="43" t="s">
        <v>747</v>
      </c>
    </row>
    <row r="2193" spans="4:6" x14ac:dyDescent="0.25">
      <c r="D2193" s="41" t="s">
        <v>3163</v>
      </c>
      <c r="E2193" s="42" t="s">
        <v>3179</v>
      </c>
      <c r="F2193" s="43" t="s">
        <v>3164</v>
      </c>
    </row>
    <row r="2194" spans="4:6" x14ac:dyDescent="0.25">
      <c r="D2194" s="41" t="s">
        <v>3208</v>
      </c>
      <c r="E2194" s="42" t="s">
        <v>3179</v>
      </c>
      <c r="F2194" s="43" t="s">
        <v>3188</v>
      </c>
    </row>
    <row r="2195" spans="4:6" x14ac:dyDescent="0.25">
      <c r="D2195" s="41" t="s">
        <v>3227</v>
      </c>
      <c r="E2195" s="42" t="s">
        <v>3179</v>
      </c>
      <c r="F2195" s="43" t="s">
        <v>301</v>
      </c>
    </row>
    <row r="2196" spans="4:6" x14ac:dyDescent="0.25">
      <c r="D2196" s="41" t="s">
        <v>2818</v>
      </c>
      <c r="E2196" s="42" t="s">
        <v>2819</v>
      </c>
      <c r="F2196" s="43" t="s">
        <v>938</v>
      </c>
    </row>
    <row r="2197" spans="4:6" x14ac:dyDescent="0.25">
      <c r="D2197" s="41" t="s">
        <v>3128</v>
      </c>
      <c r="E2197" s="42" t="s">
        <v>2819</v>
      </c>
      <c r="F2197" s="43" t="s">
        <v>747</v>
      </c>
    </row>
    <row r="2198" spans="4:6" x14ac:dyDescent="0.25">
      <c r="D2198" s="41" t="s">
        <v>2785</v>
      </c>
      <c r="E2198" s="42" t="s">
        <v>48</v>
      </c>
      <c r="F2198" s="43" t="s">
        <v>747</v>
      </c>
    </row>
    <row r="2199" spans="4:6" x14ac:dyDescent="0.25">
      <c r="D2199" s="41" t="s">
        <v>3070</v>
      </c>
      <c r="E2199" s="42" t="s">
        <v>48</v>
      </c>
      <c r="F2199" s="43" t="s">
        <v>3071</v>
      </c>
    </row>
    <row r="2200" spans="4:6" x14ac:dyDescent="0.25">
      <c r="D2200" s="44" t="s">
        <v>3338</v>
      </c>
      <c r="E2200" s="42" t="s">
        <v>48</v>
      </c>
      <c r="F2200" s="46" t="s">
        <v>3307</v>
      </c>
    </row>
    <row r="2201" spans="4:6" x14ac:dyDescent="0.25">
      <c r="D2201" s="41" t="s">
        <v>3398</v>
      </c>
      <c r="E2201" s="42" t="s">
        <v>48</v>
      </c>
      <c r="F2201" s="43"/>
    </row>
    <row r="2202" spans="4:6" x14ac:dyDescent="0.25">
      <c r="D2202" s="41" t="s">
        <v>597</v>
      </c>
      <c r="E2202" s="42" t="s">
        <v>48</v>
      </c>
      <c r="F2202" s="43" t="s">
        <v>598</v>
      </c>
    </row>
    <row r="2203" spans="4:6" x14ac:dyDescent="0.25">
      <c r="D2203" s="41" t="s">
        <v>1473</v>
      </c>
      <c r="E2203" s="42" t="s">
        <v>48</v>
      </c>
      <c r="F2203" s="43" t="s">
        <v>1474</v>
      </c>
    </row>
    <row r="2204" spans="4:6" x14ac:dyDescent="0.25">
      <c r="D2204" s="41" t="s">
        <v>2649</v>
      </c>
      <c r="E2204" s="42" t="s">
        <v>48</v>
      </c>
      <c r="F2204" s="43"/>
    </row>
    <row r="2205" spans="4:6" x14ac:dyDescent="0.25">
      <c r="D2205" s="44" t="s">
        <v>3259</v>
      </c>
      <c r="E2205" s="42" t="s">
        <v>48</v>
      </c>
      <c r="F2205" s="46"/>
    </row>
    <row r="2206" spans="4:6" x14ac:dyDescent="0.25">
      <c r="D2206" s="41" t="s">
        <v>1781</v>
      </c>
      <c r="E2206" s="42" t="s">
        <v>1110</v>
      </c>
      <c r="F2206" s="43" t="s">
        <v>1782</v>
      </c>
    </row>
    <row r="2207" spans="4:6" x14ac:dyDescent="0.25">
      <c r="D2207" s="41" t="s">
        <v>3679</v>
      </c>
      <c r="E2207" s="42" t="s">
        <v>3994</v>
      </c>
      <c r="F2207" s="43" t="s">
        <v>3657</v>
      </c>
    </row>
    <row r="2208" spans="4:6" x14ac:dyDescent="0.25">
      <c r="D2208" s="41" t="s">
        <v>3526</v>
      </c>
      <c r="E2208" s="42" t="s">
        <v>3452</v>
      </c>
      <c r="F2208" s="43" t="s">
        <v>747</v>
      </c>
    </row>
    <row r="2209" spans="4:6" x14ac:dyDescent="0.25">
      <c r="D2209" s="41" t="s">
        <v>433</v>
      </c>
      <c r="E2209" s="42" t="s">
        <v>268</v>
      </c>
      <c r="F2209" s="43" t="s">
        <v>434</v>
      </c>
    </row>
    <row r="2210" spans="4:6" x14ac:dyDescent="0.25">
      <c r="D2210" s="41" t="s">
        <v>436</v>
      </c>
      <c r="E2210" s="42" t="s">
        <v>268</v>
      </c>
      <c r="F2210" s="43" t="s">
        <v>427</v>
      </c>
    </row>
    <row r="2211" spans="4:6" x14ac:dyDescent="0.25">
      <c r="D2211" s="41" t="s">
        <v>437</v>
      </c>
      <c r="E2211" s="42" t="s">
        <v>268</v>
      </c>
      <c r="F2211" s="43" t="s">
        <v>427</v>
      </c>
    </row>
    <row r="2212" spans="4:6" x14ac:dyDescent="0.25">
      <c r="D2212" s="41" t="s">
        <v>441</v>
      </c>
      <c r="E2212" s="42" t="s">
        <v>268</v>
      </c>
      <c r="F2212" s="43" t="s">
        <v>434</v>
      </c>
    </row>
    <row r="2213" spans="4:6" x14ac:dyDescent="0.25">
      <c r="D2213" s="41" t="s">
        <v>792</v>
      </c>
      <c r="E2213" s="42" t="s">
        <v>268</v>
      </c>
      <c r="F2213" s="43" t="s">
        <v>747</v>
      </c>
    </row>
    <row r="2214" spans="4:6" x14ac:dyDescent="0.25">
      <c r="D2214" s="41" t="s">
        <v>796</v>
      </c>
      <c r="E2214" s="42" t="s">
        <v>268</v>
      </c>
      <c r="F2214" s="43" t="s">
        <v>747</v>
      </c>
    </row>
    <row r="2215" spans="4:6" x14ac:dyDescent="0.25">
      <c r="D2215" s="41" t="s">
        <v>933</v>
      </c>
      <c r="E2215" s="42" t="s">
        <v>268</v>
      </c>
      <c r="F2215" s="43" t="s">
        <v>747</v>
      </c>
    </row>
    <row r="2216" spans="4:6" x14ac:dyDescent="0.25">
      <c r="D2216" s="41" t="s">
        <v>1150</v>
      </c>
      <c r="E2216" s="42" t="s">
        <v>268</v>
      </c>
      <c r="F2216" s="43" t="s">
        <v>1139</v>
      </c>
    </row>
    <row r="2217" spans="4:6" x14ac:dyDescent="0.25">
      <c r="D2217" s="41" t="s">
        <v>1170</v>
      </c>
      <c r="E2217" s="42" t="s">
        <v>268</v>
      </c>
      <c r="F2217" s="43" t="s">
        <v>1139</v>
      </c>
    </row>
    <row r="2218" spans="4:6" x14ac:dyDescent="0.25">
      <c r="D2218" s="41" t="s">
        <v>1405</v>
      </c>
      <c r="E2218" s="42" t="s">
        <v>268</v>
      </c>
      <c r="F2218" s="43" t="s">
        <v>747</v>
      </c>
    </row>
    <row r="2219" spans="4:6" x14ac:dyDescent="0.25">
      <c r="D2219" s="41" t="s">
        <v>1437</v>
      </c>
      <c r="E2219" s="42" t="s">
        <v>268</v>
      </c>
      <c r="F2219" s="43" t="s">
        <v>747</v>
      </c>
    </row>
    <row r="2220" spans="4:6" x14ac:dyDescent="0.25">
      <c r="D2220" s="41" t="s">
        <v>1470</v>
      </c>
      <c r="E2220" s="42" t="s">
        <v>268</v>
      </c>
      <c r="F2220" s="43" t="s">
        <v>1471</v>
      </c>
    </row>
    <row r="2221" spans="4:6" x14ac:dyDescent="0.25">
      <c r="D2221" s="41" t="s">
        <v>2650</v>
      </c>
      <c r="E2221" s="42" t="s">
        <v>268</v>
      </c>
      <c r="F2221" s="43"/>
    </row>
    <row r="2222" spans="4:6" x14ac:dyDescent="0.25">
      <c r="D2222" s="41" t="s">
        <v>3047</v>
      </c>
      <c r="E2222" s="42" t="s">
        <v>268</v>
      </c>
      <c r="F2222" s="43"/>
    </row>
    <row r="2223" spans="4:6" x14ac:dyDescent="0.25">
      <c r="D2223" s="41" t="s">
        <v>3253</v>
      </c>
      <c r="E2223" s="42" t="s">
        <v>268</v>
      </c>
      <c r="F2223" s="43" t="s">
        <v>2866</v>
      </c>
    </row>
    <row r="2224" spans="4:6" x14ac:dyDescent="0.25">
      <c r="D2224" s="41" t="s">
        <v>1270</v>
      </c>
      <c r="E2224" s="42" t="s">
        <v>2006</v>
      </c>
      <c r="F2224" s="43" t="s">
        <v>747</v>
      </c>
    </row>
    <row r="2225" spans="4:6" x14ac:dyDescent="0.25">
      <c r="D2225" s="41" t="s">
        <v>1341</v>
      </c>
      <c r="E2225" s="42" t="s">
        <v>2006</v>
      </c>
      <c r="F2225" s="43" t="s">
        <v>747</v>
      </c>
    </row>
    <row r="2226" spans="4:6" x14ac:dyDescent="0.25">
      <c r="D2226" s="41" t="s">
        <v>1539</v>
      </c>
      <c r="E2226" s="42" t="s">
        <v>2006</v>
      </c>
      <c r="F2226" s="43" t="s">
        <v>1540</v>
      </c>
    </row>
    <row r="2227" spans="4:6" x14ac:dyDescent="0.25">
      <c r="D2227" s="41" t="s">
        <v>1671</v>
      </c>
      <c r="E2227" s="42" t="s">
        <v>2006</v>
      </c>
      <c r="F2227" s="43" t="s">
        <v>1672</v>
      </c>
    </row>
    <row r="2228" spans="4:6" x14ac:dyDescent="0.25">
      <c r="D2228" s="41" t="s">
        <v>1684</v>
      </c>
      <c r="E2228" s="42" t="s">
        <v>2006</v>
      </c>
      <c r="F2228" s="43" t="s">
        <v>1685</v>
      </c>
    </row>
    <row r="2229" spans="4:6" x14ac:dyDescent="0.25">
      <c r="D2229" s="41" t="s">
        <v>1849</v>
      </c>
      <c r="E2229" s="42" t="s">
        <v>2006</v>
      </c>
      <c r="F2229" s="43" t="s">
        <v>1850</v>
      </c>
    </row>
    <row r="2230" spans="4:6" x14ac:dyDescent="0.25">
      <c r="D2230" s="53" t="s">
        <v>1974</v>
      </c>
      <c r="E2230" s="50" t="s">
        <v>2006</v>
      </c>
      <c r="F2230" s="54" t="s">
        <v>747</v>
      </c>
    </row>
    <row r="2231" spans="4:6" x14ac:dyDescent="0.25">
      <c r="D2231" s="41" t="s">
        <v>3039</v>
      </c>
      <c r="E2231" s="42" t="s">
        <v>2006</v>
      </c>
      <c r="F2231" s="43" t="s">
        <v>747</v>
      </c>
    </row>
    <row r="2232" spans="4:6" x14ac:dyDescent="0.25">
      <c r="D2232" s="41" t="s">
        <v>3064</v>
      </c>
      <c r="E2232" s="42" t="s">
        <v>2006</v>
      </c>
      <c r="F2232" s="43"/>
    </row>
    <row r="2233" spans="4:6" x14ac:dyDescent="0.25">
      <c r="D2233" s="41" t="s">
        <v>1148</v>
      </c>
      <c r="E2233" s="42" t="s">
        <v>1021</v>
      </c>
      <c r="F2233" s="43" t="s">
        <v>1139</v>
      </c>
    </row>
    <row r="2234" spans="4:6" x14ac:dyDescent="0.25">
      <c r="D2234" s="41" t="s">
        <v>1584</v>
      </c>
      <c r="E2234" s="42" t="s">
        <v>1021</v>
      </c>
      <c r="F2234" s="43" t="s">
        <v>1585</v>
      </c>
    </row>
    <row r="2235" spans="4:6" x14ac:dyDescent="0.25">
      <c r="D2235" s="41" t="s">
        <v>1633</v>
      </c>
      <c r="E2235" s="42" t="s">
        <v>1021</v>
      </c>
      <c r="F2235" s="43" t="s">
        <v>1585</v>
      </c>
    </row>
    <row r="2236" spans="4:6" x14ac:dyDescent="0.25">
      <c r="D2236" s="41" t="s">
        <v>1980</v>
      </c>
      <c r="E2236" s="42" t="s">
        <v>1021</v>
      </c>
      <c r="F2236" s="43" t="s">
        <v>747</v>
      </c>
    </row>
    <row r="2237" spans="4:6" x14ac:dyDescent="0.25">
      <c r="D2237" s="41" t="s">
        <v>2651</v>
      </c>
      <c r="E2237" s="42" t="s">
        <v>1021</v>
      </c>
      <c r="F2237" s="43"/>
    </row>
    <row r="2238" spans="4:6" x14ac:dyDescent="0.25">
      <c r="D2238" s="41" t="s">
        <v>2652</v>
      </c>
      <c r="E2238" s="42" t="s">
        <v>1021</v>
      </c>
      <c r="F2238" s="43"/>
    </row>
    <row r="2239" spans="4:6" x14ac:dyDescent="0.25">
      <c r="D2239" s="44" t="s">
        <v>3336</v>
      </c>
      <c r="E2239" s="45" t="s">
        <v>1021</v>
      </c>
      <c r="F2239" s="46" t="s">
        <v>3307</v>
      </c>
    </row>
    <row r="2240" spans="4:6" x14ac:dyDescent="0.25">
      <c r="D2240" s="41" t="s">
        <v>3447</v>
      </c>
      <c r="E2240" s="42" t="s">
        <v>1021</v>
      </c>
      <c r="F2240" s="43"/>
    </row>
    <row r="2241" spans="4:6" x14ac:dyDescent="0.25">
      <c r="D2241" s="41" t="s">
        <v>3525</v>
      </c>
      <c r="E2241" s="42" t="s">
        <v>1021</v>
      </c>
      <c r="F2241" s="43" t="s">
        <v>747</v>
      </c>
    </row>
    <row r="2242" spans="4:6" x14ac:dyDescent="0.25">
      <c r="D2242" s="41" t="s">
        <v>3628</v>
      </c>
      <c r="E2242" s="42" t="s">
        <v>1021</v>
      </c>
      <c r="F2242" s="43"/>
    </row>
    <row r="2243" spans="4:6" x14ac:dyDescent="0.25">
      <c r="D2243" s="41" t="s">
        <v>3508</v>
      </c>
      <c r="E2243" s="42" t="s">
        <v>3453</v>
      </c>
      <c r="F2243" s="43" t="s">
        <v>747</v>
      </c>
    </row>
    <row r="2244" spans="4:6" x14ac:dyDescent="0.25">
      <c r="D2244" s="41" t="s">
        <v>3538</v>
      </c>
      <c r="E2244" s="42" t="s">
        <v>3450</v>
      </c>
      <c r="F2244" s="43" t="s">
        <v>747</v>
      </c>
    </row>
    <row r="2245" spans="4:6" x14ac:dyDescent="0.25">
      <c r="D2245" s="41" t="s">
        <v>1237</v>
      </c>
      <c r="E2245" s="42" t="s">
        <v>1111</v>
      </c>
      <c r="F2245" s="43" t="s">
        <v>747</v>
      </c>
    </row>
    <row r="2246" spans="4:6" x14ac:dyDescent="0.25">
      <c r="D2246" s="41" t="s">
        <v>1189</v>
      </c>
      <c r="E2246" s="42" t="s">
        <v>1111</v>
      </c>
      <c r="F2246" s="43" t="s">
        <v>1139</v>
      </c>
    </row>
    <row r="2247" spans="4:6" x14ac:dyDescent="0.25">
      <c r="D2247" s="41" t="s">
        <v>1287</v>
      </c>
      <c r="E2247" s="42" t="s">
        <v>1111</v>
      </c>
      <c r="F2247" s="43" t="s">
        <v>747</v>
      </c>
    </row>
    <row r="2248" spans="4:6" x14ac:dyDescent="0.25">
      <c r="D2248" s="41" t="s">
        <v>1368</v>
      </c>
      <c r="E2248" s="42" t="s">
        <v>1111</v>
      </c>
      <c r="F2248" s="43" t="s">
        <v>747</v>
      </c>
    </row>
    <row r="2249" spans="4:6" x14ac:dyDescent="0.25">
      <c r="D2249" s="41" t="s">
        <v>1596</v>
      </c>
      <c r="E2249" s="42" t="s">
        <v>1111</v>
      </c>
      <c r="F2249" s="43" t="s">
        <v>1574</v>
      </c>
    </row>
    <row r="2250" spans="4:6" x14ac:dyDescent="0.25">
      <c r="D2250" s="41" t="s">
        <v>2653</v>
      </c>
      <c r="E2250" s="42" t="s">
        <v>1111</v>
      </c>
      <c r="F2250" s="43"/>
    </row>
    <row r="2251" spans="4:6" x14ac:dyDescent="0.25">
      <c r="D2251" s="41" t="s">
        <v>3527</v>
      </c>
      <c r="E2251" s="42" t="s">
        <v>1111</v>
      </c>
      <c r="F2251" s="43" t="s">
        <v>747</v>
      </c>
    </row>
    <row r="2252" spans="4:6" x14ac:dyDescent="0.25">
      <c r="D2252" s="41" t="s">
        <v>1308</v>
      </c>
      <c r="E2252" s="42" t="s">
        <v>3995</v>
      </c>
      <c r="F2252" s="43" t="s">
        <v>747</v>
      </c>
    </row>
    <row r="2253" spans="4:6" x14ac:dyDescent="0.25">
      <c r="D2253" s="41" t="s">
        <v>1361</v>
      </c>
      <c r="E2253" s="42" t="s">
        <v>3995</v>
      </c>
      <c r="F2253" s="43" t="s">
        <v>747</v>
      </c>
    </row>
    <row r="2254" spans="4:6" x14ac:dyDescent="0.25">
      <c r="D2254" s="41" t="s">
        <v>1831</v>
      </c>
      <c r="E2254" s="42" t="s">
        <v>3995</v>
      </c>
      <c r="F2254" s="43" t="s">
        <v>1832</v>
      </c>
    </row>
    <row r="2255" spans="4:6" x14ac:dyDescent="0.25">
      <c r="D2255" s="41" t="s">
        <v>2787</v>
      </c>
      <c r="E2255" s="42" t="s">
        <v>3995</v>
      </c>
      <c r="F2255" s="43"/>
    </row>
    <row r="2256" spans="4:6" x14ac:dyDescent="0.25">
      <c r="D2256" s="44" t="s">
        <v>3258</v>
      </c>
      <c r="E2256" s="42" t="s">
        <v>3995</v>
      </c>
      <c r="F2256" s="46"/>
    </row>
    <row r="2257" spans="4:6" x14ac:dyDescent="0.25">
      <c r="D2257" s="41" t="s">
        <v>3603</v>
      </c>
      <c r="E2257" s="42" t="s">
        <v>3995</v>
      </c>
      <c r="F2257" s="43"/>
    </row>
    <row r="2258" spans="4:6" x14ac:dyDescent="0.25">
      <c r="D2258" s="41" t="s">
        <v>421</v>
      </c>
      <c r="E2258" s="42" t="s">
        <v>3995</v>
      </c>
      <c r="F2258" s="43" t="s">
        <v>420</v>
      </c>
    </row>
    <row r="2259" spans="4:6" x14ac:dyDescent="0.25">
      <c r="D2259" s="41" t="s">
        <v>1253</v>
      </c>
      <c r="E2259" s="42" t="s">
        <v>3996</v>
      </c>
      <c r="F2259" s="43" t="s">
        <v>747</v>
      </c>
    </row>
    <row r="2260" spans="4:6" x14ac:dyDescent="0.25">
      <c r="D2260" s="41" t="s">
        <v>1257</v>
      </c>
      <c r="E2260" s="42" t="s">
        <v>3996</v>
      </c>
      <c r="F2260" s="43" t="s">
        <v>747</v>
      </c>
    </row>
    <row r="2261" spans="4:6" x14ac:dyDescent="0.25">
      <c r="D2261" s="41" t="s">
        <v>1286</v>
      </c>
      <c r="E2261" s="42" t="s">
        <v>3996</v>
      </c>
      <c r="F2261" s="43" t="s">
        <v>747</v>
      </c>
    </row>
    <row r="2262" spans="4:6" x14ac:dyDescent="0.25">
      <c r="D2262" s="41" t="s">
        <v>1369</v>
      </c>
      <c r="E2262" s="42" t="s">
        <v>3996</v>
      </c>
      <c r="F2262" s="43" t="s">
        <v>747</v>
      </c>
    </row>
    <row r="2263" spans="4:6" x14ac:dyDescent="0.25">
      <c r="D2263" s="41" t="s">
        <v>1631</v>
      </c>
      <c r="E2263" s="42" t="s">
        <v>3996</v>
      </c>
      <c r="F2263" s="43" t="s">
        <v>1632</v>
      </c>
    </row>
    <row r="2264" spans="4:6" x14ac:dyDescent="0.25">
      <c r="D2264" s="41" t="s">
        <v>1638</v>
      </c>
      <c r="E2264" s="42" t="s">
        <v>3996</v>
      </c>
      <c r="F2264" s="43" t="s">
        <v>1639</v>
      </c>
    </row>
    <row r="2265" spans="4:6" x14ac:dyDescent="0.25">
      <c r="D2265" s="41" t="s">
        <v>1708</v>
      </c>
      <c r="E2265" s="42" t="s">
        <v>3996</v>
      </c>
      <c r="F2265" s="43" t="s">
        <v>1709</v>
      </c>
    </row>
    <row r="2266" spans="4:6" x14ac:dyDescent="0.25">
      <c r="D2266" s="41" t="s">
        <v>1757</v>
      </c>
      <c r="E2266" s="42" t="s">
        <v>3996</v>
      </c>
      <c r="F2266" s="43" t="s">
        <v>1758</v>
      </c>
    </row>
    <row r="2267" spans="4:6" x14ac:dyDescent="0.25">
      <c r="D2267" s="41" t="s">
        <v>1770</v>
      </c>
      <c r="E2267" s="42" t="s">
        <v>3996</v>
      </c>
      <c r="F2267" s="43" t="s">
        <v>1771</v>
      </c>
    </row>
    <row r="2268" spans="4:6" x14ac:dyDescent="0.25">
      <c r="D2268" s="41" t="s">
        <v>1779</v>
      </c>
      <c r="E2268" s="42" t="s">
        <v>3996</v>
      </c>
      <c r="F2268" s="43" t="s">
        <v>1780</v>
      </c>
    </row>
    <row r="2269" spans="4:6" x14ac:dyDescent="0.25">
      <c r="D2269" s="41" t="s">
        <v>2817</v>
      </c>
      <c r="E2269" s="42" t="s">
        <v>3996</v>
      </c>
      <c r="F2269" s="43"/>
    </row>
    <row r="2270" spans="4:6" x14ac:dyDescent="0.25">
      <c r="D2270" s="41" t="s">
        <v>3042</v>
      </c>
      <c r="E2270" s="42" t="s">
        <v>3996</v>
      </c>
      <c r="F2270" s="43" t="s">
        <v>3043</v>
      </c>
    </row>
    <row r="2271" spans="4:6" x14ac:dyDescent="0.25">
      <c r="D2271" s="41" t="s">
        <v>3065</v>
      </c>
      <c r="E2271" s="42" t="s">
        <v>3996</v>
      </c>
      <c r="F2271" s="43" t="s">
        <v>2858</v>
      </c>
    </row>
    <row r="2272" spans="4:6" x14ac:dyDescent="0.25">
      <c r="D2272" s="41" t="s">
        <v>3078</v>
      </c>
      <c r="E2272" s="42" t="s">
        <v>3996</v>
      </c>
      <c r="F2272" s="43" t="s">
        <v>2863</v>
      </c>
    </row>
    <row r="2273" spans="4:6" x14ac:dyDescent="0.25">
      <c r="D2273" s="41" t="s">
        <v>3192</v>
      </c>
      <c r="E2273" s="42" t="s">
        <v>3996</v>
      </c>
      <c r="F2273" s="43"/>
    </row>
    <row r="2274" spans="4:6" x14ac:dyDescent="0.25">
      <c r="D2274" s="41" t="s">
        <v>1578</v>
      </c>
      <c r="E2274" s="42" t="s">
        <v>1579</v>
      </c>
      <c r="F2274" s="43" t="s">
        <v>1560</v>
      </c>
    </row>
    <row r="2275" spans="4:6" x14ac:dyDescent="0.25">
      <c r="D2275" s="41" t="s">
        <v>3420</v>
      </c>
      <c r="E2275" s="42" t="s">
        <v>1579</v>
      </c>
      <c r="F2275" s="43"/>
    </row>
    <row r="2276" spans="4:6" x14ac:dyDescent="0.25">
      <c r="D2276" s="41" t="s">
        <v>3481</v>
      </c>
      <c r="E2276" s="42" t="s">
        <v>1579</v>
      </c>
      <c r="F2276" s="43" t="s">
        <v>747</v>
      </c>
    </row>
    <row r="2277" spans="4:6" x14ac:dyDescent="0.25">
      <c r="D2277" s="41" t="s">
        <v>3083</v>
      </c>
      <c r="E2277" s="42" t="s">
        <v>3019</v>
      </c>
      <c r="F2277" s="43" t="s">
        <v>3043</v>
      </c>
    </row>
    <row r="2278" spans="4:6" x14ac:dyDescent="0.25">
      <c r="D2278" s="41" t="s">
        <v>3685</v>
      </c>
      <c r="E2278" s="42" t="s">
        <v>3019</v>
      </c>
      <c r="F2278" s="43"/>
    </row>
    <row r="2279" spans="4:6" x14ac:dyDescent="0.25">
      <c r="D2279" s="41" t="s">
        <v>3745</v>
      </c>
      <c r="E2279" s="42" t="s">
        <v>3019</v>
      </c>
      <c r="F2279" s="43" t="s">
        <v>747</v>
      </c>
    </row>
    <row r="2280" spans="4:6" x14ac:dyDescent="0.25">
      <c r="D2280" s="41" t="s">
        <v>410</v>
      </c>
      <c r="E2280" s="42" t="s">
        <v>269</v>
      </c>
      <c r="F2280" s="43" t="s">
        <v>411</v>
      </c>
    </row>
    <row r="2281" spans="4:6" x14ac:dyDescent="0.25">
      <c r="D2281" s="41" t="s">
        <v>412</v>
      </c>
      <c r="E2281" s="42" t="s">
        <v>269</v>
      </c>
      <c r="F2281" s="43" t="s">
        <v>411</v>
      </c>
    </row>
    <row r="2282" spans="4:6" x14ac:dyDescent="0.25">
      <c r="D2282" s="41" t="s">
        <v>413</v>
      </c>
      <c r="E2282" s="42" t="s">
        <v>269</v>
      </c>
      <c r="F2282" s="43" t="s">
        <v>414</v>
      </c>
    </row>
    <row r="2283" spans="4:6" x14ac:dyDescent="0.25">
      <c r="D2283" s="41" t="s">
        <v>416</v>
      </c>
      <c r="E2283" s="42" t="s">
        <v>269</v>
      </c>
      <c r="F2283" s="43" t="s">
        <v>417</v>
      </c>
    </row>
    <row r="2284" spans="4:6" x14ac:dyDescent="0.25">
      <c r="D2284" s="41" t="s">
        <v>418</v>
      </c>
      <c r="E2284" s="42" t="s">
        <v>269</v>
      </c>
      <c r="F2284" s="43" t="s">
        <v>414</v>
      </c>
    </row>
    <row r="2285" spans="4:6" x14ac:dyDescent="0.25">
      <c r="D2285" s="41" t="s">
        <v>419</v>
      </c>
      <c r="E2285" s="42" t="s">
        <v>269</v>
      </c>
      <c r="F2285" s="43" t="s">
        <v>420</v>
      </c>
    </row>
    <row r="2286" spans="4:6" x14ac:dyDescent="0.25">
      <c r="D2286" s="41" t="s">
        <v>422</v>
      </c>
      <c r="E2286" s="42" t="s">
        <v>269</v>
      </c>
      <c r="F2286" s="43" t="s">
        <v>414</v>
      </c>
    </row>
    <row r="2287" spans="4:6" x14ac:dyDescent="0.25">
      <c r="D2287" s="41" t="s">
        <v>423</v>
      </c>
      <c r="E2287" s="42" t="s">
        <v>269</v>
      </c>
      <c r="F2287" s="43" t="s">
        <v>424</v>
      </c>
    </row>
    <row r="2288" spans="4:6" x14ac:dyDescent="0.25">
      <c r="D2288" s="41" t="s">
        <v>425</v>
      </c>
      <c r="E2288" s="42" t="s">
        <v>269</v>
      </c>
      <c r="F2288" s="43" t="s">
        <v>424</v>
      </c>
    </row>
    <row r="2289" spans="4:6" x14ac:dyDescent="0.25">
      <c r="D2289" s="41" t="s">
        <v>426</v>
      </c>
      <c r="E2289" s="42" t="s">
        <v>269</v>
      </c>
      <c r="F2289" s="43" t="s">
        <v>427</v>
      </c>
    </row>
    <row r="2290" spans="4:6" x14ac:dyDescent="0.25">
      <c r="D2290" s="41" t="s">
        <v>429</v>
      </c>
      <c r="E2290" s="42" t="s">
        <v>269</v>
      </c>
      <c r="F2290" s="43" t="s">
        <v>414</v>
      </c>
    </row>
    <row r="2291" spans="4:6" x14ac:dyDescent="0.25">
      <c r="D2291" s="41" t="s">
        <v>430</v>
      </c>
      <c r="E2291" s="42" t="s">
        <v>269</v>
      </c>
      <c r="F2291" s="43" t="s">
        <v>427</v>
      </c>
    </row>
    <row r="2292" spans="4:6" x14ac:dyDescent="0.25">
      <c r="D2292" s="41" t="s">
        <v>431</v>
      </c>
      <c r="E2292" s="42" t="s">
        <v>269</v>
      </c>
      <c r="F2292" s="43" t="s">
        <v>411</v>
      </c>
    </row>
    <row r="2293" spans="4:6" x14ac:dyDescent="0.25">
      <c r="D2293" s="41" t="s">
        <v>432</v>
      </c>
      <c r="E2293" s="42" t="s">
        <v>269</v>
      </c>
      <c r="F2293" s="43" t="s">
        <v>417</v>
      </c>
    </row>
    <row r="2294" spans="4:6" x14ac:dyDescent="0.25">
      <c r="D2294" s="41" t="s">
        <v>438</v>
      </c>
      <c r="E2294" s="42" t="s">
        <v>269</v>
      </c>
      <c r="F2294" s="43" t="s">
        <v>414</v>
      </c>
    </row>
    <row r="2295" spans="4:6" x14ac:dyDescent="0.25">
      <c r="D2295" s="41" t="s">
        <v>439</v>
      </c>
      <c r="E2295" s="42" t="s">
        <v>269</v>
      </c>
      <c r="F2295" s="43" t="s">
        <v>411</v>
      </c>
    </row>
    <row r="2296" spans="4:6" x14ac:dyDescent="0.25">
      <c r="D2296" s="41" t="s">
        <v>440</v>
      </c>
      <c r="E2296" s="42" t="s">
        <v>269</v>
      </c>
      <c r="F2296" s="43" t="s">
        <v>414</v>
      </c>
    </row>
    <row r="2297" spans="4:6" x14ac:dyDescent="0.25">
      <c r="D2297" s="41" t="s">
        <v>442</v>
      </c>
      <c r="E2297" s="42" t="s">
        <v>269</v>
      </c>
      <c r="F2297" s="43" t="s">
        <v>414</v>
      </c>
    </row>
    <row r="2298" spans="4:6" x14ac:dyDescent="0.25">
      <c r="D2298" s="41" t="s">
        <v>443</v>
      </c>
      <c r="E2298" s="42" t="s">
        <v>269</v>
      </c>
      <c r="F2298" s="43" t="s">
        <v>414</v>
      </c>
    </row>
    <row r="2299" spans="4:6" x14ac:dyDescent="0.25">
      <c r="D2299" s="41" t="s">
        <v>444</v>
      </c>
      <c r="E2299" s="42" t="s">
        <v>269</v>
      </c>
      <c r="F2299" s="43" t="s">
        <v>411</v>
      </c>
    </row>
    <row r="2300" spans="4:6" x14ac:dyDescent="0.25">
      <c r="D2300" s="41" t="s">
        <v>445</v>
      </c>
      <c r="E2300" s="42" t="s">
        <v>269</v>
      </c>
      <c r="F2300" s="43" t="s">
        <v>411</v>
      </c>
    </row>
    <row r="2301" spans="4:6" x14ac:dyDescent="0.25">
      <c r="D2301" s="41" t="s">
        <v>789</v>
      </c>
      <c r="E2301" s="42" t="s">
        <v>269</v>
      </c>
      <c r="F2301" s="43" t="s">
        <v>747</v>
      </c>
    </row>
    <row r="2302" spans="4:6" x14ac:dyDescent="0.25">
      <c r="D2302" s="41" t="s">
        <v>791</v>
      </c>
      <c r="E2302" s="42" t="s">
        <v>269</v>
      </c>
      <c r="F2302" s="43" t="s">
        <v>747</v>
      </c>
    </row>
    <row r="2303" spans="4:6" x14ac:dyDescent="0.25">
      <c r="D2303" s="41" t="s">
        <v>797</v>
      </c>
      <c r="E2303" s="42" t="s">
        <v>269</v>
      </c>
      <c r="F2303" s="43" t="s">
        <v>747</v>
      </c>
    </row>
    <row r="2304" spans="4:6" x14ac:dyDescent="0.25">
      <c r="D2304" s="41" t="s">
        <v>813</v>
      </c>
      <c r="E2304" s="42" t="s">
        <v>269</v>
      </c>
      <c r="F2304" s="43" t="s">
        <v>747</v>
      </c>
    </row>
    <row r="2305" spans="4:6" x14ac:dyDescent="0.25">
      <c r="D2305" s="41" t="s">
        <v>824</v>
      </c>
      <c r="E2305" s="42" t="s">
        <v>269</v>
      </c>
      <c r="F2305" s="43" t="s">
        <v>747</v>
      </c>
    </row>
    <row r="2306" spans="4:6" x14ac:dyDescent="0.25">
      <c r="D2306" s="41" t="s">
        <v>925</v>
      </c>
      <c r="E2306" s="42" t="s">
        <v>269</v>
      </c>
      <c r="F2306" s="43" t="s">
        <v>747</v>
      </c>
    </row>
    <row r="2307" spans="4:6" x14ac:dyDescent="0.25">
      <c r="D2307" s="41" t="s">
        <v>1001</v>
      </c>
      <c r="E2307" s="42" t="s">
        <v>269</v>
      </c>
      <c r="F2307" s="43" t="s">
        <v>1002</v>
      </c>
    </row>
    <row r="2308" spans="4:6" x14ac:dyDescent="0.25">
      <c r="D2308" s="41" t="s">
        <v>1389</v>
      </c>
      <c r="E2308" s="42" t="s">
        <v>269</v>
      </c>
      <c r="F2308" s="43" t="s">
        <v>747</v>
      </c>
    </row>
    <row r="2309" spans="4:6" x14ac:dyDescent="0.25">
      <c r="D2309" s="41" t="s">
        <v>1607</v>
      </c>
      <c r="E2309" s="42" t="s">
        <v>269</v>
      </c>
      <c r="F2309" s="43" t="s">
        <v>1544</v>
      </c>
    </row>
    <row r="2310" spans="4:6" x14ac:dyDescent="0.25">
      <c r="D2310" s="41" t="s">
        <v>1921</v>
      </c>
      <c r="E2310" s="42" t="s">
        <v>269</v>
      </c>
      <c r="F2310" s="43" t="s">
        <v>747</v>
      </c>
    </row>
    <row r="2311" spans="4:6" x14ac:dyDescent="0.25">
      <c r="D2311" s="41" t="s">
        <v>1928</v>
      </c>
      <c r="E2311" s="42" t="s">
        <v>269</v>
      </c>
      <c r="F2311" s="43" t="s">
        <v>747</v>
      </c>
    </row>
    <row r="2312" spans="4:6" x14ac:dyDescent="0.25">
      <c r="D2312" s="41" t="s">
        <v>1960</v>
      </c>
      <c r="E2312" s="42" t="s">
        <v>269</v>
      </c>
      <c r="F2312" s="43" t="s">
        <v>747</v>
      </c>
    </row>
    <row r="2313" spans="4:6" x14ac:dyDescent="0.25">
      <c r="D2313" s="41" t="s">
        <v>1963</v>
      </c>
      <c r="E2313" s="42" t="s">
        <v>269</v>
      </c>
      <c r="F2313" s="43" t="s">
        <v>747</v>
      </c>
    </row>
    <row r="2314" spans="4:6" x14ac:dyDescent="0.25">
      <c r="D2314" s="41" t="s">
        <v>1973</v>
      </c>
      <c r="E2314" s="42" t="s">
        <v>269</v>
      </c>
      <c r="F2314" s="43" t="s">
        <v>747</v>
      </c>
    </row>
    <row r="2315" spans="4:6" x14ac:dyDescent="0.25">
      <c r="D2315" s="41" t="s">
        <v>1984</v>
      </c>
      <c r="E2315" s="42" t="s">
        <v>269</v>
      </c>
      <c r="F2315" s="43" t="s">
        <v>747</v>
      </c>
    </row>
    <row r="2316" spans="4:6" x14ac:dyDescent="0.25">
      <c r="D2316" s="41" t="s">
        <v>3006</v>
      </c>
      <c r="E2316" s="42" t="s">
        <v>269</v>
      </c>
      <c r="F2316" s="43" t="s">
        <v>3007</v>
      </c>
    </row>
    <row r="2317" spans="4:6" x14ac:dyDescent="0.25">
      <c r="D2317" s="41" t="s">
        <v>1161</v>
      </c>
      <c r="E2317" s="42" t="s">
        <v>1112</v>
      </c>
      <c r="F2317" s="43" t="s">
        <v>1139</v>
      </c>
    </row>
    <row r="2318" spans="4:6" x14ac:dyDescent="0.25">
      <c r="D2318" s="41" t="s">
        <v>1190</v>
      </c>
      <c r="E2318" s="42" t="s">
        <v>1112</v>
      </c>
      <c r="F2318" s="43" t="s">
        <v>1139</v>
      </c>
    </row>
    <row r="2319" spans="4:6" x14ac:dyDescent="0.25">
      <c r="D2319" s="41" t="s">
        <v>1235</v>
      </c>
      <c r="E2319" s="42" t="s">
        <v>1112</v>
      </c>
      <c r="F2319" s="43" t="s">
        <v>747</v>
      </c>
    </row>
    <row r="2320" spans="4:6" x14ac:dyDescent="0.25">
      <c r="D2320" s="41" t="s">
        <v>1271</v>
      </c>
      <c r="E2320" s="42" t="s">
        <v>1112</v>
      </c>
      <c r="F2320" s="43" t="s">
        <v>747</v>
      </c>
    </row>
    <row r="2321" spans="4:6" x14ac:dyDescent="0.25">
      <c r="D2321" s="41" t="s">
        <v>1314</v>
      </c>
      <c r="E2321" s="42" t="s">
        <v>1112</v>
      </c>
      <c r="F2321" s="43" t="s">
        <v>747</v>
      </c>
    </row>
    <row r="2322" spans="4:6" x14ac:dyDescent="0.25">
      <c r="D2322" s="41" t="s">
        <v>1352</v>
      </c>
      <c r="E2322" s="42" t="s">
        <v>1112</v>
      </c>
      <c r="F2322" s="43" t="s">
        <v>747</v>
      </c>
    </row>
    <row r="2323" spans="4:6" x14ac:dyDescent="0.25">
      <c r="D2323" s="41" t="s">
        <v>1393</v>
      </c>
      <c r="E2323" s="42" t="s">
        <v>1112</v>
      </c>
      <c r="F2323" s="43" t="s">
        <v>747</v>
      </c>
    </row>
    <row r="2324" spans="4:6" x14ac:dyDescent="0.25">
      <c r="D2324" s="41" t="s">
        <v>1404</v>
      </c>
      <c r="E2324" s="42" t="s">
        <v>1112</v>
      </c>
      <c r="F2324" s="43" t="s">
        <v>747</v>
      </c>
    </row>
    <row r="2325" spans="4:6" x14ac:dyDescent="0.25">
      <c r="D2325" s="41" t="s">
        <v>1419</v>
      </c>
      <c r="E2325" s="42" t="s">
        <v>1420</v>
      </c>
      <c r="F2325" s="43" t="s">
        <v>747</v>
      </c>
    </row>
    <row r="2326" spans="4:6" x14ac:dyDescent="0.25">
      <c r="D2326" s="41" t="s">
        <v>1436</v>
      </c>
      <c r="E2326" s="42" t="s">
        <v>1112</v>
      </c>
      <c r="F2326" s="43" t="s">
        <v>747</v>
      </c>
    </row>
    <row r="2327" spans="4:6" x14ac:dyDescent="0.25">
      <c r="D2327" s="41" t="s">
        <v>1486</v>
      </c>
      <c r="E2327" s="42" t="s">
        <v>1112</v>
      </c>
      <c r="F2327" s="43" t="s">
        <v>1487</v>
      </c>
    </row>
    <row r="2328" spans="4:6" x14ac:dyDescent="0.25">
      <c r="D2328" s="41" t="s">
        <v>1593</v>
      </c>
      <c r="E2328" s="42" t="s">
        <v>1112</v>
      </c>
      <c r="F2328" s="43" t="s">
        <v>1560</v>
      </c>
    </row>
    <row r="2329" spans="4:6" x14ac:dyDescent="0.25">
      <c r="D2329" s="41" t="s">
        <v>1597</v>
      </c>
      <c r="E2329" s="42" t="s">
        <v>1112</v>
      </c>
      <c r="F2329" s="43" t="s">
        <v>1574</v>
      </c>
    </row>
    <row r="2330" spans="4:6" x14ac:dyDescent="0.25">
      <c r="D2330" s="41" t="s">
        <v>1617</v>
      </c>
      <c r="E2330" s="42" t="s">
        <v>1112</v>
      </c>
      <c r="F2330" s="43" t="s">
        <v>1544</v>
      </c>
    </row>
    <row r="2331" spans="4:6" x14ac:dyDescent="0.25">
      <c r="D2331" s="41" t="s">
        <v>1721</v>
      </c>
      <c r="E2331" s="42" t="s">
        <v>1112</v>
      </c>
      <c r="F2331" s="43" t="s">
        <v>1209</v>
      </c>
    </row>
    <row r="2332" spans="4:6" x14ac:dyDescent="0.25">
      <c r="D2332" s="41" t="s">
        <v>1629</v>
      </c>
      <c r="E2332" s="42" t="s">
        <v>1112</v>
      </c>
      <c r="F2332" s="43" t="s">
        <v>1630</v>
      </c>
    </row>
    <row r="2333" spans="4:6" x14ac:dyDescent="0.25">
      <c r="D2333" s="41" t="s">
        <v>2654</v>
      </c>
      <c r="E2333" s="42" t="s">
        <v>1112</v>
      </c>
      <c r="F2333" s="43" t="s">
        <v>78</v>
      </c>
    </row>
    <row r="2334" spans="4:6" x14ac:dyDescent="0.25">
      <c r="D2334" s="41" t="s">
        <v>2655</v>
      </c>
      <c r="E2334" s="42" t="s">
        <v>1112</v>
      </c>
      <c r="F2334" s="43"/>
    </row>
    <row r="2335" spans="4:6" x14ac:dyDescent="0.25">
      <c r="D2335" s="41" t="s">
        <v>2656</v>
      </c>
      <c r="E2335" s="42" t="s">
        <v>1112</v>
      </c>
      <c r="F2335" s="43" t="s">
        <v>78</v>
      </c>
    </row>
    <row r="2336" spans="4:6" x14ac:dyDescent="0.25">
      <c r="D2336" s="41" t="s">
        <v>2657</v>
      </c>
      <c r="E2336" s="42" t="s">
        <v>1112</v>
      </c>
      <c r="F2336" s="43"/>
    </row>
    <row r="2337" spans="4:6" x14ac:dyDescent="0.25">
      <c r="D2337" s="41" t="s">
        <v>2658</v>
      </c>
      <c r="E2337" s="42" t="s">
        <v>1112</v>
      </c>
      <c r="F2337" s="43"/>
    </row>
    <row r="2338" spans="4:6" x14ac:dyDescent="0.25">
      <c r="D2338" s="41" t="s">
        <v>2659</v>
      </c>
      <c r="E2338" s="42" t="s">
        <v>1112</v>
      </c>
      <c r="F2338" s="43"/>
    </row>
    <row r="2339" spans="4:6" x14ac:dyDescent="0.25">
      <c r="D2339" s="41" t="s">
        <v>2660</v>
      </c>
      <c r="E2339" s="42" t="s">
        <v>1112</v>
      </c>
      <c r="F2339" s="43"/>
    </row>
    <row r="2340" spans="4:6" x14ac:dyDescent="0.25">
      <c r="D2340" s="41" t="s">
        <v>2661</v>
      </c>
      <c r="E2340" s="42" t="s">
        <v>1112</v>
      </c>
      <c r="F2340" s="43"/>
    </row>
    <row r="2341" spans="4:6" x14ac:dyDescent="0.25">
      <c r="D2341" s="41" t="s">
        <v>2768</v>
      </c>
      <c r="E2341" s="42" t="s">
        <v>1112</v>
      </c>
      <c r="F2341" s="43" t="s">
        <v>934</v>
      </c>
    </row>
    <row r="2342" spans="4:6" x14ac:dyDescent="0.25">
      <c r="D2342" s="41" t="s">
        <v>2780</v>
      </c>
      <c r="E2342" s="42" t="s">
        <v>1112</v>
      </c>
      <c r="F2342" s="43"/>
    </row>
    <row r="2343" spans="4:6" x14ac:dyDescent="0.25">
      <c r="D2343" s="41" t="s">
        <v>2791</v>
      </c>
      <c r="E2343" s="42" t="s">
        <v>1112</v>
      </c>
      <c r="F2343" s="43"/>
    </row>
    <row r="2344" spans="4:6" x14ac:dyDescent="0.25">
      <c r="D2344" s="41" t="s">
        <v>2833</v>
      </c>
      <c r="E2344" s="42" t="s">
        <v>1112</v>
      </c>
      <c r="F2344" s="43" t="s">
        <v>2834</v>
      </c>
    </row>
    <row r="2345" spans="4:6" x14ac:dyDescent="0.25">
      <c r="D2345" s="41" t="s">
        <v>2955</v>
      </c>
      <c r="E2345" s="42" t="s">
        <v>1112</v>
      </c>
      <c r="F2345" s="43" t="s">
        <v>747</v>
      </c>
    </row>
    <row r="2346" spans="4:6" x14ac:dyDescent="0.25">
      <c r="D2346" s="41" t="s">
        <v>3046</v>
      </c>
      <c r="E2346" s="42" t="s">
        <v>1112</v>
      </c>
      <c r="F2346" s="43"/>
    </row>
    <row r="2347" spans="4:6" x14ac:dyDescent="0.25">
      <c r="D2347" s="41" t="s">
        <v>3126</v>
      </c>
      <c r="E2347" s="42" t="s">
        <v>1112</v>
      </c>
      <c r="F2347" s="43" t="s">
        <v>747</v>
      </c>
    </row>
    <row r="2348" spans="4:6" x14ac:dyDescent="0.25">
      <c r="D2348" s="41" t="s">
        <v>3134</v>
      </c>
      <c r="E2348" s="42" t="s">
        <v>1112</v>
      </c>
      <c r="F2348" s="43"/>
    </row>
    <row r="2349" spans="4:6" x14ac:dyDescent="0.25">
      <c r="D2349" s="41" t="s">
        <v>3157</v>
      </c>
      <c r="E2349" s="42" t="s">
        <v>1112</v>
      </c>
      <c r="F2349" s="43"/>
    </row>
    <row r="2350" spans="4:6" x14ac:dyDescent="0.25">
      <c r="D2350" s="41" t="s">
        <v>3204</v>
      </c>
      <c r="E2350" s="42" t="s">
        <v>1112</v>
      </c>
      <c r="F2350" s="43"/>
    </row>
    <row r="2351" spans="4:6" x14ac:dyDescent="0.25">
      <c r="D2351" s="41" t="s">
        <v>3205</v>
      </c>
      <c r="E2351" s="42" t="s">
        <v>1112</v>
      </c>
      <c r="F2351" s="43"/>
    </row>
    <row r="2352" spans="4:6" x14ac:dyDescent="0.25">
      <c r="D2352" s="41" t="s">
        <v>1360</v>
      </c>
      <c r="E2352" s="42" t="s">
        <v>1251</v>
      </c>
      <c r="F2352" s="43" t="s">
        <v>747</v>
      </c>
    </row>
    <row r="2353" spans="4:6" x14ac:dyDescent="0.25">
      <c r="D2353" s="41" t="s">
        <v>428</v>
      </c>
      <c r="E2353" s="42" t="s">
        <v>2005</v>
      </c>
      <c r="F2353" s="43" t="s">
        <v>427</v>
      </c>
    </row>
    <row r="2354" spans="4:6" x14ac:dyDescent="0.25">
      <c r="D2354" s="41" t="s">
        <v>435</v>
      </c>
      <c r="E2354" s="42" t="s">
        <v>2005</v>
      </c>
      <c r="F2354" s="43" t="s">
        <v>427</v>
      </c>
    </row>
    <row r="2355" spans="4:6" x14ac:dyDescent="0.25">
      <c r="D2355" s="41" t="s">
        <v>790</v>
      </c>
      <c r="E2355" s="42" t="s">
        <v>2005</v>
      </c>
      <c r="F2355" s="43">
        <v>1</v>
      </c>
    </row>
    <row r="2356" spans="4:6" x14ac:dyDescent="0.25">
      <c r="D2356" s="41" t="s">
        <v>880</v>
      </c>
      <c r="E2356" s="42" t="s">
        <v>2005</v>
      </c>
      <c r="F2356" s="43" t="s">
        <v>881</v>
      </c>
    </row>
    <row r="2357" spans="4:6" x14ac:dyDescent="0.25">
      <c r="D2357" s="41" t="s">
        <v>889</v>
      </c>
      <c r="E2357" s="42" t="s">
        <v>2005</v>
      </c>
      <c r="F2357" s="43" t="s">
        <v>890</v>
      </c>
    </row>
    <row r="2358" spans="4:6" x14ac:dyDescent="0.25">
      <c r="D2358" s="41" t="s">
        <v>910</v>
      </c>
      <c r="E2358" s="42" t="s">
        <v>2005</v>
      </c>
      <c r="F2358" s="43" t="s">
        <v>747</v>
      </c>
    </row>
    <row r="2359" spans="4:6" x14ac:dyDescent="0.25">
      <c r="D2359" s="41" t="s">
        <v>1196</v>
      </c>
      <c r="E2359" s="42" t="s">
        <v>2005</v>
      </c>
      <c r="F2359" s="43" t="s">
        <v>747</v>
      </c>
    </row>
    <row r="2360" spans="4:6" x14ac:dyDescent="0.25">
      <c r="D2360" s="41" t="s">
        <v>1223</v>
      </c>
      <c r="E2360" s="42" t="s">
        <v>2005</v>
      </c>
      <c r="F2360" s="43" t="s">
        <v>1224</v>
      </c>
    </row>
    <row r="2361" spans="4:6" x14ac:dyDescent="0.25">
      <c r="D2361" s="41" t="s">
        <v>1254</v>
      </c>
      <c r="E2361" s="42" t="s">
        <v>2005</v>
      </c>
      <c r="F2361" s="43" t="s">
        <v>747</v>
      </c>
    </row>
    <row r="2362" spans="4:6" x14ac:dyDescent="0.25">
      <c r="D2362" s="41" t="s">
        <v>1259</v>
      </c>
      <c r="E2362" s="42" t="s">
        <v>2005</v>
      </c>
      <c r="F2362" s="43" t="s">
        <v>747</v>
      </c>
    </row>
    <row r="2363" spans="4:6" x14ac:dyDescent="0.25">
      <c r="D2363" s="41" t="s">
        <v>1299</v>
      </c>
      <c r="E2363" s="42" t="s">
        <v>2005</v>
      </c>
      <c r="F2363" s="43" t="s">
        <v>747</v>
      </c>
    </row>
    <row r="2364" spans="4:6" x14ac:dyDescent="0.25">
      <c r="D2364" s="41" t="s">
        <v>1392</v>
      </c>
      <c r="E2364" s="42" t="s">
        <v>2005</v>
      </c>
      <c r="F2364" s="43" t="s">
        <v>747</v>
      </c>
    </row>
    <row r="2365" spans="4:6" x14ac:dyDescent="0.25">
      <c r="D2365" s="41" t="s">
        <v>1394</v>
      </c>
      <c r="E2365" s="42" t="s">
        <v>2005</v>
      </c>
      <c r="F2365" s="43" t="s">
        <v>747</v>
      </c>
    </row>
    <row r="2366" spans="4:6" x14ac:dyDescent="0.25">
      <c r="D2366" s="41" t="s">
        <v>1463</v>
      </c>
      <c r="E2366" s="42" t="s">
        <v>2005</v>
      </c>
      <c r="F2366" s="43">
        <v>4</v>
      </c>
    </row>
    <row r="2367" spans="4:6" x14ac:dyDescent="0.25">
      <c r="D2367" s="41" t="s">
        <v>1541</v>
      </c>
      <c r="E2367" s="42" t="s">
        <v>2005</v>
      </c>
      <c r="F2367" s="43" t="s">
        <v>1542</v>
      </c>
    </row>
    <row r="2368" spans="4:6" x14ac:dyDescent="0.25">
      <c r="D2368" s="41" t="s">
        <v>1706</v>
      </c>
      <c r="E2368" s="42" t="s">
        <v>2005</v>
      </c>
      <c r="F2368" s="43" t="s">
        <v>1707</v>
      </c>
    </row>
    <row r="2369" spans="4:6" x14ac:dyDescent="0.25">
      <c r="D2369" s="41" t="s">
        <v>1759</v>
      </c>
      <c r="E2369" s="42" t="s">
        <v>2005</v>
      </c>
      <c r="F2369" s="43" t="s">
        <v>1760</v>
      </c>
    </row>
    <row r="2370" spans="4:6" x14ac:dyDescent="0.25">
      <c r="D2370" s="41" t="s">
        <v>1830</v>
      </c>
      <c r="E2370" s="42" t="s">
        <v>2005</v>
      </c>
      <c r="F2370" s="43" t="s">
        <v>1780</v>
      </c>
    </row>
    <row r="2371" spans="4:6" x14ac:dyDescent="0.25">
      <c r="D2371" s="41" t="s">
        <v>1854</v>
      </c>
      <c r="E2371" s="42" t="s">
        <v>2005</v>
      </c>
      <c r="F2371" s="43" t="s">
        <v>1852</v>
      </c>
    </row>
    <row r="2372" spans="4:6" x14ac:dyDescent="0.25">
      <c r="D2372" s="41" t="s">
        <v>1871</v>
      </c>
      <c r="E2372" s="42" t="s">
        <v>2005</v>
      </c>
      <c r="F2372" s="43" t="s">
        <v>1872</v>
      </c>
    </row>
    <row r="2373" spans="4:6" x14ac:dyDescent="0.25">
      <c r="D2373" s="41" t="s">
        <v>1894</v>
      </c>
      <c r="E2373" s="42" t="s">
        <v>2005</v>
      </c>
      <c r="F2373" s="43" t="s">
        <v>1123</v>
      </c>
    </row>
    <row r="2374" spans="4:6" x14ac:dyDescent="0.25">
      <c r="D2374" s="41" t="s">
        <v>1919</v>
      </c>
      <c r="E2374" s="42" t="s">
        <v>2005</v>
      </c>
      <c r="F2374" s="43" t="s">
        <v>1920</v>
      </c>
    </row>
    <row r="2375" spans="4:6" x14ac:dyDescent="0.25">
      <c r="D2375" s="41" t="s">
        <v>1931</v>
      </c>
      <c r="E2375" s="42" t="s">
        <v>2005</v>
      </c>
      <c r="F2375" s="43" t="s">
        <v>747</v>
      </c>
    </row>
    <row r="2376" spans="4:6" x14ac:dyDescent="0.25">
      <c r="D2376" s="41" t="s">
        <v>1938</v>
      </c>
      <c r="E2376" s="42" t="s">
        <v>2005</v>
      </c>
      <c r="F2376" s="43" t="s">
        <v>747</v>
      </c>
    </row>
    <row r="2377" spans="4:6" x14ac:dyDescent="0.25">
      <c r="D2377" s="41" t="s">
        <v>1998</v>
      </c>
      <c r="E2377" s="42" t="s">
        <v>2005</v>
      </c>
      <c r="F2377" s="43"/>
    </row>
    <row r="2378" spans="4:6" x14ac:dyDescent="0.25">
      <c r="D2378" s="41" t="s">
        <v>2662</v>
      </c>
      <c r="E2378" s="42" t="s">
        <v>2005</v>
      </c>
      <c r="F2378" s="43"/>
    </row>
    <row r="2379" spans="4:6" x14ac:dyDescent="0.25">
      <c r="D2379" s="41" t="s">
        <v>2663</v>
      </c>
      <c r="E2379" s="42" t="s">
        <v>2005</v>
      </c>
      <c r="F2379" s="43"/>
    </row>
    <row r="2380" spans="4:6" x14ac:dyDescent="0.25">
      <c r="D2380" s="41" t="s">
        <v>2664</v>
      </c>
      <c r="E2380" s="42" t="s">
        <v>2005</v>
      </c>
      <c r="F2380" s="43"/>
    </row>
    <row r="2381" spans="4:6" x14ac:dyDescent="0.25">
      <c r="D2381" s="41" t="s">
        <v>2665</v>
      </c>
      <c r="E2381" s="42" t="s">
        <v>2005</v>
      </c>
      <c r="F2381" s="43"/>
    </row>
    <row r="2382" spans="4:6" x14ac:dyDescent="0.25">
      <c r="D2382" s="41" t="s">
        <v>2666</v>
      </c>
      <c r="E2382" s="42" t="s">
        <v>2005</v>
      </c>
      <c r="F2382" s="43"/>
    </row>
    <row r="2383" spans="4:6" x14ac:dyDescent="0.25">
      <c r="D2383" s="41" t="s">
        <v>2862</v>
      </c>
      <c r="E2383" s="42" t="s">
        <v>2005</v>
      </c>
      <c r="F2383" s="43" t="s">
        <v>2863</v>
      </c>
    </row>
    <row r="2384" spans="4:6" x14ac:dyDescent="0.25">
      <c r="D2384" s="41" t="s">
        <v>2957</v>
      </c>
      <c r="E2384" s="42" t="s">
        <v>2005</v>
      </c>
      <c r="F2384" s="43" t="s">
        <v>747</v>
      </c>
    </row>
    <row r="2385" spans="4:6" x14ac:dyDescent="0.25">
      <c r="D2385" s="41" t="s">
        <v>3127</v>
      </c>
      <c r="E2385" s="42" t="s">
        <v>2005</v>
      </c>
      <c r="F2385" s="43"/>
    </row>
    <row r="2386" spans="4:6" x14ac:dyDescent="0.25">
      <c r="D2386" s="41" t="s">
        <v>3156</v>
      </c>
      <c r="E2386" s="42" t="s">
        <v>2005</v>
      </c>
      <c r="F2386" s="43"/>
    </row>
    <row r="2387" spans="4:6" x14ac:dyDescent="0.25">
      <c r="D2387" s="41" t="s">
        <v>3160</v>
      </c>
      <c r="E2387" s="42" t="s">
        <v>2005</v>
      </c>
      <c r="F2387" s="43"/>
    </row>
    <row r="2388" spans="4:6" x14ac:dyDescent="0.25">
      <c r="D2388" s="41" t="s">
        <v>3203</v>
      </c>
      <c r="E2388" s="42" t="s">
        <v>2005</v>
      </c>
      <c r="F2388" s="43"/>
    </row>
    <row r="2389" spans="4:6" x14ac:dyDescent="0.25">
      <c r="D2389" s="41" t="s">
        <v>3209</v>
      </c>
      <c r="E2389" s="42" t="s">
        <v>2005</v>
      </c>
      <c r="F2389" s="43"/>
    </row>
    <row r="2390" spans="4:6" x14ac:dyDescent="0.25">
      <c r="D2390" s="41" t="s">
        <v>3234</v>
      </c>
      <c r="E2390" s="42" t="s">
        <v>2005</v>
      </c>
      <c r="F2390" s="43"/>
    </row>
    <row r="2391" spans="4:6" x14ac:dyDescent="0.25">
      <c r="D2391" s="41" t="s">
        <v>3241</v>
      </c>
      <c r="E2391" s="42" t="s">
        <v>2005</v>
      </c>
      <c r="F2391" s="43" t="s">
        <v>881</v>
      </c>
    </row>
    <row r="2392" spans="4:6" x14ac:dyDescent="0.25">
      <c r="D2392" s="41" t="s">
        <v>3371</v>
      </c>
      <c r="E2392" s="42" t="s">
        <v>2005</v>
      </c>
      <c r="F2392" s="43"/>
    </row>
    <row r="2393" spans="4:6" x14ac:dyDescent="0.25">
      <c r="D2393" s="41" t="s">
        <v>3494</v>
      </c>
      <c r="E2393" s="42" t="s">
        <v>2005</v>
      </c>
      <c r="F2393" s="43"/>
    </row>
    <row r="2394" spans="4:6" x14ac:dyDescent="0.25">
      <c r="D2394" s="41" t="s">
        <v>3609</v>
      </c>
      <c r="E2394" s="42" t="s">
        <v>2005</v>
      </c>
      <c r="F2394" s="43"/>
    </row>
    <row r="2395" spans="4:6" x14ac:dyDescent="0.25">
      <c r="D2395" s="41" t="s">
        <v>3778</v>
      </c>
      <c r="E2395" s="42" t="s">
        <v>2005</v>
      </c>
      <c r="F2395" s="43" t="s">
        <v>747</v>
      </c>
    </row>
    <row r="2396" spans="4:6" x14ac:dyDescent="0.25">
      <c r="D2396" s="41" t="s">
        <v>2865</v>
      </c>
      <c r="E2396" s="42" t="s">
        <v>3997</v>
      </c>
      <c r="F2396" s="43" t="s">
        <v>2866</v>
      </c>
    </row>
    <row r="2397" spans="4:6" x14ac:dyDescent="0.25">
      <c r="D2397" s="41" t="s">
        <v>3683</v>
      </c>
      <c r="E2397" s="42" t="s">
        <v>3997</v>
      </c>
      <c r="F2397" s="43"/>
    </row>
    <row r="2398" spans="4:6" x14ac:dyDescent="0.25">
      <c r="D2398" s="41" t="s">
        <v>983</v>
      </c>
      <c r="E2398" s="42" t="s">
        <v>3998</v>
      </c>
      <c r="F2398" s="43" t="s">
        <v>984</v>
      </c>
    </row>
    <row r="2399" spans="4:6" x14ac:dyDescent="0.25">
      <c r="D2399" s="41" t="s">
        <v>1423</v>
      </c>
      <c r="E2399" s="42" t="s">
        <v>3998</v>
      </c>
      <c r="F2399" s="43" t="s">
        <v>747</v>
      </c>
    </row>
    <row r="2400" spans="4:6" x14ac:dyDescent="0.25">
      <c r="D2400" s="41" t="s">
        <v>1972</v>
      </c>
      <c r="E2400" s="42" t="s">
        <v>3998</v>
      </c>
      <c r="F2400" s="43" t="s">
        <v>1123</v>
      </c>
    </row>
    <row r="2401" spans="4:6" x14ac:dyDescent="0.25">
      <c r="D2401" s="41" t="s">
        <v>2667</v>
      </c>
      <c r="E2401" s="42" t="s">
        <v>3998</v>
      </c>
      <c r="F2401" s="43"/>
    </row>
    <row r="2402" spans="4:6" x14ac:dyDescent="0.25">
      <c r="D2402" s="41" t="s">
        <v>2668</v>
      </c>
      <c r="E2402" s="42" t="s">
        <v>3998</v>
      </c>
      <c r="F2402" s="43"/>
    </row>
    <row r="2403" spans="4:6" x14ac:dyDescent="0.25">
      <c r="D2403" s="41" t="s">
        <v>3136</v>
      </c>
      <c r="E2403" s="42" t="s">
        <v>3998</v>
      </c>
      <c r="F2403" s="43"/>
    </row>
    <row r="2404" spans="4:6" x14ac:dyDescent="0.25">
      <c r="D2404" s="44" t="s">
        <v>3305</v>
      </c>
      <c r="E2404" s="42" t="s">
        <v>3998</v>
      </c>
      <c r="F2404" s="46"/>
    </row>
    <row r="2405" spans="4:6" x14ac:dyDescent="0.25">
      <c r="D2405" s="41" t="s">
        <v>2669</v>
      </c>
      <c r="E2405" s="42" t="s">
        <v>3999</v>
      </c>
      <c r="F2405" s="43" t="s">
        <v>747</v>
      </c>
    </row>
    <row r="2406" spans="4:6" x14ac:dyDescent="0.25">
      <c r="D2406" s="41" t="s">
        <v>3421</v>
      </c>
      <c r="E2406" s="42" t="s">
        <v>3999</v>
      </c>
      <c r="F2406" s="43"/>
    </row>
    <row r="2407" spans="4:6" x14ac:dyDescent="0.25">
      <c r="D2407" s="41" t="s">
        <v>1212</v>
      </c>
      <c r="E2407" s="42" t="s">
        <v>4029</v>
      </c>
      <c r="F2407" s="43" t="s">
        <v>1131</v>
      </c>
    </row>
    <row r="2408" spans="4:6" x14ac:dyDescent="0.25">
      <c r="D2408" s="41" t="s">
        <v>1551</v>
      </c>
      <c r="E2408" s="42" t="s">
        <v>4029</v>
      </c>
      <c r="F2408" s="43" t="s">
        <v>1546</v>
      </c>
    </row>
    <row r="2409" spans="4:6" x14ac:dyDescent="0.25">
      <c r="D2409" s="41" t="s">
        <v>1442</v>
      </c>
      <c r="E2409" s="42" t="s">
        <v>4002</v>
      </c>
      <c r="F2409" s="43" t="s">
        <v>747</v>
      </c>
    </row>
    <row r="2410" spans="4:6" x14ac:dyDescent="0.25">
      <c r="D2410" s="41" t="s">
        <v>1457</v>
      </c>
      <c r="E2410" s="42" t="s">
        <v>4002</v>
      </c>
      <c r="F2410" s="43" t="s">
        <v>747</v>
      </c>
    </row>
    <row r="2411" spans="4:6" x14ac:dyDescent="0.25">
      <c r="D2411" s="41" t="s">
        <v>3118</v>
      </c>
      <c r="E2411" s="42" t="s">
        <v>4002</v>
      </c>
      <c r="F2411" s="43" t="s">
        <v>747</v>
      </c>
    </row>
    <row r="2412" spans="4:6" x14ac:dyDescent="0.25">
      <c r="D2412" s="41" t="s">
        <v>1362</v>
      </c>
      <c r="E2412" s="42" t="s">
        <v>4000</v>
      </c>
      <c r="F2412" s="43" t="s">
        <v>747</v>
      </c>
    </row>
    <row r="2413" spans="4:6" x14ac:dyDescent="0.25">
      <c r="D2413" s="41" t="s">
        <v>1761</v>
      </c>
      <c r="E2413" s="42" t="s">
        <v>4001</v>
      </c>
      <c r="F2413" s="43" t="s">
        <v>1762</v>
      </c>
    </row>
    <row r="2414" spans="4:6" x14ac:dyDescent="0.25">
      <c r="D2414" s="41" t="s">
        <v>1945</v>
      </c>
      <c r="E2414" s="42" t="s">
        <v>4001</v>
      </c>
      <c r="F2414" s="43" t="s">
        <v>747</v>
      </c>
    </row>
    <row r="2415" spans="4:6" x14ac:dyDescent="0.25">
      <c r="D2415" s="41" t="s">
        <v>3119</v>
      </c>
      <c r="E2415" s="42" t="s">
        <v>4001</v>
      </c>
      <c r="F2415" s="43" t="s">
        <v>747</v>
      </c>
    </row>
    <row r="2416" spans="4:6" x14ac:dyDescent="0.25">
      <c r="D2416" s="41" t="s">
        <v>2670</v>
      </c>
      <c r="E2416" s="42" t="s">
        <v>4003</v>
      </c>
      <c r="F2416" s="43" t="s">
        <v>747</v>
      </c>
    </row>
    <row r="2417" spans="4:6" x14ac:dyDescent="0.25">
      <c r="D2417" s="41" t="s">
        <v>2671</v>
      </c>
      <c r="E2417" s="42" t="s">
        <v>1084</v>
      </c>
      <c r="F2417" s="43"/>
    </row>
    <row r="2418" spans="4:6" x14ac:dyDescent="0.25">
      <c r="D2418" s="41" t="s">
        <v>2672</v>
      </c>
      <c r="E2418" s="42" t="s">
        <v>1086</v>
      </c>
      <c r="F2418" s="43"/>
    </row>
    <row r="2419" spans="4:6" x14ac:dyDescent="0.25">
      <c r="D2419" s="44" t="s">
        <v>3360</v>
      </c>
      <c r="E2419" s="45" t="s">
        <v>1086</v>
      </c>
      <c r="F2419" s="46" t="s">
        <v>3307</v>
      </c>
    </row>
    <row r="2420" spans="4:6" x14ac:dyDescent="0.25">
      <c r="D2420" s="41" t="s">
        <v>298</v>
      </c>
      <c r="E2420" s="42" t="s">
        <v>124</v>
      </c>
      <c r="F2420" s="43" t="s">
        <v>299</v>
      </c>
    </row>
    <row r="2421" spans="4:6" x14ac:dyDescent="0.25">
      <c r="D2421" s="41" t="s">
        <v>510</v>
      </c>
      <c r="E2421" s="42" t="s">
        <v>124</v>
      </c>
      <c r="F2421" s="43" t="s">
        <v>511</v>
      </c>
    </row>
    <row r="2422" spans="4:6" x14ac:dyDescent="0.25">
      <c r="D2422" s="41" t="s">
        <v>810</v>
      </c>
      <c r="E2422" s="42" t="s">
        <v>124</v>
      </c>
      <c r="F2422" s="43" t="s">
        <v>747</v>
      </c>
    </row>
    <row r="2423" spans="4:6" x14ac:dyDescent="0.25">
      <c r="D2423" s="41" t="s">
        <v>848</v>
      </c>
      <c r="E2423" s="42" t="s">
        <v>124</v>
      </c>
      <c r="F2423" s="43" t="s">
        <v>747</v>
      </c>
    </row>
    <row r="2424" spans="4:6" x14ac:dyDescent="0.25">
      <c r="D2424" s="41" t="s">
        <v>862</v>
      </c>
      <c r="E2424" s="42" t="s">
        <v>124</v>
      </c>
      <c r="F2424" s="43" t="s">
        <v>78</v>
      </c>
    </row>
    <row r="2425" spans="4:6" x14ac:dyDescent="0.25">
      <c r="D2425" s="41" t="s">
        <v>1667</v>
      </c>
      <c r="E2425" s="42" t="s">
        <v>124</v>
      </c>
      <c r="F2425" s="43" t="s">
        <v>1668</v>
      </c>
    </row>
    <row r="2426" spans="4:6" x14ac:dyDescent="0.25">
      <c r="D2426" s="41" t="s">
        <v>2673</v>
      </c>
      <c r="E2426" s="42" t="s">
        <v>124</v>
      </c>
      <c r="F2426" s="43"/>
    </row>
    <row r="2427" spans="4:6" x14ac:dyDescent="0.25">
      <c r="D2427" s="41" t="s">
        <v>2674</v>
      </c>
      <c r="E2427" s="42" t="s">
        <v>124</v>
      </c>
      <c r="F2427" s="43"/>
    </row>
    <row r="2428" spans="4:6" x14ac:dyDescent="0.25">
      <c r="D2428" s="41" t="s">
        <v>2675</v>
      </c>
      <c r="E2428" s="42" t="s">
        <v>124</v>
      </c>
      <c r="F2428" s="43"/>
    </row>
    <row r="2429" spans="4:6" x14ac:dyDescent="0.25">
      <c r="D2429" s="41" t="s">
        <v>2676</v>
      </c>
      <c r="E2429" s="42" t="s">
        <v>124</v>
      </c>
      <c r="F2429" s="43"/>
    </row>
    <row r="2430" spans="4:6" x14ac:dyDescent="0.25">
      <c r="D2430" s="41" t="s">
        <v>2779</v>
      </c>
      <c r="E2430" s="42" t="s">
        <v>124</v>
      </c>
      <c r="F2430" s="43"/>
    </row>
    <row r="2431" spans="4:6" x14ac:dyDescent="0.25">
      <c r="D2431" s="41" t="s">
        <v>2947</v>
      </c>
      <c r="E2431" s="42" t="s">
        <v>124</v>
      </c>
      <c r="F2431" s="43" t="s">
        <v>747</v>
      </c>
    </row>
    <row r="2432" spans="4:6" x14ac:dyDescent="0.25">
      <c r="D2432" s="41" t="s">
        <v>2999</v>
      </c>
      <c r="E2432" s="42" t="s">
        <v>124</v>
      </c>
      <c r="F2432" s="43"/>
    </row>
    <row r="2433" spans="4:6" x14ac:dyDescent="0.25">
      <c r="D2433" s="41" t="s">
        <v>3199</v>
      </c>
      <c r="E2433" s="42" t="s">
        <v>124</v>
      </c>
      <c r="F2433" s="43"/>
    </row>
    <row r="2434" spans="4:6" x14ac:dyDescent="0.25">
      <c r="D2434" s="41" t="s">
        <v>3580</v>
      </c>
      <c r="E2434" s="42" t="s">
        <v>124</v>
      </c>
      <c r="F2434" s="43"/>
    </row>
    <row r="2435" spans="4:6" x14ac:dyDescent="0.25">
      <c r="D2435" s="41" t="s">
        <v>2677</v>
      </c>
      <c r="E2435" s="63" t="s">
        <v>123</v>
      </c>
      <c r="F2435" s="43" t="s">
        <v>747</v>
      </c>
    </row>
    <row r="2436" spans="4:6" x14ac:dyDescent="0.25">
      <c r="D2436" s="41" t="s">
        <v>2678</v>
      </c>
      <c r="E2436" s="63" t="s">
        <v>123</v>
      </c>
      <c r="F2436" s="43"/>
    </row>
    <row r="2437" spans="4:6" x14ac:dyDescent="0.25">
      <c r="D2437" s="41" t="s">
        <v>3737</v>
      </c>
      <c r="E2437" s="63" t="s">
        <v>123</v>
      </c>
      <c r="F2437" s="43"/>
    </row>
    <row r="2438" spans="4:6" x14ac:dyDescent="0.25">
      <c r="D2438" s="41" t="s">
        <v>3783</v>
      </c>
      <c r="E2438" s="63" t="s">
        <v>123</v>
      </c>
      <c r="F2438" s="43" t="s">
        <v>747</v>
      </c>
    </row>
    <row r="2439" spans="4:6" x14ac:dyDescent="0.25">
      <c r="D2439" s="41" t="s">
        <v>2679</v>
      </c>
      <c r="E2439" s="64" t="s">
        <v>1016</v>
      </c>
      <c r="F2439" s="43" t="s">
        <v>78</v>
      </c>
    </row>
    <row r="2440" spans="4:6" x14ac:dyDescent="0.25">
      <c r="D2440" s="41" t="s">
        <v>2680</v>
      </c>
      <c r="E2440" s="52" t="s">
        <v>1016</v>
      </c>
      <c r="F2440" s="43"/>
    </row>
    <row r="2441" spans="4:6" x14ac:dyDescent="0.25">
      <c r="D2441" s="44" t="s">
        <v>3326</v>
      </c>
      <c r="E2441" s="65" t="s">
        <v>1016</v>
      </c>
      <c r="F2441" s="46" t="s">
        <v>3327</v>
      </c>
    </row>
    <row r="2442" spans="4:6" x14ac:dyDescent="0.25">
      <c r="D2442" s="41" t="s">
        <v>3736</v>
      </c>
      <c r="E2442" s="42" t="s">
        <v>1016</v>
      </c>
      <c r="F2442" s="43"/>
    </row>
    <row r="2443" spans="4:6" x14ac:dyDescent="0.25">
      <c r="D2443" s="41" t="s">
        <v>3768</v>
      </c>
      <c r="E2443" s="42" t="s">
        <v>1016</v>
      </c>
      <c r="F2443" s="43" t="s">
        <v>747</v>
      </c>
    </row>
    <row r="2444" spans="4:6" x14ac:dyDescent="0.25">
      <c r="D2444" s="41" t="s">
        <v>3772</v>
      </c>
      <c r="E2444" s="42" t="s">
        <v>1016</v>
      </c>
      <c r="F2444" s="43" t="s">
        <v>747</v>
      </c>
    </row>
    <row r="2445" spans="4:6" x14ac:dyDescent="0.25">
      <c r="D2445" s="41" t="s">
        <v>1280</v>
      </c>
      <c r="E2445" s="66" t="s">
        <v>3827</v>
      </c>
      <c r="F2445" s="43" t="s">
        <v>747</v>
      </c>
    </row>
    <row r="2446" spans="4:6" x14ac:dyDescent="0.25">
      <c r="D2446" s="41" t="s">
        <v>2681</v>
      </c>
      <c r="E2446" s="66" t="s">
        <v>3827</v>
      </c>
      <c r="F2446" s="43"/>
    </row>
    <row r="2447" spans="4:6" x14ac:dyDescent="0.25">
      <c r="D2447" s="41" t="s">
        <v>2682</v>
      </c>
      <c r="E2447" s="66" t="s">
        <v>3827</v>
      </c>
      <c r="F2447" s="43"/>
    </row>
    <row r="2448" spans="4:6" x14ac:dyDescent="0.25">
      <c r="D2448" s="41" t="s">
        <v>2683</v>
      </c>
      <c r="E2448" s="66" t="s">
        <v>3827</v>
      </c>
      <c r="F2448" s="43"/>
    </row>
    <row r="2449" spans="4:6" x14ac:dyDescent="0.25">
      <c r="D2449" s="41" t="s">
        <v>2684</v>
      </c>
      <c r="E2449" s="66" t="s">
        <v>3827</v>
      </c>
      <c r="F2449" s="43"/>
    </row>
    <row r="2450" spans="4:6" x14ac:dyDescent="0.25">
      <c r="D2450" s="41" t="s">
        <v>3247</v>
      </c>
      <c r="E2450" s="42" t="s">
        <v>4030</v>
      </c>
      <c r="F2450" s="43" t="s">
        <v>3188</v>
      </c>
    </row>
    <row r="2451" spans="4:6" x14ac:dyDescent="0.25">
      <c r="D2451" s="44" t="s">
        <v>3328</v>
      </c>
      <c r="E2451" s="42" t="s">
        <v>4030</v>
      </c>
      <c r="F2451" s="46" t="s">
        <v>3077</v>
      </c>
    </row>
    <row r="2452" spans="4:6" x14ac:dyDescent="0.25">
      <c r="D2452" s="41" t="s">
        <v>822</v>
      </c>
      <c r="E2452" s="42" t="s">
        <v>1087</v>
      </c>
      <c r="F2452" s="43" t="s">
        <v>747</v>
      </c>
    </row>
    <row r="2453" spans="4:6" x14ac:dyDescent="0.25">
      <c r="D2453" s="41" t="s">
        <v>842</v>
      </c>
      <c r="E2453" s="42" t="s">
        <v>1087</v>
      </c>
      <c r="F2453" s="43" t="s">
        <v>747</v>
      </c>
    </row>
    <row r="2454" spans="4:6" x14ac:dyDescent="0.25">
      <c r="D2454" s="41" t="s">
        <v>927</v>
      </c>
      <c r="E2454" s="42" t="s">
        <v>1087</v>
      </c>
      <c r="F2454" s="43" t="s">
        <v>747</v>
      </c>
    </row>
    <row r="2455" spans="4:6" x14ac:dyDescent="0.25">
      <c r="D2455" s="41" t="s">
        <v>1006</v>
      </c>
      <c r="E2455" s="42" t="s">
        <v>1087</v>
      </c>
      <c r="F2455" s="43" t="s">
        <v>993</v>
      </c>
    </row>
    <row r="2456" spans="4:6" x14ac:dyDescent="0.25">
      <c r="D2456" s="41" t="s">
        <v>1143</v>
      </c>
      <c r="E2456" s="42" t="s">
        <v>1087</v>
      </c>
      <c r="F2456" s="43" t="s">
        <v>1139</v>
      </c>
    </row>
    <row r="2457" spans="4:6" x14ac:dyDescent="0.25">
      <c r="D2457" s="41" t="s">
        <v>1334</v>
      </c>
      <c r="E2457" s="42" t="s">
        <v>1087</v>
      </c>
      <c r="F2457" s="43" t="s">
        <v>1335</v>
      </c>
    </row>
    <row r="2458" spans="4:6" x14ac:dyDescent="0.25">
      <c r="D2458" s="41" t="s">
        <v>1413</v>
      </c>
      <c r="E2458" s="42" t="s">
        <v>1087</v>
      </c>
      <c r="F2458" s="43" t="s">
        <v>747</v>
      </c>
    </row>
    <row r="2459" spans="4:6" x14ac:dyDescent="0.25">
      <c r="D2459" s="41" t="s">
        <v>1455</v>
      </c>
      <c r="E2459" s="42" t="s">
        <v>1087</v>
      </c>
      <c r="F2459" s="43" t="s">
        <v>747</v>
      </c>
    </row>
    <row r="2460" spans="4:6" x14ac:dyDescent="0.25">
      <c r="D2460" s="41" t="s">
        <v>1464</v>
      </c>
      <c r="E2460" s="42" t="s">
        <v>1087</v>
      </c>
      <c r="F2460" s="43" t="s">
        <v>747</v>
      </c>
    </row>
    <row r="2461" spans="4:6" x14ac:dyDescent="0.25">
      <c r="D2461" s="41" t="s">
        <v>1675</v>
      </c>
      <c r="E2461" s="42" t="s">
        <v>1087</v>
      </c>
      <c r="F2461" s="43" t="s">
        <v>1676</v>
      </c>
    </row>
    <row r="2462" spans="4:6" x14ac:dyDescent="0.25">
      <c r="D2462" s="41" t="s">
        <v>1714</v>
      </c>
      <c r="E2462" s="42" t="s">
        <v>1087</v>
      </c>
      <c r="F2462" s="43" t="s">
        <v>936</v>
      </c>
    </row>
    <row r="2463" spans="4:6" x14ac:dyDescent="0.25">
      <c r="D2463" s="41" t="s">
        <v>1952</v>
      </c>
      <c r="E2463" s="42" t="s">
        <v>1087</v>
      </c>
      <c r="F2463" s="43" t="s">
        <v>747</v>
      </c>
    </row>
    <row r="2464" spans="4:6" x14ac:dyDescent="0.25">
      <c r="D2464" s="41" t="s">
        <v>1999</v>
      </c>
      <c r="E2464" s="42" t="s">
        <v>1087</v>
      </c>
      <c r="F2464" s="43" t="s">
        <v>2000</v>
      </c>
    </row>
    <row r="2465" spans="4:6" x14ac:dyDescent="0.25">
      <c r="D2465" s="41" t="s">
        <v>2685</v>
      </c>
      <c r="E2465" s="42" t="s">
        <v>1087</v>
      </c>
      <c r="F2465" s="43"/>
    </row>
    <row r="2466" spans="4:6" x14ac:dyDescent="0.25">
      <c r="D2466" s="41" t="s">
        <v>2788</v>
      </c>
      <c r="E2466" s="42" t="s">
        <v>1087</v>
      </c>
      <c r="F2466" s="43"/>
    </row>
    <row r="2467" spans="4:6" x14ac:dyDescent="0.25">
      <c r="D2467" s="41" t="s">
        <v>2983</v>
      </c>
      <c r="E2467" s="42" t="s">
        <v>1087</v>
      </c>
      <c r="F2467" s="43"/>
    </row>
    <row r="2468" spans="4:6" x14ac:dyDescent="0.25">
      <c r="D2468" s="41" t="s">
        <v>3372</v>
      </c>
      <c r="E2468" s="42" t="s">
        <v>1087</v>
      </c>
      <c r="F2468" s="43"/>
    </row>
    <row r="2469" spans="4:6" x14ac:dyDescent="0.25">
      <c r="D2469" s="41" t="s">
        <v>3615</v>
      </c>
      <c r="E2469" s="42" t="s">
        <v>1087</v>
      </c>
      <c r="F2469" s="43"/>
    </row>
    <row r="2470" spans="4:6" x14ac:dyDescent="0.25">
      <c r="D2470" s="41" t="s">
        <v>3740</v>
      </c>
      <c r="E2470" s="42" t="s">
        <v>1087</v>
      </c>
      <c r="F2470" s="43" t="s">
        <v>747</v>
      </c>
    </row>
    <row r="2471" spans="4:6" x14ac:dyDescent="0.25">
      <c r="D2471" s="41" t="s">
        <v>3751</v>
      </c>
      <c r="E2471" s="42" t="s">
        <v>1087</v>
      </c>
      <c r="F2471" s="43" t="s">
        <v>747</v>
      </c>
    </row>
    <row r="2472" spans="4:6" x14ac:dyDescent="0.25">
      <c r="D2472" s="41" t="s">
        <v>2686</v>
      </c>
      <c r="E2472" s="47" t="s">
        <v>3828</v>
      </c>
      <c r="F2472" s="43" t="s">
        <v>747</v>
      </c>
    </row>
    <row r="2473" spans="4:6" x14ac:dyDescent="0.25">
      <c r="D2473" s="41" t="s">
        <v>3480</v>
      </c>
      <c r="E2473" s="47" t="s">
        <v>3828</v>
      </c>
      <c r="F2473" s="43" t="s">
        <v>747</v>
      </c>
    </row>
    <row r="2474" spans="4:6" x14ac:dyDescent="0.25">
      <c r="D2474" s="41" t="s">
        <v>2687</v>
      </c>
      <c r="E2474" s="42" t="s">
        <v>2688</v>
      </c>
      <c r="F2474" s="43" t="s">
        <v>2689</v>
      </c>
    </row>
    <row r="2475" spans="4:6" x14ac:dyDescent="0.25">
      <c r="D2475" s="41" t="s">
        <v>2690</v>
      </c>
      <c r="E2475" s="42" t="s">
        <v>2688</v>
      </c>
      <c r="F2475" s="43" t="s">
        <v>2691</v>
      </c>
    </row>
    <row r="2476" spans="4:6" x14ac:dyDescent="0.25">
      <c r="D2476" s="41" t="s">
        <v>2692</v>
      </c>
      <c r="E2476" s="42" t="s">
        <v>2693</v>
      </c>
      <c r="F2476" s="43"/>
    </row>
    <row r="2477" spans="4:6" x14ac:dyDescent="0.25">
      <c r="D2477" s="41" t="s">
        <v>2694</v>
      </c>
      <c r="E2477" s="42" t="s">
        <v>2693</v>
      </c>
      <c r="F2477" s="43" t="s">
        <v>747</v>
      </c>
    </row>
    <row r="2478" spans="4:6" x14ac:dyDescent="0.25">
      <c r="D2478" s="41" t="s">
        <v>3560</v>
      </c>
      <c r="E2478" s="42" t="s">
        <v>3561</v>
      </c>
      <c r="F2478" s="43" t="s">
        <v>747</v>
      </c>
    </row>
    <row r="2479" spans="4:6" x14ac:dyDescent="0.25">
      <c r="D2479" s="41" t="s">
        <v>1555</v>
      </c>
      <c r="E2479" s="42" t="s">
        <v>3910</v>
      </c>
      <c r="F2479" s="43" t="s">
        <v>1556</v>
      </c>
    </row>
    <row r="2480" spans="4:6" x14ac:dyDescent="0.25">
      <c r="D2480" s="41" t="s">
        <v>1564</v>
      </c>
      <c r="E2480" s="42" t="s">
        <v>3910</v>
      </c>
      <c r="F2480" s="43" t="s">
        <v>1565</v>
      </c>
    </row>
    <row r="2481" spans="4:6" x14ac:dyDescent="0.25">
      <c r="D2481" s="41" t="s">
        <v>2695</v>
      </c>
      <c r="E2481" s="42" t="s">
        <v>3910</v>
      </c>
      <c r="F2481" s="43"/>
    </row>
    <row r="2482" spans="4:6" x14ac:dyDescent="0.25">
      <c r="D2482" s="41" t="s">
        <v>2696</v>
      </c>
      <c r="E2482" s="42" t="s">
        <v>3910</v>
      </c>
      <c r="F2482" s="43"/>
    </row>
    <row r="2483" spans="4:6" x14ac:dyDescent="0.25">
      <c r="D2483" s="41" t="s">
        <v>2697</v>
      </c>
      <c r="E2483" s="42" t="s">
        <v>3910</v>
      </c>
      <c r="F2483" s="43"/>
    </row>
    <row r="2484" spans="4:6" x14ac:dyDescent="0.25">
      <c r="D2484" s="41" t="s">
        <v>2698</v>
      </c>
      <c r="E2484" s="42" t="s">
        <v>3910</v>
      </c>
      <c r="F2484" s="43"/>
    </row>
    <row r="2485" spans="4:6" x14ac:dyDescent="0.25">
      <c r="D2485" s="41" t="s">
        <v>2699</v>
      </c>
      <c r="E2485" s="42" t="s">
        <v>3910</v>
      </c>
      <c r="F2485" s="43"/>
    </row>
    <row r="2486" spans="4:6" x14ac:dyDescent="0.25">
      <c r="D2486" s="41" t="s">
        <v>3614</v>
      </c>
      <c r="E2486" s="42" t="s">
        <v>3910</v>
      </c>
      <c r="F2486" s="43"/>
    </row>
    <row r="2487" spans="4:6" x14ac:dyDescent="0.25">
      <c r="D2487" s="41" t="s">
        <v>1866</v>
      </c>
      <c r="E2487" s="42" t="s">
        <v>3911</v>
      </c>
      <c r="F2487" s="43" t="s">
        <v>1558</v>
      </c>
    </row>
    <row r="2488" spans="4:6" x14ac:dyDescent="0.25">
      <c r="D2488" s="41" t="s">
        <v>3063</v>
      </c>
      <c r="E2488" s="42" t="s">
        <v>3911</v>
      </c>
      <c r="F2488" s="43" t="s">
        <v>536</v>
      </c>
    </row>
    <row r="2489" spans="4:6" x14ac:dyDescent="0.25">
      <c r="D2489" s="41" t="s">
        <v>2700</v>
      </c>
      <c r="E2489" s="42" t="s">
        <v>3912</v>
      </c>
      <c r="F2489" s="43" t="s">
        <v>747</v>
      </c>
    </row>
    <row r="2490" spans="4:6" x14ac:dyDescent="0.25">
      <c r="D2490" s="41" t="s">
        <v>2701</v>
      </c>
      <c r="E2490" s="42" t="s">
        <v>3912</v>
      </c>
      <c r="F2490" s="43" t="s">
        <v>747</v>
      </c>
    </row>
    <row r="2491" spans="4:6" x14ac:dyDescent="0.25">
      <c r="D2491" s="44" t="s">
        <v>3261</v>
      </c>
      <c r="E2491" s="42" t="s">
        <v>3912</v>
      </c>
      <c r="F2491" s="46" t="s">
        <v>873</v>
      </c>
    </row>
    <row r="2492" spans="4:6" x14ac:dyDescent="0.25">
      <c r="D2492" s="41" t="s">
        <v>2869</v>
      </c>
      <c r="E2492" s="42" t="s">
        <v>2829</v>
      </c>
      <c r="F2492" s="43" t="s">
        <v>2870</v>
      </c>
    </row>
    <row r="2493" spans="4:6" x14ac:dyDescent="0.25">
      <c r="D2493" s="41" t="s">
        <v>3139</v>
      </c>
      <c r="E2493" s="42" t="s">
        <v>2829</v>
      </c>
      <c r="F2493" s="43"/>
    </row>
    <row r="2494" spans="4:6" x14ac:dyDescent="0.25">
      <c r="D2494" s="41" t="s">
        <v>2914</v>
      </c>
      <c r="E2494" s="42" t="s">
        <v>4005</v>
      </c>
      <c r="F2494" s="43" t="s">
        <v>938</v>
      </c>
    </row>
    <row r="2495" spans="4:6" x14ac:dyDescent="0.25">
      <c r="D2495" s="41" t="s">
        <v>3013</v>
      </c>
      <c r="E2495" s="42" t="s">
        <v>4005</v>
      </c>
      <c r="F2495" s="43"/>
    </row>
    <row r="2496" spans="4:6" x14ac:dyDescent="0.25">
      <c r="D2496" s="41" t="s">
        <v>3105</v>
      </c>
      <c r="E2496" s="42" t="s">
        <v>4005</v>
      </c>
      <c r="F2496" s="43" t="s">
        <v>747</v>
      </c>
    </row>
    <row r="2497" spans="4:6" x14ac:dyDescent="0.25">
      <c r="D2497" s="53" t="s">
        <v>3059</v>
      </c>
      <c r="E2497" s="50" t="s">
        <v>4007</v>
      </c>
      <c r="F2497" s="54" t="s">
        <v>3060</v>
      </c>
    </row>
    <row r="2498" spans="4:6" x14ac:dyDescent="0.25">
      <c r="D2498" s="41" t="s">
        <v>3187</v>
      </c>
      <c r="E2498" s="42" t="s">
        <v>4007</v>
      </c>
      <c r="F2498" s="43"/>
    </row>
    <row r="2499" spans="4:6" x14ac:dyDescent="0.25">
      <c r="D2499" s="41" t="s">
        <v>3746</v>
      </c>
      <c r="E2499" s="42" t="s">
        <v>4007</v>
      </c>
      <c r="F2499" s="43" t="s">
        <v>747</v>
      </c>
    </row>
    <row r="2500" spans="4:6" x14ac:dyDescent="0.25">
      <c r="D2500" s="41" t="s">
        <v>3144</v>
      </c>
      <c r="E2500" s="42" t="s">
        <v>4006</v>
      </c>
      <c r="F2500" s="43" t="s">
        <v>747</v>
      </c>
    </row>
    <row r="2501" spans="4:6" x14ac:dyDescent="0.25">
      <c r="D2501" s="41" t="s">
        <v>3171</v>
      </c>
      <c r="E2501" s="42" t="s">
        <v>4006</v>
      </c>
      <c r="F2501" s="43"/>
    </row>
    <row r="2502" spans="4:6" x14ac:dyDescent="0.25">
      <c r="D2502" s="41" t="s">
        <v>3172</v>
      </c>
      <c r="E2502" s="42" t="s">
        <v>4006</v>
      </c>
      <c r="F2502" s="43"/>
    </row>
    <row r="2503" spans="4:6" x14ac:dyDescent="0.25">
      <c r="D2503" s="41" t="s">
        <v>3717</v>
      </c>
      <c r="E2503" s="42" t="s">
        <v>4006</v>
      </c>
      <c r="F2503" s="43"/>
    </row>
    <row r="2504" spans="4:6" x14ac:dyDescent="0.25">
      <c r="D2504" s="41" t="s">
        <v>1288</v>
      </c>
      <c r="E2504" s="42" t="s">
        <v>1113</v>
      </c>
      <c r="F2504" s="43" t="s">
        <v>747</v>
      </c>
    </row>
    <row r="2505" spans="4:6" x14ac:dyDescent="0.25">
      <c r="D2505" s="41" t="s">
        <v>1927</v>
      </c>
      <c r="E2505" s="42" t="s">
        <v>1113</v>
      </c>
      <c r="F2505" s="43" t="s">
        <v>747</v>
      </c>
    </row>
    <row r="2506" spans="4:6" x14ac:dyDescent="0.25">
      <c r="D2506" s="41" t="s">
        <v>1942</v>
      </c>
      <c r="E2506" s="42" t="s">
        <v>1113</v>
      </c>
      <c r="F2506" s="43" t="s">
        <v>747</v>
      </c>
    </row>
    <row r="2507" spans="4:6" x14ac:dyDescent="0.25">
      <c r="D2507" s="41" t="s">
        <v>2702</v>
      </c>
      <c r="E2507" s="42" t="s">
        <v>1113</v>
      </c>
      <c r="F2507" s="43" t="s">
        <v>747</v>
      </c>
    </row>
    <row r="2508" spans="4:6" x14ac:dyDescent="0.25">
      <c r="D2508" s="41" t="s">
        <v>2802</v>
      </c>
      <c r="E2508" s="42" t="s">
        <v>1113</v>
      </c>
      <c r="F2508" s="43"/>
    </row>
    <row r="2509" spans="4:6" x14ac:dyDescent="0.25">
      <c r="D2509" s="41" t="s">
        <v>2876</v>
      </c>
      <c r="E2509" s="42" t="s">
        <v>1113</v>
      </c>
      <c r="F2509" s="43" t="s">
        <v>2877</v>
      </c>
    </row>
    <row r="2510" spans="4:6" x14ac:dyDescent="0.25">
      <c r="D2510" s="41" t="s">
        <v>3005</v>
      </c>
      <c r="E2510" s="42" t="s">
        <v>1113</v>
      </c>
      <c r="F2510" s="43"/>
    </row>
    <row r="2511" spans="4:6" x14ac:dyDescent="0.25">
      <c r="D2511" s="41" t="s">
        <v>3041</v>
      </c>
      <c r="E2511" s="42" t="s">
        <v>1113</v>
      </c>
      <c r="F2511" s="43" t="s">
        <v>2863</v>
      </c>
    </row>
    <row r="2512" spans="4:6" x14ac:dyDescent="0.25">
      <c r="D2512" s="41" t="s">
        <v>3054</v>
      </c>
      <c r="E2512" s="42" t="s">
        <v>1113</v>
      </c>
      <c r="F2512" s="43"/>
    </row>
    <row r="2513" spans="4:6" x14ac:dyDescent="0.25">
      <c r="D2513" s="41" t="s">
        <v>3225</v>
      </c>
      <c r="E2513" s="42" t="s">
        <v>1113</v>
      </c>
      <c r="F2513" s="43" t="s">
        <v>2870</v>
      </c>
    </row>
    <row r="2514" spans="4:6" x14ac:dyDescent="0.25">
      <c r="D2514" s="41" t="s">
        <v>3011</v>
      </c>
      <c r="E2514" s="42" t="s">
        <v>4008</v>
      </c>
      <c r="F2514" s="43" t="s">
        <v>3012</v>
      </c>
    </row>
    <row r="2515" spans="4:6" x14ac:dyDescent="0.25">
      <c r="D2515" s="41" t="s">
        <v>1796</v>
      </c>
      <c r="E2515" s="42" t="s">
        <v>4009</v>
      </c>
      <c r="F2515" s="43" t="s">
        <v>1797</v>
      </c>
    </row>
    <row r="2516" spans="4:6" x14ac:dyDescent="0.25">
      <c r="D2516" s="41" t="s">
        <v>1837</v>
      </c>
      <c r="E2516" s="42" t="s">
        <v>4009</v>
      </c>
      <c r="F2516" s="43" t="s">
        <v>1838</v>
      </c>
    </row>
    <row r="2517" spans="4:6" x14ac:dyDescent="0.25">
      <c r="D2517" s="41" t="s">
        <v>2924</v>
      </c>
      <c r="E2517" s="42" t="s">
        <v>4009</v>
      </c>
      <c r="F2517" s="43" t="s">
        <v>1139</v>
      </c>
    </row>
    <row r="2518" spans="4:6" x14ac:dyDescent="0.25">
      <c r="D2518" s="41" t="s">
        <v>2934</v>
      </c>
      <c r="E2518" s="42" t="s">
        <v>4009</v>
      </c>
      <c r="F2518" s="43" t="s">
        <v>2839</v>
      </c>
    </row>
    <row r="2519" spans="4:6" x14ac:dyDescent="0.25">
      <c r="D2519" s="41" t="s">
        <v>1210</v>
      </c>
      <c r="E2519" s="42" t="s">
        <v>4009</v>
      </c>
      <c r="F2519" s="43" t="s">
        <v>1211</v>
      </c>
    </row>
    <row r="2520" spans="4:6" x14ac:dyDescent="0.25">
      <c r="D2520" s="41" t="s">
        <v>1549</v>
      </c>
      <c r="E2520" s="42" t="s">
        <v>4009</v>
      </c>
      <c r="F2520" s="43" t="s">
        <v>1548</v>
      </c>
    </row>
    <row r="2521" spans="4:6" x14ac:dyDescent="0.25">
      <c r="D2521" s="41" t="s">
        <v>1690</v>
      </c>
      <c r="E2521" s="42" t="s">
        <v>4009</v>
      </c>
      <c r="F2521" s="43" t="s">
        <v>1691</v>
      </c>
    </row>
    <row r="2522" spans="4:6" x14ac:dyDescent="0.25">
      <c r="D2522" s="41" t="s">
        <v>2703</v>
      </c>
      <c r="E2522" s="42" t="s">
        <v>2704</v>
      </c>
      <c r="F2522" s="43"/>
    </row>
    <row r="2523" spans="4:6" x14ac:dyDescent="0.25">
      <c r="D2523" s="41" t="s">
        <v>2705</v>
      </c>
      <c r="E2523" s="42" t="s">
        <v>2704</v>
      </c>
      <c r="F2523" s="43" t="s">
        <v>747</v>
      </c>
    </row>
    <row r="2524" spans="4:6" x14ac:dyDescent="0.25">
      <c r="D2524" s="41" t="s">
        <v>2706</v>
      </c>
      <c r="E2524" s="42" t="s">
        <v>4031</v>
      </c>
      <c r="F2524" s="43" t="s">
        <v>941</v>
      </c>
    </row>
    <row r="2525" spans="4:6" x14ac:dyDescent="0.25">
      <c r="D2525" s="44" t="s">
        <v>3330</v>
      </c>
      <c r="E2525" s="45" t="s">
        <v>3331</v>
      </c>
      <c r="F2525" s="46" t="s">
        <v>3307</v>
      </c>
    </row>
    <row r="2526" spans="4:6" x14ac:dyDescent="0.25">
      <c r="D2526" s="44" t="s">
        <v>3356</v>
      </c>
      <c r="E2526" s="45" t="s">
        <v>3331</v>
      </c>
      <c r="F2526" s="46" t="s">
        <v>3307</v>
      </c>
    </row>
    <row r="2527" spans="4:6" x14ac:dyDescent="0.25">
      <c r="D2527" s="41" t="s">
        <v>2708</v>
      </c>
      <c r="E2527" s="42" t="s">
        <v>3913</v>
      </c>
      <c r="F2527" s="43" t="s">
        <v>747</v>
      </c>
    </row>
    <row r="2528" spans="4:6" x14ac:dyDescent="0.25">
      <c r="D2528" s="41" t="s">
        <v>3501</v>
      </c>
      <c r="E2528" s="42" t="s">
        <v>3915</v>
      </c>
      <c r="F2528" s="43" t="s">
        <v>747</v>
      </c>
    </row>
    <row r="2529" spans="4:6" x14ac:dyDescent="0.25">
      <c r="D2529" s="41" t="s">
        <v>3706</v>
      </c>
      <c r="E2529" s="42" t="s">
        <v>3651</v>
      </c>
      <c r="F2529" s="43" t="s">
        <v>3651</v>
      </c>
    </row>
    <row r="2530" spans="4:6" x14ac:dyDescent="0.25">
      <c r="D2530" s="41" t="s">
        <v>1978</v>
      </c>
      <c r="E2530" s="42" t="s">
        <v>151</v>
      </c>
      <c r="F2530" s="43" t="s">
        <v>747</v>
      </c>
    </row>
    <row r="2531" spans="4:6" x14ac:dyDescent="0.25">
      <c r="D2531" s="41" t="s">
        <v>1197</v>
      </c>
      <c r="E2531" s="42" t="s">
        <v>151</v>
      </c>
      <c r="F2531" s="43" t="s">
        <v>747</v>
      </c>
    </row>
    <row r="2532" spans="4:6" x14ac:dyDescent="0.25">
      <c r="D2532" s="41" t="s">
        <v>2709</v>
      </c>
      <c r="E2532" s="42" t="s">
        <v>151</v>
      </c>
      <c r="F2532" s="43" t="s">
        <v>2710</v>
      </c>
    </row>
    <row r="2533" spans="4:6" x14ac:dyDescent="0.25">
      <c r="D2533" s="41" t="s">
        <v>2711</v>
      </c>
      <c r="E2533" s="42" t="s">
        <v>151</v>
      </c>
      <c r="F2533" s="43"/>
    </row>
    <row r="2534" spans="4:6" x14ac:dyDescent="0.25">
      <c r="D2534" s="41" t="s">
        <v>2712</v>
      </c>
      <c r="E2534" s="42" t="s">
        <v>151</v>
      </c>
      <c r="F2534" s="43" t="s">
        <v>78</v>
      </c>
    </row>
    <row r="2535" spans="4:6" x14ac:dyDescent="0.25">
      <c r="D2535" s="41" t="s">
        <v>2713</v>
      </c>
      <c r="E2535" s="42" t="s">
        <v>151</v>
      </c>
      <c r="F2535" s="43"/>
    </row>
    <row r="2536" spans="4:6" x14ac:dyDescent="0.25">
      <c r="D2536" s="41" t="s">
        <v>3592</v>
      </c>
      <c r="E2536" s="42" t="s">
        <v>151</v>
      </c>
      <c r="F2536" s="43"/>
    </row>
    <row r="2537" spans="4:6" x14ac:dyDescent="0.25">
      <c r="D2537" s="41" t="s">
        <v>1481</v>
      </c>
      <c r="E2537" s="42" t="s">
        <v>1245</v>
      </c>
      <c r="F2537" s="43" t="s">
        <v>747</v>
      </c>
    </row>
    <row r="2538" spans="4:6" x14ac:dyDescent="0.25">
      <c r="D2538" s="41" t="s">
        <v>3148</v>
      </c>
      <c r="E2538" s="42" t="s">
        <v>3167</v>
      </c>
      <c r="F2538" s="43" t="s">
        <v>3149</v>
      </c>
    </row>
    <row r="2539" spans="4:6" x14ac:dyDescent="0.25">
      <c r="D2539" s="44" t="s">
        <v>3323</v>
      </c>
      <c r="E2539" s="45" t="s">
        <v>3167</v>
      </c>
      <c r="F2539" s="46" t="s">
        <v>3324</v>
      </c>
    </row>
    <row r="2540" spans="4:6" x14ac:dyDescent="0.25">
      <c r="D2540" s="41" t="s">
        <v>3742</v>
      </c>
      <c r="E2540" s="42" t="s">
        <v>3167</v>
      </c>
      <c r="F2540" s="43" t="s">
        <v>747</v>
      </c>
    </row>
    <row r="2541" spans="4:6" x14ac:dyDescent="0.25">
      <c r="D2541" s="41" t="s">
        <v>845</v>
      </c>
      <c r="E2541" s="42" t="s">
        <v>3167</v>
      </c>
      <c r="F2541" s="43" t="s">
        <v>747</v>
      </c>
    </row>
    <row r="2542" spans="4:6" x14ac:dyDescent="0.25">
      <c r="D2542" s="41" t="s">
        <v>1162</v>
      </c>
      <c r="E2542" s="42" t="s">
        <v>3167</v>
      </c>
      <c r="F2542" s="43" t="s">
        <v>941</v>
      </c>
    </row>
    <row r="2543" spans="4:6" x14ac:dyDescent="0.25">
      <c r="D2543" s="41" t="s">
        <v>1478</v>
      </c>
      <c r="E2543" s="42" t="s">
        <v>3167</v>
      </c>
      <c r="F2543" s="43" t="s">
        <v>1479</v>
      </c>
    </row>
    <row r="2544" spans="4:6" x14ac:dyDescent="0.25">
      <c r="D2544" s="41" t="s">
        <v>1768</v>
      </c>
      <c r="E2544" s="42" t="s">
        <v>3167</v>
      </c>
      <c r="F2544" s="43" t="s">
        <v>1769</v>
      </c>
    </row>
    <row r="2545" spans="4:6" x14ac:dyDescent="0.25">
      <c r="D2545" s="41" t="s">
        <v>1798</v>
      </c>
      <c r="E2545" s="42" t="s">
        <v>3167</v>
      </c>
      <c r="F2545" s="43" t="s">
        <v>1799</v>
      </c>
    </row>
    <row r="2546" spans="4:6" x14ac:dyDescent="0.25">
      <c r="D2546" s="41" t="s">
        <v>1934</v>
      </c>
      <c r="E2546" s="42" t="s">
        <v>3167</v>
      </c>
      <c r="F2546" s="43" t="s">
        <v>747</v>
      </c>
    </row>
    <row r="2547" spans="4:6" x14ac:dyDescent="0.25">
      <c r="D2547" s="41" t="s">
        <v>1935</v>
      </c>
      <c r="E2547" s="42" t="s">
        <v>3167</v>
      </c>
      <c r="F2547" s="43" t="s">
        <v>747</v>
      </c>
    </row>
    <row r="2548" spans="4:6" x14ac:dyDescent="0.25">
      <c r="D2548" s="41" t="s">
        <v>2714</v>
      </c>
      <c r="E2548" s="42" t="s">
        <v>3167</v>
      </c>
      <c r="F2548" s="43" t="s">
        <v>747</v>
      </c>
    </row>
    <row r="2549" spans="4:6" x14ac:dyDescent="0.25">
      <c r="D2549" s="41" t="s">
        <v>2715</v>
      </c>
      <c r="E2549" s="42" t="s">
        <v>3167</v>
      </c>
      <c r="F2549" s="43"/>
    </row>
    <row r="2550" spans="4:6" x14ac:dyDescent="0.25">
      <c r="D2550" s="41" t="s">
        <v>2716</v>
      </c>
      <c r="E2550" s="42" t="s">
        <v>3167</v>
      </c>
      <c r="F2550" s="43"/>
    </row>
    <row r="2551" spans="4:6" x14ac:dyDescent="0.25">
      <c r="D2551" s="41" t="s">
        <v>2717</v>
      </c>
      <c r="E2551" s="42" t="s">
        <v>3167</v>
      </c>
      <c r="F2551" s="43"/>
    </row>
    <row r="2552" spans="4:6" x14ac:dyDescent="0.25">
      <c r="D2552" s="41" t="s">
        <v>2786</v>
      </c>
      <c r="E2552" s="42" t="s">
        <v>3167</v>
      </c>
      <c r="F2552" s="43"/>
    </row>
    <row r="2553" spans="4:6" x14ac:dyDescent="0.25">
      <c r="D2553" s="41" t="s">
        <v>3151</v>
      </c>
      <c r="E2553" s="42" t="s">
        <v>3916</v>
      </c>
      <c r="F2553" s="43" t="s">
        <v>3152</v>
      </c>
    </row>
    <row r="2554" spans="4:6" x14ac:dyDescent="0.25">
      <c r="D2554" s="41" t="s">
        <v>3183</v>
      </c>
      <c r="E2554" s="42" t="s">
        <v>3175</v>
      </c>
      <c r="F2554" s="43" t="s">
        <v>2725</v>
      </c>
    </row>
    <row r="2555" spans="4:6" x14ac:dyDescent="0.25">
      <c r="D2555" s="41" t="s">
        <v>3513</v>
      </c>
      <c r="E2555" s="50" t="s">
        <v>3175</v>
      </c>
      <c r="F2555" s="43" t="s">
        <v>1184</v>
      </c>
    </row>
    <row r="2556" spans="4:6" x14ac:dyDescent="0.25">
      <c r="D2556" s="41" t="s">
        <v>3669</v>
      </c>
      <c r="E2556" s="61" t="s">
        <v>3829</v>
      </c>
      <c r="F2556" s="43" t="s">
        <v>3661</v>
      </c>
    </row>
    <row r="2557" spans="4:6" x14ac:dyDescent="0.25">
      <c r="D2557" s="41" t="s">
        <v>841</v>
      </c>
      <c r="E2557" s="67" t="s">
        <v>3830</v>
      </c>
      <c r="F2557" s="43" t="s">
        <v>747</v>
      </c>
    </row>
    <row r="2558" spans="4:6" x14ac:dyDescent="0.25">
      <c r="D2558" s="41" t="s">
        <v>939</v>
      </c>
      <c r="E2558" s="67" t="s">
        <v>3830</v>
      </c>
      <c r="F2558" s="43" t="s">
        <v>936</v>
      </c>
    </row>
    <row r="2559" spans="4:6" x14ac:dyDescent="0.25">
      <c r="D2559" s="41" t="s">
        <v>2724</v>
      </c>
      <c r="E2559" s="67" t="s">
        <v>3830</v>
      </c>
      <c r="F2559" s="43" t="s">
        <v>2725</v>
      </c>
    </row>
    <row r="2560" spans="4:6" x14ac:dyDescent="0.25">
      <c r="D2560" s="41" t="s">
        <v>2726</v>
      </c>
      <c r="E2560" s="67" t="s">
        <v>3830</v>
      </c>
      <c r="F2560" s="43"/>
    </row>
    <row r="2561" spans="4:6" x14ac:dyDescent="0.25">
      <c r="D2561" s="41" t="s">
        <v>2727</v>
      </c>
      <c r="E2561" s="67" t="s">
        <v>3830</v>
      </c>
      <c r="F2561" s="43"/>
    </row>
    <row r="2562" spans="4:6" x14ac:dyDescent="0.25">
      <c r="D2562" s="41" t="s">
        <v>2728</v>
      </c>
      <c r="E2562" s="67" t="s">
        <v>3830</v>
      </c>
      <c r="F2562" s="43"/>
    </row>
    <row r="2563" spans="4:6" x14ac:dyDescent="0.25">
      <c r="D2563" s="41" t="s">
        <v>2729</v>
      </c>
      <c r="E2563" s="67" t="s">
        <v>3830</v>
      </c>
      <c r="F2563" s="43"/>
    </row>
    <row r="2564" spans="4:6" x14ac:dyDescent="0.25">
      <c r="D2564" s="44" t="s">
        <v>3357</v>
      </c>
      <c r="E2564" s="67" t="s">
        <v>3830</v>
      </c>
      <c r="F2564" s="46" t="s">
        <v>3307</v>
      </c>
    </row>
    <row r="2565" spans="4:6" x14ac:dyDescent="0.25">
      <c r="D2565" s="41" t="s">
        <v>514</v>
      </c>
      <c r="E2565" s="55" t="s">
        <v>3917</v>
      </c>
      <c r="F2565" s="43" t="s">
        <v>515</v>
      </c>
    </row>
    <row r="2566" spans="4:6" x14ac:dyDescent="0.25">
      <c r="D2566" s="41" t="s">
        <v>516</v>
      </c>
      <c r="E2566" s="55" t="s">
        <v>3917</v>
      </c>
      <c r="F2566" s="43" t="s">
        <v>517</v>
      </c>
    </row>
    <row r="2567" spans="4:6" x14ac:dyDescent="0.25">
      <c r="D2567" s="41" t="s">
        <v>518</v>
      </c>
      <c r="E2567" s="55" t="s">
        <v>3917</v>
      </c>
      <c r="F2567" s="43" t="s">
        <v>517</v>
      </c>
    </row>
    <row r="2568" spans="4:6" x14ac:dyDescent="0.25">
      <c r="D2568" s="41" t="s">
        <v>520</v>
      </c>
      <c r="E2568" s="55" t="s">
        <v>3917</v>
      </c>
      <c r="F2568" s="43" t="s">
        <v>517</v>
      </c>
    </row>
    <row r="2569" spans="4:6" x14ac:dyDescent="0.25">
      <c r="D2569" s="41" t="s">
        <v>521</v>
      </c>
      <c r="E2569" s="55" t="s">
        <v>3917</v>
      </c>
      <c r="F2569" s="43" t="s">
        <v>517</v>
      </c>
    </row>
    <row r="2570" spans="4:6" x14ac:dyDescent="0.25">
      <c r="D2570" s="41" t="s">
        <v>522</v>
      </c>
      <c r="E2570" s="55" t="s">
        <v>3917</v>
      </c>
      <c r="F2570" s="43" t="s">
        <v>523</v>
      </c>
    </row>
    <row r="2571" spans="4:6" x14ac:dyDescent="0.25">
      <c r="D2571" s="41" t="s">
        <v>524</v>
      </c>
      <c r="E2571" s="55" t="s">
        <v>3917</v>
      </c>
      <c r="F2571" s="43" t="s">
        <v>523</v>
      </c>
    </row>
    <row r="2572" spans="4:6" x14ac:dyDescent="0.25">
      <c r="D2572" s="41" t="s">
        <v>525</v>
      </c>
      <c r="E2572" s="55" t="s">
        <v>3917</v>
      </c>
      <c r="F2572" s="43" t="s">
        <v>523</v>
      </c>
    </row>
    <row r="2573" spans="4:6" x14ac:dyDescent="0.25">
      <c r="D2573" s="41" t="s">
        <v>526</v>
      </c>
      <c r="E2573" s="55" t="s">
        <v>3917</v>
      </c>
      <c r="F2573" s="43" t="s">
        <v>523</v>
      </c>
    </row>
    <row r="2574" spans="4:6" x14ac:dyDescent="0.25">
      <c r="D2574" s="41" t="s">
        <v>818</v>
      </c>
      <c r="E2574" s="55" t="s">
        <v>3917</v>
      </c>
      <c r="F2574" s="43" t="s">
        <v>747</v>
      </c>
    </row>
    <row r="2575" spans="4:6" x14ac:dyDescent="0.25">
      <c r="D2575" s="41" t="s">
        <v>957</v>
      </c>
      <c r="E2575" s="55" t="s">
        <v>3917</v>
      </c>
      <c r="F2575" s="43" t="s">
        <v>958</v>
      </c>
    </row>
    <row r="2576" spans="4:6" x14ac:dyDescent="0.25">
      <c r="D2576" s="41" t="s">
        <v>1328</v>
      </c>
      <c r="E2576" s="55" t="s">
        <v>3917</v>
      </c>
      <c r="F2576" s="43" t="s">
        <v>1329</v>
      </c>
    </row>
    <row r="2577" spans="4:6" x14ac:dyDescent="0.25">
      <c r="D2577" s="41" t="s">
        <v>1330</v>
      </c>
      <c r="E2577" s="55" t="s">
        <v>3917</v>
      </c>
      <c r="F2577" s="43" t="s">
        <v>1331</v>
      </c>
    </row>
    <row r="2578" spans="4:6" x14ac:dyDescent="0.25">
      <c r="D2578" s="41" t="s">
        <v>1332</v>
      </c>
      <c r="E2578" s="55" t="s">
        <v>3917</v>
      </c>
      <c r="F2578" s="43" t="s">
        <v>1333</v>
      </c>
    </row>
    <row r="2579" spans="4:6" x14ac:dyDescent="0.25">
      <c r="D2579" s="41" t="s">
        <v>1461</v>
      </c>
      <c r="E2579" s="55" t="s">
        <v>3917</v>
      </c>
      <c r="F2579" s="43" t="s">
        <v>747</v>
      </c>
    </row>
    <row r="2580" spans="4:6" x14ac:dyDescent="0.25">
      <c r="D2580" s="41" t="s">
        <v>1513</v>
      </c>
      <c r="E2580" s="55" t="s">
        <v>3917</v>
      </c>
      <c r="F2580" s="43"/>
    </row>
    <row r="2581" spans="4:6" x14ac:dyDescent="0.25">
      <c r="D2581" s="53" t="s">
        <v>1698</v>
      </c>
      <c r="E2581" s="55" t="s">
        <v>3917</v>
      </c>
      <c r="F2581" s="54" t="s">
        <v>1699</v>
      </c>
    </row>
    <row r="2582" spans="4:6" x14ac:dyDescent="0.25">
      <c r="D2582" s="41" t="s">
        <v>2718</v>
      </c>
      <c r="E2582" s="55" t="s">
        <v>3917</v>
      </c>
      <c r="F2582" s="43"/>
    </row>
    <row r="2583" spans="4:6" x14ac:dyDescent="0.25">
      <c r="D2583" s="41" t="s">
        <v>2719</v>
      </c>
      <c r="E2583" s="55" t="s">
        <v>3917</v>
      </c>
      <c r="F2583" s="43"/>
    </row>
    <row r="2584" spans="4:6" x14ac:dyDescent="0.25">
      <c r="D2584" s="41" t="s">
        <v>2720</v>
      </c>
      <c r="E2584" s="55" t="s">
        <v>3917</v>
      </c>
      <c r="F2584" s="43"/>
    </row>
    <row r="2585" spans="4:6" x14ac:dyDescent="0.25">
      <c r="D2585" s="41" t="s">
        <v>2721</v>
      </c>
      <c r="E2585" s="55" t="s">
        <v>3917</v>
      </c>
      <c r="F2585" s="43"/>
    </row>
    <row r="2586" spans="4:6" x14ac:dyDescent="0.25">
      <c r="D2586" s="41" t="s">
        <v>2722</v>
      </c>
      <c r="E2586" s="55" t="s">
        <v>3917</v>
      </c>
      <c r="F2586" s="43"/>
    </row>
    <row r="2587" spans="4:6" x14ac:dyDescent="0.25">
      <c r="D2587" s="41" t="s">
        <v>2723</v>
      </c>
      <c r="E2587" s="55" t="s">
        <v>3917</v>
      </c>
      <c r="F2587" s="43" t="s">
        <v>78</v>
      </c>
    </row>
    <row r="2588" spans="4:6" x14ac:dyDescent="0.25">
      <c r="D2588" s="41" t="s">
        <v>2890</v>
      </c>
      <c r="E2588" s="55" t="s">
        <v>3917</v>
      </c>
      <c r="F2588" s="43" t="s">
        <v>2891</v>
      </c>
    </row>
    <row r="2589" spans="4:6" x14ac:dyDescent="0.25">
      <c r="D2589" s="41" t="s">
        <v>2921</v>
      </c>
      <c r="E2589" s="55" t="s">
        <v>3917</v>
      </c>
      <c r="F2589" s="43"/>
    </row>
    <row r="2590" spans="4:6" x14ac:dyDescent="0.25">
      <c r="D2590" s="44" t="s">
        <v>3281</v>
      </c>
      <c r="E2590" s="55" t="s">
        <v>3917</v>
      </c>
      <c r="F2590" s="46"/>
    </row>
    <row r="2591" spans="4:6" x14ac:dyDescent="0.25">
      <c r="D2591" s="41" t="s">
        <v>3500</v>
      </c>
      <c r="E2591" s="68" t="s">
        <v>3917</v>
      </c>
      <c r="F2591" s="43" t="s">
        <v>747</v>
      </c>
    </row>
    <row r="2592" spans="4:6" x14ac:dyDescent="0.25">
      <c r="D2592" s="41" t="s">
        <v>3566</v>
      </c>
      <c r="E2592" s="66" t="s">
        <v>3917</v>
      </c>
      <c r="F2592" s="43"/>
    </row>
    <row r="2593" spans="4:6" x14ac:dyDescent="0.25">
      <c r="D2593" s="41" t="s">
        <v>3584</v>
      </c>
      <c r="E2593" s="66" t="s">
        <v>3917</v>
      </c>
      <c r="F2593" s="43"/>
    </row>
    <row r="2594" spans="4:6" x14ac:dyDescent="0.25">
      <c r="D2594" s="41" t="s">
        <v>3597</v>
      </c>
      <c r="E2594" s="66" t="s">
        <v>3917</v>
      </c>
      <c r="F2594" s="43"/>
    </row>
    <row r="2595" spans="4:6" x14ac:dyDescent="0.25">
      <c r="D2595" s="41" t="s">
        <v>3640</v>
      </c>
      <c r="E2595" s="66" t="s">
        <v>3917</v>
      </c>
      <c r="F2595" s="43"/>
    </row>
    <row r="2596" spans="4:6" x14ac:dyDescent="0.25">
      <c r="D2596" s="41" t="s">
        <v>3702</v>
      </c>
      <c r="E2596" s="66" t="s">
        <v>3917</v>
      </c>
      <c r="F2596" s="43"/>
    </row>
    <row r="2597" spans="4:6" x14ac:dyDescent="0.25">
      <c r="D2597" s="41" t="s">
        <v>3714</v>
      </c>
      <c r="E2597" s="66" t="s">
        <v>3917</v>
      </c>
      <c r="F2597" s="43"/>
    </row>
    <row r="2598" spans="4:6" x14ac:dyDescent="0.25">
      <c r="D2598" s="41" t="s">
        <v>3721</v>
      </c>
      <c r="E2598" s="66" t="s">
        <v>3917</v>
      </c>
      <c r="F2598" s="43"/>
    </row>
    <row r="2599" spans="4:6" x14ac:dyDescent="0.25">
      <c r="D2599" s="41" t="s">
        <v>3761</v>
      </c>
      <c r="E2599" s="66" t="s">
        <v>3917</v>
      </c>
      <c r="F2599" s="43">
        <v>8</v>
      </c>
    </row>
    <row r="2600" spans="4:6" x14ac:dyDescent="0.25">
      <c r="D2600" s="41" t="s">
        <v>3719</v>
      </c>
      <c r="E2600" s="42" t="s">
        <v>3647</v>
      </c>
      <c r="F2600" s="43" t="s">
        <v>747</v>
      </c>
    </row>
    <row r="2601" spans="4:6" x14ac:dyDescent="0.25">
      <c r="D2601" s="41" t="s">
        <v>808</v>
      </c>
      <c r="E2601" s="42" t="s">
        <v>150</v>
      </c>
      <c r="F2601" s="43" t="s">
        <v>747</v>
      </c>
    </row>
    <row r="2602" spans="4:6" x14ac:dyDescent="0.25">
      <c r="D2602" s="41" t="s">
        <v>985</v>
      </c>
      <c r="E2602" s="42" t="s">
        <v>179</v>
      </c>
      <c r="F2602" s="43" t="s">
        <v>986</v>
      </c>
    </row>
    <row r="2603" spans="4:6" x14ac:dyDescent="0.25">
      <c r="D2603" s="41" t="s">
        <v>653</v>
      </c>
      <c r="E2603" s="42" t="s">
        <v>830</v>
      </c>
      <c r="F2603" s="43" t="s">
        <v>654</v>
      </c>
    </row>
    <row r="2604" spans="4:6" x14ac:dyDescent="0.25">
      <c r="D2604" s="41" t="s">
        <v>3490</v>
      </c>
      <c r="E2604" s="42" t="s">
        <v>830</v>
      </c>
      <c r="F2604" s="43" t="s">
        <v>747</v>
      </c>
    </row>
    <row r="2605" spans="4:6" x14ac:dyDescent="0.25">
      <c r="D2605" s="41" t="s">
        <v>2730</v>
      </c>
      <c r="E2605" s="42" t="s">
        <v>1048</v>
      </c>
      <c r="F2605" s="43"/>
    </row>
    <row r="2606" spans="4:6" x14ac:dyDescent="0.25">
      <c r="D2606" s="41" t="s">
        <v>2731</v>
      </c>
      <c r="E2606" s="42" t="s">
        <v>1048</v>
      </c>
      <c r="F2606" s="43" t="s">
        <v>2190</v>
      </c>
    </row>
    <row r="2607" spans="4:6" x14ac:dyDescent="0.25">
      <c r="D2607" s="41" t="s">
        <v>2732</v>
      </c>
      <c r="E2607" s="42" t="s">
        <v>1048</v>
      </c>
      <c r="F2607" s="43"/>
    </row>
    <row r="2608" spans="4:6" x14ac:dyDescent="0.25">
      <c r="D2608" s="41" t="s">
        <v>3692</v>
      </c>
      <c r="E2608" s="42" t="s">
        <v>1048</v>
      </c>
      <c r="F2608" s="43"/>
    </row>
    <row r="2609" spans="4:6" x14ac:dyDescent="0.25">
      <c r="D2609" s="41" t="s">
        <v>2737</v>
      </c>
      <c r="E2609" s="42" t="s">
        <v>3831</v>
      </c>
      <c r="F2609" s="43"/>
    </row>
    <row r="2610" spans="4:6" x14ac:dyDescent="0.25">
      <c r="D2610" s="41" t="s">
        <v>2733</v>
      </c>
      <c r="E2610" s="42" t="s">
        <v>3918</v>
      </c>
      <c r="F2610" s="43" t="s">
        <v>2734</v>
      </c>
    </row>
    <row r="2611" spans="4:6" x14ac:dyDescent="0.25">
      <c r="D2611" s="41" t="s">
        <v>3543</v>
      </c>
      <c r="E2611" s="42" t="s">
        <v>3918</v>
      </c>
      <c r="F2611" s="43" t="s">
        <v>747</v>
      </c>
    </row>
    <row r="2612" spans="4:6" x14ac:dyDescent="0.25">
      <c r="D2612" s="41" t="s">
        <v>3557</v>
      </c>
      <c r="E2612" s="42" t="s">
        <v>3918</v>
      </c>
      <c r="F2612" s="43"/>
    </row>
    <row r="2613" spans="4:6" x14ac:dyDescent="0.25">
      <c r="D2613" s="41" t="s">
        <v>3750</v>
      </c>
      <c r="E2613" s="42" t="s">
        <v>3918</v>
      </c>
      <c r="F2613" s="43" t="s">
        <v>747</v>
      </c>
    </row>
    <row r="2614" spans="4:6" x14ac:dyDescent="0.25">
      <c r="D2614" s="41" t="s">
        <v>2735</v>
      </c>
      <c r="E2614" s="42" t="s">
        <v>3918</v>
      </c>
      <c r="F2614" s="43" t="s">
        <v>2736</v>
      </c>
    </row>
    <row r="2615" spans="4:6" x14ac:dyDescent="0.25">
      <c r="D2615" s="41" t="s">
        <v>1306</v>
      </c>
      <c r="E2615" s="42" t="s">
        <v>4032</v>
      </c>
      <c r="F2615" s="43" t="s">
        <v>747</v>
      </c>
    </row>
    <row r="2616" spans="4:6" x14ac:dyDescent="0.25">
      <c r="D2616" s="41" t="s">
        <v>1958</v>
      </c>
      <c r="E2616" s="42" t="s">
        <v>4032</v>
      </c>
      <c r="F2616" s="43" t="s">
        <v>747</v>
      </c>
    </row>
    <row r="2617" spans="4:6" x14ac:dyDescent="0.25">
      <c r="D2617" s="41" t="s">
        <v>2738</v>
      </c>
      <c r="E2617" s="42" t="s">
        <v>4032</v>
      </c>
      <c r="F2617" s="43"/>
    </row>
    <row r="2618" spans="4:6" x14ac:dyDescent="0.25">
      <c r="D2618" s="41" t="s">
        <v>2739</v>
      </c>
      <c r="E2618" s="42" t="s">
        <v>4032</v>
      </c>
      <c r="F2618" s="43"/>
    </row>
    <row r="2619" spans="4:6" x14ac:dyDescent="0.25">
      <c r="D2619" s="41" t="s">
        <v>2740</v>
      </c>
      <c r="E2619" s="42" t="s">
        <v>4032</v>
      </c>
      <c r="F2619" s="43"/>
    </row>
    <row r="2620" spans="4:6" x14ac:dyDescent="0.25">
      <c r="D2620" s="44" t="s">
        <v>3299</v>
      </c>
      <c r="E2620" s="42" t="s">
        <v>4032</v>
      </c>
      <c r="F2620" s="46" t="s">
        <v>3300</v>
      </c>
    </row>
    <row r="2621" spans="4:6" x14ac:dyDescent="0.25">
      <c r="D2621" s="41" t="s">
        <v>3427</v>
      </c>
      <c r="E2621" s="42" t="s">
        <v>4032</v>
      </c>
      <c r="F2621" s="43"/>
    </row>
    <row r="2622" spans="4:6" x14ac:dyDescent="0.25">
      <c r="D2622" s="41" t="s">
        <v>3509</v>
      </c>
      <c r="E2622" s="42" t="s">
        <v>4032</v>
      </c>
      <c r="F2622" s="43" t="s">
        <v>747</v>
      </c>
    </row>
    <row r="2623" spans="4:6" x14ac:dyDescent="0.25">
      <c r="D2623" s="41" t="s">
        <v>3593</v>
      </c>
      <c r="E2623" s="42" t="s">
        <v>4032</v>
      </c>
      <c r="F2623" s="43"/>
    </row>
    <row r="2624" spans="4:6" x14ac:dyDescent="0.25">
      <c r="D2624" s="41" t="s">
        <v>1924</v>
      </c>
      <c r="E2624" s="42" t="s">
        <v>16</v>
      </c>
      <c r="F2624" s="43" t="s">
        <v>747</v>
      </c>
    </row>
    <row r="2625" spans="4:6" x14ac:dyDescent="0.25">
      <c r="D2625" s="41" t="s">
        <v>2741</v>
      </c>
      <c r="E2625" s="42" t="s">
        <v>16</v>
      </c>
      <c r="F2625" s="43" t="s">
        <v>2742</v>
      </c>
    </row>
    <row r="2626" spans="4:6" x14ac:dyDescent="0.25">
      <c r="D2626" s="41" t="s">
        <v>2743</v>
      </c>
      <c r="E2626" s="42" t="s">
        <v>16</v>
      </c>
      <c r="F2626" s="43"/>
    </row>
    <row r="2627" spans="4:6" x14ac:dyDescent="0.25">
      <c r="D2627" s="41" t="s">
        <v>2744</v>
      </c>
      <c r="E2627" s="42" t="s">
        <v>16</v>
      </c>
      <c r="F2627" s="43"/>
    </row>
    <row r="2628" spans="4:6" x14ac:dyDescent="0.25">
      <c r="D2628" s="41" t="s">
        <v>2745</v>
      </c>
      <c r="E2628" s="42" t="s">
        <v>16</v>
      </c>
      <c r="F2628" s="43"/>
    </row>
    <row r="2629" spans="4:6" x14ac:dyDescent="0.25">
      <c r="D2629" s="41" t="s">
        <v>3608</v>
      </c>
      <c r="E2629" s="42" t="s">
        <v>16</v>
      </c>
      <c r="F2629" s="43"/>
    </row>
    <row r="2630" spans="4:6" x14ac:dyDescent="0.25">
      <c r="D2630" s="41" t="s">
        <v>3771</v>
      </c>
      <c r="E2630" s="42" t="s">
        <v>16</v>
      </c>
      <c r="F2630" s="43" t="s">
        <v>747</v>
      </c>
    </row>
    <row r="2631" spans="4:6" x14ac:dyDescent="0.25">
      <c r="D2631" s="41" t="s">
        <v>3786</v>
      </c>
      <c r="E2631" s="42" t="s">
        <v>16</v>
      </c>
      <c r="F2631" s="43" t="s">
        <v>747</v>
      </c>
    </row>
    <row r="2632" spans="4:6" x14ac:dyDescent="0.25">
      <c r="D2632" s="41" t="s">
        <v>2748</v>
      </c>
      <c r="E2632" s="42" t="s">
        <v>2749</v>
      </c>
      <c r="F2632" s="43" t="s">
        <v>747</v>
      </c>
    </row>
    <row r="2633" spans="4:6" x14ac:dyDescent="0.25">
      <c r="D2633" s="41" t="s">
        <v>3108</v>
      </c>
      <c r="E2633" s="42" t="s">
        <v>3018</v>
      </c>
      <c r="F2633" s="43" t="s">
        <v>747</v>
      </c>
    </row>
    <row r="2634" spans="4:6" x14ac:dyDescent="0.25">
      <c r="D2634" s="41" t="s">
        <v>1348</v>
      </c>
      <c r="E2634" s="42" t="s">
        <v>3919</v>
      </c>
      <c r="F2634" s="43" t="s">
        <v>747</v>
      </c>
    </row>
    <row r="2635" spans="4:6" x14ac:dyDescent="0.25">
      <c r="D2635" s="41" t="s">
        <v>1953</v>
      </c>
      <c r="E2635" s="42" t="s">
        <v>3919</v>
      </c>
      <c r="F2635" s="43" t="s">
        <v>747</v>
      </c>
    </row>
    <row r="2636" spans="4:6" x14ac:dyDescent="0.25">
      <c r="D2636" s="41" t="s">
        <v>2746</v>
      </c>
      <c r="E2636" s="42" t="s">
        <v>3919</v>
      </c>
      <c r="F2636" s="43"/>
    </row>
    <row r="2637" spans="4:6" x14ac:dyDescent="0.25">
      <c r="D2637" s="41" t="s">
        <v>2747</v>
      </c>
      <c r="E2637" s="42" t="s">
        <v>3919</v>
      </c>
      <c r="F2637" s="43"/>
    </row>
    <row r="2638" spans="4:6" x14ac:dyDescent="0.25">
      <c r="D2638" s="41" t="s">
        <v>2859</v>
      </c>
      <c r="E2638" s="42" t="s">
        <v>3919</v>
      </c>
      <c r="F2638" s="43" t="s">
        <v>2752</v>
      </c>
    </row>
    <row r="2639" spans="4:6" x14ac:dyDescent="0.25">
      <c r="D2639" s="41" t="s">
        <v>3515</v>
      </c>
      <c r="E2639" s="42" t="s">
        <v>3919</v>
      </c>
      <c r="F2639" s="43" t="s">
        <v>747</v>
      </c>
    </row>
    <row r="2640" spans="4:6" x14ac:dyDescent="0.25">
      <c r="D2640" s="41" t="s">
        <v>3530</v>
      </c>
      <c r="E2640" s="42" t="s">
        <v>3919</v>
      </c>
      <c r="F2640" s="43" t="s">
        <v>747</v>
      </c>
    </row>
    <row r="2641" spans="4:6" x14ac:dyDescent="0.25">
      <c r="D2641" s="41" t="s">
        <v>3565</v>
      </c>
      <c r="E2641" s="42" t="s">
        <v>3919</v>
      </c>
      <c r="F2641" s="43"/>
    </row>
    <row r="2642" spans="4:6" x14ac:dyDescent="0.25">
      <c r="D2642" s="41" t="s">
        <v>2750</v>
      </c>
      <c r="E2642" s="42" t="s">
        <v>2751</v>
      </c>
      <c r="F2642" s="43" t="s">
        <v>2752</v>
      </c>
    </row>
    <row r="2643" spans="4:6" x14ac:dyDescent="0.25">
      <c r="D2643" s="41" t="s">
        <v>3516</v>
      </c>
      <c r="E2643" s="42" t="s">
        <v>2751</v>
      </c>
      <c r="F2643" s="43">
        <v>1</v>
      </c>
    </row>
    <row r="2644" spans="4:6" x14ac:dyDescent="0.25">
      <c r="D2644" s="41" t="s">
        <v>2753</v>
      </c>
      <c r="E2644" s="42" t="s">
        <v>2754</v>
      </c>
      <c r="F2644" s="43" t="s">
        <v>509</v>
      </c>
    </row>
    <row r="2645" spans="4:6" x14ac:dyDescent="0.25">
      <c r="D2645" s="41" t="s">
        <v>2755</v>
      </c>
      <c r="E2645" s="42" t="s">
        <v>2754</v>
      </c>
      <c r="F2645" s="43" t="s">
        <v>2190</v>
      </c>
    </row>
    <row r="2646" spans="4:6" x14ac:dyDescent="0.25">
      <c r="D2646" s="41" t="s">
        <v>2756</v>
      </c>
      <c r="E2646" s="42" t="s">
        <v>1023</v>
      </c>
      <c r="F2646" s="43"/>
    </row>
    <row r="2647" spans="4:6" x14ac:dyDescent="0.25">
      <c r="D2647" s="41" t="s">
        <v>2757</v>
      </c>
      <c r="E2647" s="42" t="s">
        <v>2766</v>
      </c>
      <c r="F2647" s="43" t="s">
        <v>2758</v>
      </c>
    </row>
    <row r="2648" spans="4:6" x14ac:dyDescent="0.25">
      <c r="D2648" s="41" t="s">
        <v>3700</v>
      </c>
      <c r="E2648" s="42" t="s">
        <v>3920</v>
      </c>
      <c r="F2648" s="43" t="s">
        <v>3653</v>
      </c>
    </row>
    <row r="2649" spans="4:6" x14ac:dyDescent="0.25">
      <c r="D2649" s="41" t="s">
        <v>970</v>
      </c>
      <c r="E2649" s="42" t="s">
        <v>3921</v>
      </c>
      <c r="F2649" s="43" t="s">
        <v>971</v>
      </c>
    </row>
    <row r="2650" spans="4:6" x14ac:dyDescent="0.25">
      <c r="D2650" s="41" t="s">
        <v>1354</v>
      </c>
      <c r="E2650" s="42" t="s">
        <v>3921</v>
      </c>
      <c r="F2650" s="43" t="s">
        <v>747</v>
      </c>
    </row>
    <row r="2651" spans="4:6" x14ac:dyDescent="0.25">
      <c r="D2651" s="41" t="s">
        <v>1443</v>
      </c>
      <c r="E2651" s="42" t="s">
        <v>3921</v>
      </c>
      <c r="F2651" s="43" t="s">
        <v>747</v>
      </c>
    </row>
    <row r="2652" spans="4:6" x14ac:dyDescent="0.25">
      <c r="D2652" s="41" t="s">
        <v>2759</v>
      </c>
      <c r="E2652" s="42" t="s">
        <v>3921</v>
      </c>
      <c r="F2652" s="43"/>
    </row>
    <row r="2653" spans="4:6" x14ac:dyDescent="0.25">
      <c r="D2653" s="41" t="s">
        <v>2760</v>
      </c>
      <c r="E2653" s="42" t="s">
        <v>3921</v>
      </c>
      <c r="F2653" s="43"/>
    </row>
    <row r="2654" spans="4:6" x14ac:dyDescent="0.25">
      <c r="D2654" s="41" t="s">
        <v>2761</v>
      </c>
      <c r="E2654" s="42" t="s">
        <v>3921</v>
      </c>
      <c r="F2654" s="43" t="s">
        <v>747</v>
      </c>
    </row>
    <row r="2655" spans="4:6" x14ac:dyDescent="0.25">
      <c r="D2655" s="41" t="s">
        <v>2762</v>
      </c>
      <c r="E2655" s="42" t="s">
        <v>3921</v>
      </c>
      <c r="F2655" s="43"/>
    </row>
    <row r="2656" spans="4:6" x14ac:dyDescent="0.25">
      <c r="D2656" s="41" t="s">
        <v>2763</v>
      </c>
      <c r="E2656" s="42" t="s">
        <v>3921</v>
      </c>
      <c r="F2656" s="43"/>
    </row>
    <row r="2657" spans="4:6" x14ac:dyDescent="0.25">
      <c r="D2657" s="41" t="s">
        <v>2764</v>
      </c>
      <c r="E2657" s="42" t="s">
        <v>3921</v>
      </c>
      <c r="F2657" s="43"/>
    </row>
    <row r="2658" spans="4:6" x14ac:dyDescent="0.25">
      <c r="D2658" s="41" t="s">
        <v>2825</v>
      </c>
      <c r="E2658" s="42" t="s">
        <v>3921</v>
      </c>
      <c r="F2658" s="43"/>
    </row>
    <row r="2659" spans="4:6" x14ac:dyDescent="0.25">
      <c r="D2659" s="41" t="s">
        <v>3097</v>
      </c>
      <c r="E2659" s="42" t="s">
        <v>3921</v>
      </c>
      <c r="F2659" s="43" t="s">
        <v>3098</v>
      </c>
    </row>
    <row r="2660" spans="4:6" x14ac:dyDescent="0.25">
      <c r="D2660" s="44" t="s">
        <v>3312</v>
      </c>
      <c r="E2660" s="42" t="s">
        <v>3921</v>
      </c>
      <c r="F2660" s="46"/>
    </row>
    <row r="2661" spans="4:6" x14ac:dyDescent="0.25">
      <c r="D2661" s="44" t="s">
        <v>3320</v>
      </c>
      <c r="E2661" s="42" t="s">
        <v>3921</v>
      </c>
      <c r="F2661" s="46" t="s">
        <v>3321</v>
      </c>
    </row>
    <row r="2662" spans="4:6" x14ac:dyDescent="0.25">
      <c r="D2662" s="41" t="s">
        <v>3375</v>
      </c>
      <c r="E2662" s="42" t="s">
        <v>3921</v>
      </c>
      <c r="F2662" s="43"/>
    </row>
    <row r="2663" spans="4:6" x14ac:dyDescent="0.25">
      <c r="D2663" s="41" t="s">
        <v>3417</v>
      </c>
      <c r="E2663" s="42" t="s">
        <v>3921</v>
      </c>
      <c r="F2663" s="43"/>
    </row>
    <row r="2664" spans="4:6" x14ac:dyDescent="0.25">
      <c r="D2664" s="41" t="s">
        <v>3514</v>
      </c>
      <c r="E2664" s="42" t="s">
        <v>3921</v>
      </c>
      <c r="F2664" s="43" t="s">
        <v>747</v>
      </c>
    </row>
    <row r="2665" spans="4:6" x14ac:dyDescent="0.25">
      <c r="D2665" s="41" t="s">
        <v>3572</v>
      </c>
      <c r="E2665" s="42" t="s">
        <v>3921</v>
      </c>
      <c r="F2665" s="43"/>
    </row>
    <row r="2666" spans="4:6" x14ac:dyDescent="0.25">
      <c r="D2666" s="75" t="s">
        <v>812</v>
      </c>
      <c r="E2666" s="76" t="s">
        <v>111</v>
      </c>
      <c r="F2666" s="77"/>
    </row>
    <row r="2667" spans="4:6" x14ac:dyDescent="0.25">
      <c r="D2667" s="75" t="s">
        <v>4094</v>
      </c>
      <c r="E2667" s="76" t="s">
        <v>4059</v>
      </c>
      <c r="F2667" s="77"/>
    </row>
    <row r="2668" spans="4:6" x14ac:dyDescent="0.25">
      <c r="D2668" s="75" t="s">
        <v>519</v>
      </c>
      <c r="E2668" s="76" t="s">
        <v>4095</v>
      </c>
      <c r="F2668" s="77" t="s">
        <v>747</v>
      </c>
    </row>
    <row r="2669" spans="4:6" x14ac:dyDescent="0.25">
      <c r="D2669" s="75" t="s">
        <v>4096</v>
      </c>
      <c r="E2669" s="76" t="s">
        <v>4097</v>
      </c>
      <c r="F2669" s="77" t="s">
        <v>747</v>
      </c>
    </row>
    <row r="2670" spans="4:6" x14ac:dyDescent="0.25">
      <c r="D2670" s="75" t="s">
        <v>4098</v>
      </c>
      <c r="E2670" s="76" t="s">
        <v>3862</v>
      </c>
      <c r="F2670" s="77"/>
    </row>
    <row r="2671" spans="4:6" x14ac:dyDescent="0.25">
      <c r="D2671" s="75" t="s">
        <v>4099</v>
      </c>
      <c r="E2671" s="76" t="s">
        <v>4058</v>
      </c>
      <c r="F2671" s="77"/>
    </row>
    <row r="2672" spans="4:6" x14ac:dyDescent="0.25">
      <c r="D2672" s="75" t="s">
        <v>4101</v>
      </c>
      <c r="E2672" s="76" t="s">
        <v>4</v>
      </c>
      <c r="F2672" s="77"/>
    </row>
    <row r="2673" spans="4:6" x14ac:dyDescent="0.25">
      <c r="D2673" s="75" t="s">
        <v>4102</v>
      </c>
      <c r="E2673" s="76" t="s">
        <v>3</v>
      </c>
      <c r="F2673" s="77"/>
    </row>
    <row r="2674" spans="4:6" x14ac:dyDescent="0.25">
      <c r="D2674" s="75" t="s">
        <v>850</v>
      </c>
      <c r="E2674" s="76" t="s">
        <v>866</v>
      </c>
      <c r="F2674" s="77"/>
    </row>
    <row r="2675" spans="4:6" x14ac:dyDescent="0.25">
      <c r="D2675" s="75" t="s">
        <v>4100</v>
      </c>
      <c r="E2675" s="76" t="s">
        <v>4103</v>
      </c>
      <c r="F2675" s="77" t="s">
        <v>747</v>
      </c>
    </row>
    <row r="2676" spans="4:6" x14ac:dyDescent="0.25">
      <c r="D2676" s="75" t="s">
        <v>4104</v>
      </c>
      <c r="E2676" s="76" t="s">
        <v>1112</v>
      </c>
      <c r="F2676" s="77"/>
    </row>
    <row r="2677" spans="4:6" x14ac:dyDescent="0.25">
      <c r="D2677" s="75" t="s">
        <v>2907</v>
      </c>
      <c r="E2677" s="76" t="s">
        <v>3019</v>
      </c>
      <c r="F2677" s="77"/>
    </row>
    <row r="2678" spans="4:6" x14ac:dyDescent="0.25">
      <c r="D2678" s="75" t="s">
        <v>4105</v>
      </c>
      <c r="E2678" s="76" t="s">
        <v>4106</v>
      </c>
      <c r="F2678" s="77" t="s">
        <v>747</v>
      </c>
    </row>
    <row r="2679" spans="4:6" x14ac:dyDescent="0.25">
      <c r="D2679" s="75" t="s">
        <v>4107</v>
      </c>
      <c r="E2679" s="76" t="s">
        <v>4022</v>
      </c>
      <c r="F2679" s="77" t="s">
        <v>747</v>
      </c>
    </row>
    <row r="2680" spans="4:6" x14ac:dyDescent="0.25">
      <c r="D2680" s="75" t="s">
        <v>4108</v>
      </c>
      <c r="E2680" s="76" t="s">
        <v>4109</v>
      </c>
      <c r="F2680" s="77" t="s">
        <v>747</v>
      </c>
    </row>
    <row r="2681" spans="4:6" x14ac:dyDescent="0.25">
      <c r="D2681" s="75" t="s">
        <v>4110</v>
      </c>
      <c r="E2681" s="76" t="s">
        <v>4111</v>
      </c>
      <c r="F2681" s="77" t="s">
        <v>747</v>
      </c>
    </row>
    <row r="2682" spans="4:6" x14ac:dyDescent="0.25">
      <c r="D2682" s="75" t="s">
        <v>4112</v>
      </c>
      <c r="E2682" s="76" t="s">
        <v>4002</v>
      </c>
      <c r="F2682" s="77" t="s">
        <v>747</v>
      </c>
    </row>
    <row r="2683" spans="4:6" x14ac:dyDescent="0.25">
      <c r="D2683" s="75" t="s">
        <v>4113</v>
      </c>
      <c r="E2683" s="76" t="s">
        <v>4049</v>
      </c>
      <c r="F2683" s="77"/>
    </row>
    <row r="2684" spans="4:6" x14ac:dyDescent="0.25">
      <c r="D2684" s="75" t="s">
        <v>4114</v>
      </c>
      <c r="E2684" s="76" t="s">
        <v>3832</v>
      </c>
      <c r="F2684" s="77" t="s">
        <v>747</v>
      </c>
    </row>
    <row r="2685" spans="4:6" x14ac:dyDescent="0.25">
      <c r="D2685" s="75" t="s">
        <v>4115</v>
      </c>
      <c r="E2685" s="76" t="s">
        <v>4111</v>
      </c>
      <c r="F2685" s="77" t="s">
        <v>747</v>
      </c>
    </row>
    <row r="2686" spans="4:6" x14ac:dyDescent="0.25">
      <c r="D2686" s="75" t="s">
        <v>4116</v>
      </c>
      <c r="E2686" s="76" t="s">
        <v>4063</v>
      </c>
      <c r="F2686" s="77" t="s">
        <v>747</v>
      </c>
    </row>
    <row r="2687" spans="4:6" x14ac:dyDescent="0.25">
      <c r="D2687" s="75" t="s">
        <v>4117</v>
      </c>
      <c r="E2687" s="76" t="s">
        <v>8</v>
      </c>
      <c r="F2687" s="77" t="s">
        <v>747</v>
      </c>
    </row>
    <row r="2688" spans="4:6" x14ac:dyDescent="0.25">
      <c r="D2688" s="75" t="s">
        <v>4118</v>
      </c>
      <c r="E2688" s="76" t="s">
        <v>8</v>
      </c>
      <c r="F2688" s="77" t="s">
        <v>747</v>
      </c>
    </row>
    <row r="2689" spans="4:6" x14ac:dyDescent="0.25">
      <c r="D2689" s="75" t="s">
        <v>4119</v>
      </c>
      <c r="E2689" s="76" t="s">
        <v>4</v>
      </c>
      <c r="F2689" s="77" t="s">
        <v>747</v>
      </c>
    </row>
    <row r="2690" spans="4:6" x14ac:dyDescent="0.25">
      <c r="D2690" s="75" t="s">
        <v>4120</v>
      </c>
      <c r="E2690" s="76" t="s">
        <v>4081</v>
      </c>
      <c r="F2690" s="77" t="s">
        <v>747</v>
      </c>
    </row>
    <row r="2691" spans="4:6" x14ac:dyDescent="0.25">
      <c r="D2691" s="75" t="s">
        <v>4121</v>
      </c>
      <c r="E2691" s="76" t="s">
        <v>4085</v>
      </c>
      <c r="F2691" s="77" t="s">
        <v>747</v>
      </c>
    </row>
    <row r="2692" spans="4:6" x14ac:dyDescent="0.25">
      <c r="D2692" s="75" t="s">
        <v>4122</v>
      </c>
      <c r="E2692" s="76" t="s">
        <v>190</v>
      </c>
      <c r="F2692" s="77" t="s">
        <v>747</v>
      </c>
    </row>
    <row r="2693" spans="4:6" x14ac:dyDescent="0.25">
      <c r="D2693" s="75" t="s">
        <v>4123</v>
      </c>
      <c r="E2693" s="76" t="s">
        <v>4015</v>
      </c>
      <c r="F2693" s="77" t="s">
        <v>747</v>
      </c>
    </row>
    <row r="2694" spans="4:6" x14ac:dyDescent="0.25">
      <c r="D2694" s="75" t="s">
        <v>4124</v>
      </c>
      <c r="E2694" s="76" t="s">
        <v>106</v>
      </c>
      <c r="F2694" s="77" t="s">
        <v>747</v>
      </c>
    </row>
    <row r="2695" spans="4:6" x14ac:dyDescent="0.25">
      <c r="D2695" s="75" t="s">
        <v>4125</v>
      </c>
      <c r="E2695" s="76" t="s">
        <v>3458</v>
      </c>
      <c r="F2695" s="77"/>
    </row>
    <row r="2696" spans="4:6" x14ac:dyDescent="0.25">
      <c r="D2696" s="75" t="s">
        <v>4126</v>
      </c>
      <c r="E2696" s="76" t="s">
        <v>3890</v>
      </c>
      <c r="F2696" s="77"/>
    </row>
    <row r="2697" spans="4:6" x14ac:dyDescent="0.25">
      <c r="D2697" s="75" t="s">
        <v>4127</v>
      </c>
      <c r="E2697" s="76" t="s">
        <v>97</v>
      </c>
      <c r="F2697" s="77"/>
    </row>
    <row r="2698" spans="4:6" ht="30" x14ac:dyDescent="0.25">
      <c r="D2698" s="82" t="s">
        <v>4128</v>
      </c>
      <c r="E2698" s="76" t="s">
        <v>119</v>
      </c>
      <c r="F2698" s="77"/>
    </row>
    <row r="2699" spans="4:6" x14ac:dyDescent="0.25">
      <c r="D2699" s="82" t="s">
        <v>4130</v>
      </c>
      <c r="E2699" s="76" t="s">
        <v>4065</v>
      </c>
      <c r="F2699" s="77"/>
    </row>
    <row r="2700" spans="4:6" x14ac:dyDescent="0.25">
      <c r="D2700" s="82" t="s">
        <v>4129</v>
      </c>
      <c r="E2700" s="76" t="s">
        <v>3861</v>
      </c>
      <c r="F2700" s="77"/>
    </row>
    <row r="2701" spans="4:6" x14ac:dyDescent="0.25">
      <c r="D2701" s="82" t="s">
        <v>4131</v>
      </c>
      <c r="E2701" s="76" t="s">
        <v>3939</v>
      </c>
      <c r="F2701" s="77"/>
    </row>
    <row r="2702" spans="4:6" x14ac:dyDescent="0.25">
      <c r="D2702" s="82" t="s">
        <v>4132</v>
      </c>
      <c r="E2702" s="76" t="s">
        <v>1112</v>
      </c>
      <c r="F2702" s="77"/>
    </row>
    <row r="2703" spans="4:6" x14ac:dyDescent="0.25">
      <c r="D2703" s="82" t="s">
        <v>4133</v>
      </c>
      <c r="E2703" s="76" t="s">
        <v>4009</v>
      </c>
      <c r="F2703" s="77"/>
    </row>
    <row r="2704" spans="4:6" x14ac:dyDescent="0.25">
      <c r="D2704" s="82" t="s">
        <v>4134</v>
      </c>
      <c r="E2704" s="76" t="s">
        <v>185</v>
      </c>
      <c r="F2704" s="77"/>
    </row>
    <row r="2705" spans="4:6" x14ac:dyDescent="0.25">
      <c r="D2705" s="82" t="s">
        <v>4135</v>
      </c>
      <c r="E2705" s="76" t="s">
        <v>2942</v>
      </c>
      <c r="F2705" s="77"/>
    </row>
    <row r="2706" spans="4:6" x14ac:dyDescent="0.25">
      <c r="D2706" s="82" t="s">
        <v>4136</v>
      </c>
      <c r="E2706" s="76" t="s">
        <v>38</v>
      </c>
      <c r="F2706" s="77"/>
    </row>
    <row r="2707" spans="4:6" x14ac:dyDescent="0.25">
      <c r="D2707" s="82" t="s">
        <v>4137</v>
      </c>
      <c r="E2707" s="76" t="s">
        <v>3923</v>
      </c>
      <c r="F2707" s="77"/>
    </row>
    <row r="2708" spans="4:6" x14ac:dyDescent="0.25">
      <c r="D2708" s="82" t="s">
        <v>4139</v>
      </c>
      <c r="E2708" s="76" t="s">
        <v>115</v>
      </c>
      <c r="F2708" s="77"/>
    </row>
    <row r="2709" spans="4:6" x14ac:dyDescent="0.25">
      <c r="D2709" s="82" t="s">
        <v>4138</v>
      </c>
      <c r="E2709" s="76" t="s">
        <v>4140</v>
      </c>
      <c r="F2709" s="77" t="s">
        <v>747</v>
      </c>
    </row>
    <row r="2710" spans="4:6" ht="30" x14ac:dyDescent="0.25">
      <c r="D2710" s="82" t="s">
        <v>4141</v>
      </c>
      <c r="E2710" s="76" t="s">
        <v>4142</v>
      </c>
      <c r="F2710" s="77" t="s">
        <v>747</v>
      </c>
    </row>
    <row r="2711" spans="4:6" ht="30" x14ac:dyDescent="0.25">
      <c r="D2711" s="82" t="s">
        <v>4143</v>
      </c>
      <c r="E2711" s="76" t="s">
        <v>3458</v>
      </c>
      <c r="F2711" s="77"/>
    </row>
    <row r="2712" spans="4:6" ht="30" x14ac:dyDescent="0.25">
      <c r="D2712" s="82" t="s">
        <v>4144</v>
      </c>
      <c r="E2712" s="76" t="s">
        <v>4145</v>
      </c>
      <c r="F2712" s="77" t="s">
        <v>747</v>
      </c>
    </row>
    <row r="2713" spans="4:6" ht="30" x14ac:dyDescent="0.25">
      <c r="D2713" s="82" t="s">
        <v>4146</v>
      </c>
      <c r="E2713" s="76" t="s">
        <v>2</v>
      </c>
      <c r="F2713" s="77"/>
    </row>
    <row r="2714" spans="4:6" ht="30" x14ac:dyDescent="0.25">
      <c r="D2714" s="82" t="s">
        <v>4147</v>
      </c>
      <c r="E2714" s="76" t="s">
        <v>124</v>
      </c>
      <c r="F2714" s="77"/>
    </row>
    <row r="2715" spans="4:6" x14ac:dyDescent="0.25">
      <c r="D2715" s="82" t="s">
        <v>4148</v>
      </c>
      <c r="E2715" s="76" t="s">
        <v>111</v>
      </c>
      <c r="F2715" s="77"/>
    </row>
    <row r="2716" spans="4:6" ht="30" x14ac:dyDescent="0.25">
      <c r="D2716" s="82" t="s">
        <v>4149</v>
      </c>
      <c r="E2716" s="76" t="s">
        <v>4049</v>
      </c>
      <c r="F2716" s="77"/>
    </row>
    <row r="2717" spans="4:6" ht="30" x14ac:dyDescent="0.25">
      <c r="D2717" s="82" t="s">
        <v>4150</v>
      </c>
      <c r="E2717" s="76" t="s">
        <v>96</v>
      </c>
      <c r="F2717" s="77"/>
    </row>
    <row r="2718" spans="4:6" x14ac:dyDescent="0.25">
      <c r="D2718" s="82" t="s">
        <v>4151</v>
      </c>
      <c r="E2718" s="76" t="s">
        <v>3860</v>
      </c>
      <c r="F2718" s="77"/>
    </row>
    <row r="2719" spans="4:6" ht="30" x14ac:dyDescent="0.25">
      <c r="D2719" s="82" t="s">
        <v>4153</v>
      </c>
      <c r="E2719" s="76" t="s">
        <v>4154</v>
      </c>
      <c r="F2719" s="77" t="s">
        <v>747</v>
      </c>
    </row>
    <row r="2720" spans="4:6" ht="30" x14ac:dyDescent="0.25">
      <c r="D2720" s="82" t="s">
        <v>4155</v>
      </c>
      <c r="E2720" s="76" t="s">
        <v>4006</v>
      </c>
      <c r="F2720" s="77"/>
    </row>
    <row r="2721" spans="4:6" x14ac:dyDescent="0.25">
      <c r="D2721" s="82" t="s">
        <v>4158</v>
      </c>
      <c r="E2721" s="76" t="s">
        <v>4145</v>
      </c>
      <c r="F2721" s="77"/>
    </row>
    <row r="2722" spans="4:6" x14ac:dyDescent="0.25">
      <c r="D2722" s="82" t="s">
        <v>4159</v>
      </c>
      <c r="E2722" s="76" t="s">
        <v>119</v>
      </c>
      <c r="F2722" s="77"/>
    </row>
    <row r="2723" spans="4:6" x14ac:dyDescent="0.25">
      <c r="D2723" s="82" t="s">
        <v>4160</v>
      </c>
      <c r="E2723" s="76" t="s">
        <v>124</v>
      </c>
      <c r="F2723" s="77"/>
    </row>
    <row r="2724" spans="4:6" x14ac:dyDescent="0.25">
      <c r="D2724" s="82" t="s">
        <v>4157</v>
      </c>
      <c r="E2724" s="76" t="s">
        <v>4161</v>
      </c>
      <c r="F2724" s="77" t="s">
        <v>747</v>
      </c>
    </row>
    <row r="2725" spans="4:6" x14ac:dyDescent="0.25">
      <c r="D2725" s="82" t="s">
        <v>4152</v>
      </c>
      <c r="E2725" s="76" t="s">
        <v>4162</v>
      </c>
      <c r="F2725" s="77" t="s">
        <v>747</v>
      </c>
    </row>
    <row r="2726" spans="4:6" ht="30" x14ac:dyDescent="0.25">
      <c r="D2726" s="82" t="s">
        <v>4163</v>
      </c>
      <c r="E2726" s="76" t="s">
        <v>4164</v>
      </c>
      <c r="F2726" s="77" t="s">
        <v>747</v>
      </c>
    </row>
    <row r="2727" spans="4:6" x14ac:dyDescent="0.25">
      <c r="D2727" s="82" t="s">
        <v>4156</v>
      </c>
      <c r="E2727" s="76" t="s">
        <v>4165</v>
      </c>
      <c r="F2727" s="77" t="s">
        <v>747</v>
      </c>
    </row>
    <row r="2728" spans="4:6" x14ac:dyDescent="0.25">
      <c r="D2728" s="82" t="s">
        <v>2836</v>
      </c>
      <c r="E2728" s="76" t="s">
        <v>4154</v>
      </c>
      <c r="F2728" s="77" t="s">
        <v>747</v>
      </c>
    </row>
    <row r="2729" spans="4:6" ht="30" x14ac:dyDescent="0.25">
      <c r="D2729" s="82" t="s">
        <v>4166</v>
      </c>
      <c r="E2729" s="76" t="s">
        <v>3019</v>
      </c>
      <c r="F2729" s="77"/>
    </row>
    <row r="2730" spans="4:6" x14ac:dyDescent="0.25">
      <c r="D2730" s="82" t="s">
        <v>4167</v>
      </c>
      <c r="E2730" s="76" t="s">
        <v>3872</v>
      </c>
      <c r="F2730" s="77"/>
    </row>
    <row r="2731" spans="4:6" x14ac:dyDescent="0.25">
      <c r="D2731" s="82" t="s">
        <v>4168</v>
      </c>
      <c r="E2731" s="76" t="s">
        <v>4169</v>
      </c>
      <c r="F2731" s="77" t="s">
        <v>4170</v>
      </c>
    </row>
    <row r="2732" spans="4:6" x14ac:dyDescent="0.25">
      <c r="D2732" s="82" t="s">
        <v>1990</v>
      </c>
      <c r="E2732" s="76" t="s">
        <v>3019</v>
      </c>
      <c r="F2732" s="77"/>
    </row>
    <row r="2733" spans="4:6" x14ac:dyDescent="0.25">
      <c r="D2733" s="82" t="s">
        <v>4172</v>
      </c>
      <c r="E2733" s="76" t="s">
        <v>4173</v>
      </c>
      <c r="F2733" s="77" t="s">
        <v>3023</v>
      </c>
    </row>
    <row r="2734" spans="4:6" x14ac:dyDescent="0.25">
      <c r="D2734" s="82" t="s">
        <v>4174</v>
      </c>
      <c r="E2734" s="76" t="s">
        <v>100</v>
      </c>
      <c r="F2734" s="77"/>
    </row>
    <row r="2735" spans="4:6" x14ac:dyDescent="0.25">
      <c r="D2735" s="82" t="s">
        <v>4175</v>
      </c>
      <c r="E2735" s="76" t="s">
        <v>4176</v>
      </c>
      <c r="F2735" s="77" t="s">
        <v>747</v>
      </c>
    </row>
    <row r="2736" spans="4:6" x14ac:dyDescent="0.25">
      <c r="D2736" s="82" t="s">
        <v>4183</v>
      </c>
      <c r="E2736" s="76" t="s">
        <v>8</v>
      </c>
      <c r="F2736" s="77"/>
    </row>
    <row r="2737" spans="4:6" x14ac:dyDescent="0.25">
      <c r="D2737" s="82" t="s">
        <v>4184</v>
      </c>
      <c r="E2737" s="76" t="s">
        <v>2062</v>
      </c>
      <c r="F2737" s="77"/>
    </row>
    <row r="2738" spans="4:6" x14ac:dyDescent="0.25">
      <c r="D2738" s="82" t="s">
        <v>4185</v>
      </c>
      <c r="E2738" s="76" t="s">
        <v>3921</v>
      </c>
      <c r="F2738" s="77" t="s">
        <v>3321</v>
      </c>
    </row>
    <row r="2739" spans="4:6" x14ac:dyDescent="0.25">
      <c r="D2739" s="82" t="s">
        <v>4186</v>
      </c>
      <c r="E2739" s="76" t="s">
        <v>4187</v>
      </c>
      <c r="F2739" s="77" t="s">
        <v>2839</v>
      </c>
    </row>
    <row r="2740" spans="4:6" x14ac:dyDescent="0.25">
      <c r="D2740" s="82" t="s">
        <v>4188</v>
      </c>
      <c r="E2740" s="76" t="s">
        <v>4189</v>
      </c>
      <c r="F2740" s="77" t="s">
        <v>3077</v>
      </c>
    </row>
    <row r="2741" spans="4:6" x14ac:dyDescent="0.25">
      <c r="D2741" s="82" t="s">
        <v>4190</v>
      </c>
      <c r="E2741" s="76" t="s">
        <v>4191</v>
      </c>
      <c r="F2741" s="77" t="s">
        <v>3321</v>
      </c>
    </row>
    <row r="2742" spans="4:6" x14ac:dyDescent="0.25">
      <c r="D2742" s="82" t="s">
        <v>4192</v>
      </c>
      <c r="E2742" s="76" t="s">
        <v>2365</v>
      </c>
      <c r="F2742" s="77"/>
    </row>
    <row r="2743" spans="4:6" x14ac:dyDescent="0.25">
      <c r="D2743" s="82" t="s">
        <v>4193</v>
      </c>
      <c r="E2743" s="76" t="s">
        <v>4095</v>
      </c>
      <c r="F2743" s="77"/>
    </row>
    <row r="2744" spans="4:6" x14ac:dyDescent="0.25">
      <c r="D2744" s="82" t="s">
        <v>4194</v>
      </c>
      <c r="E2744" s="76" t="s">
        <v>42</v>
      </c>
      <c r="F2744" s="77"/>
    </row>
    <row r="2745" spans="4:6" x14ac:dyDescent="0.25">
      <c r="D2745" s="82" t="s">
        <v>4195</v>
      </c>
      <c r="E2745" s="76" t="s">
        <v>1030</v>
      </c>
      <c r="F2745" s="77"/>
    </row>
    <row r="2746" spans="4:6" x14ac:dyDescent="0.25">
      <c r="D2746" s="82" t="s">
        <v>4196</v>
      </c>
      <c r="E2746" s="76" t="s">
        <v>3976</v>
      </c>
      <c r="F2746" s="77"/>
    </row>
    <row r="2747" spans="4:6" x14ac:dyDescent="0.25">
      <c r="D2747" s="82" t="s">
        <v>4197</v>
      </c>
      <c r="E2747" s="76" t="s">
        <v>866</v>
      </c>
      <c r="F2747" s="77"/>
    </row>
    <row r="2748" spans="4:6" x14ac:dyDescent="0.25">
      <c r="D2748" s="82" t="s">
        <v>4198</v>
      </c>
      <c r="E2748" s="76" t="s">
        <v>1020</v>
      </c>
      <c r="F2748" s="77"/>
    </row>
    <row r="2749" spans="4:6" x14ac:dyDescent="0.25">
      <c r="D2749" s="82" t="s">
        <v>4199</v>
      </c>
      <c r="E2749" s="76" t="s">
        <v>4042</v>
      </c>
      <c r="F2749" s="77"/>
    </row>
    <row r="2750" spans="4:6" x14ac:dyDescent="0.25">
      <c r="D2750" s="82" t="s">
        <v>4200</v>
      </c>
      <c r="E2750" s="76" t="s">
        <v>41</v>
      </c>
      <c r="F2750" s="77"/>
    </row>
    <row r="2751" spans="4:6" x14ac:dyDescent="0.25">
      <c r="D2751" s="82" t="s">
        <v>4201</v>
      </c>
      <c r="E2751" s="76" t="s">
        <v>4086</v>
      </c>
      <c r="F2751" s="77"/>
    </row>
    <row r="2752" spans="4:6" x14ac:dyDescent="0.25">
      <c r="D2752" s="82" t="s">
        <v>4202</v>
      </c>
      <c r="E2752" s="76" t="s">
        <v>4203</v>
      </c>
      <c r="F2752" s="77" t="s">
        <v>4204</v>
      </c>
    </row>
    <row r="2753" spans="4:6" x14ac:dyDescent="0.25">
      <c r="D2753" s="82" t="s">
        <v>4205</v>
      </c>
      <c r="E2753" s="76" t="s">
        <v>4006</v>
      </c>
      <c r="F2753" s="77" t="s">
        <v>2839</v>
      </c>
    </row>
    <row r="2754" spans="4:6" x14ac:dyDescent="0.25">
      <c r="D2754" s="82" t="s">
        <v>4206</v>
      </c>
      <c r="E2754" s="76" t="s">
        <v>96</v>
      </c>
      <c r="F2754" s="77" t="s">
        <v>4207</v>
      </c>
    </row>
    <row r="2755" spans="4:6" x14ac:dyDescent="0.25">
      <c r="D2755" s="82" t="s">
        <v>4208</v>
      </c>
      <c r="E2755" s="76" t="s">
        <v>1113</v>
      </c>
      <c r="F2755" s="77"/>
    </row>
    <row r="2756" spans="4:6" x14ac:dyDescent="0.25">
      <c r="D2756" s="82" t="s">
        <v>4209</v>
      </c>
      <c r="E2756" s="76" t="s">
        <v>1029</v>
      </c>
      <c r="F2756" s="77"/>
    </row>
    <row r="2757" spans="4:6" ht="30" x14ac:dyDescent="0.25">
      <c r="D2757" s="82" t="s">
        <v>4210</v>
      </c>
      <c r="E2757" s="76" t="s">
        <v>4211</v>
      </c>
      <c r="F2757" s="77" t="s">
        <v>2858</v>
      </c>
    </row>
    <row r="2758" spans="4:6" ht="30" x14ac:dyDescent="0.25">
      <c r="D2758" s="82" t="s">
        <v>4212</v>
      </c>
      <c r="E2758" s="76" t="s">
        <v>1029</v>
      </c>
      <c r="F2758" s="77"/>
    </row>
    <row r="2759" spans="4:6" x14ac:dyDescent="0.25">
      <c r="D2759" s="82" t="s">
        <v>4213</v>
      </c>
      <c r="E2759" s="76" t="s">
        <v>3933</v>
      </c>
      <c r="F2759" s="77"/>
    </row>
    <row r="2760" spans="4:6" x14ac:dyDescent="0.25">
      <c r="D2760" s="82" t="s">
        <v>4214</v>
      </c>
      <c r="E2760" s="76" t="s">
        <v>1112</v>
      </c>
      <c r="F2760" s="77"/>
    </row>
    <row r="2761" spans="4:6" x14ac:dyDescent="0.25">
      <c r="D2761" s="82" t="s">
        <v>4215</v>
      </c>
      <c r="E2761" s="76" t="s">
        <v>3874</v>
      </c>
      <c r="F2761" s="77" t="s">
        <v>1242</v>
      </c>
    </row>
    <row r="2762" spans="4:6" x14ac:dyDescent="0.25">
      <c r="D2762" s="82" t="s">
        <v>4216</v>
      </c>
      <c r="E2762" s="76" t="s">
        <v>2</v>
      </c>
      <c r="F2762" s="77"/>
    </row>
    <row r="2763" spans="4:6" x14ac:dyDescent="0.25">
      <c r="D2763" s="82" t="s">
        <v>4218</v>
      </c>
      <c r="E2763" s="76" t="s">
        <v>3</v>
      </c>
      <c r="F2763" s="77"/>
    </row>
    <row r="2764" spans="4:6" x14ac:dyDescent="0.25">
      <c r="D2764" s="82" t="s">
        <v>4219</v>
      </c>
      <c r="E2764" s="76" t="s">
        <v>8</v>
      </c>
      <c r="F2764" s="77"/>
    </row>
    <row r="2765" spans="4:6" x14ac:dyDescent="0.25">
      <c r="D2765" s="82" t="s">
        <v>4220</v>
      </c>
      <c r="E2765" s="76" t="s">
        <v>4154</v>
      </c>
      <c r="F2765" s="77"/>
    </row>
    <row r="2766" spans="4:6" x14ac:dyDescent="0.25">
      <c r="D2766" s="82" t="s">
        <v>4221</v>
      </c>
      <c r="E2766" s="76" t="s">
        <v>2365</v>
      </c>
      <c r="F2766" s="77"/>
    </row>
    <row r="2767" spans="4:6" x14ac:dyDescent="0.25">
      <c r="D2767" s="82" t="s">
        <v>4222</v>
      </c>
      <c r="E2767" s="76" t="s">
        <v>3837</v>
      </c>
      <c r="F2767" s="77"/>
    </row>
    <row r="2768" spans="4:6" x14ac:dyDescent="0.25">
      <c r="D2768" s="82" t="s">
        <v>4223</v>
      </c>
      <c r="E2768" s="76" t="s">
        <v>3977</v>
      </c>
      <c r="F2768" s="77"/>
    </row>
    <row r="2769" spans="4:6" x14ac:dyDescent="0.25">
      <c r="D2769" s="82" t="s">
        <v>4224</v>
      </c>
      <c r="E2769" s="76" t="s">
        <v>3976</v>
      </c>
      <c r="F2769" s="77"/>
    </row>
    <row r="2770" spans="4:6" x14ac:dyDescent="0.25">
      <c r="D2770" s="82" t="s">
        <v>4225</v>
      </c>
      <c r="E2770" s="76" t="s">
        <v>115</v>
      </c>
      <c r="F2770" s="77"/>
    </row>
    <row r="2771" spans="4:6" ht="30" x14ac:dyDescent="0.25">
      <c r="D2771" s="82" t="s">
        <v>4226</v>
      </c>
      <c r="E2771" s="76" t="s">
        <v>2062</v>
      </c>
      <c r="F2771" s="77"/>
    </row>
    <row r="2772" spans="4:6" x14ac:dyDescent="0.25">
      <c r="D2772" s="82" t="s">
        <v>4227</v>
      </c>
      <c r="E2772" s="76" t="s">
        <v>2</v>
      </c>
      <c r="F2772" s="77"/>
    </row>
    <row r="2773" spans="4:6" x14ac:dyDescent="0.25">
      <c r="D2773" s="82" t="s">
        <v>4228</v>
      </c>
      <c r="E2773" s="76" t="s">
        <v>4229</v>
      </c>
      <c r="F2773" s="77" t="s">
        <v>4230</v>
      </c>
    </row>
    <row r="2774" spans="4:6" x14ac:dyDescent="0.25">
      <c r="D2774" s="82" t="s">
        <v>4231</v>
      </c>
      <c r="E2774" s="76" t="s">
        <v>111</v>
      </c>
      <c r="F2774" s="77"/>
    </row>
    <row r="2775" spans="4:6" x14ac:dyDescent="0.25">
      <c r="D2775" s="82" t="s">
        <v>4232</v>
      </c>
      <c r="E2775" s="76" t="s">
        <v>4233</v>
      </c>
      <c r="F2775" s="77" t="s">
        <v>4234</v>
      </c>
    </row>
    <row r="2776" spans="4:6" x14ac:dyDescent="0.25">
      <c r="D2776" s="82" t="s">
        <v>4235</v>
      </c>
      <c r="E2776" s="76" t="s">
        <v>4042</v>
      </c>
      <c r="F2776" s="77"/>
    </row>
    <row r="2777" spans="4:6" x14ac:dyDescent="0.25">
      <c r="D2777" s="82" t="s">
        <v>4236</v>
      </c>
      <c r="E2777" s="76" t="s">
        <v>112</v>
      </c>
      <c r="F2777" s="77"/>
    </row>
    <row r="2778" spans="4:6" x14ac:dyDescent="0.25">
      <c r="D2778" s="82" t="s">
        <v>4237</v>
      </c>
      <c r="E2778" s="76" t="s">
        <v>4077</v>
      </c>
      <c r="F2778" s="77"/>
    </row>
    <row r="2779" spans="4:6" x14ac:dyDescent="0.25">
      <c r="D2779" s="82" t="s">
        <v>4238</v>
      </c>
      <c r="E2779" s="76" t="s">
        <v>4082</v>
      </c>
      <c r="F2779" s="77"/>
    </row>
    <row r="2780" spans="4:6" x14ac:dyDescent="0.25">
      <c r="D2780" s="82" t="s">
        <v>4239</v>
      </c>
      <c r="E2780" s="76" t="s">
        <v>106</v>
      </c>
      <c r="F2780" s="77"/>
    </row>
    <row r="2781" spans="4:6" x14ac:dyDescent="0.25">
      <c r="D2781" s="82" t="s">
        <v>4240</v>
      </c>
      <c r="E2781" s="76" t="s">
        <v>3177</v>
      </c>
      <c r="F2781" s="77"/>
    </row>
    <row r="2782" spans="4:6" x14ac:dyDescent="0.25">
      <c r="D2782" s="82" t="s">
        <v>4241</v>
      </c>
      <c r="E2782" s="76" t="s">
        <v>3921</v>
      </c>
      <c r="F2782" s="77"/>
    </row>
    <row r="2783" spans="4:6" x14ac:dyDescent="0.25">
      <c r="D2783" s="82" t="s">
        <v>4242</v>
      </c>
      <c r="E2783" s="76" t="s">
        <v>139</v>
      </c>
      <c r="F2783" s="77"/>
    </row>
    <row r="2784" spans="4:6" x14ac:dyDescent="0.25">
      <c r="D2784" s="82" t="s">
        <v>1932</v>
      </c>
      <c r="E2784" s="76" t="s">
        <v>4243</v>
      </c>
      <c r="F2784" s="77" t="s">
        <v>1872</v>
      </c>
    </row>
    <row r="2785" spans="4:6" x14ac:dyDescent="0.25">
      <c r="D2785" s="82" t="s">
        <v>4244</v>
      </c>
      <c r="E2785" s="76" t="s">
        <v>3179</v>
      </c>
      <c r="F2785" s="77"/>
    </row>
    <row r="2786" spans="4:6" x14ac:dyDescent="0.25">
      <c r="D2786" s="82" t="s">
        <v>4245</v>
      </c>
      <c r="E2786" s="76" t="s">
        <v>49</v>
      </c>
      <c r="F2786" s="77"/>
    </row>
    <row r="2787" spans="4:6" x14ac:dyDescent="0.25">
      <c r="D2787" s="82" t="s">
        <v>4246</v>
      </c>
      <c r="E2787" s="76" t="s">
        <v>26</v>
      </c>
      <c r="F2787" s="77"/>
    </row>
    <row r="2788" spans="4:6" x14ac:dyDescent="0.25">
      <c r="D2788" s="82" t="s">
        <v>4247</v>
      </c>
      <c r="E2788" s="76" t="s">
        <v>22</v>
      </c>
      <c r="F2788" s="77"/>
    </row>
    <row r="2789" spans="4:6" x14ac:dyDescent="0.25">
      <c r="D2789" s="82" t="s">
        <v>4248</v>
      </c>
      <c r="E2789" s="76" t="s">
        <v>4249</v>
      </c>
      <c r="F2789" s="77" t="s">
        <v>881</v>
      </c>
    </row>
    <row r="2790" spans="4:6" x14ac:dyDescent="0.25">
      <c r="D2790" s="82" t="s">
        <v>4250</v>
      </c>
      <c r="E2790" s="76" t="s">
        <v>4007</v>
      </c>
      <c r="F2790" s="77"/>
    </row>
    <row r="2791" spans="4:6" x14ac:dyDescent="0.25">
      <c r="D2791" s="82" t="s">
        <v>4251</v>
      </c>
      <c r="E2791" s="76" t="s">
        <v>1113</v>
      </c>
      <c r="F2791" s="77"/>
    </row>
    <row r="2792" spans="4:6" x14ac:dyDescent="0.25">
      <c r="D2792" s="82" t="s">
        <v>4252</v>
      </c>
      <c r="E2792" s="76" t="s">
        <v>4253</v>
      </c>
      <c r="F2792" s="77" t="s">
        <v>4254</v>
      </c>
    </row>
    <row r="2793" spans="4:6" x14ac:dyDescent="0.25">
      <c r="D2793" s="82" t="s">
        <v>4255</v>
      </c>
      <c r="E2793" s="76" t="s">
        <v>4</v>
      </c>
      <c r="F2793" s="77"/>
    </row>
    <row r="2794" spans="4:6" x14ac:dyDescent="0.25">
      <c r="D2794" s="82" t="s">
        <v>4256</v>
      </c>
      <c r="E2794" s="76" t="s">
        <v>4062</v>
      </c>
      <c r="F2794" s="77"/>
    </row>
    <row r="2795" spans="4:6" x14ac:dyDescent="0.25">
      <c r="D2795" s="82" t="s">
        <v>4257</v>
      </c>
      <c r="E2795" s="76" t="s">
        <v>4258</v>
      </c>
      <c r="F2795" s="77" t="s">
        <v>4259</v>
      </c>
    </row>
    <row r="2796" spans="4:6" x14ac:dyDescent="0.25">
      <c r="D2796" s="82" t="s">
        <v>4260</v>
      </c>
      <c r="E2796" s="76" t="s">
        <v>111</v>
      </c>
      <c r="F2796" s="77"/>
    </row>
    <row r="2797" spans="4:6" x14ac:dyDescent="0.25">
      <c r="D2797" s="82" t="s">
        <v>4261</v>
      </c>
      <c r="E2797" s="76" t="s">
        <v>4059</v>
      </c>
      <c r="F2797" s="77"/>
    </row>
    <row r="2798" spans="4:6" x14ac:dyDescent="0.25">
      <c r="D2798" s="82" t="s">
        <v>4262</v>
      </c>
      <c r="E2798" s="76" t="s">
        <v>139</v>
      </c>
      <c r="F2798" s="77"/>
    </row>
    <row r="2799" spans="4:6" x14ac:dyDescent="0.25">
      <c r="D2799" s="82" t="s">
        <v>4263</v>
      </c>
      <c r="E2799" s="76" t="s">
        <v>866</v>
      </c>
      <c r="F2799" s="77"/>
    </row>
    <row r="2800" spans="4:6" x14ac:dyDescent="0.25">
      <c r="D2800" s="82" t="s">
        <v>4264</v>
      </c>
      <c r="E2800" s="76" t="s">
        <v>4046</v>
      </c>
      <c r="F2800" s="77"/>
    </row>
    <row r="2801" spans="4:6" x14ac:dyDescent="0.25">
      <c r="D2801" s="82" t="s">
        <v>4265</v>
      </c>
      <c r="E2801" s="76" t="s">
        <v>4042</v>
      </c>
      <c r="F2801" s="77"/>
    </row>
    <row r="2802" spans="4:6" x14ac:dyDescent="0.25">
      <c r="D2802" s="82">
        <v>7896235100027</v>
      </c>
      <c r="E2802" s="76" t="s">
        <v>106</v>
      </c>
      <c r="F2802" s="77"/>
    </row>
    <row r="2803" spans="4:6" x14ac:dyDescent="0.25">
      <c r="D2803" s="82">
        <v>7896235100027</v>
      </c>
      <c r="E2803" s="76" t="s">
        <v>106</v>
      </c>
      <c r="F2803" s="77"/>
    </row>
    <row r="2804" spans="4:6" x14ac:dyDescent="0.25">
      <c r="D2804" s="82">
        <v>7896235100027</v>
      </c>
      <c r="E2804" s="76" t="s">
        <v>106</v>
      </c>
      <c r="F2804" s="77"/>
    </row>
    <row r="2805" spans="4:6" x14ac:dyDescent="0.25">
      <c r="D2805" s="82" t="s">
        <v>4266</v>
      </c>
      <c r="E2805" s="76" t="s">
        <v>106</v>
      </c>
      <c r="F2805" s="77"/>
    </row>
    <row r="2806" spans="4:6" x14ac:dyDescent="0.25">
      <c r="D2806" s="82" t="s">
        <v>4267</v>
      </c>
      <c r="E2806" s="76" t="s">
        <v>4268</v>
      </c>
      <c r="F2806" s="77" t="s">
        <v>4269</v>
      </c>
    </row>
    <row r="2807" spans="4:6" x14ac:dyDescent="0.25">
      <c r="D2807" s="82" t="s">
        <v>4270</v>
      </c>
      <c r="E2807" s="76" t="s">
        <v>4109</v>
      </c>
      <c r="F2807" s="77"/>
    </row>
    <row r="2808" spans="4:6" x14ac:dyDescent="0.25">
      <c r="D2808" s="82" t="s">
        <v>4271</v>
      </c>
      <c r="E2808" s="76" t="s">
        <v>4064</v>
      </c>
      <c r="F2808" s="77"/>
    </row>
    <row r="2809" spans="4:6" x14ac:dyDescent="0.25">
      <c r="D2809" s="82" t="s">
        <v>4272</v>
      </c>
      <c r="E2809" s="76" t="s">
        <v>4065</v>
      </c>
      <c r="F2809" s="77"/>
    </row>
    <row r="2810" spans="4:6" x14ac:dyDescent="0.25">
      <c r="D2810" s="82" t="s">
        <v>4273</v>
      </c>
      <c r="E2810" s="76" t="s">
        <v>3872</v>
      </c>
      <c r="F2810" s="77"/>
    </row>
    <row r="2811" spans="4:6" x14ac:dyDescent="0.25">
      <c r="D2811" s="82" t="s">
        <v>4274</v>
      </c>
      <c r="E2811" s="76" t="s">
        <v>39</v>
      </c>
      <c r="F2811" s="77"/>
    </row>
    <row r="2812" spans="4:6" x14ac:dyDescent="0.25">
      <c r="D2812" s="82" t="s">
        <v>4275</v>
      </c>
      <c r="E2812" s="76" t="s">
        <v>1096</v>
      </c>
      <c r="F2812" s="77"/>
    </row>
    <row r="2813" spans="4:6" x14ac:dyDescent="0.25">
      <c r="D2813" s="82" t="s">
        <v>4276</v>
      </c>
      <c r="E2813" s="76" t="s">
        <v>131</v>
      </c>
      <c r="F2813" s="77"/>
    </row>
    <row r="2814" spans="4:6" x14ac:dyDescent="0.25">
      <c r="D2814" s="82" t="s">
        <v>4277</v>
      </c>
      <c r="E2814" s="76" t="s">
        <v>26</v>
      </c>
      <c r="F2814" s="77"/>
    </row>
    <row r="2815" spans="4:6" x14ac:dyDescent="0.25">
      <c r="D2815" s="82" t="s">
        <v>4278</v>
      </c>
      <c r="E2815" s="76" t="s">
        <v>3991</v>
      </c>
      <c r="F2815" s="77"/>
    </row>
    <row r="2816" spans="4:6" x14ac:dyDescent="0.25">
      <c r="D2816" s="82" t="s">
        <v>4279</v>
      </c>
      <c r="E2816" s="76" t="s">
        <v>1097</v>
      </c>
      <c r="F2816" s="77"/>
    </row>
    <row r="2817" spans="4:6" x14ac:dyDescent="0.25">
      <c r="D2817" s="82" t="s">
        <v>4280</v>
      </c>
      <c r="E2817" s="76" t="s">
        <v>3179</v>
      </c>
      <c r="F2817" s="77"/>
    </row>
    <row r="2818" spans="4:6" x14ac:dyDescent="0.25">
      <c r="D2818" s="82" t="s">
        <v>4281</v>
      </c>
      <c r="E2818" s="76" t="s">
        <v>48</v>
      </c>
      <c r="F2818" s="77"/>
    </row>
    <row r="2819" spans="4:6" x14ac:dyDescent="0.25">
      <c r="D2819" s="82" t="s">
        <v>4282</v>
      </c>
      <c r="E2819" s="76" t="s">
        <v>3923</v>
      </c>
      <c r="F2819" s="77"/>
    </row>
    <row r="2820" spans="4:6" x14ac:dyDescent="0.25">
      <c r="D2820" s="82" t="s">
        <v>4283</v>
      </c>
      <c r="E2820" s="76" t="s">
        <v>3972</v>
      </c>
      <c r="F2820" s="77"/>
    </row>
    <row r="2821" spans="4:6" x14ac:dyDescent="0.25">
      <c r="D2821" s="82" t="s">
        <v>4284</v>
      </c>
      <c r="E2821" s="76" t="s">
        <v>3</v>
      </c>
      <c r="F2821" s="77"/>
    </row>
    <row r="2822" spans="4:6" x14ac:dyDescent="0.25">
      <c r="D2822" s="82" t="s">
        <v>4285</v>
      </c>
      <c r="E2822" s="76" t="s">
        <v>3458</v>
      </c>
      <c r="F2822" s="77"/>
    </row>
    <row r="2823" spans="4:6" x14ac:dyDescent="0.25">
      <c r="D2823" s="82" t="s">
        <v>4286</v>
      </c>
      <c r="E2823" s="76" t="s">
        <v>4287</v>
      </c>
      <c r="F2823" s="77" t="s">
        <v>1471</v>
      </c>
    </row>
    <row r="2824" spans="4:6" x14ac:dyDescent="0.25">
      <c r="D2824" s="82" t="s">
        <v>4288</v>
      </c>
      <c r="E2824" s="76" t="s">
        <v>163</v>
      </c>
      <c r="F2824" s="77"/>
    </row>
    <row r="2825" spans="4:6" x14ac:dyDescent="0.25">
      <c r="D2825" s="82" t="s">
        <v>4289</v>
      </c>
      <c r="E2825" s="76" t="s">
        <v>106</v>
      </c>
      <c r="F2825" s="77"/>
    </row>
    <row r="2826" spans="4:6" x14ac:dyDescent="0.25">
      <c r="D2826" s="82" t="s">
        <v>4290</v>
      </c>
      <c r="E2826" s="76" t="s">
        <v>2365</v>
      </c>
      <c r="F2826" s="77"/>
    </row>
    <row r="2827" spans="4:6" x14ac:dyDescent="0.25">
      <c r="D2827" s="82" t="s">
        <v>4291</v>
      </c>
      <c r="E2827" s="76" t="s">
        <v>8</v>
      </c>
      <c r="F2827" s="77"/>
    </row>
    <row r="2828" spans="4:6" x14ac:dyDescent="0.25">
      <c r="D2828" s="82" t="s">
        <v>4292</v>
      </c>
      <c r="E2828" s="76" t="s">
        <v>4293</v>
      </c>
      <c r="F2828" s="77" t="s">
        <v>1139</v>
      </c>
    </row>
    <row r="2829" spans="4:6" x14ac:dyDescent="0.25">
      <c r="D2829" s="82" t="s">
        <v>4294</v>
      </c>
      <c r="E2829" s="76" t="s">
        <v>4295</v>
      </c>
      <c r="F2829" s="77" t="s">
        <v>1139</v>
      </c>
    </row>
    <row r="2830" spans="4:6" x14ac:dyDescent="0.25">
      <c r="D2830" s="82" t="s">
        <v>4296</v>
      </c>
      <c r="E2830" s="76" t="s">
        <v>4046</v>
      </c>
      <c r="F2830" s="77"/>
    </row>
    <row r="2831" spans="4:6" x14ac:dyDescent="0.25">
      <c r="D2831" s="82" t="s">
        <v>4297</v>
      </c>
      <c r="E2831" s="76" t="s">
        <v>183</v>
      </c>
      <c r="F2831" s="77"/>
    </row>
    <row r="2832" spans="4:6" x14ac:dyDescent="0.25">
      <c r="D2832" s="82" t="s">
        <v>4298</v>
      </c>
      <c r="E2832" s="76" t="s">
        <v>4086</v>
      </c>
      <c r="F2832" s="77"/>
    </row>
    <row r="2833" spans="4:6" x14ac:dyDescent="0.25">
      <c r="D2833" s="82" t="s">
        <v>4299</v>
      </c>
      <c r="E2833" s="76" t="s">
        <v>4300</v>
      </c>
      <c r="F2833" s="77" t="s">
        <v>1471</v>
      </c>
    </row>
    <row r="2834" spans="4:6" x14ac:dyDescent="0.25">
      <c r="D2834" s="82" t="s">
        <v>4301</v>
      </c>
      <c r="E2834" s="76" t="s">
        <v>3874</v>
      </c>
      <c r="F2834" s="77"/>
    </row>
    <row r="2835" spans="4:6" x14ac:dyDescent="0.25">
      <c r="D2835" s="82" t="s">
        <v>4302</v>
      </c>
      <c r="E2835" s="76" t="s">
        <v>1112</v>
      </c>
      <c r="F2835" s="77"/>
    </row>
    <row r="2836" spans="4:6" x14ac:dyDescent="0.25">
      <c r="D2836" s="82" t="s">
        <v>4303</v>
      </c>
      <c r="E2836" s="76" t="s">
        <v>3951</v>
      </c>
      <c r="F2836" s="77"/>
    </row>
    <row r="2837" spans="4:6" x14ac:dyDescent="0.25">
      <c r="D2837" s="82" t="s">
        <v>4304</v>
      </c>
      <c r="E2837" s="76" t="s">
        <v>4305</v>
      </c>
      <c r="F2837" s="77" t="s">
        <v>1139</v>
      </c>
    </row>
    <row r="2838" spans="4:6" x14ac:dyDescent="0.25">
      <c r="D2838" s="82" t="s">
        <v>4306</v>
      </c>
      <c r="E2838" s="76" t="s">
        <v>115</v>
      </c>
      <c r="F2838" s="77"/>
    </row>
    <row r="2839" spans="4:6" x14ac:dyDescent="0.25">
      <c r="D2839" s="82" t="s">
        <v>4307</v>
      </c>
      <c r="E2839" s="76" t="s">
        <v>3458</v>
      </c>
      <c r="F2839" s="77"/>
    </row>
    <row r="2840" spans="4:6" x14ac:dyDescent="0.25">
      <c r="D2840" s="82" t="s">
        <v>4308</v>
      </c>
      <c r="E2840" s="76" t="s">
        <v>866</v>
      </c>
      <c r="F2840" s="77"/>
    </row>
    <row r="2841" spans="4:6" x14ac:dyDescent="0.25">
      <c r="D2841" s="82" t="s">
        <v>4310</v>
      </c>
      <c r="E2841" s="76" t="s">
        <v>4293</v>
      </c>
      <c r="F2841" s="77"/>
    </row>
    <row r="2842" spans="4:6" x14ac:dyDescent="0.25">
      <c r="D2842" s="82" t="s">
        <v>4311</v>
      </c>
      <c r="E2842" s="76" t="s">
        <v>163</v>
      </c>
      <c r="F2842" s="77"/>
    </row>
    <row r="2843" spans="4:6" x14ac:dyDescent="0.25">
      <c r="D2843" s="82" t="s">
        <v>4312</v>
      </c>
      <c r="E2843" s="76" t="s">
        <v>8</v>
      </c>
      <c r="F2843" s="77"/>
    </row>
    <row r="2844" spans="4:6" x14ac:dyDescent="0.25">
      <c r="D2844" s="82" t="s">
        <v>4313</v>
      </c>
      <c r="E2844" s="76" t="s">
        <v>4043</v>
      </c>
      <c r="F2844" s="77"/>
    </row>
    <row r="2845" spans="4:6" x14ac:dyDescent="0.25">
      <c r="D2845" s="82" t="s">
        <v>4314</v>
      </c>
      <c r="E2845" s="76" t="s">
        <v>4315</v>
      </c>
      <c r="F2845" s="77" t="s">
        <v>4316</v>
      </c>
    </row>
    <row r="2846" spans="4:6" x14ac:dyDescent="0.25">
      <c r="D2846" s="82" t="s">
        <v>4317</v>
      </c>
      <c r="E2846" s="76" t="s">
        <v>4043</v>
      </c>
      <c r="F2846" s="77"/>
    </row>
    <row r="2847" spans="4:6" x14ac:dyDescent="0.25">
      <c r="D2847" s="82" t="s">
        <v>4318</v>
      </c>
      <c r="E2847" s="76" t="s">
        <v>1030</v>
      </c>
      <c r="F2847" s="77"/>
    </row>
    <row r="2848" spans="4:6" x14ac:dyDescent="0.25">
      <c r="D2848" s="82" t="s">
        <v>4319</v>
      </c>
      <c r="E2848" s="76" t="s">
        <v>2965</v>
      </c>
      <c r="F2848" s="77"/>
    </row>
    <row r="2849" spans="4:6" x14ac:dyDescent="0.25">
      <c r="D2849" s="82" t="s">
        <v>4320</v>
      </c>
      <c r="E2849" s="76" t="s">
        <v>866</v>
      </c>
      <c r="F2849" s="77"/>
    </row>
    <row r="2850" spans="4:6" x14ac:dyDescent="0.25">
      <c r="D2850" s="82" t="s">
        <v>4321</v>
      </c>
      <c r="E2850" s="76" t="s">
        <v>106</v>
      </c>
      <c r="F2850" s="77"/>
    </row>
    <row r="2851" spans="4:6" x14ac:dyDescent="0.25">
      <c r="D2851" s="82" t="s">
        <v>4322</v>
      </c>
      <c r="E2851" s="76" t="s">
        <v>8</v>
      </c>
      <c r="F2851" s="77"/>
    </row>
    <row r="2852" spans="4:6" x14ac:dyDescent="0.25">
      <c r="D2852" s="82" t="s">
        <v>4323</v>
      </c>
      <c r="E2852" s="76" t="s">
        <v>1027</v>
      </c>
      <c r="F2852" s="77"/>
    </row>
    <row r="2853" spans="4:6" x14ac:dyDescent="0.25">
      <c r="D2853" s="82" t="s">
        <v>4324</v>
      </c>
      <c r="E2853" s="76" t="s">
        <v>97</v>
      </c>
      <c r="F2853" s="77"/>
    </row>
    <row r="2854" spans="4:6" x14ac:dyDescent="0.25">
      <c r="D2854" s="93" t="s">
        <v>4326</v>
      </c>
      <c r="E2854" s="94" t="s">
        <v>4327</v>
      </c>
      <c r="F2854" s="95"/>
    </row>
    <row r="2855" spans="4:6" x14ac:dyDescent="0.25">
      <c r="D2855" s="93" t="s">
        <v>4329</v>
      </c>
      <c r="E2855" s="94" t="s">
        <v>2140</v>
      </c>
      <c r="F2855" s="95"/>
    </row>
    <row r="2937" spans="4:4" x14ac:dyDescent="0.25">
      <c r="D2937" s="26"/>
    </row>
    <row r="2938" spans="4:4" x14ac:dyDescent="0.25">
      <c r="D2938" s="26"/>
    </row>
    <row r="2939" spans="4:4" x14ac:dyDescent="0.25">
      <c r="D2939" s="26"/>
    </row>
    <row r="2940" spans="4:4" x14ac:dyDescent="0.25">
      <c r="D2940" s="26"/>
    </row>
    <row r="2941" spans="4:4" x14ac:dyDescent="0.25">
      <c r="D2941" s="26"/>
    </row>
    <row r="2942" spans="4:4" x14ac:dyDescent="0.25">
      <c r="D2942" s="26"/>
    </row>
    <row r="2943" spans="4:4" x14ac:dyDescent="0.25">
      <c r="D2943" s="26"/>
    </row>
    <row r="2944" spans="4:4" x14ac:dyDescent="0.25">
      <c r="D2944" s="26"/>
    </row>
    <row r="2945" spans="4:4" x14ac:dyDescent="0.25">
      <c r="D2945" s="26"/>
    </row>
    <row r="2946" spans="4:4" x14ac:dyDescent="0.25">
      <c r="D2946" s="26"/>
    </row>
    <row r="2947" spans="4:4" x14ac:dyDescent="0.25">
      <c r="D2947" s="26"/>
    </row>
    <row r="2948" spans="4:4" x14ac:dyDescent="0.25">
      <c r="D2948" s="26"/>
    </row>
    <row r="2949" spans="4:4" x14ac:dyDescent="0.25">
      <c r="D2949" s="26"/>
    </row>
    <row r="2950" spans="4:4" x14ac:dyDescent="0.25">
      <c r="D2950" s="26"/>
    </row>
    <row r="2951" spans="4:4" x14ac:dyDescent="0.25">
      <c r="D2951" s="26"/>
    </row>
    <row r="2952" spans="4:4" x14ac:dyDescent="0.25">
      <c r="D2952" s="26"/>
    </row>
    <row r="2953" spans="4:4" x14ac:dyDescent="0.25">
      <c r="D2953" s="26"/>
    </row>
    <row r="2954" spans="4:4" x14ac:dyDescent="0.25">
      <c r="D2954" s="26"/>
    </row>
    <row r="2955" spans="4:4" x14ac:dyDescent="0.25">
      <c r="D2955" s="26"/>
    </row>
    <row r="2956" spans="4:4" x14ac:dyDescent="0.25">
      <c r="D2956" s="26"/>
    </row>
    <row r="2957" spans="4:4" x14ac:dyDescent="0.25">
      <c r="D2957" s="26"/>
    </row>
    <row r="2958" spans="4:4" x14ac:dyDescent="0.25">
      <c r="D2958" s="26"/>
    </row>
    <row r="2959" spans="4:4" x14ac:dyDescent="0.25">
      <c r="D2959" s="26"/>
    </row>
    <row r="2960" spans="4:4" x14ac:dyDescent="0.25">
      <c r="D2960" s="26"/>
    </row>
    <row r="2961" spans="4:4" x14ac:dyDescent="0.25">
      <c r="D2961" s="26"/>
    </row>
    <row r="2962" spans="4:4" x14ac:dyDescent="0.25">
      <c r="D2962" s="26"/>
    </row>
    <row r="2963" spans="4:4" x14ac:dyDescent="0.25">
      <c r="D2963" s="26"/>
    </row>
    <row r="2964" spans="4:4" x14ac:dyDescent="0.25">
      <c r="D2964" s="26"/>
    </row>
    <row r="2965" spans="4:4" x14ac:dyDescent="0.25">
      <c r="D2965" s="26"/>
    </row>
    <row r="2966" spans="4:4" x14ac:dyDescent="0.25">
      <c r="D2966" s="26"/>
    </row>
    <row r="2967" spans="4:4" x14ac:dyDescent="0.25">
      <c r="D2967" s="26"/>
    </row>
    <row r="2968" spans="4:4" x14ac:dyDescent="0.25">
      <c r="D2968" s="26"/>
    </row>
    <row r="2969" spans="4:4" x14ac:dyDescent="0.25">
      <c r="D2969" s="26"/>
    </row>
    <row r="2970" spans="4:4" x14ac:dyDescent="0.25">
      <c r="D2970" s="26"/>
    </row>
    <row r="2971" spans="4:4" x14ac:dyDescent="0.25">
      <c r="D2971" s="26"/>
    </row>
    <row r="2972" spans="4:4" x14ac:dyDescent="0.25">
      <c r="D2972" s="26"/>
    </row>
    <row r="2973" spans="4:4" x14ac:dyDescent="0.25">
      <c r="D2973" s="26"/>
    </row>
    <row r="2974" spans="4:4" x14ac:dyDescent="0.25">
      <c r="D2974" s="26"/>
    </row>
    <row r="2975" spans="4:4" x14ac:dyDescent="0.25">
      <c r="D2975" s="26"/>
    </row>
    <row r="2976" spans="4:4" x14ac:dyDescent="0.25">
      <c r="D2976" s="26"/>
    </row>
    <row r="2977" spans="4:4" x14ac:dyDescent="0.25">
      <c r="D2977" s="26"/>
    </row>
    <row r="2978" spans="4:4" x14ac:dyDescent="0.25">
      <c r="D2978" s="26"/>
    </row>
    <row r="2979" spans="4:4" x14ac:dyDescent="0.25">
      <c r="D2979" s="26"/>
    </row>
    <row r="2980" spans="4:4" x14ac:dyDescent="0.25">
      <c r="D2980" s="26"/>
    </row>
    <row r="2981" spans="4:4" x14ac:dyDescent="0.25">
      <c r="D2981" s="26"/>
    </row>
    <row r="2982" spans="4:4" x14ac:dyDescent="0.25">
      <c r="D2982" s="26"/>
    </row>
    <row r="2983" spans="4:4" x14ac:dyDescent="0.25">
      <c r="D2983" s="26"/>
    </row>
    <row r="2984" spans="4:4" x14ac:dyDescent="0.25">
      <c r="D2984" s="26"/>
    </row>
    <row r="2985" spans="4:4" x14ac:dyDescent="0.25">
      <c r="D2985" s="26"/>
    </row>
    <row r="2986" spans="4:4" x14ac:dyDescent="0.25">
      <c r="D2986" s="26"/>
    </row>
    <row r="2987" spans="4:4" x14ac:dyDescent="0.25">
      <c r="D2987" s="26"/>
    </row>
    <row r="2988" spans="4:4" x14ac:dyDescent="0.25">
      <c r="D2988" s="26"/>
    </row>
    <row r="2989" spans="4:4" x14ac:dyDescent="0.25">
      <c r="D2989" s="26"/>
    </row>
    <row r="2990" spans="4:4" x14ac:dyDescent="0.25">
      <c r="D2990" s="26"/>
    </row>
    <row r="2991" spans="4:4" x14ac:dyDescent="0.25">
      <c r="D2991" s="26"/>
    </row>
    <row r="2992" spans="4:4" x14ac:dyDescent="0.25">
      <c r="D2992" s="26"/>
    </row>
    <row r="2993" spans="4:4" x14ac:dyDescent="0.25">
      <c r="D2993" s="26"/>
    </row>
    <row r="2994" spans="4:4" x14ac:dyDescent="0.25">
      <c r="D2994" s="26"/>
    </row>
    <row r="2995" spans="4:4" x14ac:dyDescent="0.25">
      <c r="D2995" s="26"/>
    </row>
    <row r="2996" spans="4:4" x14ac:dyDescent="0.25">
      <c r="D2996" s="26"/>
    </row>
    <row r="2997" spans="4:4" x14ac:dyDescent="0.25">
      <c r="D2997" s="26"/>
    </row>
    <row r="2998" spans="4:4" x14ac:dyDescent="0.25">
      <c r="D2998" s="26"/>
    </row>
    <row r="2999" spans="4:4" x14ac:dyDescent="0.25">
      <c r="D2999" s="26"/>
    </row>
    <row r="3000" spans="4:4" x14ac:dyDescent="0.25">
      <c r="D3000" s="26"/>
    </row>
    <row r="3001" spans="4:4" x14ac:dyDescent="0.25">
      <c r="D3001" s="26"/>
    </row>
    <row r="3002" spans="4:4" x14ac:dyDescent="0.25">
      <c r="D3002" s="26"/>
    </row>
    <row r="3003" spans="4:4" x14ac:dyDescent="0.25">
      <c r="D3003" s="26"/>
    </row>
    <row r="3004" spans="4:4" x14ac:dyDescent="0.25">
      <c r="D3004" s="26"/>
    </row>
    <row r="3005" spans="4:4" x14ac:dyDescent="0.25">
      <c r="D3005" s="26"/>
    </row>
    <row r="3006" spans="4:4" x14ac:dyDescent="0.25">
      <c r="D3006" s="26"/>
    </row>
    <row r="3007" spans="4:4" x14ac:dyDescent="0.25">
      <c r="D3007" s="26"/>
    </row>
    <row r="3008" spans="4:4" x14ac:dyDescent="0.25">
      <c r="D3008" s="26"/>
    </row>
    <row r="3009" spans="4:4" x14ac:dyDescent="0.25">
      <c r="D3009" s="26"/>
    </row>
    <row r="3010" spans="4:4" x14ac:dyDescent="0.25">
      <c r="D3010" s="26"/>
    </row>
    <row r="3011" spans="4:4" x14ac:dyDescent="0.25">
      <c r="D3011" s="26"/>
    </row>
    <row r="3012" spans="4:4" x14ac:dyDescent="0.25">
      <c r="D3012" s="26"/>
    </row>
    <row r="3013" spans="4:4" x14ac:dyDescent="0.25">
      <c r="D3013" s="26"/>
    </row>
    <row r="3014" spans="4:4" x14ac:dyDescent="0.25">
      <c r="D3014" s="26"/>
    </row>
    <row r="3015" spans="4:4" x14ac:dyDescent="0.25">
      <c r="D3015" s="26"/>
    </row>
    <row r="3016" spans="4:4" x14ac:dyDescent="0.25">
      <c r="D3016" s="26"/>
    </row>
    <row r="3017" spans="4:4" x14ac:dyDescent="0.25">
      <c r="D3017" s="26"/>
    </row>
    <row r="3018" spans="4:4" x14ac:dyDescent="0.25">
      <c r="D3018" s="26"/>
    </row>
    <row r="3019" spans="4:4" x14ac:dyDescent="0.25">
      <c r="D3019" s="26"/>
    </row>
    <row r="3020" spans="4:4" x14ac:dyDescent="0.25">
      <c r="D3020" s="26"/>
    </row>
    <row r="3021" spans="4:4" x14ac:dyDescent="0.25">
      <c r="D3021" s="26"/>
    </row>
    <row r="3022" spans="4:4" x14ac:dyDescent="0.25">
      <c r="D3022" s="26"/>
    </row>
    <row r="3023" spans="4:4" x14ac:dyDescent="0.25">
      <c r="D3023" s="26"/>
    </row>
    <row r="3024" spans="4:4" x14ac:dyDescent="0.25">
      <c r="D3024" s="26"/>
    </row>
    <row r="3025" spans="4:4" x14ac:dyDescent="0.25">
      <c r="D3025" s="26"/>
    </row>
    <row r="3026" spans="4:4" x14ac:dyDescent="0.25">
      <c r="D3026" s="26"/>
    </row>
    <row r="3027" spans="4:4" x14ac:dyDescent="0.25">
      <c r="D3027" s="26"/>
    </row>
    <row r="3028" spans="4:4" x14ac:dyDescent="0.25">
      <c r="D3028" s="26"/>
    </row>
    <row r="3029" spans="4:4" x14ac:dyDescent="0.25">
      <c r="D3029" s="26"/>
    </row>
    <row r="3030" spans="4:4" x14ac:dyDescent="0.25">
      <c r="D3030" s="26"/>
    </row>
    <row r="3031" spans="4:4" x14ac:dyDescent="0.25">
      <c r="D3031" s="26"/>
    </row>
    <row r="3032" spans="4:4" x14ac:dyDescent="0.25">
      <c r="D3032" s="26"/>
    </row>
    <row r="3033" spans="4:4" x14ac:dyDescent="0.25">
      <c r="D3033" s="26"/>
    </row>
    <row r="3034" spans="4:4" x14ac:dyDescent="0.25">
      <c r="D3034" s="26"/>
    </row>
    <row r="3035" spans="4:4" x14ac:dyDescent="0.25">
      <c r="D3035" s="26"/>
    </row>
    <row r="3036" spans="4:4" x14ac:dyDescent="0.25">
      <c r="D3036" s="26"/>
    </row>
    <row r="3037" spans="4:4" x14ac:dyDescent="0.25">
      <c r="D3037" s="26"/>
    </row>
    <row r="3038" spans="4:4" x14ac:dyDescent="0.25">
      <c r="D3038" s="26"/>
    </row>
    <row r="3039" spans="4:4" x14ac:dyDescent="0.25">
      <c r="D3039" s="26"/>
    </row>
    <row r="3040" spans="4:4" x14ac:dyDescent="0.25">
      <c r="D3040" s="26"/>
    </row>
    <row r="3041" spans="4:4" x14ac:dyDescent="0.25">
      <c r="D3041" s="26"/>
    </row>
    <row r="3042" spans="4:4" x14ac:dyDescent="0.25">
      <c r="D3042" s="26"/>
    </row>
    <row r="3043" spans="4:4" x14ac:dyDescent="0.25">
      <c r="D3043" s="26"/>
    </row>
    <row r="3044" spans="4:4" x14ac:dyDescent="0.25">
      <c r="D3044" s="26"/>
    </row>
    <row r="3045" spans="4:4" x14ac:dyDescent="0.25">
      <c r="D3045" s="26"/>
    </row>
    <row r="3046" spans="4:4" x14ac:dyDescent="0.25">
      <c r="D3046" s="26"/>
    </row>
    <row r="3047" spans="4:4" x14ac:dyDescent="0.25">
      <c r="D3047" s="26"/>
    </row>
    <row r="3048" spans="4:4" x14ac:dyDescent="0.25">
      <c r="D3048" s="26"/>
    </row>
    <row r="3049" spans="4:4" x14ac:dyDescent="0.25">
      <c r="D3049" s="26"/>
    </row>
    <row r="3050" spans="4:4" x14ac:dyDescent="0.25">
      <c r="D3050" s="26"/>
    </row>
    <row r="3051" spans="4:4" x14ac:dyDescent="0.25">
      <c r="D3051" s="26"/>
    </row>
    <row r="3052" spans="4:4" x14ac:dyDescent="0.25">
      <c r="D3052" s="26"/>
    </row>
    <row r="3053" spans="4:4" x14ac:dyDescent="0.25">
      <c r="D3053" s="26"/>
    </row>
    <row r="3054" spans="4:4" x14ac:dyDescent="0.25">
      <c r="D3054" s="26"/>
    </row>
    <row r="3055" spans="4:4" x14ac:dyDescent="0.25">
      <c r="D3055" s="26"/>
    </row>
    <row r="3056" spans="4:4" x14ac:dyDescent="0.25">
      <c r="D3056" s="26"/>
    </row>
    <row r="3057" spans="4:4" x14ac:dyDescent="0.25">
      <c r="D3057" s="26"/>
    </row>
    <row r="3058" spans="4:4" x14ac:dyDescent="0.25">
      <c r="D3058" s="26"/>
    </row>
    <row r="3059" spans="4:4" x14ac:dyDescent="0.25">
      <c r="D3059" s="26"/>
    </row>
    <row r="3060" spans="4:4" x14ac:dyDescent="0.25">
      <c r="D3060" s="26"/>
    </row>
    <row r="3061" spans="4:4" x14ac:dyDescent="0.25">
      <c r="D3061" s="26"/>
    </row>
    <row r="3062" spans="4:4" x14ac:dyDescent="0.25">
      <c r="D3062" s="26"/>
    </row>
    <row r="3063" spans="4:4" x14ac:dyDescent="0.25">
      <c r="D3063" s="26"/>
    </row>
    <row r="3064" spans="4:4" x14ac:dyDescent="0.25">
      <c r="D3064" s="26"/>
    </row>
    <row r="3065" spans="4:4" x14ac:dyDescent="0.25">
      <c r="D3065" s="26"/>
    </row>
    <row r="3066" spans="4:4" x14ac:dyDescent="0.25">
      <c r="D3066" s="26"/>
    </row>
    <row r="3067" spans="4:4" x14ac:dyDescent="0.25">
      <c r="D3067" s="26"/>
    </row>
    <row r="3068" spans="4:4" x14ac:dyDescent="0.25">
      <c r="D3068" s="26"/>
    </row>
    <row r="3069" spans="4:4" x14ac:dyDescent="0.25">
      <c r="D3069" s="26"/>
    </row>
    <row r="3070" spans="4:4" x14ac:dyDescent="0.25">
      <c r="D3070" s="26"/>
    </row>
    <row r="3071" spans="4:4" x14ac:dyDescent="0.25">
      <c r="D3071" s="26"/>
    </row>
    <row r="3072" spans="4:4" x14ac:dyDescent="0.25">
      <c r="D3072" s="26"/>
    </row>
    <row r="3073" spans="4:4" x14ac:dyDescent="0.25">
      <c r="D3073" s="26"/>
    </row>
    <row r="3074" spans="4:4" x14ac:dyDescent="0.25">
      <c r="D3074" s="26"/>
    </row>
    <row r="3075" spans="4:4" x14ac:dyDescent="0.25">
      <c r="D3075" s="26"/>
    </row>
    <row r="3076" spans="4:4" x14ac:dyDescent="0.25">
      <c r="D3076" s="26"/>
    </row>
    <row r="3077" spans="4:4" x14ac:dyDescent="0.25">
      <c r="D3077" s="26"/>
    </row>
    <row r="3078" spans="4:4" x14ac:dyDescent="0.25">
      <c r="D3078" s="26"/>
    </row>
    <row r="3079" spans="4:4" x14ac:dyDescent="0.25">
      <c r="D3079" s="26"/>
    </row>
    <row r="3080" spans="4:4" x14ac:dyDescent="0.25">
      <c r="D3080" s="26"/>
    </row>
    <row r="3081" spans="4:4" x14ac:dyDescent="0.25">
      <c r="D3081" s="26"/>
    </row>
    <row r="3082" spans="4:4" x14ac:dyDescent="0.25">
      <c r="D3082" s="26"/>
    </row>
    <row r="3083" spans="4:4" x14ac:dyDescent="0.25">
      <c r="D3083" s="26"/>
    </row>
    <row r="3084" spans="4:4" x14ac:dyDescent="0.25">
      <c r="D3084" s="26"/>
    </row>
    <row r="3085" spans="4:4" x14ac:dyDescent="0.25">
      <c r="D3085" s="26"/>
    </row>
    <row r="3086" spans="4:4" x14ac:dyDescent="0.25">
      <c r="D3086" s="26"/>
    </row>
    <row r="3087" spans="4:4" x14ac:dyDescent="0.25">
      <c r="D3087" s="26"/>
    </row>
    <row r="3088" spans="4:4" x14ac:dyDescent="0.25">
      <c r="D3088" s="26"/>
    </row>
    <row r="3089" spans="4:4" x14ac:dyDescent="0.25">
      <c r="D3089" s="26"/>
    </row>
    <row r="3090" spans="4:4" x14ac:dyDescent="0.25">
      <c r="D3090" s="26"/>
    </row>
    <row r="3091" spans="4:4" x14ac:dyDescent="0.25">
      <c r="D3091" s="26"/>
    </row>
    <row r="3092" spans="4:4" x14ac:dyDescent="0.25">
      <c r="D3092" s="26"/>
    </row>
    <row r="3093" spans="4:4" x14ac:dyDescent="0.25">
      <c r="D3093" s="26"/>
    </row>
    <row r="3094" spans="4:4" x14ac:dyDescent="0.25">
      <c r="D3094" s="26"/>
    </row>
    <row r="3095" spans="4:4" x14ac:dyDescent="0.25">
      <c r="D3095" s="26"/>
    </row>
    <row r="3096" spans="4:4" x14ac:dyDescent="0.25">
      <c r="D3096" s="26"/>
    </row>
    <row r="3097" spans="4:4" x14ac:dyDescent="0.25">
      <c r="D3097" s="26"/>
    </row>
    <row r="3098" spans="4:4" x14ac:dyDescent="0.25">
      <c r="D3098" s="26"/>
    </row>
    <row r="3099" spans="4:4" x14ac:dyDescent="0.25">
      <c r="D3099" s="26"/>
    </row>
    <row r="3100" spans="4:4" x14ac:dyDescent="0.25">
      <c r="D3100" s="26"/>
    </row>
    <row r="3101" spans="4:4" x14ac:dyDescent="0.25">
      <c r="D3101" s="26"/>
    </row>
    <row r="3102" spans="4:4" x14ac:dyDescent="0.25">
      <c r="D3102" s="26"/>
    </row>
    <row r="3103" spans="4:4" x14ac:dyDescent="0.25">
      <c r="D3103" s="26"/>
    </row>
    <row r="3104" spans="4:4" x14ac:dyDescent="0.25">
      <c r="D3104" s="26"/>
    </row>
    <row r="3105" spans="4:4" x14ac:dyDescent="0.25">
      <c r="D3105" s="26"/>
    </row>
    <row r="3106" spans="4:4" x14ac:dyDescent="0.25">
      <c r="D3106" s="26"/>
    </row>
    <row r="3107" spans="4:4" x14ac:dyDescent="0.25">
      <c r="D3107" s="26"/>
    </row>
    <row r="3108" spans="4:4" x14ac:dyDescent="0.25">
      <c r="D3108" s="26"/>
    </row>
    <row r="3109" spans="4:4" x14ac:dyDescent="0.25">
      <c r="D3109" s="26"/>
    </row>
    <row r="3110" spans="4:4" x14ac:dyDescent="0.25">
      <c r="D3110" s="26"/>
    </row>
    <row r="3111" spans="4:4" x14ac:dyDescent="0.25">
      <c r="D3111" s="26"/>
    </row>
    <row r="3112" spans="4:4" x14ac:dyDescent="0.25">
      <c r="D3112" s="26"/>
    </row>
    <row r="3113" spans="4:4" x14ac:dyDescent="0.25">
      <c r="D3113" s="26"/>
    </row>
    <row r="3114" spans="4:4" x14ac:dyDescent="0.25">
      <c r="D3114" s="26"/>
    </row>
    <row r="3115" spans="4:4" x14ac:dyDescent="0.25">
      <c r="D3115" s="26"/>
    </row>
    <row r="3116" spans="4:4" x14ac:dyDescent="0.25">
      <c r="D3116" s="26"/>
    </row>
    <row r="3117" spans="4:4" x14ac:dyDescent="0.25">
      <c r="D3117" s="26"/>
    </row>
    <row r="3118" spans="4:4" x14ac:dyDescent="0.25">
      <c r="D3118" s="26"/>
    </row>
    <row r="3119" spans="4:4" x14ac:dyDescent="0.25">
      <c r="D3119" s="26"/>
    </row>
    <row r="3120" spans="4:4" x14ac:dyDescent="0.25">
      <c r="D3120" s="26"/>
    </row>
    <row r="3121" spans="4:4" x14ac:dyDescent="0.25">
      <c r="D3121" s="26"/>
    </row>
    <row r="3122" spans="4:4" x14ac:dyDescent="0.25">
      <c r="D3122" s="26"/>
    </row>
    <row r="3123" spans="4:4" x14ac:dyDescent="0.25">
      <c r="D3123" s="26"/>
    </row>
    <row r="3124" spans="4:4" x14ac:dyDescent="0.25">
      <c r="D3124" s="26"/>
    </row>
    <row r="3125" spans="4:4" x14ac:dyDescent="0.25">
      <c r="D3125" s="26"/>
    </row>
    <row r="3126" spans="4:4" x14ac:dyDescent="0.25">
      <c r="D3126" s="26"/>
    </row>
    <row r="3127" spans="4:4" x14ac:dyDescent="0.25">
      <c r="D3127" s="26"/>
    </row>
    <row r="3128" spans="4:4" x14ac:dyDescent="0.25">
      <c r="D3128" s="26"/>
    </row>
    <row r="3129" spans="4:4" x14ac:dyDescent="0.25">
      <c r="D3129" s="26"/>
    </row>
    <row r="3130" spans="4:4" x14ac:dyDescent="0.25">
      <c r="D3130" s="26"/>
    </row>
    <row r="3131" spans="4:4" x14ac:dyDescent="0.25">
      <c r="D3131" s="26"/>
    </row>
    <row r="3132" spans="4:4" x14ac:dyDescent="0.25">
      <c r="D3132" s="26"/>
    </row>
    <row r="3133" spans="4:4" x14ac:dyDescent="0.25">
      <c r="D3133" s="26"/>
    </row>
    <row r="3134" spans="4:4" x14ac:dyDescent="0.25">
      <c r="D3134" s="26"/>
    </row>
    <row r="3135" spans="4:4" x14ac:dyDescent="0.25">
      <c r="D3135" s="26"/>
    </row>
    <row r="3136" spans="4:4" x14ac:dyDescent="0.25">
      <c r="D3136" s="26"/>
    </row>
    <row r="3137" spans="4:4" x14ac:dyDescent="0.25">
      <c r="D3137" s="26"/>
    </row>
    <row r="3138" spans="4:4" x14ac:dyDescent="0.25">
      <c r="D3138" s="26"/>
    </row>
    <row r="3139" spans="4:4" x14ac:dyDescent="0.25">
      <c r="D3139" s="26"/>
    </row>
    <row r="3140" spans="4:4" x14ac:dyDescent="0.25">
      <c r="D3140" s="26"/>
    </row>
    <row r="3141" spans="4:4" x14ac:dyDescent="0.25">
      <c r="D3141" s="26"/>
    </row>
    <row r="3142" spans="4:4" x14ac:dyDescent="0.25">
      <c r="D3142" s="26"/>
    </row>
    <row r="3143" spans="4:4" x14ac:dyDescent="0.25">
      <c r="D3143" s="26"/>
    </row>
    <row r="3144" spans="4:4" x14ac:dyDescent="0.25">
      <c r="D3144" s="26"/>
    </row>
    <row r="3145" spans="4:4" x14ac:dyDescent="0.25">
      <c r="D3145" s="26"/>
    </row>
    <row r="3146" spans="4:4" x14ac:dyDescent="0.25">
      <c r="D3146" s="26"/>
    </row>
    <row r="3147" spans="4:4" x14ac:dyDescent="0.25">
      <c r="D3147" s="26"/>
    </row>
    <row r="3148" spans="4:4" x14ac:dyDescent="0.25">
      <c r="D3148" s="26"/>
    </row>
    <row r="3149" spans="4:4" x14ac:dyDescent="0.25">
      <c r="D3149" s="26"/>
    </row>
    <row r="3150" spans="4:4" x14ac:dyDescent="0.25">
      <c r="D3150" s="26"/>
    </row>
    <row r="3151" spans="4:4" x14ac:dyDescent="0.25">
      <c r="D3151" s="26"/>
    </row>
    <row r="3152" spans="4:4" x14ac:dyDescent="0.25">
      <c r="D3152" s="26"/>
    </row>
    <row r="3153" spans="4:4" x14ac:dyDescent="0.25">
      <c r="D3153" s="26"/>
    </row>
    <row r="3154" spans="4:4" x14ac:dyDescent="0.25">
      <c r="D3154" s="26"/>
    </row>
    <row r="3155" spans="4:4" x14ac:dyDescent="0.25">
      <c r="D3155" s="26"/>
    </row>
    <row r="3156" spans="4:4" x14ac:dyDescent="0.25">
      <c r="D3156" s="26"/>
    </row>
    <row r="3157" spans="4:4" x14ac:dyDescent="0.25">
      <c r="D3157" s="26"/>
    </row>
    <row r="3158" spans="4:4" x14ac:dyDescent="0.25">
      <c r="D3158" s="26"/>
    </row>
    <row r="3159" spans="4:4" x14ac:dyDescent="0.25">
      <c r="D3159" s="26"/>
    </row>
    <row r="3160" spans="4:4" x14ac:dyDescent="0.25">
      <c r="D3160" s="26"/>
    </row>
    <row r="3161" spans="4:4" x14ac:dyDescent="0.25">
      <c r="D3161" s="26"/>
    </row>
    <row r="3162" spans="4:4" x14ac:dyDescent="0.25">
      <c r="D3162" s="26"/>
    </row>
    <row r="3163" spans="4:4" x14ac:dyDescent="0.25">
      <c r="D3163" s="26"/>
    </row>
    <row r="3164" spans="4:4" x14ac:dyDescent="0.25">
      <c r="D3164" s="26"/>
    </row>
    <row r="3165" spans="4:4" x14ac:dyDescent="0.25">
      <c r="D3165" s="26"/>
    </row>
    <row r="3166" spans="4:4" x14ac:dyDescent="0.25">
      <c r="D3166" s="26"/>
    </row>
    <row r="3167" spans="4:4" x14ac:dyDescent="0.25">
      <c r="D3167" s="26"/>
    </row>
    <row r="3168" spans="4:4" x14ac:dyDescent="0.25">
      <c r="D3168" s="26"/>
    </row>
    <row r="3169" spans="4:4" x14ac:dyDescent="0.25">
      <c r="D3169" s="26"/>
    </row>
    <row r="3170" spans="4:4" x14ac:dyDescent="0.25">
      <c r="D3170" s="26"/>
    </row>
    <row r="3171" spans="4:4" x14ac:dyDescent="0.25">
      <c r="D3171" s="26"/>
    </row>
    <row r="3172" spans="4:4" x14ac:dyDescent="0.25">
      <c r="D3172" s="26"/>
    </row>
    <row r="3173" spans="4:4" x14ac:dyDescent="0.25">
      <c r="D3173" s="26"/>
    </row>
    <row r="3174" spans="4:4" x14ac:dyDescent="0.25">
      <c r="D3174" s="26"/>
    </row>
    <row r="3175" spans="4:4" x14ac:dyDescent="0.25">
      <c r="D3175" s="26"/>
    </row>
    <row r="3176" spans="4:4" x14ac:dyDescent="0.25">
      <c r="D3176" s="26"/>
    </row>
    <row r="3177" spans="4:4" x14ac:dyDescent="0.25">
      <c r="D3177" s="26"/>
    </row>
    <row r="3178" spans="4:4" x14ac:dyDescent="0.25">
      <c r="D3178" s="26"/>
    </row>
    <row r="3179" spans="4:4" x14ac:dyDescent="0.25">
      <c r="D3179" s="26"/>
    </row>
    <row r="3180" spans="4:4" x14ac:dyDescent="0.25">
      <c r="D3180" s="26"/>
    </row>
    <row r="3181" spans="4:4" x14ac:dyDescent="0.25">
      <c r="D3181" s="26"/>
    </row>
    <row r="3182" spans="4:4" x14ac:dyDescent="0.25">
      <c r="D3182" s="26"/>
    </row>
    <row r="3183" spans="4:4" x14ac:dyDescent="0.25">
      <c r="D3183" s="26"/>
    </row>
    <row r="3184" spans="4:4" x14ac:dyDescent="0.25">
      <c r="D3184" s="26"/>
    </row>
    <row r="3185" spans="4:4" x14ac:dyDescent="0.25">
      <c r="D3185" s="26"/>
    </row>
    <row r="3186" spans="4:4" x14ac:dyDescent="0.25">
      <c r="D3186" s="26"/>
    </row>
    <row r="3187" spans="4:4" x14ac:dyDescent="0.25">
      <c r="D3187" s="26"/>
    </row>
    <row r="3188" spans="4:4" x14ac:dyDescent="0.25">
      <c r="D3188" s="26"/>
    </row>
    <row r="3189" spans="4:4" x14ac:dyDescent="0.25">
      <c r="D3189" s="26"/>
    </row>
    <row r="3190" spans="4:4" x14ac:dyDescent="0.25">
      <c r="D3190" s="26"/>
    </row>
    <row r="3191" spans="4:4" x14ac:dyDescent="0.25">
      <c r="D3191" s="26"/>
    </row>
    <row r="3192" spans="4:4" x14ac:dyDescent="0.25">
      <c r="D3192" s="26"/>
    </row>
    <row r="3193" spans="4:4" x14ac:dyDescent="0.25">
      <c r="D3193" s="26"/>
    </row>
    <row r="3194" spans="4:4" x14ac:dyDescent="0.25">
      <c r="D3194" s="26"/>
    </row>
    <row r="3195" spans="4:4" x14ac:dyDescent="0.25">
      <c r="D3195" s="26"/>
    </row>
    <row r="3196" spans="4:4" x14ac:dyDescent="0.25">
      <c r="D3196" s="26"/>
    </row>
    <row r="3197" spans="4:4" x14ac:dyDescent="0.25">
      <c r="D3197" s="26"/>
    </row>
    <row r="3198" spans="4:4" x14ac:dyDescent="0.25">
      <c r="D3198" s="26"/>
    </row>
    <row r="3199" spans="4:4" x14ac:dyDescent="0.25">
      <c r="D3199" s="26"/>
    </row>
    <row r="3200" spans="4:4" x14ac:dyDescent="0.25">
      <c r="D3200" s="26"/>
    </row>
    <row r="3201" spans="4:4" x14ac:dyDescent="0.25">
      <c r="D3201" s="26"/>
    </row>
    <row r="3202" spans="4:4" x14ac:dyDescent="0.25">
      <c r="D3202" s="26"/>
    </row>
    <row r="3203" spans="4:4" x14ac:dyDescent="0.25">
      <c r="D3203" s="26"/>
    </row>
    <row r="3204" spans="4:4" x14ac:dyDescent="0.25">
      <c r="D3204" s="26"/>
    </row>
    <row r="3205" spans="4:4" x14ac:dyDescent="0.25">
      <c r="D3205" s="26"/>
    </row>
    <row r="3206" spans="4:4" x14ac:dyDescent="0.25">
      <c r="D3206" s="26"/>
    </row>
    <row r="3207" spans="4:4" x14ac:dyDescent="0.25">
      <c r="D3207" s="26"/>
    </row>
    <row r="3208" spans="4:4" x14ac:dyDescent="0.25">
      <c r="D3208" s="26"/>
    </row>
    <row r="3209" spans="4:4" x14ac:dyDescent="0.25">
      <c r="D3209" s="26"/>
    </row>
    <row r="3210" spans="4:4" x14ac:dyDescent="0.25">
      <c r="D3210" s="26"/>
    </row>
    <row r="3211" spans="4:4" x14ac:dyDescent="0.25">
      <c r="D3211" s="26"/>
    </row>
    <row r="3212" spans="4:4" x14ac:dyDescent="0.25">
      <c r="D3212" s="26"/>
    </row>
    <row r="3213" spans="4:4" x14ac:dyDescent="0.25">
      <c r="D3213" s="26"/>
    </row>
    <row r="3214" spans="4:4" x14ac:dyDescent="0.25">
      <c r="D3214" s="26"/>
    </row>
    <row r="3215" spans="4:4" x14ac:dyDescent="0.25">
      <c r="D3215" s="26"/>
    </row>
    <row r="3216" spans="4:4" x14ac:dyDescent="0.25">
      <c r="D3216" s="26"/>
    </row>
    <row r="3217" spans="4:4" x14ac:dyDescent="0.25">
      <c r="D3217" s="26"/>
    </row>
    <row r="3218" spans="4:4" x14ac:dyDescent="0.25">
      <c r="D3218" s="26"/>
    </row>
    <row r="3219" spans="4:4" x14ac:dyDescent="0.25">
      <c r="D3219" s="26"/>
    </row>
    <row r="3220" spans="4:4" x14ac:dyDescent="0.25">
      <c r="D3220" s="26"/>
    </row>
    <row r="3221" spans="4:4" x14ac:dyDescent="0.25">
      <c r="D3221" s="26"/>
    </row>
    <row r="3222" spans="4:4" x14ac:dyDescent="0.25">
      <c r="D3222" s="26"/>
    </row>
    <row r="3223" spans="4:4" x14ac:dyDescent="0.25">
      <c r="D3223" s="26"/>
    </row>
    <row r="3224" spans="4:4" x14ac:dyDescent="0.25">
      <c r="D3224" s="26"/>
    </row>
    <row r="3225" spans="4:4" x14ac:dyDescent="0.25">
      <c r="D3225" s="26"/>
    </row>
    <row r="3226" spans="4:4" x14ac:dyDescent="0.25">
      <c r="D3226" s="26"/>
    </row>
    <row r="3227" spans="4:4" x14ac:dyDescent="0.25">
      <c r="D3227" s="26"/>
    </row>
    <row r="3228" spans="4:4" x14ac:dyDescent="0.25">
      <c r="D3228" s="26"/>
    </row>
    <row r="3229" spans="4:4" x14ac:dyDescent="0.25">
      <c r="D3229" s="26"/>
    </row>
    <row r="3230" spans="4:4" x14ac:dyDescent="0.25">
      <c r="D3230" s="26"/>
    </row>
    <row r="3231" spans="4:4" x14ac:dyDescent="0.25">
      <c r="D3231" s="26"/>
    </row>
    <row r="3232" spans="4:4" x14ac:dyDescent="0.25">
      <c r="D3232" s="26"/>
    </row>
    <row r="3233" spans="4:4" x14ac:dyDescent="0.25">
      <c r="D3233" s="26"/>
    </row>
    <row r="3234" spans="4:4" x14ac:dyDescent="0.25">
      <c r="D3234" s="26"/>
    </row>
    <row r="3235" spans="4:4" x14ac:dyDescent="0.25">
      <c r="D3235" s="26"/>
    </row>
    <row r="3236" spans="4:4" x14ac:dyDescent="0.25">
      <c r="D3236" s="26"/>
    </row>
    <row r="3237" spans="4:4" x14ac:dyDescent="0.25">
      <c r="D3237" s="26"/>
    </row>
    <row r="3238" spans="4:4" x14ac:dyDescent="0.25">
      <c r="D3238" s="26"/>
    </row>
    <row r="3239" spans="4:4" x14ac:dyDescent="0.25">
      <c r="D3239" s="26"/>
    </row>
    <row r="3240" spans="4:4" x14ac:dyDescent="0.25">
      <c r="D3240" s="26"/>
    </row>
    <row r="3241" spans="4:4" x14ac:dyDescent="0.25">
      <c r="D3241" s="26"/>
    </row>
    <row r="3242" spans="4:4" x14ac:dyDescent="0.25">
      <c r="D3242" s="26"/>
    </row>
    <row r="3243" spans="4:4" x14ac:dyDescent="0.25">
      <c r="D3243" s="26"/>
    </row>
    <row r="3244" spans="4:4" x14ac:dyDescent="0.25">
      <c r="D3244" s="26"/>
    </row>
    <row r="3245" spans="4:4" x14ac:dyDescent="0.25">
      <c r="D3245" s="26"/>
    </row>
    <row r="3246" spans="4:4" x14ac:dyDescent="0.25">
      <c r="D3246" s="26"/>
    </row>
    <row r="3247" spans="4:4" x14ac:dyDescent="0.25">
      <c r="D3247" s="26"/>
    </row>
    <row r="3248" spans="4:4" x14ac:dyDescent="0.25">
      <c r="D3248" s="26"/>
    </row>
    <row r="3249" spans="4:4" x14ac:dyDescent="0.25">
      <c r="D3249" s="26"/>
    </row>
    <row r="3250" spans="4:4" x14ac:dyDescent="0.25">
      <c r="D3250" s="26"/>
    </row>
    <row r="3251" spans="4:4" x14ac:dyDescent="0.25">
      <c r="D3251" s="26"/>
    </row>
    <row r="3252" spans="4:4" x14ac:dyDescent="0.25">
      <c r="D3252" s="26"/>
    </row>
    <row r="3253" spans="4:4" x14ac:dyDescent="0.25">
      <c r="D3253" s="26"/>
    </row>
    <row r="3254" spans="4:4" x14ac:dyDescent="0.25">
      <c r="D3254" s="26"/>
    </row>
    <row r="3255" spans="4:4" x14ac:dyDescent="0.25">
      <c r="D3255" s="26"/>
    </row>
    <row r="3256" spans="4:4" x14ac:dyDescent="0.25">
      <c r="D3256" s="26"/>
    </row>
    <row r="3257" spans="4:4" x14ac:dyDescent="0.25">
      <c r="D3257" s="26"/>
    </row>
    <row r="3258" spans="4:4" x14ac:dyDescent="0.25">
      <c r="D3258" s="26"/>
    </row>
    <row r="3259" spans="4:4" x14ac:dyDescent="0.25">
      <c r="D3259" s="26"/>
    </row>
    <row r="3260" spans="4:4" x14ac:dyDescent="0.25">
      <c r="D3260" s="26"/>
    </row>
    <row r="3261" spans="4:4" x14ac:dyDescent="0.25">
      <c r="D3261" s="26"/>
    </row>
    <row r="3262" spans="4:4" x14ac:dyDescent="0.25">
      <c r="D3262" s="26"/>
    </row>
    <row r="3263" spans="4:4" x14ac:dyDescent="0.25">
      <c r="D3263" s="26"/>
    </row>
    <row r="3264" spans="4:4" x14ac:dyDescent="0.25">
      <c r="D3264" s="26"/>
    </row>
    <row r="3265" spans="4:4" x14ac:dyDescent="0.25">
      <c r="D3265" s="26"/>
    </row>
    <row r="3266" spans="4:4" x14ac:dyDescent="0.25">
      <c r="D3266" s="26"/>
    </row>
    <row r="3267" spans="4:4" x14ac:dyDescent="0.25">
      <c r="D3267" s="26"/>
    </row>
    <row r="3268" spans="4:4" x14ac:dyDescent="0.25">
      <c r="D3268" s="26"/>
    </row>
    <row r="3269" spans="4:4" x14ac:dyDescent="0.25">
      <c r="D3269" s="26"/>
    </row>
    <row r="3270" spans="4:4" x14ac:dyDescent="0.25">
      <c r="D3270" s="26"/>
    </row>
    <row r="3271" spans="4:4" x14ac:dyDescent="0.25">
      <c r="D3271" s="26"/>
    </row>
    <row r="3272" spans="4:4" x14ac:dyDescent="0.25">
      <c r="D3272" s="26"/>
    </row>
    <row r="3273" spans="4:4" x14ac:dyDescent="0.25">
      <c r="D3273" s="26"/>
    </row>
    <row r="3274" spans="4:4" x14ac:dyDescent="0.25">
      <c r="D3274" s="26"/>
    </row>
    <row r="3275" spans="4:4" x14ac:dyDescent="0.25">
      <c r="D3275" s="26"/>
    </row>
    <row r="3276" spans="4:4" x14ac:dyDescent="0.25">
      <c r="D3276" s="26"/>
    </row>
    <row r="3277" spans="4:4" x14ac:dyDescent="0.25">
      <c r="D3277" s="26"/>
    </row>
    <row r="3278" spans="4:4" x14ac:dyDescent="0.25">
      <c r="D3278" s="26"/>
    </row>
    <row r="3279" spans="4:4" x14ac:dyDescent="0.25">
      <c r="D3279" s="26"/>
    </row>
    <row r="3280" spans="4:4" x14ac:dyDescent="0.25">
      <c r="D3280" s="26"/>
    </row>
    <row r="3281" spans="4:4" x14ac:dyDescent="0.25">
      <c r="D3281" s="26"/>
    </row>
    <row r="3282" spans="4:4" x14ac:dyDescent="0.25">
      <c r="D3282" s="26"/>
    </row>
    <row r="3283" spans="4:4" x14ac:dyDescent="0.25">
      <c r="D3283" s="26"/>
    </row>
    <row r="3284" spans="4:4" x14ac:dyDescent="0.25">
      <c r="D3284" s="26"/>
    </row>
    <row r="3285" spans="4:4" x14ac:dyDescent="0.25">
      <c r="D3285" s="26"/>
    </row>
    <row r="3286" spans="4:4" x14ac:dyDescent="0.25">
      <c r="D3286" s="26"/>
    </row>
    <row r="3287" spans="4:4" x14ac:dyDescent="0.25">
      <c r="D3287" s="26"/>
    </row>
    <row r="3288" spans="4:4" x14ac:dyDescent="0.25">
      <c r="D3288" s="26"/>
    </row>
    <row r="3289" spans="4:4" x14ac:dyDescent="0.25">
      <c r="D3289" s="26"/>
    </row>
    <row r="3290" spans="4:4" x14ac:dyDescent="0.25">
      <c r="D3290" s="26"/>
    </row>
    <row r="3291" spans="4:4" x14ac:dyDescent="0.25">
      <c r="D3291" s="26"/>
    </row>
    <row r="3292" spans="4:4" x14ac:dyDescent="0.25">
      <c r="D3292" s="26"/>
    </row>
    <row r="3293" spans="4:4" x14ac:dyDescent="0.25">
      <c r="D3293" s="26"/>
    </row>
    <row r="3294" spans="4:4" x14ac:dyDescent="0.25">
      <c r="D3294" s="26"/>
    </row>
    <row r="3295" spans="4:4" x14ac:dyDescent="0.25">
      <c r="D3295" s="26"/>
    </row>
    <row r="3296" spans="4:4" x14ac:dyDescent="0.25">
      <c r="D3296" s="26"/>
    </row>
    <row r="3297" spans="4:4" x14ac:dyDescent="0.25">
      <c r="D3297" s="26"/>
    </row>
    <row r="3298" spans="4:4" x14ac:dyDescent="0.25">
      <c r="D3298" s="26"/>
    </row>
    <row r="3299" spans="4:4" x14ac:dyDescent="0.25">
      <c r="D3299" s="26"/>
    </row>
    <row r="3300" spans="4:4" x14ac:dyDescent="0.25">
      <c r="D3300" s="26"/>
    </row>
    <row r="3301" spans="4:4" x14ac:dyDescent="0.25">
      <c r="D3301" s="26"/>
    </row>
    <row r="3302" spans="4:4" x14ac:dyDescent="0.25">
      <c r="D3302" s="26"/>
    </row>
    <row r="3303" spans="4:4" x14ac:dyDescent="0.25">
      <c r="D3303" s="26"/>
    </row>
    <row r="3304" spans="4:4" x14ac:dyDescent="0.25">
      <c r="D3304" s="26"/>
    </row>
    <row r="3305" spans="4:4" x14ac:dyDescent="0.25">
      <c r="D3305" s="26"/>
    </row>
    <row r="3306" spans="4:4" x14ac:dyDescent="0.25">
      <c r="D3306" s="26"/>
    </row>
    <row r="3307" spans="4:4" x14ac:dyDescent="0.25">
      <c r="D3307" s="26"/>
    </row>
    <row r="3308" spans="4:4" x14ac:dyDescent="0.25">
      <c r="D3308" s="26"/>
    </row>
    <row r="3309" spans="4:4" x14ac:dyDescent="0.25">
      <c r="D3309" s="26"/>
    </row>
    <row r="3310" spans="4:4" x14ac:dyDescent="0.25">
      <c r="D3310" s="26"/>
    </row>
    <row r="3311" spans="4:4" x14ac:dyDescent="0.25">
      <c r="D3311" s="26"/>
    </row>
    <row r="3312" spans="4:4" x14ac:dyDescent="0.25">
      <c r="D3312" s="26"/>
    </row>
    <row r="3313" spans="4:4" x14ac:dyDescent="0.25">
      <c r="D3313" s="26"/>
    </row>
    <row r="3314" spans="4:4" x14ac:dyDescent="0.25">
      <c r="D3314" s="26"/>
    </row>
    <row r="3315" spans="4:4" x14ac:dyDescent="0.25">
      <c r="D3315" s="26"/>
    </row>
    <row r="3316" spans="4:4" x14ac:dyDescent="0.25">
      <c r="D3316" s="26"/>
    </row>
    <row r="3317" spans="4:4" x14ac:dyDescent="0.25">
      <c r="D3317" s="26"/>
    </row>
    <row r="3318" spans="4:4" x14ac:dyDescent="0.25">
      <c r="D3318" s="26"/>
    </row>
    <row r="3319" spans="4:4" x14ac:dyDescent="0.25">
      <c r="D3319" s="26"/>
    </row>
    <row r="3320" spans="4:4" x14ac:dyDescent="0.25">
      <c r="D3320" s="26"/>
    </row>
    <row r="3321" spans="4:4" x14ac:dyDescent="0.25">
      <c r="D3321" s="26"/>
    </row>
    <row r="3322" spans="4:4" x14ac:dyDescent="0.25">
      <c r="D3322" s="26"/>
    </row>
    <row r="3323" spans="4:4" x14ac:dyDescent="0.25">
      <c r="D3323" s="26"/>
    </row>
    <row r="3324" spans="4:4" x14ac:dyDescent="0.25">
      <c r="D3324" s="26"/>
    </row>
    <row r="3325" spans="4:4" x14ac:dyDescent="0.25">
      <c r="D3325" s="26"/>
    </row>
    <row r="3326" spans="4:4" x14ac:dyDescent="0.25">
      <c r="D3326" s="26"/>
    </row>
    <row r="3327" spans="4:4" x14ac:dyDescent="0.25">
      <c r="D3327" s="26"/>
    </row>
    <row r="3328" spans="4:4" x14ac:dyDescent="0.25">
      <c r="D3328" s="26"/>
    </row>
    <row r="3329" spans="4:4" x14ac:dyDescent="0.25">
      <c r="D3329" s="26"/>
    </row>
    <row r="3330" spans="4:4" x14ac:dyDescent="0.25">
      <c r="D3330" s="26"/>
    </row>
    <row r="3331" spans="4:4" x14ac:dyDescent="0.25">
      <c r="D3331" s="26"/>
    </row>
    <row r="3332" spans="4:4" x14ac:dyDescent="0.25">
      <c r="D3332" s="26"/>
    </row>
    <row r="3333" spans="4:4" x14ac:dyDescent="0.25">
      <c r="D3333" s="26"/>
    </row>
    <row r="3334" spans="4:4" x14ac:dyDescent="0.25">
      <c r="D3334" s="26"/>
    </row>
    <row r="3335" spans="4:4" x14ac:dyDescent="0.25">
      <c r="D3335" s="26"/>
    </row>
    <row r="3336" spans="4:4" x14ac:dyDescent="0.25">
      <c r="D3336" s="26"/>
    </row>
    <row r="3337" spans="4:4" x14ac:dyDescent="0.25">
      <c r="D3337" s="26"/>
    </row>
    <row r="3338" spans="4:4" x14ac:dyDescent="0.25">
      <c r="D3338" s="26"/>
    </row>
    <row r="3339" spans="4:4" x14ac:dyDescent="0.25">
      <c r="D3339" s="26"/>
    </row>
    <row r="3340" spans="4:4" x14ac:dyDescent="0.25">
      <c r="D3340" s="26"/>
    </row>
    <row r="3341" spans="4:4" x14ac:dyDescent="0.25">
      <c r="D3341" s="26"/>
    </row>
    <row r="3342" spans="4:4" x14ac:dyDescent="0.25">
      <c r="D3342" s="26"/>
    </row>
    <row r="3343" spans="4:4" x14ac:dyDescent="0.25">
      <c r="D3343" s="26"/>
    </row>
    <row r="3344" spans="4:4" x14ac:dyDescent="0.25">
      <c r="D3344" s="26"/>
    </row>
    <row r="3345" spans="4:4" x14ac:dyDescent="0.25">
      <c r="D3345" s="26"/>
    </row>
    <row r="3346" spans="4:4" x14ac:dyDescent="0.25">
      <c r="D3346" s="26"/>
    </row>
    <row r="3347" spans="4:4" x14ac:dyDescent="0.25">
      <c r="D3347" s="26"/>
    </row>
    <row r="3348" spans="4:4" x14ac:dyDescent="0.25">
      <c r="D3348" s="26"/>
    </row>
    <row r="3349" spans="4:4" x14ac:dyDescent="0.25">
      <c r="D3349" s="26"/>
    </row>
    <row r="3350" spans="4:4" x14ac:dyDescent="0.25">
      <c r="D3350" s="26"/>
    </row>
    <row r="3351" spans="4:4" x14ac:dyDescent="0.25">
      <c r="D3351" s="26"/>
    </row>
    <row r="3352" spans="4:4" x14ac:dyDescent="0.25">
      <c r="D3352" s="26"/>
    </row>
    <row r="3353" spans="4:4" x14ac:dyDescent="0.25">
      <c r="D3353" s="26"/>
    </row>
    <row r="3354" spans="4:4" x14ac:dyDescent="0.25">
      <c r="D3354" s="26"/>
    </row>
    <row r="3355" spans="4:4" x14ac:dyDescent="0.25">
      <c r="D3355" s="26"/>
    </row>
    <row r="3356" spans="4:4" x14ac:dyDescent="0.25">
      <c r="D3356" s="26"/>
    </row>
    <row r="3357" spans="4:4" x14ac:dyDescent="0.25">
      <c r="D3357" s="26"/>
    </row>
    <row r="3358" spans="4:4" x14ac:dyDescent="0.25">
      <c r="D3358" s="26"/>
    </row>
    <row r="3359" spans="4:4" x14ac:dyDescent="0.25">
      <c r="D3359" s="26"/>
    </row>
    <row r="3360" spans="4:4" x14ac:dyDescent="0.25">
      <c r="D3360" s="26"/>
    </row>
    <row r="3361" spans="4:4" x14ac:dyDescent="0.25">
      <c r="D3361" s="26"/>
    </row>
    <row r="3362" spans="4:4" x14ac:dyDescent="0.25">
      <c r="D3362" s="26"/>
    </row>
    <row r="3363" spans="4:4" x14ac:dyDescent="0.25">
      <c r="D3363" s="26"/>
    </row>
    <row r="3364" spans="4:4" x14ac:dyDescent="0.25">
      <c r="D3364" s="26"/>
    </row>
    <row r="3365" spans="4:4" x14ac:dyDescent="0.25">
      <c r="D3365" s="26"/>
    </row>
    <row r="3366" spans="4:4" x14ac:dyDescent="0.25">
      <c r="D3366" s="26"/>
    </row>
    <row r="3367" spans="4:4" x14ac:dyDescent="0.25">
      <c r="D3367" s="26"/>
    </row>
    <row r="3368" spans="4:4" x14ac:dyDescent="0.25">
      <c r="D3368" s="26"/>
    </row>
    <row r="3369" spans="4:4" x14ac:dyDescent="0.25">
      <c r="D3369" s="26"/>
    </row>
    <row r="3370" spans="4:4" x14ac:dyDescent="0.25">
      <c r="D3370" s="26"/>
    </row>
    <row r="3371" spans="4:4" x14ac:dyDescent="0.25">
      <c r="D3371" s="26"/>
    </row>
    <row r="3372" spans="4:4" x14ac:dyDescent="0.25">
      <c r="D3372" s="26"/>
    </row>
    <row r="3373" spans="4:4" x14ac:dyDescent="0.25">
      <c r="D3373" s="26"/>
    </row>
    <row r="3374" spans="4:4" x14ac:dyDescent="0.25">
      <c r="D3374" s="26"/>
    </row>
    <row r="3375" spans="4:4" x14ac:dyDescent="0.25">
      <c r="D3375" s="26"/>
    </row>
    <row r="3376" spans="4:4" x14ac:dyDescent="0.25">
      <c r="D3376" s="26"/>
    </row>
    <row r="3377" spans="4:4" x14ac:dyDescent="0.25">
      <c r="D3377" s="26"/>
    </row>
    <row r="3378" spans="4:4" x14ac:dyDescent="0.25">
      <c r="D3378" s="26"/>
    </row>
    <row r="3379" spans="4:4" x14ac:dyDescent="0.25">
      <c r="D3379" s="26"/>
    </row>
    <row r="3380" spans="4:4" x14ac:dyDescent="0.25">
      <c r="D3380" s="26"/>
    </row>
    <row r="3381" spans="4:4" x14ac:dyDescent="0.25">
      <c r="D3381" s="26"/>
    </row>
    <row r="3382" spans="4:4" x14ac:dyDescent="0.25">
      <c r="D3382" s="26"/>
    </row>
    <row r="3383" spans="4:4" x14ac:dyDescent="0.25">
      <c r="D3383" s="26"/>
    </row>
    <row r="3384" spans="4:4" x14ac:dyDescent="0.25">
      <c r="D3384" s="26"/>
    </row>
    <row r="3385" spans="4:4" x14ac:dyDescent="0.25">
      <c r="D3385" s="26"/>
    </row>
    <row r="3386" spans="4:4" x14ac:dyDescent="0.25">
      <c r="D3386" s="26"/>
    </row>
    <row r="3387" spans="4:4" x14ac:dyDescent="0.25">
      <c r="D3387" s="26"/>
    </row>
    <row r="3388" spans="4:4" x14ac:dyDescent="0.25">
      <c r="D3388" s="26"/>
    </row>
    <row r="3389" spans="4:4" x14ac:dyDescent="0.25">
      <c r="D3389" s="26"/>
    </row>
    <row r="3390" spans="4:4" x14ac:dyDescent="0.25">
      <c r="D3390" s="26"/>
    </row>
    <row r="3391" spans="4:4" x14ac:dyDescent="0.25">
      <c r="D3391" s="26"/>
    </row>
    <row r="3392" spans="4:4" x14ac:dyDescent="0.25">
      <c r="D3392" s="26"/>
    </row>
    <row r="3393" spans="4:4" x14ac:dyDescent="0.25">
      <c r="D3393" s="26"/>
    </row>
    <row r="3394" spans="4:4" x14ac:dyDescent="0.25">
      <c r="D3394" s="26"/>
    </row>
    <row r="3395" spans="4:4" x14ac:dyDescent="0.25">
      <c r="D3395" s="26"/>
    </row>
    <row r="3396" spans="4:4" x14ac:dyDescent="0.25">
      <c r="D3396" s="26"/>
    </row>
    <row r="3397" spans="4:4" x14ac:dyDescent="0.25">
      <c r="D3397" s="26"/>
    </row>
    <row r="3398" spans="4:4" x14ac:dyDescent="0.25">
      <c r="D3398" s="26"/>
    </row>
    <row r="3399" spans="4:4" x14ac:dyDescent="0.25">
      <c r="D3399" s="26"/>
    </row>
    <row r="3400" spans="4:4" x14ac:dyDescent="0.25">
      <c r="D3400" s="26"/>
    </row>
    <row r="3401" spans="4:4" x14ac:dyDescent="0.25">
      <c r="D3401" s="26"/>
    </row>
    <row r="3402" spans="4:4" x14ac:dyDescent="0.25">
      <c r="D3402" s="26"/>
    </row>
    <row r="3403" spans="4:4" x14ac:dyDescent="0.25">
      <c r="D3403" s="26"/>
    </row>
    <row r="3404" spans="4:4" x14ac:dyDescent="0.25">
      <c r="D3404" s="26"/>
    </row>
    <row r="3405" spans="4:4" x14ac:dyDescent="0.25">
      <c r="D3405" s="26"/>
    </row>
    <row r="3406" spans="4:4" x14ac:dyDescent="0.25">
      <c r="D3406" s="26"/>
    </row>
    <row r="3407" spans="4:4" x14ac:dyDescent="0.25">
      <c r="D3407" s="26"/>
    </row>
    <row r="3408" spans="4:4" x14ac:dyDescent="0.25">
      <c r="D3408" s="26"/>
    </row>
    <row r="3409" spans="4:4" x14ac:dyDescent="0.25">
      <c r="D3409" s="26"/>
    </row>
    <row r="3410" spans="4:4" x14ac:dyDescent="0.25">
      <c r="D3410" s="26"/>
    </row>
    <row r="3411" spans="4:4" x14ac:dyDescent="0.25">
      <c r="D3411" s="26"/>
    </row>
    <row r="3412" spans="4:4" x14ac:dyDescent="0.25">
      <c r="D3412" s="26"/>
    </row>
    <row r="3413" spans="4:4" x14ac:dyDescent="0.25">
      <c r="D3413" s="26"/>
    </row>
    <row r="3414" spans="4:4" x14ac:dyDescent="0.25">
      <c r="D3414" s="26"/>
    </row>
    <row r="3415" spans="4:4" x14ac:dyDescent="0.25">
      <c r="D3415" s="26"/>
    </row>
    <row r="3416" spans="4:4" x14ac:dyDescent="0.25">
      <c r="D3416" s="26"/>
    </row>
    <row r="3417" spans="4:4" x14ac:dyDescent="0.25">
      <c r="D3417" s="26"/>
    </row>
    <row r="3418" spans="4:4" x14ac:dyDescent="0.25">
      <c r="D3418" s="26"/>
    </row>
    <row r="3419" spans="4:4" x14ac:dyDescent="0.25">
      <c r="D3419" s="26"/>
    </row>
    <row r="3420" spans="4:4" x14ac:dyDescent="0.25">
      <c r="D3420" s="26"/>
    </row>
    <row r="3421" spans="4:4" x14ac:dyDescent="0.25">
      <c r="D3421" s="26"/>
    </row>
    <row r="3422" spans="4:4" x14ac:dyDescent="0.25">
      <c r="D3422" s="26"/>
    </row>
    <row r="3423" spans="4:4" x14ac:dyDescent="0.25">
      <c r="D3423" s="26"/>
    </row>
    <row r="3424" spans="4:4" x14ac:dyDescent="0.25">
      <c r="D3424" s="26"/>
    </row>
    <row r="3425" spans="4:4" x14ac:dyDescent="0.25">
      <c r="D3425" s="26"/>
    </row>
    <row r="3426" spans="4:4" x14ac:dyDescent="0.25">
      <c r="D3426" s="26"/>
    </row>
    <row r="3427" spans="4:4" x14ac:dyDescent="0.25">
      <c r="D3427" s="26"/>
    </row>
    <row r="3428" spans="4:4" x14ac:dyDescent="0.25">
      <c r="D3428" s="26"/>
    </row>
    <row r="3429" spans="4:4" x14ac:dyDescent="0.25">
      <c r="D3429" s="26"/>
    </row>
    <row r="3430" spans="4:4" x14ac:dyDescent="0.25">
      <c r="D3430" s="26"/>
    </row>
    <row r="3431" spans="4:4" x14ac:dyDescent="0.25">
      <c r="D3431" s="26"/>
    </row>
    <row r="3432" spans="4:4" x14ac:dyDescent="0.25">
      <c r="D3432" s="26"/>
    </row>
    <row r="3433" spans="4:4" x14ac:dyDescent="0.25">
      <c r="D3433" s="26"/>
    </row>
    <row r="3434" spans="4:4" x14ac:dyDescent="0.25">
      <c r="D3434" s="26"/>
    </row>
    <row r="3435" spans="4:4" x14ac:dyDescent="0.25">
      <c r="D3435" s="26"/>
    </row>
    <row r="3436" spans="4:4" x14ac:dyDescent="0.25">
      <c r="D3436" s="26"/>
    </row>
    <row r="3437" spans="4:4" x14ac:dyDescent="0.25">
      <c r="D3437" s="26"/>
    </row>
    <row r="3438" spans="4:4" x14ac:dyDescent="0.25">
      <c r="D3438" s="26"/>
    </row>
    <row r="3439" spans="4:4" x14ac:dyDescent="0.25">
      <c r="D3439" s="26"/>
    </row>
    <row r="3440" spans="4:4" x14ac:dyDescent="0.25">
      <c r="D3440" s="26"/>
    </row>
    <row r="3441" spans="4:4" x14ac:dyDescent="0.25">
      <c r="D3441" s="26"/>
    </row>
    <row r="3442" spans="4:4" x14ac:dyDescent="0.25">
      <c r="D3442" s="26"/>
    </row>
    <row r="3443" spans="4:4" x14ac:dyDescent="0.25">
      <c r="D3443" s="26"/>
    </row>
    <row r="3444" spans="4:4" x14ac:dyDescent="0.25">
      <c r="D3444" s="26"/>
    </row>
    <row r="3445" spans="4:4" x14ac:dyDescent="0.25">
      <c r="D3445" s="26"/>
    </row>
    <row r="3446" spans="4:4" x14ac:dyDescent="0.25">
      <c r="D3446" s="26"/>
    </row>
    <row r="3447" spans="4:4" x14ac:dyDescent="0.25">
      <c r="D3447" s="26"/>
    </row>
    <row r="3448" spans="4:4" x14ac:dyDescent="0.25">
      <c r="D3448" s="26"/>
    </row>
    <row r="3449" spans="4:4" x14ac:dyDescent="0.25">
      <c r="D3449" s="26"/>
    </row>
    <row r="3450" spans="4:4" x14ac:dyDescent="0.25">
      <c r="D3450" s="26"/>
    </row>
    <row r="3451" spans="4:4" x14ac:dyDescent="0.25">
      <c r="D3451" s="26"/>
    </row>
    <row r="3452" spans="4:4" x14ac:dyDescent="0.25">
      <c r="D3452" s="26"/>
    </row>
    <row r="3453" spans="4:4" x14ac:dyDescent="0.25">
      <c r="D3453" s="26"/>
    </row>
    <row r="3454" spans="4:4" x14ac:dyDescent="0.25">
      <c r="D3454" s="26"/>
    </row>
    <row r="3455" spans="4:4" x14ac:dyDescent="0.25">
      <c r="D3455" s="26"/>
    </row>
    <row r="3456" spans="4:4" x14ac:dyDescent="0.25">
      <c r="D3456" s="26"/>
    </row>
    <row r="3457" spans="4:4" x14ac:dyDescent="0.25">
      <c r="D3457" s="26"/>
    </row>
    <row r="3458" spans="4:4" x14ac:dyDescent="0.25">
      <c r="D3458" s="26"/>
    </row>
    <row r="3459" spans="4:4" x14ac:dyDescent="0.25">
      <c r="D3459" s="26"/>
    </row>
    <row r="3460" spans="4:4" x14ac:dyDescent="0.25">
      <c r="D3460" s="26"/>
    </row>
    <row r="3461" spans="4:4" x14ac:dyDescent="0.25">
      <c r="D3461" s="26"/>
    </row>
    <row r="3462" spans="4:4" x14ac:dyDescent="0.25">
      <c r="D3462" s="26"/>
    </row>
    <row r="3463" spans="4:4" x14ac:dyDescent="0.25">
      <c r="D3463" s="26"/>
    </row>
    <row r="3464" spans="4:4" x14ac:dyDescent="0.25">
      <c r="D3464" s="26"/>
    </row>
    <row r="3465" spans="4:4" x14ac:dyDescent="0.25">
      <c r="D3465" s="26"/>
    </row>
    <row r="3466" spans="4:4" x14ac:dyDescent="0.25">
      <c r="D3466" s="26"/>
    </row>
    <row r="3467" spans="4:4" x14ac:dyDescent="0.25">
      <c r="D3467" s="26"/>
    </row>
    <row r="3468" spans="4:4" x14ac:dyDescent="0.25">
      <c r="D3468" s="26"/>
    </row>
    <row r="3469" spans="4:4" x14ac:dyDescent="0.25">
      <c r="D3469" s="26"/>
    </row>
    <row r="3470" spans="4:4" x14ac:dyDescent="0.25">
      <c r="D3470" s="26"/>
    </row>
    <row r="3471" spans="4:4" x14ac:dyDescent="0.25">
      <c r="D3471" s="26"/>
    </row>
    <row r="3472" spans="4:4" x14ac:dyDescent="0.25">
      <c r="D3472" s="26"/>
    </row>
    <row r="3473" spans="4:4" x14ac:dyDescent="0.25">
      <c r="D3473" s="26"/>
    </row>
    <row r="3474" spans="4:4" x14ac:dyDescent="0.25">
      <c r="D3474" s="26"/>
    </row>
    <row r="3475" spans="4:4" x14ac:dyDescent="0.25">
      <c r="D3475" s="26"/>
    </row>
    <row r="3476" spans="4:4" x14ac:dyDescent="0.25">
      <c r="D3476" s="26"/>
    </row>
    <row r="3477" spans="4:4" x14ac:dyDescent="0.25">
      <c r="D3477" s="26"/>
    </row>
    <row r="3478" spans="4:4" x14ac:dyDescent="0.25">
      <c r="D3478" s="26"/>
    </row>
    <row r="3479" spans="4:4" x14ac:dyDescent="0.25">
      <c r="D3479" s="26"/>
    </row>
    <row r="3480" spans="4:4" x14ac:dyDescent="0.25">
      <c r="D3480" s="26"/>
    </row>
    <row r="3481" spans="4:4" x14ac:dyDescent="0.25">
      <c r="D3481" s="26"/>
    </row>
    <row r="3482" spans="4:4" x14ac:dyDescent="0.25">
      <c r="D3482" s="26"/>
    </row>
    <row r="3483" spans="4:4" x14ac:dyDescent="0.25">
      <c r="D3483" s="26"/>
    </row>
    <row r="3484" spans="4:4" x14ac:dyDescent="0.25">
      <c r="D3484" s="26"/>
    </row>
    <row r="3485" spans="4:4" x14ac:dyDescent="0.25">
      <c r="D3485" s="26"/>
    </row>
    <row r="3486" spans="4:4" x14ac:dyDescent="0.25">
      <c r="D3486" s="26"/>
    </row>
    <row r="3487" spans="4:4" x14ac:dyDescent="0.25">
      <c r="D3487" s="26"/>
    </row>
    <row r="3488" spans="4:4" x14ac:dyDescent="0.25">
      <c r="D3488" s="26"/>
    </row>
    <row r="3489" spans="4:4" x14ac:dyDescent="0.25">
      <c r="D3489" s="26"/>
    </row>
    <row r="3490" spans="4:4" x14ac:dyDescent="0.25">
      <c r="D3490" s="26"/>
    </row>
    <row r="3491" spans="4:4" x14ac:dyDescent="0.25">
      <c r="D3491" s="26"/>
    </row>
    <row r="3492" spans="4:4" x14ac:dyDescent="0.25">
      <c r="D3492" s="26"/>
    </row>
    <row r="3493" spans="4:4" x14ac:dyDescent="0.25">
      <c r="D3493" s="26"/>
    </row>
    <row r="3494" spans="4:4" x14ac:dyDescent="0.25">
      <c r="D3494" s="26"/>
    </row>
    <row r="3495" spans="4:4" x14ac:dyDescent="0.25">
      <c r="D3495" s="26"/>
    </row>
    <row r="3496" spans="4:4" x14ac:dyDescent="0.25">
      <c r="D3496" s="26"/>
    </row>
    <row r="3497" spans="4:4" x14ac:dyDescent="0.25">
      <c r="D3497" s="26"/>
    </row>
    <row r="3498" spans="4:4" x14ac:dyDescent="0.25">
      <c r="D3498" s="26"/>
    </row>
    <row r="3499" spans="4:4" x14ac:dyDescent="0.25">
      <c r="D3499" s="26"/>
    </row>
    <row r="3500" spans="4:4" x14ac:dyDescent="0.25">
      <c r="D3500" s="26"/>
    </row>
    <row r="3501" spans="4:4" x14ac:dyDescent="0.25">
      <c r="D3501" s="26"/>
    </row>
    <row r="3502" spans="4:4" x14ac:dyDescent="0.25">
      <c r="D3502" s="26"/>
    </row>
    <row r="3503" spans="4:4" x14ac:dyDescent="0.25">
      <c r="D3503" s="26"/>
    </row>
    <row r="3504" spans="4:4" x14ac:dyDescent="0.25">
      <c r="D3504" s="26"/>
    </row>
    <row r="3505" spans="4:4" x14ac:dyDescent="0.25">
      <c r="D3505" s="26"/>
    </row>
    <row r="3506" spans="4:4" x14ac:dyDescent="0.25">
      <c r="D3506" s="26"/>
    </row>
    <row r="3507" spans="4:4" x14ac:dyDescent="0.25">
      <c r="D3507" s="26"/>
    </row>
    <row r="3508" spans="4:4" x14ac:dyDescent="0.25">
      <c r="D3508" s="26"/>
    </row>
    <row r="3509" spans="4:4" x14ac:dyDescent="0.25">
      <c r="D3509" s="26"/>
    </row>
    <row r="3510" spans="4:4" x14ac:dyDescent="0.25">
      <c r="D3510" s="26"/>
    </row>
    <row r="3511" spans="4:4" x14ac:dyDescent="0.25">
      <c r="D3511" s="26"/>
    </row>
    <row r="3512" spans="4:4" x14ac:dyDescent="0.25">
      <c r="D3512" s="26"/>
    </row>
    <row r="3513" spans="4:4" x14ac:dyDescent="0.25">
      <c r="D3513" s="26"/>
    </row>
    <row r="3514" spans="4:4" x14ac:dyDescent="0.25">
      <c r="D3514" s="26"/>
    </row>
    <row r="3515" spans="4:4" x14ac:dyDescent="0.25">
      <c r="D3515" s="26"/>
    </row>
    <row r="3516" spans="4:4" x14ac:dyDescent="0.25">
      <c r="D3516" s="26"/>
    </row>
    <row r="3517" spans="4:4" x14ac:dyDescent="0.25">
      <c r="D3517" s="26"/>
    </row>
    <row r="3518" spans="4:4" x14ac:dyDescent="0.25">
      <c r="D3518" s="26"/>
    </row>
    <row r="3519" spans="4:4" x14ac:dyDescent="0.25">
      <c r="D3519" s="26"/>
    </row>
    <row r="3520" spans="4:4" x14ac:dyDescent="0.25">
      <c r="D3520" s="26"/>
    </row>
    <row r="3521" spans="4:4" x14ac:dyDescent="0.25">
      <c r="D3521" s="26"/>
    </row>
    <row r="3522" spans="4:4" x14ac:dyDescent="0.25">
      <c r="D3522" s="26"/>
    </row>
    <row r="3523" spans="4:4" x14ac:dyDescent="0.25">
      <c r="D3523" s="26"/>
    </row>
    <row r="3524" spans="4:4" x14ac:dyDescent="0.25">
      <c r="D3524" s="26"/>
    </row>
    <row r="3525" spans="4:4" x14ac:dyDescent="0.25">
      <c r="D3525" s="26"/>
    </row>
    <row r="3526" spans="4:4" x14ac:dyDescent="0.25">
      <c r="D3526" s="26"/>
    </row>
    <row r="3527" spans="4:4" x14ac:dyDescent="0.25">
      <c r="D3527" s="26"/>
    </row>
    <row r="3528" spans="4:4" x14ac:dyDescent="0.25">
      <c r="D3528" s="26"/>
    </row>
    <row r="3529" spans="4:4" x14ac:dyDescent="0.25">
      <c r="D3529" s="26"/>
    </row>
    <row r="3530" spans="4:4" x14ac:dyDescent="0.25">
      <c r="D3530" s="26"/>
    </row>
    <row r="3531" spans="4:4" x14ac:dyDescent="0.25">
      <c r="D3531" s="26"/>
    </row>
    <row r="3532" spans="4:4" x14ac:dyDescent="0.25">
      <c r="D3532" s="26"/>
    </row>
    <row r="3533" spans="4:4" x14ac:dyDescent="0.25">
      <c r="D3533" s="26"/>
    </row>
    <row r="3534" spans="4:4" x14ac:dyDescent="0.25">
      <c r="D3534" s="26"/>
    </row>
    <row r="3535" spans="4:4" x14ac:dyDescent="0.25">
      <c r="D3535" s="26"/>
    </row>
    <row r="3536" spans="4:4" x14ac:dyDescent="0.25">
      <c r="D3536" s="26"/>
    </row>
    <row r="3537" spans="4:4" x14ac:dyDescent="0.25">
      <c r="D3537" s="26"/>
    </row>
    <row r="3538" spans="4:4" x14ac:dyDescent="0.25">
      <c r="D3538" s="26"/>
    </row>
    <row r="3539" spans="4:4" x14ac:dyDescent="0.25">
      <c r="D3539" s="26"/>
    </row>
    <row r="3540" spans="4:4" x14ac:dyDescent="0.25">
      <c r="D3540" s="26"/>
    </row>
    <row r="3541" spans="4:4" x14ac:dyDescent="0.25">
      <c r="D3541" s="26"/>
    </row>
    <row r="3542" spans="4:4" x14ac:dyDescent="0.25">
      <c r="D3542" s="26"/>
    </row>
    <row r="3543" spans="4:4" x14ac:dyDescent="0.25">
      <c r="D3543" s="26"/>
    </row>
    <row r="3544" spans="4:4" x14ac:dyDescent="0.25">
      <c r="D3544" s="26"/>
    </row>
    <row r="3545" spans="4:4" x14ac:dyDescent="0.25">
      <c r="D3545" s="26"/>
    </row>
    <row r="3546" spans="4:4" x14ac:dyDescent="0.25">
      <c r="D3546" s="26"/>
    </row>
    <row r="3547" spans="4:4" x14ac:dyDescent="0.25">
      <c r="D3547" s="26"/>
    </row>
    <row r="3548" spans="4:4" x14ac:dyDescent="0.25">
      <c r="D3548" s="26"/>
    </row>
    <row r="3549" spans="4:4" x14ac:dyDescent="0.25">
      <c r="D3549" s="26"/>
    </row>
    <row r="3550" spans="4:4" x14ac:dyDescent="0.25">
      <c r="D3550" s="26"/>
    </row>
    <row r="3551" spans="4:4" x14ac:dyDescent="0.25">
      <c r="D3551" s="26"/>
    </row>
    <row r="3552" spans="4:4" x14ac:dyDescent="0.25">
      <c r="D3552" s="26"/>
    </row>
    <row r="3553" spans="4:4" x14ac:dyDescent="0.25">
      <c r="D3553" s="26"/>
    </row>
    <row r="3554" spans="4:4" x14ac:dyDescent="0.25">
      <c r="D3554" s="26"/>
    </row>
    <row r="3555" spans="4:4" x14ac:dyDescent="0.25">
      <c r="D3555" s="26"/>
    </row>
    <row r="3556" spans="4:4" x14ac:dyDescent="0.25">
      <c r="D3556" s="26"/>
    </row>
    <row r="3557" spans="4:4" x14ac:dyDescent="0.25">
      <c r="D3557" s="26"/>
    </row>
    <row r="3558" spans="4:4" x14ac:dyDescent="0.25">
      <c r="D3558" s="26"/>
    </row>
    <row r="3559" spans="4:4" x14ac:dyDescent="0.25">
      <c r="D3559" s="26"/>
    </row>
    <row r="3560" spans="4:4" x14ac:dyDescent="0.25">
      <c r="D3560" s="26"/>
    </row>
    <row r="3561" spans="4:4" x14ac:dyDescent="0.25">
      <c r="D3561" s="26"/>
    </row>
    <row r="3562" spans="4:4" x14ac:dyDescent="0.25">
      <c r="D3562" s="26"/>
    </row>
    <row r="3563" spans="4:4" x14ac:dyDescent="0.25">
      <c r="D3563" s="26"/>
    </row>
    <row r="3564" spans="4:4" x14ac:dyDescent="0.25">
      <c r="D3564" s="26"/>
    </row>
    <row r="3565" spans="4:4" x14ac:dyDescent="0.25">
      <c r="D3565" s="26"/>
    </row>
    <row r="3566" spans="4:4" x14ac:dyDescent="0.25">
      <c r="D3566" s="26"/>
    </row>
    <row r="3567" spans="4:4" x14ac:dyDescent="0.25">
      <c r="D3567" s="26"/>
    </row>
    <row r="3568" spans="4:4" x14ac:dyDescent="0.25">
      <c r="D3568" s="26"/>
    </row>
    <row r="3569" spans="4:4" x14ac:dyDescent="0.25">
      <c r="D3569" s="26"/>
    </row>
    <row r="3570" spans="4:4" x14ac:dyDescent="0.25">
      <c r="D3570" s="26"/>
    </row>
    <row r="3571" spans="4:4" x14ac:dyDescent="0.25">
      <c r="D3571" s="26"/>
    </row>
    <row r="3572" spans="4:4" x14ac:dyDescent="0.25">
      <c r="D3572" s="26"/>
    </row>
    <row r="3573" spans="4:4" x14ac:dyDescent="0.25">
      <c r="D3573" s="26"/>
    </row>
    <row r="3574" spans="4:4" x14ac:dyDescent="0.25">
      <c r="D3574" s="26"/>
    </row>
    <row r="3575" spans="4:4" x14ac:dyDescent="0.25">
      <c r="D3575" s="26"/>
    </row>
    <row r="3576" spans="4:4" x14ac:dyDescent="0.25">
      <c r="D3576" s="26"/>
    </row>
    <row r="3577" spans="4:4" x14ac:dyDescent="0.25">
      <c r="D3577" s="26"/>
    </row>
    <row r="3578" spans="4:4" x14ac:dyDescent="0.25">
      <c r="D3578" s="26"/>
    </row>
    <row r="3579" spans="4:4" x14ac:dyDescent="0.25">
      <c r="D3579" s="26"/>
    </row>
    <row r="3580" spans="4:4" x14ac:dyDescent="0.25">
      <c r="D3580" s="26"/>
    </row>
    <row r="3581" spans="4:4" x14ac:dyDescent="0.25">
      <c r="D3581" s="26"/>
    </row>
    <row r="3582" spans="4:4" x14ac:dyDescent="0.25">
      <c r="D3582" s="26"/>
    </row>
    <row r="3583" spans="4:4" x14ac:dyDescent="0.25">
      <c r="D3583" s="26"/>
    </row>
    <row r="3584" spans="4:4" x14ac:dyDescent="0.25">
      <c r="D3584" s="26"/>
    </row>
    <row r="3585" spans="4:4" x14ac:dyDescent="0.25">
      <c r="D3585" s="26"/>
    </row>
    <row r="3586" spans="4:4" x14ac:dyDescent="0.25">
      <c r="D3586" s="26"/>
    </row>
    <row r="3587" spans="4:4" x14ac:dyDescent="0.25">
      <c r="D3587" s="26"/>
    </row>
    <row r="3588" spans="4:4" x14ac:dyDescent="0.25">
      <c r="D3588" s="26"/>
    </row>
    <row r="3589" spans="4:4" x14ac:dyDescent="0.25">
      <c r="D3589" s="26"/>
    </row>
    <row r="3590" spans="4:4" x14ac:dyDescent="0.25">
      <c r="D3590" s="26"/>
    </row>
    <row r="3591" spans="4:4" x14ac:dyDescent="0.25">
      <c r="D3591" s="26"/>
    </row>
    <row r="3592" spans="4:4" x14ac:dyDescent="0.25">
      <c r="D3592" s="26"/>
    </row>
    <row r="3593" spans="4:4" x14ac:dyDescent="0.25">
      <c r="D3593" s="26"/>
    </row>
    <row r="3594" spans="4:4" x14ac:dyDescent="0.25">
      <c r="D3594" s="26"/>
    </row>
    <row r="3595" spans="4:4" x14ac:dyDescent="0.25">
      <c r="D3595" s="26"/>
    </row>
    <row r="3596" spans="4:4" x14ac:dyDescent="0.25">
      <c r="D3596" s="26"/>
    </row>
    <row r="3597" spans="4:4" x14ac:dyDescent="0.25">
      <c r="D3597" s="26"/>
    </row>
    <row r="3598" spans="4:4" x14ac:dyDescent="0.25">
      <c r="D3598" s="26"/>
    </row>
    <row r="3599" spans="4:4" x14ac:dyDescent="0.25">
      <c r="D3599" s="26"/>
    </row>
    <row r="3600" spans="4:4" x14ac:dyDescent="0.25">
      <c r="D3600" s="26"/>
    </row>
    <row r="3601" spans="4:4" x14ac:dyDescent="0.25">
      <c r="D3601" s="26"/>
    </row>
    <row r="3602" spans="4:4" x14ac:dyDescent="0.25">
      <c r="D3602" s="26"/>
    </row>
    <row r="3603" spans="4:4" x14ac:dyDescent="0.25">
      <c r="D3603" s="26"/>
    </row>
    <row r="3604" spans="4:4" x14ac:dyDescent="0.25">
      <c r="D3604" s="26"/>
    </row>
    <row r="3605" spans="4:4" x14ac:dyDescent="0.25">
      <c r="D3605" s="26"/>
    </row>
    <row r="3606" spans="4:4" x14ac:dyDescent="0.25">
      <c r="D3606" s="26"/>
    </row>
    <row r="3607" spans="4:4" x14ac:dyDescent="0.25">
      <c r="D3607" s="26"/>
    </row>
    <row r="3608" spans="4:4" x14ac:dyDescent="0.25">
      <c r="D3608" s="26"/>
    </row>
    <row r="3609" spans="4:4" x14ac:dyDescent="0.25">
      <c r="D3609" s="26"/>
    </row>
    <row r="3610" spans="4:4" x14ac:dyDescent="0.25">
      <c r="D3610" s="26"/>
    </row>
    <row r="3611" spans="4:4" x14ac:dyDescent="0.25">
      <c r="D3611" s="26"/>
    </row>
    <row r="3612" spans="4:4" x14ac:dyDescent="0.25">
      <c r="D3612" s="26"/>
    </row>
    <row r="3613" spans="4:4" x14ac:dyDescent="0.25">
      <c r="D3613" s="26"/>
    </row>
    <row r="3614" spans="4:4" x14ac:dyDescent="0.25">
      <c r="D3614" s="26"/>
    </row>
    <row r="3615" spans="4:4" x14ac:dyDescent="0.25">
      <c r="D3615" s="26"/>
    </row>
    <row r="3616" spans="4:4" x14ac:dyDescent="0.25">
      <c r="D3616" s="26"/>
    </row>
    <row r="3617" spans="4:4" x14ac:dyDescent="0.25">
      <c r="D3617" s="26"/>
    </row>
    <row r="3618" spans="4:4" x14ac:dyDescent="0.25">
      <c r="D3618" s="26"/>
    </row>
    <row r="3619" spans="4:4" x14ac:dyDescent="0.25">
      <c r="D3619" s="26"/>
    </row>
    <row r="3620" spans="4:4" x14ac:dyDescent="0.25">
      <c r="D3620" s="26"/>
    </row>
    <row r="3621" spans="4:4" x14ac:dyDescent="0.25">
      <c r="D3621" s="26"/>
    </row>
    <row r="3622" spans="4:4" x14ac:dyDescent="0.25">
      <c r="D3622" s="26"/>
    </row>
    <row r="3623" spans="4:4" x14ac:dyDescent="0.25">
      <c r="D3623" s="26"/>
    </row>
    <row r="3624" spans="4:4" x14ac:dyDescent="0.25">
      <c r="D3624" s="26"/>
    </row>
    <row r="3625" spans="4:4" x14ac:dyDescent="0.25">
      <c r="D3625" s="26"/>
    </row>
    <row r="3626" spans="4:4" x14ac:dyDescent="0.25">
      <c r="D3626" s="26"/>
    </row>
    <row r="3627" spans="4:4" x14ac:dyDescent="0.25">
      <c r="D3627" s="26"/>
    </row>
    <row r="3628" spans="4:4" x14ac:dyDescent="0.25">
      <c r="D3628" s="26"/>
    </row>
    <row r="3629" spans="4:4" x14ac:dyDescent="0.25">
      <c r="D3629" s="26"/>
    </row>
    <row r="3630" spans="4:4" x14ac:dyDescent="0.25">
      <c r="D3630" s="26"/>
    </row>
    <row r="3631" spans="4:4" x14ac:dyDescent="0.25">
      <c r="D3631" s="26"/>
    </row>
    <row r="3632" spans="4:4" x14ac:dyDescent="0.25">
      <c r="D3632" s="26"/>
    </row>
    <row r="3633" spans="4:4" x14ac:dyDescent="0.25">
      <c r="D3633" s="26"/>
    </row>
    <row r="3634" spans="4:4" x14ac:dyDescent="0.25">
      <c r="D3634" s="26"/>
    </row>
    <row r="3635" spans="4:4" x14ac:dyDescent="0.25">
      <c r="D3635" s="26"/>
    </row>
    <row r="3636" spans="4:4" x14ac:dyDescent="0.25">
      <c r="D3636" s="26"/>
    </row>
    <row r="3637" spans="4:4" x14ac:dyDescent="0.25">
      <c r="D3637" s="26"/>
    </row>
    <row r="3638" spans="4:4" x14ac:dyDescent="0.25">
      <c r="D3638" s="26"/>
    </row>
    <row r="3639" spans="4:4" x14ac:dyDescent="0.25">
      <c r="D3639" s="26"/>
    </row>
    <row r="3640" spans="4:4" x14ac:dyDescent="0.25">
      <c r="D3640" s="26"/>
    </row>
    <row r="3641" spans="4:4" x14ac:dyDescent="0.25">
      <c r="D3641" s="26"/>
    </row>
    <row r="3642" spans="4:4" x14ac:dyDescent="0.25">
      <c r="D3642" s="26"/>
    </row>
    <row r="3643" spans="4:4" x14ac:dyDescent="0.25">
      <c r="D3643" s="26"/>
    </row>
    <row r="3644" spans="4:4" x14ac:dyDescent="0.25">
      <c r="D3644" s="26"/>
    </row>
    <row r="3645" spans="4:4" x14ac:dyDescent="0.25">
      <c r="D3645" s="26"/>
    </row>
    <row r="3646" spans="4:4" x14ac:dyDescent="0.25">
      <c r="D3646" s="26"/>
    </row>
    <row r="3647" spans="4:4" x14ac:dyDescent="0.25">
      <c r="D3647" s="26"/>
    </row>
    <row r="3648" spans="4:4" x14ac:dyDescent="0.25">
      <c r="D3648" s="26"/>
    </row>
    <row r="3649" spans="4:4" x14ac:dyDescent="0.25">
      <c r="D3649" s="26"/>
    </row>
    <row r="3650" spans="4:4" x14ac:dyDescent="0.25">
      <c r="D3650" s="26"/>
    </row>
    <row r="3651" spans="4:4" x14ac:dyDescent="0.25">
      <c r="D3651" s="26"/>
    </row>
    <row r="3652" spans="4:4" x14ac:dyDescent="0.25">
      <c r="D3652" s="26"/>
    </row>
    <row r="3653" spans="4:4" x14ac:dyDescent="0.25">
      <c r="D3653" s="26"/>
    </row>
    <row r="3654" spans="4:4" x14ac:dyDescent="0.25">
      <c r="D3654" s="26"/>
    </row>
    <row r="3655" spans="4:4" x14ac:dyDescent="0.25">
      <c r="D3655" s="26"/>
    </row>
    <row r="3656" spans="4:4" x14ac:dyDescent="0.25">
      <c r="D3656" s="26"/>
    </row>
    <row r="3657" spans="4:4" x14ac:dyDescent="0.25">
      <c r="D3657" s="26"/>
    </row>
    <row r="3658" spans="4:4" x14ac:dyDescent="0.25">
      <c r="D3658" s="26"/>
    </row>
    <row r="3659" spans="4:4" x14ac:dyDescent="0.25">
      <c r="D3659" s="26"/>
    </row>
    <row r="3660" spans="4:4" x14ac:dyDescent="0.25">
      <c r="D3660" s="26"/>
    </row>
    <row r="3661" spans="4:4" x14ac:dyDescent="0.25">
      <c r="D3661" s="26"/>
    </row>
    <row r="3662" spans="4:4" x14ac:dyDescent="0.25">
      <c r="D3662" s="26"/>
    </row>
    <row r="3663" spans="4:4" x14ac:dyDescent="0.25">
      <c r="D3663" s="26"/>
    </row>
    <row r="3664" spans="4:4" x14ac:dyDescent="0.25">
      <c r="D3664" s="26"/>
    </row>
    <row r="3665" spans="4:4" x14ac:dyDescent="0.25">
      <c r="D3665" s="26"/>
    </row>
    <row r="3666" spans="4:4" x14ac:dyDescent="0.25">
      <c r="D3666" s="26"/>
    </row>
    <row r="3667" spans="4:4" x14ac:dyDescent="0.25">
      <c r="D3667" s="26"/>
    </row>
    <row r="3668" spans="4:4" x14ac:dyDescent="0.25">
      <c r="D3668" s="26"/>
    </row>
    <row r="3669" spans="4:4" x14ac:dyDescent="0.25">
      <c r="D3669" s="26"/>
    </row>
    <row r="3670" spans="4:4" x14ac:dyDescent="0.25">
      <c r="D3670" s="26"/>
    </row>
    <row r="3671" spans="4:4" x14ac:dyDescent="0.25">
      <c r="D3671" s="26"/>
    </row>
    <row r="3672" spans="4:4" x14ac:dyDescent="0.25">
      <c r="D3672" s="26"/>
    </row>
    <row r="3673" spans="4:4" x14ac:dyDescent="0.25">
      <c r="D3673" s="26"/>
    </row>
    <row r="3674" spans="4:4" x14ac:dyDescent="0.25">
      <c r="D3674" s="26"/>
    </row>
    <row r="3675" spans="4:4" x14ac:dyDescent="0.25">
      <c r="D3675" s="26"/>
    </row>
    <row r="3676" spans="4:4" x14ac:dyDescent="0.25">
      <c r="D3676" s="26"/>
    </row>
    <row r="3677" spans="4:4" x14ac:dyDescent="0.25">
      <c r="D3677" s="26"/>
    </row>
    <row r="3678" spans="4:4" x14ac:dyDescent="0.25">
      <c r="D3678" s="26"/>
    </row>
    <row r="3679" spans="4:4" x14ac:dyDescent="0.25">
      <c r="D3679" s="26"/>
    </row>
    <row r="3680" spans="4:4" x14ac:dyDescent="0.25">
      <c r="D3680" s="26"/>
    </row>
    <row r="3681" spans="4:4" x14ac:dyDescent="0.25">
      <c r="D3681" s="26"/>
    </row>
    <row r="3682" spans="4:4" x14ac:dyDescent="0.25">
      <c r="D3682" s="26"/>
    </row>
    <row r="3683" spans="4:4" x14ac:dyDescent="0.25">
      <c r="D3683" s="26"/>
    </row>
    <row r="3684" spans="4:4" x14ac:dyDescent="0.25">
      <c r="D3684" s="26"/>
    </row>
    <row r="3685" spans="4:4" x14ac:dyDescent="0.25">
      <c r="D3685" s="26"/>
    </row>
    <row r="3686" spans="4:4" x14ac:dyDescent="0.25">
      <c r="D3686" s="26"/>
    </row>
    <row r="3687" spans="4:4" x14ac:dyDescent="0.25">
      <c r="D3687" s="26"/>
    </row>
    <row r="3688" spans="4:4" x14ac:dyDescent="0.25">
      <c r="D3688" s="26"/>
    </row>
    <row r="3689" spans="4:4" x14ac:dyDescent="0.25">
      <c r="D3689" s="26"/>
    </row>
    <row r="3690" spans="4:4" x14ac:dyDescent="0.25">
      <c r="D3690" s="26"/>
    </row>
    <row r="3691" spans="4:4" x14ac:dyDescent="0.25">
      <c r="D3691" s="26"/>
    </row>
    <row r="3692" spans="4:4" x14ac:dyDescent="0.25">
      <c r="D3692" s="26"/>
    </row>
    <row r="3693" spans="4:4" x14ac:dyDescent="0.25">
      <c r="D3693" s="26"/>
    </row>
    <row r="3694" spans="4:4" x14ac:dyDescent="0.25">
      <c r="D3694" s="26"/>
    </row>
    <row r="3695" spans="4:4" x14ac:dyDescent="0.25">
      <c r="D3695" s="26"/>
    </row>
    <row r="3696" spans="4:4" x14ac:dyDescent="0.25">
      <c r="D3696" s="26"/>
    </row>
    <row r="3697" spans="4:4" x14ac:dyDescent="0.25">
      <c r="D3697" s="26"/>
    </row>
    <row r="3698" spans="4:4" x14ac:dyDescent="0.25">
      <c r="D3698" s="26"/>
    </row>
    <row r="3699" spans="4:4" x14ac:dyDescent="0.25">
      <c r="D3699" s="26"/>
    </row>
    <row r="3700" spans="4:4" x14ac:dyDescent="0.25">
      <c r="D3700" s="26"/>
    </row>
    <row r="3701" spans="4:4" x14ac:dyDescent="0.25">
      <c r="D3701" s="26"/>
    </row>
    <row r="3702" spans="4:4" x14ac:dyDescent="0.25">
      <c r="D3702" s="26"/>
    </row>
    <row r="3703" spans="4:4" x14ac:dyDescent="0.25">
      <c r="D3703" s="26"/>
    </row>
    <row r="3704" spans="4:4" x14ac:dyDescent="0.25">
      <c r="D3704" s="26"/>
    </row>
    <row r="3705" spans="4:4" x14ac:dyDescent="0.25">
      <c r="D3705" s="26"/>
    </row>
    <row r="3706" spans="4:4" x14ac:dyDescent="0.25">
      <c r="D3706" s="26"/>
    </row>
    <row r="3707" spans="4:4" x14ac:dyDescent="0.25">
      <c r="D3707" s="26"/>
    </row>
    <row r="3708" spans="4:4" x14ac:dyDescent="0.25">
      <c r="D3708" s="26"/>
    </row>
    <row r="3709" spans="4:4" x14ac:dyDescent="0.25">
      <c r="D3709" s="26"/>
    </row>
    <row r="3710" spans="4:4" x14ac:dyDescent="0.25">
      <c r="D3710" s="26"/>
    </row>
    <row r="3711" spans="4:4" x14ac:dyDescent="0.25">
      <c r="D3711" s="26"/>
    </row>
    <row r="3712" spans="4:4" x14ac:dyDescent="0.25">
      <c r="D3712" s="26"/>
    </row>
    <row r="3713" spans="4:4" x14ac:dyDescent="0.25">
      <c r="D3713" s="26"/>
    </row>
    <row r="3714" spans="4:4" x14ac:dyDescent="0.25">
      <c r="D3714" s="26"/>
    </row>
    <row r="3715" spans="4:4" x14ac:dyDescent="0.25">
      <c r="D3715" s="26"/>
    </row>
    <row r="3716" spans="4:4" x14ac:dyDescent="0.25">
      <c r="D3716" s="26"/>
    </row>
    <row r="3717" spans="4:4" x14ac:dyDescent="0.25">
      <c r="D3717" s="26"/>
    </row>
    <row r="3718" spans="4:4" x14ac:dyDescent="0.25">
      <c r="D3718" s="26"/>
    </row>
    <row r="3719" spans="4:4" x14ac:dyDescent="0.25">
      <c r="D3719" s="26"/>
    </row>
    <row r="3720" spans="4:4" x14ac:dyDescent="0.25">
      <c r="D3720" s="26"/>
    </row>
    <row r="3721" spans="4:4" x14ac:dyDescent="0.25">
      <c r="D3721" s="26"/>
    </row>
    <row r="3722" spans="4:4" x14ac:dyDescent="0.25">
      <c r="D3722" s="26"/>
    </row>
    <row r="3723" spans="4:4" x14ac:dyDescent="0.25">
      <c r="D3723" s="26"/>
    </row>
    <row r="3724" spans="4:4" x14ac:dyDescent="0.25">
      <c r="D3724" s="26"/>
    </row>
    <row r="3725" spans="4:4" x14ac:dyDescent="0.25">
      <c r="D3725" s="26"/>
    </row>
    <row r="3726" spans="4:4" x14ac:dyDescent="0.25">
      <c r="D3726" s="26"/>
    </row>
    <row r="3727" spans="4:4" x14ac:dyDescent="0.25">
      <c r="D3727" s="26"/>
    </row>
    <row r="3728" spans="4:4" x14ac:dyDescent="0.25">
      <c r="D3728" s="26"/>
    </row>
    <row r="3729" spans="4:4" x14ac:dyDescent="0.25">
      <c r="D3729" s="26"/>
    </row>
    <row r="3730" spans="4:4" x14ac:dyDescent="0.25">
      <c r="D3730" s="26"/>
    </row>
    <row r="3731" spans="4:4" x14ac:dyDescent="0.25">
      <c r="D3731" s="26"/>
    </row>
    <row r="3732" spans="4:4" x14ac:dyDescent="0.25">
      <c r="D3732" s="26"/>
    </row>
    <row r="3733" spans="4:4" x14ac:dyDescent="0.25">
      <c r="D3733" s="26"/>
    </row>
    <row r="3734" spans="4:4" x14ac:dyDescent="0.25">
      <c r="D3734" s="26"/>
    </row>
    <row r="3735" spans="4:4" x14ac:dyDescent="0.25">
      <c r="D3735" s="26"/>
    </row>
    <row r="3736" spans="4:4" x14ac:dyDescent="0.25">
      <c r="D3736" s="26"/>
    </row>
    <row r="3737" spans="4:4" x14ac:dyDescent="0.25">
      <c r="D3737" s="26"/>
    </row>
    <row r="3738" spans="4:4" x14ac:dyDescent="0.25">
      <c r="D3738" s="26"/>
    </row>
    <row r="3739" spans="4:4" x14ac:dyDescent="0.25">
      <c r="D3739" s="26"/>
    </row>
    <row r="3740" spans="4:4" x14ac:dyDescent="0.25">
      <c r="D3740" s="26"/>
    </row>
    <row r="3741" spans="4:4" x14ac:dyDescent="0.25">
      <c r="D3741" s="26"/>
    </row>
    <row r="3742" spans="4:4" x14ac:dyDescent="0.25">
      <c r="D3742" s="26"/>
    </row>
  </sheetData>
  <mergeCells count="3">
    <mergeCell ref="A3:B3"/>
    <mergeCell ref="A6:B6"/>
    <mergeCell ref="A9:B9"/>
  </mergeCells>
  <hyperlinks>
    <hyperlink ref="A3" location="Categorias!A1" display="Categorias" xr:uid="{00000000-0004-0000-0400-000000000000}"/>
    <hyperlink ref="A9:B9" location="'Resumo total'!A1" display="Resumo" xr:uid="{00000000-0004-0000-0400-000001000000}"/>
    <hyperlink ref="A6:B6" location="topo_cb" display="CadastroCB" xr:uid="{00000000-0004-0000-0400-000002000000}"/>
    <hyperlink ref="A3:B3" location="topocategorias" display="Categorias" xr:uid="{00000000-0004-0000-0400-000003000000}"/>
    <hyperlink ref="D1" location="topo_basedados" display="Topo" xr:uid="{00000000-0004-0000-0400-000004000000}"/>
  </hyperlinks>
  <pageMargins left="0.7" right="0.7" top="0.75" bottom="0.75" header="0.3" footer="0.3"/>
  <headerFooter>
    <oddHeader>&amp;C&amp;G</oddHeader>
  </headerFooter>
  <drawing r:id="rId1"/>
  <legacyDrawingHF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32</vt:i4>
      </vt:variant>
    </vt:vector>
  </HeadingPairs>
  <TitlesOfParts>
    <vt:vector size="37" baseType="lpstr">
      <vt:lpstr>Cadastro</vt:lpstr>
      <vt:lpstr>CadastroCB</vt:lpstr>
      <vt:lpstr>Resumo total</vt:lpstr>
      <vt:lpstr>Categorias</vt:lpstr>
      <vt:lpstr>Base de dados</vt:lpstr>
      <vt:lpstr>Codigo_barras</vt:lpstr>
      <vt:lpstr>Codigo_barras_unidade</vt:lpstr>
      <vt:lpstr>extras</vt:lpstr>
      <vt:lpstr>frase</vt:lpstr>
      <vt:lpstr>lista</vt:lpstr>
      <vt:lpstr>mercado1</vt:lpstr>
      <vt:lpstr>mercado10</vt:lpstr>
      <vt:lpstr>mercado11</vt:lpstr>
      <vt:lpstr>mercado12</vt:lpstr>
      <vt:lpstr>mercado13</vt:lpstr>
      <vt:lpstr>mercado14</vt:lpstr>
      <vt:lpstr>mercado15</vt:lpstr>
      <vt:lpstr>mercado16</vt:lpstr>
      <vt:lpstr>mercado17</vt:lpstr>
      <vt:lpstr>mercado18</vt:lpstr>
      <vt:lpstr>mercado2</vt:lpstr>
      <vt:lpstr>mercado3</vt:lpstr>
      <vt:lpstr>mercado4</vt:lpstr>
      <vt:lpstr>mercado5</vt:lpstr>
      <vt:lpstr>mercado6</vt:lpstr>
      <vt:lpstr>mercado7</vt:lpstr>
      <vt:lpstr>mercado8</vt:lpstr>
      <vt:lpstr>mercado9</vt:lpstr>
      <vt:lpstr>nome_mercado</vt:lpstr>
      <vt:lpstr>nome_mercado_cb</vt:lpstr>
      <vt:lpstr>PMA</vt:lpstr>
      <vt:lpstr>topo_basedados</vt:lpstr>
      <vt:lpstr>topo_cb</vt:lpstr>
      <vt:lpstr>topo1</vt:lpstr>
      <vt:lpstr>topocategorias</vt:lpstr>
      <vt:lpstr>toporesumo</vt:lpstr>
      <vt:lpstr>total_kg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natori</dc:creator>
  <cp:keywords/>
  <dc:description/>
  <cp:lastModifiedBy>George Sá</cp:lastModifiedBy>
  <dcterms:created xsi:type="dcterms:W3CDTF">2017-09-18T00:33:26Z</dcterms:created>
  <dcterms:modified xsi:type="dcterms:W3CDTF">2024-08-24T18:45:37Z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cdf611f-8983-40cc-87f3-5aa863bafa6f_Enabled">
    <vt:lpwstr>true</vt:lpwstr>
  </property>
  <property fmtid="{D5CDD505-2E9C-101B-9397-08002B2CF9AE}" pid="3" name="MSIP_Label_acdf611f-8983-40cc-87f3-5aa863bafa6f_SetDate">
    <vt:lpwstr>2022-10-16T14:47:46Z</vt:lpwstr>
  </property>
  <property fmtid="{D5CDD505-2E9C-101B-9397-08002B2CF9AE}" pid="4" name="MSIP_Label_acdf611f-8983-40cc-87f3-5aa863bafa6f_Method">
    <vt:lpwstr>Standard</vt:lpwstr>
  </property>
  <property fmtid="{D5CDD505-2E9C-101B-9397-08002B2CF9AE}" pid="5" name="MSIP_Label_acdf611f-8983-40cc-87f3-5aa863bafa6f_Name">
    <vt:lpwstr>Confidencial</vt:lpwstr>
  </property>
  <property fmtid="{D5CDD505-2E9C-101B-9397-08002B2CF9AE}" pid="6" name="MSIP_Label_acdf611f-8983-40cc-87f3-5aa863bafa6f_SiteId">
    <vt:lpwstr>65af7d13-66d5-4b91-b78b-fca3f75591e5</vt:lpwstr>
  </property>
  <property fmtid="{D5CDD505-2E9C-101B-9397-08002B2CF9AE}" pid="7" name="MSIP_Label_acdf611f-8983-40cc-87f3-5aa863bafa6f_ActionId">
    <vt:lpwstr>24b94062-e598-4587-8ba1-4f67b58aadf6</vt:lpwstr>
  </property>
  <property fmtid="{D5CDD505-2E9C-101B-9397-08002B2CF9AE}" pid="8" name="MSIP_Label_acdf611f-8983-40cc-87f3-5aa863bafa6f_ContentBits">
    <vt:lpwstr>4</vt:lpwstr>
  </property>
</Properties>
</file>